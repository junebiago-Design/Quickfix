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MELANIE\CHECKING\HYS\JULY 11-25, 2026\"/>
    </mc:Choice>
  </mc:AlternateContent>
  <xr:revisionPtr revIDLastSave="0" documentId="8_{81967F7E-0E6E-4615-8037-6D10DDC886FB}" xr6:coauthVersionLast="47" xr6:coauthVersionMax="47" xr10:uidLastSave="{00000000-0000-0000-0000-000000000000}"/>
  <bookViews>
    <workbookView xWindow="-110" yWindow="-110" windowWidth="19420" windowHeight="10300" tabRatio="840" firstSheet="1" activeTab="3" xr2:uid="{00000000-000D-0000-FFFF-FFFF00000000}"/>
  </bookViews>
  <sheets>
    <sheet name="INVOICE" sheetId="34" state="hidden" r:id="rId1"/>
    <sheet name="Sales Invoice" sheetId="59" r:id="rId2"/>
    <sheet name="ABS" sheetId="60" r:id="rId3"/>
    <sheet name="BILLING COMPUTATION" sheetId="41" r:id="rId4"/>
    <sheet name="SSS_2025" sheetId="61" r:id="rId5"/>
    <sheet name="PIVOT" sheetId="100" r:id="rId6"/>
    <sheet name="F3 MS (2)" sheetId="99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__________________AMZ2" localSheetId="6">#REF!</definedName>
    <definedName name="_____________________AMZ2">#REF!</definedName>
    <definedName name="____________________AMZ2" localSheetId="6">#REF!</definedName>
    <definedName name="____________________AMZ2">#REF!</definedName>
    <definedName name="___________________AMZ2" localSheetId="6">#REF!</definedName>
    <definedName name="___________________AMZ2">#REF!</definedName>
    <definedName name="__________________AMZ2" localSheetId="6">#REF!</definedName>
    <definedName name="__________________AMZ2">#REF!</definedName>
    <definedName name="_________________AMZ2" localSheetId="6">#REF!</definedName>
    <definedName name="_________________AMZ2">#REF!</definedName>
    <definedName name="________________AMZ2" localSheetId="6">#REF!</definedName>
    <definedName name="________________AMZ2">#REF!</definedName>
    <definedName name="_______________AMZ2" localSheetId="6">#REF!</definedName>
    <definedName name="_______________AMZ2" localSheetId="1">#REF!</definedName>
    <definedName name="_______________AMZ2">#REF!</definedName>
    <definedName name="______________AMZ2" localSheetId="6">#REF!</definedName>
    <definedName name="______________AMZ2" localSheetId="1">#REF!</definedName>
    <definedName name="______________AMZ2">#REF!</definedName>
    <definedName name="_____________AMZ2" localSheetId="6">#REF!</definedName>
    <definedName name="_____________AMZ2" localSheetId="1">#REF!</definedName>
    <definedName name="_____________AMZ2">#REF!</definedName>
    <definedName name="____________AMZ2" localSheetId="6">#REF!</definedName>
    <definedName name="____________AMZ2" localSheetId="1">#REF!</definedName>
    <definedName name="____________AMZ2">#REF!</definedName>
    <definedName name="___________AMZ2" localSheetId="6">#REF!</definedName>
    <definedName name="___________AMZ2" localSheetId="1">#REF!</definedName>
    <definedName name="___________AMZ2">#REF!</definedName>
    <definedName name="__________AMZ2" localSheetId="6">#REF!</definedName>
    <definedName name="__________AMZ2" localSheetId="1">#REF!</definedName>
    <definedName name="__________AMZ2">#REF!</definedName>
    <definedName name="_________AMZ2" localSheetId="6">#REF!</definedName>
    <definedName name="_________AMZ2" localSheetId="1">#REF!</definedName>
    <definedName name="_________AMZ2">#REF!</definedName>
    <definedName name="________AMZ2" localSheetId="6">#REF!</definedName>
    <definedName name="________AMZ2">#REF!</definedName>
    <definedName name="_______AMZ2" localSheetId="6">#REF!</definedName>
    <definedName name="_______AMZ2">#REF!</definedName>
    <definedName name="______AMZ2" localSheetId="6">#REF!</definedName>
    <definedName name="______AMZ2">#REF!</definedName>
    <definedName name="_____AMZ2" localSheetId="6">#REF!</definedName>
    <definedName name="_____AMZ2">#REF!</definedName>
    <definedName name="____AMZ2" localSheetId="6">#REF!</definedName>
    <definedName name="____AMZ2">#REF!</definedName>
    <definedName name="___AMZ2" localSheetId="6">#REF!</definedName>
    <definedName name="___AMZ2">#REF!</definedName>
    <definedName name="__AMZ2" localSheetId="6">#REF!</definedName>
    <definedName name="__AMZ2">#REF!</definedName>
    <definedName name="_1._Jessie_Lee_Alviz_Baldez_2._Glysa_Rapado_Robiso_3._Jovelyn_Ybarola_Gallarin_4._Jonalie_Jose_Molaro_5._Evangeline_Jabenyar_Besar_6._Amielyn_Dime_7._Jayson_Luvedesis_Enriquez_8._Judy_Ann_M._Hernandez_9._Liezel_S._Leynes_10._Marlon_D._Mercado_11._Jessima" localSheetId="6">#REF!</definedName>
    <definedName name="_1._Jessie_Lee_Alviz_Baldez_2._Glysa_Rapado_Robiso_3._Jovelyn_Ybarola_Gallarin_4._Jonalie_Jose_Molaro_5._Evangeline_Jabenyar_Besar_6._Amielyn_Dime_7._Jayson_Luvedesis_Enriquez_8._Judy_Ann_M._Hernandez_9._Liezel_S._Leynes_10._Marlon_D._Mercado_11._Jessima" localSheetId="1">#REF!</definedName>
    <definedName name="_1._Jessie_Lee_Alviz_Baldez_2._Glysa_Rapado_Robiso_3._Jovelyn_Ybarola_Gallarin_4._Jonalie_Jose_Molaro_5._Evangeline_Jabenyar_Besar_6._Amielyn_Dime_7._Jayson_Luvedesis_Enriquez_8._Judy_Ann_M._Hernandez_9._Liezel_S._Leynes_10._Marlon_D._Mercado_11._Jessima">#REF!</definedName>
    <definedName name="_402_jpyTotal" localSheetId="6">#REF!</definedName>
    <definedName name="_402_jpyTotal" localSheetId="1">#REF!</definedName>
    <definedName name="_402_jpyTotal">#REF!</definedName>
    <definedName name="_AMZ2" localSheetId="6">#REF!</definedName>
    <definedName name="_AMZ2" localSheetId="0">#REF!</definedName>
    <definedName name="_AMZ2">#REF!</definedName>
    <definedName name="_xlnm._FilterDatabase" localSheetId="3" hidden="1">'BILLING COMPUTATION'!$A$7:$HB$98</definedName>
    <definedName name="_xlnm._FilterDatabase" localSheetId="6" hidden="1">'F3 MS (2)'!$A$1:$AH$1</definedName>
    <definedName name="A" localSheetId="6">#REF!</definedName>
    <definedName name="A" localSheetId="1">#REF!</definedName>
    <definedName name="A">#REF!</definedName>
    <definedName name="activity" localSheetId="6">#REF!</definedName>
    <definedName name="activity" localSheetId="0">#REF!</definedName>
    <definedName name="activity" localSheetId="1">#REF!</definedName>
    <definedName name="activity">#REF!</definedName>
    <definedName name="adaskdm" localSheetId="6">#REF!</definedName>
    <definedName name="adaskdm">#REF!</definedName>
    <definedName name="AJ" localSheetId="6">#REF!</definedName>
    <definedName name="AJ" localSheetId="1">#REF!</definedName>
    <definedName name="AJ">#REF!</definedName>
    <definedName name="AM" localSheetId="6">#REF!</definedName>
    <definedName name="AM" localSheetId="1">#REF!</definedName>
    <definedName name="AM">#REF!</definedName>
    <definedName name="AMABELLEAUGUSTO" localSheetId="6">#REF!</definedName>
    <definedName name="AMABELLEAUGUSTO" localSheetId="1">#REF!</definedName>
    <definedName name="AMABELLEAUGUSTO">#REF!</definedName>
    <definedName name="AMZ" localSheetId="6">#REF!</definedName>
    <definedName name="AMZ" localSheetId="0">#REF!</definedName>
    <definedName name="AMZ">#REF!</definedName>
    <definedName name="ANDBOR" localSheetId="6">#REF!</definedName>
    <definedName name="ANDBOR" localSheetId="1">#REF!</definedName>
    <definedName name="ANDBOR">#REF!</definedName>
    <definedName name="assfdgfgjhgkujhk" localSheetId="6">#REF!</definedName>
    <definedName name="assfdgfgjhgkujhk" localSheetId="1">#REF!</definedName>
    <definedName name="assfdgfgjhgkujhk">#REF!</definedName>
    <definedName name="B" localSheetId="6">#REF!</definedName>
    <definedName name="B" localSheetId="1">#REF!</definedName>
    <definedName name="B">#REF!</definedName>
    <definedName name="bhgfcjhl" localSheetId="6">#REF!</definedName>
    <definedName name="bhgfcjhl" localSheetId="1">#REF!</definedName>
    <definedName name="bhgfcjhl">#REF!</definedName>
    <definedName name="BILL" localSheetId="6">#REF!</definedName>
    <definedName name="BILL" localSheetId="1">#REF!</definedName>
    <definedName name="BILL">#REF!</definedName>
    <definedName name="BILLDRAFT" localSheetId="6">#REF!</definedName>
    <definedName name="BILLDRAFT" localSheetId="1">#REF!</definedName>
    <definedName name="BILLDRAFT">#REF!</definedName>
    <definedName name="BILLDRAFT1" localSheetId="6">#REF!</definedName>
    <definedName name="BILLDRAFT1" localSheetId="1">#REF!</definedName>
    <definedName name="BILLDRAFT1">#REF!</definedName>
    <definedName name="BrandNamePrice" localSheetId="6">#REF!</definedName>
    <definedName name="BrandNamePrice" localSheetId="1">#REF!</definedName>
    <definedName name="BrandNamePrice">#REF!</definedName>
    <definedName name="CardLen" localSheetId="2">#REF!</definedName>
    <definedName name="CardLen" localSheetId="6">#REF!</definedName>
    <definedName name="CardLen">#REF!</definedName>
    <definedName name="CastelTam" localSheetId="6">#REF!</definedName>
    <definedName name="CastelTam" localSheetId="1">#REF!</definedName>
    <definedName name="CastelTam">#REF!</definedName>
    <definedName name="CastelTor" localSheetId="6">#REF!</definedName>
    <definedName name="CastelTor" localSheetId="1">#REF!</definedName>
    <definedName name="CastelTor">#REF!</definedName>
    <definedName name="ccvbbfff" localSheetId="6">#REF!</definedName>
    <definedName name="ccvbbfff">#REF!</definedName>
    <definedName name="cddfdf" localSheetId="6">#REF!</definedName>
    <definedName name="cddfdf" localSheetId="1">#REF!</definedName>
    <definedName name="cddfdf">#REF!</definedName>
    <definedName name="CODE" localSheetId="6">#REF!</definedName>
    <definedName name="CODE">#REF!</definedName>
    <definedName name="COSTING" localSheetId="6">#REF!</definedName>
    <definedName name="COSTING" localSheetId="1">#REF!</definedName>
    <definedName name="COSTING">#REF!</definedName>
    <definedName name="CurrentAge" localSheetId="6">#REF!</definedName>
    <definedName name="CurrentAge" localSheetId="1">#REF!</definedName>
    <definedName name="CurrentAge">#REF!</definedName>
    <definedName name="D" localSheetId="6">#REF!</definedName>
    <definedName name="D" localSheetId="1">#REF!</definedName>
    <definedName name="D">#REF!</definedName>
    <definedName name="_xlnm.Database" localSheetId="6">#REF!</definedName>
    <definedName name="_xlnm.Database" localSheetId="1">#REF!</definedName>
    <definedName name="_xlnm.Database">#REF!</definedName>
    <definedName name="DCDCSD" localSheetId="6">#REF!</definedName>
    <definedName name="DCDCSD" localSheetId="1">#REF!</definedName>
    <definedName name="DCDCSD">#REF!</definedName>
    <definedName name="DD" localSheetId="6">#REF!</definedName>
    <definedName name="DD" localSheetId="1">#REF!</definedName>
    <definedName name="DD">#REF!</definedName>
    <definedName name="DDDDDDDDDDDDDDDDD" localSheetId="6">#REF!</definedName>
    <definedName name="DDDDDDDDDDDDDDDDD" localSheetId="1">#REF!</definedName>
    <definedName name="DDDDDDDDDDDDDDDDD">#REF!</definedName>
    <definedName name="dfdgfh" localSheetId="6">#REF!</definedName>
    <definedName name="dfdgfh" localSheetId="1">#REF!</definedName>
    <definedName name="dfdgfh">#REF!</definedName>
    <definedName name="dfgdfxhgkjl" localSheetId="6">#REF!</definedName>
    <definedName name="dfgdfxhgkjl" localSheetId="1">#REF!</definedName>
    <definedName name="dfgdfxhgkjl">#REF!</definedName>
    <definedName name="dfgfhghjhgjk" localSheetId="6">#REF!</definedName>
    <definedName name="dfgfhghjhgjk" localSheetId="1">#REF!</definedName>
    <definedName name="dfgfhghjhgjk">#REF!</definedName>
    <definedName name="dfghfgh" localSheetId="6">#REF!</definedName>
    <definedName name="dfghfgh" localSheetId="1">#REF!</definedName>
    <definedName name="dfghfgh">#REF!</definedName>
    <definedName name="DFGHRFTUJYJKU" localSheetId="6">#REF!</definedName>
    <definedName name="DFGHRFTUJYJKU" localSheetId="1">#REF!</definedName>
    <definedName name="DFGHRFTUJYJKU">#REF!</definedName>
    <definedName name="dfhgjhgkhlki" localSheetId="6">#REF!</definedName>
    <definedName name="dfhgjhgkhlki">#REF!</definedName>
    <definedName name="dfrhgjuklk" localSheetId="6">#REF!</definedName>
    <definedName name="dfrhgjuklk" localSheetId="1">#REF!</definedName>
    <definedName name="dfrhgjuklk">#REF!</definedName>
    <definedName name="DGFVGFXHNGJ" localSheetId="6">#REF!</definedName>
    <definedName name="DGFVGFXHNGJ" localSheetId="1">#REF!</definedName>
    <definedName name="DGFVGFXHNGJ">#REF!</definedName>
    <definedName name="DMSF" localSheetId="6">#REF!</definedName>
    <definedName name="DMSF">#REF!</definedName>
    <definedName name="dpi" localSheetId="6">#REF!</definedName>
    <definedName name="dpi" localSheetId="1">#REF!</definedName>
    <definedName name="dpi">#REF!</definedName>
    <definedName name="dsddf" localSheetId="6">#REF!</definedName>
    <definedName name="dsddf" localSheetId="1">#REF!</definedName>
    <definedName name="dsddf">#REF!</definedName>
    <definedName name="dsdffg" localSheetId="6">#REF!</definedName>
    <definedName name="dsdffg" localSheetId="1">#REF!</definedName>
    <definedName name="dsdffg">#REF!</definedName>
    <definedName name="dsf" localSheetId="6">#REF!</definedName>
    <definedName name="dsf">#REF!</definedName>
    <definedName name="dsgfhgkjlkl" localSheetId="6">#REF!</definedName>
    <definedName name="dsgfhgkjlkl" localSheetId="1">#REF!</definedName>
    <definedName name="dsgfhgkjlkl">#REF!</definedName>
    <definedName name="DSGFTJUUYGOIULUY" localSheetId="6">#REF!</definedName>
    <definedName name="DSGFTJUUYGOIULUY" localSheetId="1">#REF!</definedName>
    <definedName name="DSGFTJUUYGOIULUY">#REF!</definedName>
    <definedName name="dsgfxdhgckjh" localSheetId="6">#REF!</definedName>
    <definedName name="dsgfxdhgckjh">#REF!</definedName>
    <definedName name="en" localSheetId="6">#REF!</definedName>
    <definedName name="en" localSheetId="1">#REF!</definedName>
    <definedName name="en">#REF!</definedName>
    <definedName name="erase1" localSheetId="6">#REF!,#REF!,#REF!,#REF!,#REF!,#REF!,#REF!,#REF!,#REF!,#REF!,#REF!,#REF!,#REF!,#REF!,#REF!</definedName>
    <definedName name="erase1">#REF!,#REF!,#REF!,#REF!,#REF!,#REF!,#REF!,#REF!,#REF!,#REF!,#REF!,#REF!,#REF!,#REF!,#REF!</definedName>
    <definedName name="Excel_BuiltIn_Print_Area_2" localSheetId="6">#REF!</definedName>
    <definedName name="Excel_BuiltIn_Print_Area_2" localSheetId="1">#REF!</definedName>
    <definedName name="Excel_BuiltIn_Print_Area_2">#REF!</definedName>
    <definedName name="Excel_BuiltIn_Print_Area_3" localSheetId="6">#REF!</definedName>
    <definedName name="Excel_BuiltIn_Print_Area_3" localSheetId="1">#REF!</definedName>
    <definedName name="Excel_BuiltIn_Print_Area_3">#REF!</definedName>
    <definedName name="FDGFDHKKL" localSheetId="6">#REF!</definedName>
    <definedName name="FDGFDHKKL" localSheetId="1">#REF!</definedName>
    <definedName name="FDGFDHKKL">#REF!</definedName>
    <definedName name="FDSGDFHDGH" localSheetId="6">#REF!</definedName>
    <definedName name="FDSGDFHDGH" localSheetId="1">#REF!</definedName>
    <definedName name="FDSGDFHDGH">#REF!</definedName>
    <definedName name="FDSGFHJGJNM" localSheetId="6">#REF!</definedName>
    <definedName name="FDSGFHJGJNM" localSheetId="1">#REF!</definedName>
    <definedName name="FDSGFHJGJNM">#REF!</definedName>
    <definedName name="fff" localSheetId="6">#REF!</definedName>
    <definedName name="fff" localSheetId="1">#REF!</definedName>
    <definedName name="fff">#REF!</definedName>
    <definedName name="FFFFFFFFFFFF" localSheetId="6">#REF!</definedName>
    <definedName name="FFFFFFFFFFFF" localSheetId="1">#REF!</definedName>
    <definedName name="FFFFFFFFFFFF">#REF!</definedName>
    <definedName name="FFFFFFFFFFFFFFFF" localSheetId="6">#REF!</definedName>
    <definedName name="FFFFFFFFFFFFFFFF" localSheetId="1">#REF!</definedName>
    <definedName name="FFFFFFFFFFFFFFFF">#REF!</definedName>
    <definedName name="FFFFFFFFFFFFFFFFF" localSheetId="6">#REF!</definedName>
    <definedName name="FFFFFFFFFFFFFFFFF" localSheetId="1">#REF!</definedName>
    <definedName name="FFFFFFFFFFFFFFFFF">#REF!</definedName>
    <definedName name="fgdhgfhygjy" localSheetId="6">#REF!</definedName>
    <definedName name="fgdhgfhygjy">#REF!</definedName>
    <definedName name="fghfdhgjhjkhg" localSheetId="6">#REF!</definedName>
    <definedName name="fghfdhgjhjkhg" localSheetId="1">#REF!</definedName>
    <definedName name="fghfdhgjhjkhg">#REF!</definedName>
    <definedName name="FGHFJHK" localSheetId="6">#REF!</definedName>
    <definedName name="FGHFJHK" localSheetId="1">#REF!</definedName>
    <definedName name="FGHFJHK">#REF!</definedName>
    <definedName name="FGNB" localSheetId="6">#REF!</definedName>
    <definedName name="FGNB" localSheetId="1">#REF!</definedName>
    <definedName name="FGNB">#REF!</definedName>
    <definedName name="FHGYFJ" localSheetId="6">#REF!</definedName>
    <definedName name="FHGYFJ" localSheetId="1">#REF!</definedName>
    <definedName name="FHGYFJ">#REF!</definedName>
    <definedName name="FINALE" localSheetId="6">#REF!</definedName>
    <definedName name="FINALE">#REF!</definedName>
    <definedName name="frrtrtrt" localSheetId="6">#REF!</definedName>
    <definedName name="frrtrtrt" localSheetId="1">#REF!</definedName>
    <definedName name="frrtrtrt">#REF!</definedName>
    <definedName name="fvdgbfcjhghjhgjn" localSheetId="6">#REF!</definedName>
    <definedName name="fvdgbfcjhghjhgjn" localSheetId="1">#REF!</definedName>
    <definedName name="fvdgbfcjhghjhgjn">#REF!</definedName>
    <definedName name="FVDH" localSheetId="6">#REF!</definedName>
    <definedName name="FVDH" localSheetId="1">#REF!</definedName>
    <definedName name="FVDH">#REF!</definedName>
    <definedName name="gcash" localSheetId="6">#REF!</definedName>
    <definedName name="gcash" localSheetId="1">#REF!</definedName>
    <definedName name="gcash">#REF!</definedName>
    <definedName name="GenericBrandPrice" localSheetId="6">#REF!</definedName>
    <definedName name="GenericBrandPrice" localSheetId="1">#REF!</definedName>
    <definedName name="GenericBrandPrice">#REF!</definedName>
    <definedName name="GFDSDSFFDHGHG" localSheetId="6">#REF!</definedName>
    <definedName name="GFDSDSFFDHGHG">#REF!</definedName>
    <definedName name="gfghh" localSheetId="6">#REF!</definedName>
    <definedName name="gfghh" localSheetId="1">#REF!</definedName>
    <definedName name="gfghh">#REF!</definedName>
    <definedName name="GFHGUJH" localSheetId="6">#REF!</definedName>
    <definedName name="GFHGUJH" localSheetId="1">#REF!</definedName>
    <definedName name="GFHGUJH">#REF!</definedName>
    <definedName name="GFHKJKLHHGJ" localSheetId="6">#REF!</definedName>
    <definedName name="GFHKJKLHHGJ" localSheetId="1">#REF!</definedName>
    <definedName name="GFHKJKLHHGJ">#REF!</definedName>
    <definedName name="GFHYUYI" localSheetId="6">#REF!</definedName>
    <definedName name="GFHYUYI" localSheetId="1">#REF!</definedName>
    <definedName name="GFHYUYI">#REF!</definedName>
    <definedName name="GGGG">#N/A</definedName>
    <definedName name="ggggggggggggggg" localSheetId="6">#REF!</definedName>
    <definedName name="ggggggggggggggg" localSheetId="1">#REF!</definedName>
    <definedName name="ggggggggggggggg">#REF!</definedName>
    <definedName name="gghghjjhk" localSheetId="6">#REF!</definedName>
    <definedName name="gghghjjhk" localSheetId="1">#REF!</definedName>
    <definedName name="gghghjjhk">#REF!</definedName>
    <definedName name="GHGFH" localSheetId="6">#REF!</definedName>
    <definedName name="GHGFH" localSheetId="1">#REF!</definedName>
    <definedName name="GHGFH">#REF!</definedName>
    <definedName name="GHSH" localSheetId="6">#REF!</definedName>
    <definedName name="GHSH" localSheetId="1">#REF!</definedName>
    <definedName name="GHSH">#REF!</definedName>
    <definedName name="h" localSheetId="2">#REF!</definedName>
    <definedName name="H" localSheetId="6">#REF!</definedName>
    <definedName name="H">#REF!</definedName>
    <definedName name="HF" localSheetId="6">#REF!</definedName>
    <definedName name="HF">#REF!</definedName>
    <definedName name="hfghfgjfgj" localSheetId="6">#REF!</definedName>
    <definedName name="hfghfgjfgj" localSheetId="1">#REF!</definedName>
    <definedName name="hfghfgjfgj">#REF!</definedName>
    <definedName name="HFI" localSheetId="6">#REF!</definedName>
    <definedName name="HFI">#REF!</definedName>
    <definedName name="HFII" localSheetId="6">#REF!</definedName>
    <definedName name="HFII">#REF!</definedName>
    <definedName name="HFIII" localSheetId="6">#REF!</definedName>
    <definedName name="HFIII">#REF!</definedName>
    <definedName name="HFIIII" localSheetId="6">#REF!</definedName>
    <definedName name="HFIIII">#REF!</definedName>
    <definedName name="HFIV" localSheetId="6">#REF!</definedName>
    <definedName name="HFIV">#REF!</definedName>
    <definedName name="hgcfjghk" localSheetId="6">#REF!</definedName>
    <definedName name="hgcfjghk" localSheetId="1">#REF!</definedName>
    <definedName name="hgcfjghk">#REF!</definedName>
    <definedName name="HGFKHJGKLHGF" localSheetId="6">#REF!</definedName>
    <definedName name="HGFKHJGKLHGF" localSheetId="1">#REF!</definedName>
    <definedName name="HGFKHJGKLHGF">#REF!</definedName>
    <definedName name="hh" localSheetId="6">#REF!</definedName>
    <definedName name="hh" localSheetId="1">#REF!</definedName>
    <definedName name="hh">#REF!</definedName>
    <definedName name="HHHHHH">#N/A</definedName>
    <definedName name="HJ" localSheetId="6">#REF!</definedName>
    <definedName name="HJ" localSheetId="1">#REF!</definedName>
    <definedName name="HJ">#REF!</definedName>
    <definedName name="HUG" localSheetId="6">#REF!</definedName>
    <definedName name="HUG" localSheetId="1">#REF!</definedName>
    <definedName name="HUG">#REF!</definedName>
    <definedName name="huyhgfhss" localSheetId="6">#REF!</definedName>
    <definedName name="huyhgfhss" localSheetId="1">#REF!</definedName>
    <definedName name="huyhgfhss">#REF!</definedName>
    <definedName name="I" localSheetId="6">#REF!</definedName>
    <definedName name="I" localSheetId="1">#REF!</definedName>
    <definedName name="I">#REF!</definedName>
    <definedName name="InvestmentRate" localSheetId="6">#REF!</definedName>
    <definedName name="InvestmentRate" localSheetId="1">#REF!</definedName>
    <definedName name="InvestmentRate">#REF!</definedName>
    <definedName name="IRIS" localSheetId="6">#REF!</definedName>
    <definedName name="IRIS" localSheetId="1">#REF!</definedName>
    <definedName name="IRIS">#REF!</definedName>
    <definedName name="JACINTO" localSheetId="6">#REF!</definedName>
    <definedName name="JACINTO" localSheetId="1">#REF!</definedName>
    <definedName name="JACINTO">#REF!</definedName>
    <definedName name="JEM" localSheetId="6">#REF!</definedName>
    <definedName name="JEM" localSheetId="1">#REF!</definedName>
    <definedName name="JEM">#REF!</definedName>
    <definedName name="JEMA" localSheetId="6">#REF!</definedName>
    <definedName name="JEMA" localSheetId="1">#REF!</definedName>
    <definedName name="JEMA">#REF!</definedName>
    <definedName name="jess" localSheetId="6">#REF!</definedName>
    <definedName name="jess">#REF!</definedName>
    <definedName name="jfxdgfh" localSheetId="6">#REF!</definedName>
    <definedName name="jfxdgfh">#REF!</definedName>
    <definedName name="jkjuikju" localSheetId="6">#REF!</definedName>
    <definedName name="jkjuikju" localSheetId="1">#REF!</definedName>
    <definedName name="jkjuikju">#REF!</definedName>
    <definedName name="JKUJHGT" localSheetId="6">#REF!</definedName>
    <definedName name="JKUJHGT">#REF!</definedName>
    <definedName name="k" localSheetId="6">#REF!</definedName>
    <definedName name="k" localSheetId="1">#REF!</definedName>
    <definedName name="k">#REF!</definedName>
    <definedName name="kkl" localSheetId="6">#REF!</definedName>
    <definedName name="kkl" localSheetId="1">#REF!</definedName>
    <definedName name="kkl">#REF!</definedName>
    <definedName name="klkjk" localSheetId="6">#REF!</definedName>
    <definedName name="klkjk" localSheetId="1">#REF!</definedName>
    <definedName name="klkjk">#REF!</definedName>
    <definedName name="late" localSheetId="6">#REF!</definedName>
    <definedName name="late" localSheetId="1">#REF!</definedName>
    <definedName name="late">#REF!</definedName>
    <definedName name="LifeExpectancy" localSheetId="6">#REF!</definedName>
    <definedName name="LifeExpectancy" localSheetId="1">#REF!</definedName>
    <definedName name="LifeExpectancy">#REF!</definedName>
    <definedName name="LLLLLLLLLLLLLLLLLLLLL" localSheetId="6">#REF!</definedName>
    <definedName name="LLLLLLLLLLLLLLLLLLLLL">#REF!</definedName>
    <definedName name="ME" localSheetId="6">#REF!</definedName>
    <definedName name="ME">#REF!</definedName>
    <definedName name="MEI" localSheetId="6">#REF!</definedName>
    <definedName name="MEI">#REF!</definedName>
    <definedName name="MEII" localSheetId="6">#REF!</definedName>
    <definedName name="MEII">#REF!</definedName>
    <definedName name="MEIII" localSheetId="6">#REF!</definedName>
    <definedName name="MEIII">#REF!</definedName>
    <definedName name="MEIV" localSheetId="6">#REF!</definedName>
    <definedName name="MEIV">#REF!</definedName>
    <definedName name="mel" localSheetId="6">#REF!</definedName>
    <definedName name="mel" localSheetId="1">#REF!</definedName>
    <definedName name="mel">#REF!</definedName>
    <definedName name="monthlies" localSheetId="6">#REF!</definedName>
    <definedName name="monthlies" localSheetId="1">#REF!</definedName>
    <definedName name="monthlies">#REF!</definedName>
    <definedName name="MonthlyRetirementIncome" localSheetId="6">#REF!</definedName>
    <definedName name="MonthlyRetirementIncome" localSheetId="1">#REF!</definedName>
    <definedName name="MonthlyRetirementIncome">#REF!</definedName>
    <definedName name="NBNB" localSheetId="6">#REF!</definedName>
    <definedName name="NBNB" localSheetId="1">#REF!</definedName>
    <definedName name="NBNB">#REF!</definedName>
    <definedName name="new" localSheetId="6">#REF!</definedName>
    <definedName name="new" localSheetId="1">#REF!</definedName>
    <definedName name="new">#REF!</definedName>
    <definedName name="nSkip">10</definedName>
    <definedName name="oc" localSheetId="6">#REF!</definedName>
    <definedName name="oc" localSheetId="0">#REF!</definedName>
    <definedName name="oc">#REF!</definedName>
    <definedName name="payslip" localSheetId="6">#REF!</definedName>
    <definedName name="payslip" localSheetId="1">#REF!</definedName>
    <definedName name="payslip">#REF!</definedName>
    <definedName name="PAYSLIP1" localSheetId="6">#REF!</definedName>
    <definedName name="PAYSLIP1">#REF!</definedName>
    <definedName name="PC" localSheetId="6">#REF!</definedName>
    <definedName name="PC" localSheetId="1">#REF!</definedName>
    <definedName name="PC">#REF!</definedName>
    <definedName name="Philhealth" localSheetId="6">#REF!</definedName>
    <definedName name="Philhealth">#REF!</definedName>
    <definedName name="PhilHealthTable" localSheetId="6">#REF!</definedName>
    <definedName name="PhilHealthTable">#REF!</definedName>
    <definedName name="pnb" localSheetId="6">#REF!</definedName>
    <definedName name="pnb" localSheetId="1">#REF!</definedName>
    <definedName name="pnb">#REF!</definedName>
    <definedName name="_xlnm.Print_Area" localSheetId="2">ABS!$A$1:$J$51</definedName>
    <definedName name="_xlnm.Print_Area" localSheetId="3">'BILLING COMPUTATION'!$A:$CT</definedName>
    <definedName name="_xlnm.Print_Area" localSheetId="0">INVOICE!$A$1:$J$56</definedName>
    <definedName name="_xlnm.Print_Area" localSheetId="1">'Sales Invoice'!$A$1:$I$48</definedName>
    <definedName name="_xlnm.Print_Titles" localSheetId="3">'BILLING COMPUTATION'!$6:$7</definedName>
    <definedName name="_xlnm.Print_Titles" localSheetId="6">#REF!</definedName>
    <definedName name="_xlnm.Print_Titles" localSheetId="1">#REF!</definedName>
    <definedName name="_xlnm.Print_Titles">#REF!</definedName>
    <definedName name="PurchasesPerMonth" localSheetId="6">#REF!</definedName>
    <definedName name="PurchasesPerMonth" localSheetId="1">#REF!</definedName>
    <definedName name="PurchasesPerMonth">#REF!</definedName>
    <definedName name="Range_HF" localSheetId="2">#REF!</definedName>
    <definedName name="Range_HF" localSheetId="6">#REF!</definedName>
    <definedName name="Range_HF" localSheetId="1">#REF!</definedName>
    <definedName name="Range_HF">#REF!</definedName>
    <definedName name="Range_M1" localSheetId="2">#REF!</definedName>
    <definedName name="Range_M1" localSheetId="6">#REF!</definedName>
    <definedName name="Range_M1" localSheetId="1">#REF!</definedName>
    <definedName name="Range_M1">#REF!</definedName>
    <definedName name="Range_M2" localSheetId="2">#REF!</definedName>
    <definedName name="Range_M2" localSheetId="6">#REF!</definedName>
    <definedName name="Range_M2" localSheetId="1">#REF!</definedName>
    <definedName name="Range_M2">#REF!</definedName>
    <definedName name="Range_M3" localSheetId="2">#REF!</definedName>
    <definedName name="Range_M3" localSheetId="6">#REF!</definedName>
    <definedName name="Range_M3" localSheetId="1">#REF!</definedName>
    <definedName name="Range_M3">#REF!</definedName>
    <definedName name="Range_M4" localSheetId="2">#REF!</definedName>
    <definedName name="Range_M4" localSheetId="6">#REF!</definedName>
    <definedName name="Range_M4" localSheetId="1">#REF!</definedName>
    <definedName name="Range_M4">#REF!</definedName>
    <definedName name="Range_Me" localSheetId="6">#REF!</definedName>
    <definedName name="Range_Me">#REF!</definedName>
    <definedName name="Range_Single" localSheetId="2">#REF!</definedName>
    <definedName name="Range_Single" localSheetId="6">#REF!</definedName>
    <definedName name="Range_Single" localSheetId="1">#REF!</definedName>
    <definedName name="Range_Single">#REF!</definedName>
    <definedName name="RetirementAge" localSheetId="6">#REF!</definedName>
    <definedName name="RetirementAge" localSheetId="1">#REF!</definedName>
    <definedName name="RetirementAge">#REF!</definedName>
    <definedName name="rrrrrrr" localSheetId="6">#REF!</definedName>
    <definedName name="rrrrrrr" localSheetId="1">#REF!</definedName>
    <definedName name="rrrrrrr">#REF!</definedName>
    <definedName name="RRRRRRRRRR" localSheetId="6">#REF!</definedName>
    <definedName name="RRRRRRRRRR" localSheetId="1">#REF!</definedName>
    <definedName name="RRRRRRRRRR">#REF!</definedName>
    <definedName name="S" localSheetId="6">#REF!</definedName>
    <definedName name="s" localSheetId="1">#REF!</definedName>
    <definedName name="S">#REF!</definedName>
    <definedName name="sadff" localSheetId="6">#REF!</definedName>
    <definedName name="sadff">#REF!</definedName>
    <definedName name="SDDDDDDDDGA" localSheetId="6">#REF!</definedName>
    <definedName name="SDDDDDDDDGA" localSheetId="0">#REF!</definedName>
    <definedName name="SDDDDDDDDGA">#REF!</definedName>
    <definedName name="SFX_Data" localSheetId="6">#REF!</definedName>
    <definedName name="SFX_Data" localSheetId="1">#REF!</definedName>
    <definedName name="SFX_Data">#REF!</definedName>
    <definedName name="SFX_WBData" localSheetId="6">#REF!</definedName>
    <definedName name="SFX_WBData" localSheetId="1">#REF!</definedName>
    <definedName name="SFX_WBData">#REF!</definedName>
    <definedName name="SFX_WBData_A_First" localSheetId="6">#REF!</definedName>
    <definedName name="SFX_WBData_A_First" localSheetId="1">#REF!</definedName>
    <definedName name="SFX_WBData_A_First">#REF!</definedName>
    <definedName name="SFX_WBData_A_Last" localSheetId="6">#REF!</definedName>
    <definedName name="SFX_WBData_A_Last" localSheetId="1">#REF!</definedName>
    <definedName name="SFX_WBData_A_Last">#REF!</definedName>
    <definedName name="SFX_WBData_B_First" localSheetId="6">#REF!</definedName>
    <definedName name="SFX_WBData_B_First" localSheetId="1">#REF!</definedName>
    <definedName name="SFX_WBData_B_First">#REF!</definedName>
    <definedName name="SFX_WBData_B_Last" localSheetId="6">#REF!</definedName>
    <definedName name="SFX_WBData_B_Last" localSheetId="1">#REF!</definedName>
    <definedName name="SFX_WBData_B_Last">#REF!</definedName>
    <definedName name="shuttle" localSheetId="6">#REF!</definedName>
    <definedName name="shuttle" localSheetId="1">#REF!</definedName>
    <definedName name="shuttle">#REF!</definedName>
    <definedName name="shuttle2" localSheetId="6">#REF!</definedName>
    <definedName name="shuttle2" localSheetId="1">#REF!</definedName>
    <definedName name="shuttle2">#REF!</definedName>
    <definedName name="SS" localSheetId="6">#REF!</definedName>
    <definedName name="SS" localSheetId="1">#REF!</definedName>
    <definedName name="SS">#REF!</definedName>
    <definedName name="SSS" localSheetId="2">#REF!</definedName>
    <definedName name="SSS" localSheetId="6">#REF!</definedName>
    <definedName name="SSS" localSheetId="1">#REF!</definedName>
    <definedName name="SSS">#REF!</definedName>
    <definedName name="SSS_2025">SSS_2025!$A$8:$N$69</definedName>
    <definedName name="sss_med" localSheetId="2">#REF!</definedName>
    <definedName name="sss_med" localSheetId="6">#REF!</definedName>
    <definedName name="sss_med" localSheetId="1">#REF!</definedName>
    <definedName name="sss_med">#REF!</definedName>
    <definedName name="SSSSSSSSSS" localSheetId="6">#REF!</definedName>
    <definedName name="SSSSSSSSSS" localSheetId="1">#REF!</definedName>
    <definedName name="SSSSSSSSSS">#REF!</definedName>
    <definedName name="SSSTable" localSheetId="6">#REF!</definedName>
    <definedName name="SSSTable">#REF!</definedName>
    <definedName name="ssstable2" localSheetId="6">#REF!</definedName>
    <definedName name="ssstable2" localSheetId="1">#REF!</definedName>
    <definedName name="ssstable2">#REF!</definedName>
    <definedName name="SSSTables" localSheetId="6">#REF!</definedName>
    <definedName name="SSSTables" localSheetId="1">#REF!</definedName>
    <definedName name="SSSTables">#REF!</definedName>
    <definedName name="SvgsByRetirement" localSheetId="6">#REF!</definedName>
    <definedName name="SvgsByRetirement" localSheetId="1">#REF!</definedName>
    <definedName name="SvgsByRetirement">#REF!</definedName>
    <definedName name="SvgsforLife" localSheetId="6">#REF!</definedName>
    <definedName name="SvgsforLife" localSheetId="1">#REF!</definedName>
    <definedName name="SvgsforLife">#REF!</definedName>
    <definedName name="SvgsPerDay" localSheetId="6">#REF!</definedName>
    <definedName name="SvgsPerDay">#REF!</definedName>
    <definedName name="SvgsPerMonth" localSheetId="6">#REF!</definedName>
    <definedName name="SvgsPerMonth">#REF!</definedName>
    <definedName name="SvgsPerYear" localSheetId="6">#REF!</definedName>
    <definedName name="SvgsPerYear">#REF!</definedName>
    <definedName name="t" localSheetId="6">#REF!</definedName>
    <definedName name="t" localSheetId="1">#REF!</definedName>
    <definedName name="t">#REF!</definedName>
    <definedName name="TF" localSheetId="6">#REF!</definedName>
    <definedName name="TF" localSheetId="1">#REF!</definedName>
    <definedName name="TF">#REF!</definedName>
    <definedName name="TimekeepPlanta110" localSheetId="6">#REF!</definedName>
    <definedName name="TimekeepPlanta110">#REF!</definedName>
    <definedName name="TK" localSheetId="6">#REF!</definedName>
    <definedName name="TK" localSheetId="1">#REF!</definedName>
    <definedName name="TK">#REF!</definedName>
    <definedName name="TotalInvestmentValue" localSheetId="6">#REF!</definedName>
    <definedName name="TotalInvestmentValue" localSheetId="1">#REF!</definedName>
    <definedName name="TotalInvestmentValue">#REF!</definedName>
    <definedName name="UNIT" localSheetId="6">#REF!</definedName>
    <definedName name="UNIT" localSheetId="1">#REF!</definedName>
    <definedName name="UNIT">#REF!</definedName>
    <definedName name="UTGHCGFBBBBBBHV" localSheetId="6">#REF!</definedName>
    <definedName name="UTGHCGFBBBBBBHV">#REF!</definedName>
    <definedName name="ValueAtRetirement" localSheetId="6">#REF!</definedName>
    <definedName name="ValueAtRetirement" localSheetId="1">#REF!</definedName>
    <definedName name="ValueAtRetirement">#REF!</definedName>
    <definedName name="valuevx">42.314159</definedName>
    <definedName name="W" localSheetId="6">#REF!</definedName>
    <definedName name="W" localSheetId="1">#REF!</definedName>
    <definedName name="W">#REF!</definedName>
    <definedName name="x" localSheetId="6">#REF!</definedName>
    <definedName name="x" localSheetId="0">#REF!</definedName>
    <definedName name="x">#REF!</definedName>
    <definedName name="Z" localSheetId="6">#REF!</definedName>
    <definedName name="z" localSheetId="1">#REF!</definedName>
    <definedName name="Z">#REF!</definedName>
    <definedName name="ZSDSAgVTJNYHM" localSheetId="6">#REF!</definedName>
    <definedName name="ZSDSAgVTJNYHM" localSheetId="1">#REF!</definedName>
    <definedName name="ZSDSAgVTJNYHM">#REF!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C97" i="41" l="1"/>
  <c r="DC96" i="41"/>
  <c r="DC95" i="41"/>
  <c r="DC94" i="41"/>
  <c r="DC93" i="41"/>
  <c r="DC92" i="41"/>
  <c r="DC91" i="41"/>
  <c r="DC90" i="41"/>
  <c r="DC89" i="41"/>
  <c r="DC88" i="41"/>
  <c r="DC87" i="41"/>
  <c r="DC86" i="41"/>
  <c r="DC85" i="41"/>
  <c r="DC84" i="41"/>
  <c r="DC83" i="41"/>
  <c r="DC82" i="41"/>
  <c r="DC81" i="41"/>
  <c r="DC80" i="41"/>
  <c r="DC79" i="41"/>
  <c r="DC78" i="41"/>
  <c r="DC77" i="41"/>
  <c r="DC76" i="41"/>
  <c r="DC75" i="41"/>
  <c r="DC74" i="41"/>
  <c r="DC73" i="41"/>
  <c r="DC72" i="41"/>
  <c r="DC71" i="41"/>
  <c r="DC70" i="41"/>
  <c r="DC69" i="41"/>
  <c r="DC68" i="41"/>
  <c r="DC67" i="41"/>
  <c r="DC66" i="41"/>
  <c r="DC65" i="41"/>
  <c r="DC64" i="41"/>
  <c r="DC63" i="41"/>
  <c r="DC62" i="41"/>
  <c r="DC61" i="41"/>
  <c r="DC60" i="41"/>
  <c r="DC59" i="41"/>
  <c r="DC58" i="41"/>
  <c r="DC57" i="41"/>
  <c r="DC56" i="41"/>
  <c r="DC55" i="41"/>
  <c r="DC54" i="41"/>
  <c r="DC53" i="41"/>
  <c r="DC52" i="41"/>
  <c r="DC51" i="41"/>
  <c r="DC50" i="41"/>
  <c r="DC49" i="41"/>
  <c r="DC48" i="41"/>
  <c r="DC47" i="41"/>
  <c r="DC46" i="41"/>
  <c r="DC45" i="41"/>
  <c r="DC44" i="41"/>
  <c r="DC43" i="41"/>
  <c r="DC42" i="41"/>
  <c r="DC41" i="41"/>
  <c r="DC40" i="41"/>
  <c r="DC39" i="41"/>
  <c r="DC38" i="41"/>
  <c r="DC37" i="41"/>
  <c r="DC36" i="41"/>
  <c r="DC35" i="41"/>
  <c r="DC34" i="41"/>
  <c r="DC33" i="41"/>
  <c r="DC32" i="41"/>
  <c r="DC31" i="41"/>
  <c r="DC30" i="41"/>
  <c r="DC29" i="41"/>
  <c r="DC28" i="41"/>
  <c r="DC27" i="41"/>
  <c r="DC26" i="41"/>
  <c r="DC25" i="41"/>
  <c r="DC24" i="41"/>
  <c r="DC23" i="41"/>
  <c r="DC22" i="41"/>
  <c r="DC21" i="41"/>
  <c r="DC20" i="41"/>
  <c r="DC19" i="41"/>
  <c r="DC18" i="41"/>
  <c r="DC17" i="41"/>
  <c r="DC16" i="41"/>
  <c r="DC15" i="41"/>
  <c r="DC14" i="41"/>
  <c r="DC13" i="41"/>
  <c r="DC12" i="41"/>
  <c r="DC11" i="41"/>
  <c r="DC10" i="41"/>
  <c r="DC9" i="41"/>
  <c r="DC8" i="41"/>
  <c r="DC98" i="41"/>
  <c r="DB97" i="41"/>
  <c r="DB96" i="41"/>
  <c r="DB95" i="41"/>
  <c r="DB94" i="41"/>
  <c r="DB93" i="41"/>
  <c r="DB92" i="41"/>
  <c r="DB91" i="41"/>
  <c r="DB90" i="41"/>
  <c r="DB89" i="41"/>
  <c r="DB88" i="41"/>
  <c r="DB87" i="41"/>
  <c r="DB86" i="41"/>
  <c r="DB85" i="41"/>
  <c r="DB84" i="41"/>
  <c r="DB83" i="41"/>
  <c r="DB82" i="41"/>
  <c r="DB81" i="41"/>
  <c r="DB80" i="41"/>
  <c r="DB79" i="41"/>
  <c r="DB78" i="41"/>
  <c r="DB77" i="41"/>
  <c r="DB76" i="41"/>
  <c r="DB75" i="41"/>
  <c r="DB74" i="41"/>
  <c r="DB73" i="41"/>
  <c r="DB72" i="41"/>
  <c r="DB71" i="41"/>
  <c r="DB70" i="41"/>
  <c r="DB69" i="41"/>
  <c r="DB68" i="41"/>
  <c r="DB67" i="41"/>
  <c r="DB66" i="41"/>
  <c r="DB65" i="41"/>
  <c r="DB64" i="41"/>
  <c r="DB63" i="41"/>
  <c r="DB62" i="41"/>
  <c r="DB61" i="41"/>
  <c r="DB60" i="41"/>
  <c r="DB59" i="41"/>
  <c r="DB58" i="41"/>
  <c r="DB57" i="41"/>
  <c r="DB56" i="41"/>
  <c r="DB55" i="41"/>
  <c r="DB54" i="41"/>
  <c r="DB53" i="41"/>
  <c r="DB52" i="41"/>
  <c r="DB51" i="41"/>
  <c r="DB50" i="41"/>
  <c r="DB49" i="41"/>
  <c r="DB48" i="41"/>
  <c r="DB47" i="41"/>
  <c r="DB46" i="41"/>
  <c r="DB45" i="41"/>
  <c r="DB44" i="41"/>
  <c r="DB43" i="41"/>
  <c r="DB42" i="41"/>
  <c r="DB41" i="41"/>
  <c r="DB40" i="41"/>
  <c r="DB39" i="41"/>
  <c r="DB38" i="41"/>
  <c r="DB37" i="41"/>
  <c r="DB36" i="41"/>
  <c r="DB35" i="41"/>
  <c r="DB34" i="41"/>
  <c r="DB33" i="41"/>
  <c r="DB32" i="41"/>
  <c r="DB31" i="41"/>
  <c r="DB30" i="41"/>
  <c r="DB29" i="41"/>
  <c r="DB28" i="41"/>
  <c r="DB27" i="41"/>
  <c r="DB26" i="41"/>
  <c r="DB25" i="41"/>
  <c r="DB24" i="41"/>
  <c r="DB23" i="41"/>
  <c r="DB22" i="41"/>
  <c r="DB21" i="41"/>
  <c r="DB20" i="41"/>
  <c r="DB19" i="41"/>
  <c r="DB18" i="41"/>
  <c r="DB17" i="41"/>
  <c r="DB16" i="41"/>
  <c r="DB15" i="41"/>
  <c r="DB14" i="41"/>
  <c r="DB13" i="41"/>
  <c r="DB12" i="41"/>
  <c r="DB11" i="41"/>
  <c r="DB10" i="41"/>
  <c r="DB9" i="41"/>
  <c r="DB8" i="41"/>
  <c r="DB98" i="41"/>
  <c r="DA97" i="41"/>
  <c r="CZ97" i="41"/>
  <c r="DA96" i="41"/>
  <c r="CZ96" i="41"/>
  <c r="DA95" i="41"/>
  <c r="CZ95" i="41"/>
  <c r="DA94" i="41"/>
  <c r="CZ94" i="41"/>
  <c r="DA93" i="41"/>
  <c r="CZ93" i="41"/>
  <c r="DA92" i="41"/>
  <c r="CZ92" i="41"/>
  <c r="DA91" i="41"/>
  <c r="CZ91" i="41"/>
  <c r="DA90" i="41"/>
  <c r="CZ90" i="41"/>
  <c r="DA89" i="41"/>
  <c r="CZ89" i="41"/>
  <c r="DA88" i="41"/>
  <c r="CZ88" i="41"/>
  <c r="DA87" i="41"/>
  <c r="CZ87" i="41"/>
  <c r="DA86" i="41"/>
  <c r="CZ86" i="41"/>
  <c r="DA85" i="41"/>
  <c r="CZ85" i="41"/>
  <c r="DA84" i="41"/>
  <c r="CZ84" i="41"/>
  <c r="DA83" i="41"/>
  <c r="CZ83" i="41"/>
  <c r="DA82" i="41"/>
  <c r="CZ82" i="41"/>
  <c r="DA81" i="41"/>
  <c r="CZ81" i="41"/>
  <c r="DA80" i="41"/>
  <c r="CZ80" i="41"/>
  <c r="DA79" i="41"/>
  <c r="CZ79" i="41"/>
  <c r="DA78" i="41"/>
  <c r="CZ78" i="41"/>
  <c r="DA77" i="41"/>
  <c r="CZ77" i="41"/>
  <c r="DA76" i="41"/>
  <c r="CZ76" i="41"/>
  <c r="DA75" i="41"/>
  <c r="CZ75" i="41"/>
  <c r="DA74" i="41"/>
  <c r="CZ74" i="41"/>
  <c r="DA73" i="41"/>
  <c r="CZ73" i="41"/>
  <c r="DA72" i="41"/>
  <c r="CZ72" i="41"/>
  <c r="DA71" i="41"/>
  <c r="CZ71" i="41"/>
  <c r="DA70" i="41"/>
  <c r="CZ70" i="41"/>
  <c r="DA69" i="41"/>
  <c r="CZ69" i="41"/>
  <c r="DA68" i="41"/>
  <c r="CZ68" i="41"/>
  <c r="DA67" i="41"/>
  <c r="CZ67" i="41"/>
  <c r="DA66" i="41"/>
  <c r="CZ66" i="41"/>
  <c r="DA65" i="41"/>
  <c r="CZ65" i="41"/>
  <c r="DA64" i="41"/>
  <c r="CZ64" i="41"/>
  <c r="DA63" i="41"/>
  <c r="CZ63" i="41"/>
  <c r="DA62" i="41"/>
  <c r="CZ62" i="41"/>
  <c r="DA61" i="41"/>
  <c r="CZ61" i="41"/>
  <c r="DA60" i="41"/>
  <c r="CZ60" i="41"/>
  <c r="DA59" i="41"/>
  <c r="CZ59" i="41"/>
  <c r="DA58" i="41"/>
  <c r="CZ58" i="41"/>
  <c r="DA57" i="41"/>
  <c r="CZ57" i="41"/>
  <c r="DA56" i="41"/>
  <c r="CZ56" i="41"/>
  <c r="DA55" i="41"/>
  <c r="CZ55" i="41"/>
  <c r="DA54" i="41"/>
  <c r="CZ54" i="41"/>
  <c r="DA53" i="41"/>
  <c r="CZ53" i="41"/>
  <c r="DA52" i="41"/>
  <c r="CZ52" i="41"/>
  <c r="DA51" i="41"/>
  <c r="CZ51" i="41"/>
  <c r="DA50" i="41"/>
  <c r="CZ50" i="41"/>
  <c r="DA49" i="41"/>
  <c r="CZ49" i="41"/>
  <c r="DA48" i="41"/>
  <c r="CZ48" i="41"/>
  <c r="DA47" i="41"/>
  <c r="CZ47" i="41"/>
  <c r="DA46" i="41"/>
  <c r="CZ46" i="41"/>
  <c r="DA45" i="41"/>
  <c r="CZ45" i="41"/>
  <c r="DA44" i="41"/>
  <c r="CZ44" i="41"/>
  <c r="DA43" i="41"/>
  <c r="CZ43" i="41"/>
  <c r="DA42" i="41"/>
  <c r="CZ42" i="41"/>
  <c r="DA41" i="41"/>
  <c r="CZ41" i="41"/>
  <c r="DA40" i="41"/>
  <c r="CZ40" i="41"/>
  <c r="DA39" i="41"/>
  <c r="CZ39" i="41"/>
  <c r="DA38" i="41"/>
  <c r="CZ38" i="41"/>
  <c r="DA37" i="41"/>
  <c r="CZ37" i="41"/>
  <c r="DA36" i="41"/>
  <c r="CZ36" i="41"/>
  <c r="DA35" i="41"/>
  <c r="CZ35" i="41"/>
  <c r="DA34" i="41"/>
  <c r="CZ34" i="41"/>
  <c r="DA33" i="41"/>
  <c r="CZ33" i="41"/>
  <c r="DA32" i="41"/>
  <c r="CZ32" i="41"/>
  <c r="DA31" i="41"/>
  <c r="CZ31" i="41"/>
  <c r="DA30" i="41"/>
  <c r="CZ30" i="41"/>
  <c r="DA29" i="41"/>
  <c r="CZ29" i="41"/>
  <c r="DA28" i="41"/>
  <c r="CZ28" i="41"/>
  <c r="DA27" i="41"/>
  <c r="CZ27" i="41"/>
  <c r="DA26" i="41"/>
  <c r="CZ26" i="41"/>
  <c r="DA25" i="41"/>
  <c r="CZ25" i="41"/>
  <c r="DA24" i="41"/>
  <c r="CZ24" i="41"/>
  <c r="DA23" i="41"/>
  <c r="CZ23" i="41"/>
  <c r="DA22" i="41"/>
  <c r="CZ22" i="41"/>
  <c r="DA21" i="41"/>
  <c r="CZ21" i="41"/>
  <c r="DA20" i="41"/>
  <c r="CZ20" i="41"/>
  <c r="DA19" i="41"/>
  <c r="CZ19" i="41"/>
  <c r="DA18" i="41"/>
  <c r="CZ18" i="41"/>
  <c r="DA17" i="41"/>
  <c r="CZ17" i="41"/>
  <c r="DA16" i="41"/>
  <c r="CZ16" i="41"/>
  <c r="DA15" i="41"/>
  <c r="CZ15" i="41"/>
  <c r="DA14" i="41"/>
  <c r="CZ14" i="41"/>
  <c r="DA13" i="41"/>
  <c r="CZ13" i="41"/>
  <c r="DA12" i="41"/>
  <c r="CZ12" i="41"/>
  <c r="DA11" i="41"/>
  <c r="CZ11" i="41"/>
  <c r="DA10" i="41"/>
  <c r="CZ10" i="41"/>
  <c r="DA9" i="41"/>
  <c r="CZ9" i="41"/>
  <c r="DA8" i="41"/>
  <c r="CZ8" i="41"/>
  <c r="DA98" i="41"/>
  <c r="CZ98" i="41"/>
  <c r="CG98" i="41" l="1"/>
  <c r="CG97" i="41"/>
  <c r="CG96" i="41"/>
  <c r="CG95" i="41"/>
  <c r="CG94" i="41"/>
  <c r="CG93" i="41"/>
  <c r="CG92" i="41"/>
  <c r="CG91" i="41"/>
  <c r="CG90" i="41"/>
  <c r="CG89" i="41"/>
  <c r="CG88" i="41"/>
  <c r="CG87" i="41"/>
  <c r="CG86" i="41"/>
  <c r="CG85" i="41"/>
  <c r="CG84" i="41"/>
  <c r="CG83" i="41"/>
  <c r="CG82" i="41"/>
  <c r="CG81" i="41"/>
  <c r="CG80" i="41"/>
  <c r="CG79" i="41"/>
  <c r="CG78" i="41"/>
  <c r="CG77" i="41"/>
  <c r="CG76" i="41"/>
  <c r="CG75" i="41"/>
  <c r="CG74" i="41"/>
  <c r="CG73" i="41"/>
  <c r="CG72" i="41"/>
  <c r="CG71" i="41"/>
  <c r="CG70" i="41"/>
  <c r="CG69" i="41"/>
  <c r="CG68" i="41"/>
  <c r="CG67" i="41"/>
  <c r="CG66" i="41"/>
  <c r="CG65" i="41"/>
  <c r="CG64" i="41"/>
  <c r="CG63" i="41"/>
  <c r="CG62" i="41"/>
  <c r="CG61" i="41"/>
  <c r="CG60" i="41"/>
  <c r="CG59" i="41"/>
  <c r="CG58" i="41"/>
  <c r="CG57" i="41"/>
  <c r="CG56" i="41"/>
  <c r="CG55" i="41"/>
  <c r="CG54" i="41"/>
  <c r="CG53" i="41"/>
  <c r="CG52" i="41"/>
  <c r="CG51" i="41"/>
  <c r="CG50" i="41"/>
  <c r="CG49" i="41"/>
  <c r="CG48" i="41"/>
  <c r="CG47" i="41"/>
  <c r="CG46" i="41"/>
  <c r="CG45" i="41"/>
  <c r="CG44" i="41"/>
  <c r="CG43" i="41"/>
  <c r="CG42" i="41"/>
  <c r="CG41" i="41"/>
  <c r="CG40" i="41"/>
  <c r="CG39" i="41"/>
  <c r="CG38" i="41"/>
  <c r="CG37" i="41"/>
  <c r="CG36" i="41"/>
  <c r="CG35" i="41"/>
  <c r="CG34" i="41"/>
  <c r="CG33" i="41"/>
  <c r="CG32" i="41"/>
  <c r="CG31" i="41"/>
  <c r="CG30" i="41"/>
  <c r="CG29" i="41"/>
  <c r="CG28" i="41"/>
  <c r="CG27" i="41"/>
  <c r="CG26" i="41"/>
  <c r="CG25" i="41"/>
  <c r="CG24" i="41"/>
  <c r="CG23" i="41"/>
  <c r="CG22" i="41"/>
  <c r="CG21" i="41"/>
  <c r="CG20" i="41"/>
  <c r="CG19" i="41"/>
  <c r="CG18" i="41"/>
  <c r="CG17" i="41"/>
  <c r="CG16" i="41"/>
  <c r="CG15" i="41"/>
  <c r="CG14" i="41"/>
  <c r="CG13" i="41"/>
  <c r="CG12" i="41"/>
  <c r="CG11" i="41"/>
  <c r="CG10" i="41"/>
  <c r="CG9" i="41"/>
  <c r="CG8" i="41"/>
  <c r="Y98" i="41"/>
  <c r="Y97" i="41"/>
  <c r="Y96" i="41"/>
  <c r="Y95" i="41"/>
  <c r="Y94" i="41"/>
  <c r="Y93" i="41"/>
  <c r="Y92" i="41"/>
  <c r="Y91" i="41"/>
  <c r="Y90" i="41"/>
  <c r="Y89" i="41"/>
  <c r="Y88" i="41"/>
  <c r="Y87" i="41"/>
  <c r="Y86" i="41"/>
  <c r="Y85" i="41"/>
  <c r="Y84" i="41"/>
  <c r="Y83" i="41"/>
  <c r="Y82" i="41"/>
  <c r="Y81" i="41"/>
  <c r="Y80" i="41"/>
  <c r="Y79" i="41"/>
  <c r="Y78" i="41"/>
  <c r="Y77" i="41"/>
  <c r="Y76" i="41"/>
  <c r="Y75" i="41"/>
  <c r="Y74" i="41"/>
  <c r="Y73" i="41"/>
  <c r="Y72" i="41"/>
  <c r="Y71" i="41"/>
  <c r="Y70" i="41"/>
  <c r="Y69" i="41"/>
  <c r="Y68" i="41"/>
  <c r="Y67" i="41"/>
  <c r="Y66" i="41"/>
  <c r="Y65" i="41"/>
  <c r="Y64" i="41"/>
  <c r="Y63" i="41"/>
  <c r="Y62" i="41"/>
  <c r="Y61" i="41"/>
  <c r="Y60" i="41"/>
  <c r="Y59" i="41"/>
  <c r="Y58" i="41"/>
  <c r="Y57" i="41"/>
  <c r="Y56" i="41"/>
  <c r="Y55" i="41"/>
  <c r="Y54" i="41"/>
  <c r="Y53" i="41"/>
  <c r="Y52" i="41"/>
  <c r="Y51" i="41"/>
  <c r="Y50" i="41"/>
  <c r="Y49" i="41"/>
  <c r="Y48" i="41"/>
  <c r="Y47" i="41"/>
  <c r="Y46" i="41"/>
  <c r="Y45" i="41"/>
  <c r="Y44" i="41"/>
  <c r="Y43" i="41"/>
  <c r="Y42" i="41"/>
  <c r="Y41" i="41"/>
  <c r="Y40" i="41"/>
  <c r="Y39" i="41"/>
  <c r="Y38" i="41"/>
  <c r="Y37" i="41"/>
  <c r="Y36" i="41"/>
  <c r="Y35" i="41"/>
  <c r="Y34" i="41"/>
  <c r="Y33" i="41"/>
  <c r="Y32" i="41"/>
  <c r="Y31" i="41"/>
  <c r="Y30" i="41"/>
  <c r="Y29" i="41"/>
  <c r="Y28" i="41"/>
  <c r="Y27" i="41"/>
  <c r="Y26" i="41"/>
  <c r="Y25" i="41"/>
  <c r="Y24" i="41"/>
  <c r="Y23" i="41"/>
  <c r="Y22" i="41"/>
  <c r="Y21" i="41"/>
  <c r="Y20" i="41"/>
  <c r="Y19" i="41"/>
  <c r="Y18" i="41"/>
  <c r="Y17" i="41"/>
  <c r="Y16" i="41"/>
  <c r="Y15" i="41"/>
  <c r="Y14" i="41"/>
  <c r="Y13" i="41"/>
  <c r="Y12" i="41"/>
  <c r="Y11" i="41"/>
  <c r="Y10" i="41"/>
  <c r="Y9" i="41"/>
  <c r="Y8" i="41"/>
  <c r="X8" i="41"/>
  <c r="U98" i="41"/>
  <c r="V98" i="41" s="1"/>
  <c r="U97" i="41"/>
  <c r="V97" i="41" s="1"/>
  <c r="U96" i="41"/>
  <c r="V96" i="41" s="1"/>
  <c r="U95" i="41"/>
  <c r="V95" i="41" s="1"/>
  <c r="U94" i="41"/>
  <c r="V94" i="41" s="1"/>
  <c r="U93" i="41"/>
  <c r="V93" i="41" s="1"/>
  <c r="U92" i="41"/>
  <c r="V92" i="41" s="1"/>
  <c r="U91" i="41"/>
  <c r="V91" i="41" s="1"/>
  <c r="U90" i="41"/>
  <c r="V90" i="41" s="1"/>
  <c r="U89" i="41"/>
  <c r="V89" i="41" s="1"/>
  <c r="U88" i="41"/>
  <c r="V88" i="41" s="1"/>
  <c r="U87" i="41"/>
  <c r="V87" i="41" s="1"/>
  <c r="U86" i="41"/>
  <c r="V86" i="41" s="1"/>
  <c r="U85" i="41"/>
  <c r="V85" i="41" s="1"/>
  <c r="U84" i="41"/>
  <c r="V84" i="41" s="1"/>
  <c r="U83" i="41"/>
  <c r="V83" i="41" s="1"/>
  <c r="U82" i="41"/>
  <c r="V82" i="41" s="1"/>
  <c r="U81" i="41"/>
  <c r="V81" i="41" s="1"/>
  <c r="U80" i="41"/>
  <c r="V80" i="41" s="1"/>
  <c r="U79" i="41"/>
  <c r="V79" i="41" s="1"/>
  <c r="U78" i="41"/>
  <c r="V78" i="41" s="1"/>
  <c r="U77" i="41"/>
  <c r="V77" i="41" s="1"/>
  <c r="V76" i="41"/>
  <c r="U76" i="41"/>
  <c r="V75" i="41"/>
  <c r="U75" i="41"/>
  <c r="V74" i="41"/>
  <c r="U74" i="41"/>
  <c r="V73" i="41"/>
  <c r="U73" i="41"/>
  <c r="V72" i="41"/>
  <c r="U72" i="41"/>
  <c r="V71" i="41"/>
  <c r="U71" i="41"/>
  <c r="V70" i="41"/>
  <c r="U70" i="41"/>
  <c r="V69" i="41"/>
  <c r="U69" i="41"/>
  <c r="V68" i="41"/>
  <c r="U68" i="41"/>
  <c r="V67" i="41"/>
  <c r="U67" i="41"/>
  <c r="V66" i="41"/>
  <c r="U66" i="41"/>
  <c r="V65" i="41"/>
  <c r="U65" i="41"/>
  <c r="V64" i="41"/>
  <c r="U64" i="41"/>
  <c r="V63" i="41"/>
  <c r="U63" i="41"/>
  <c r="V62" i="41"/>
  <c r="U62" i="41"/>
  <c r="V61" i="41"/>
  <c r="U61" i="41"/>
  <c r="V60" i="41"/>
  <c r="U60" i="41"/>
  <c r="V59" i="41"/>
  <c r="U59" i="41"/>
  <c r="V58" i="41"/>
  <c r="U58" i="41"/>
  <c r="V57" i="41"/>
  <c r="U57" i="41"/>
  <c r="V56" i="41"/>
  <c r="U56" i="41"/>
  <c r="V55" i="41"/>
  <c r="U55" i="41"/>
  <c r="V54" i="41"/>
  <c r="U54" i="41"/>
  <c r="V53" i="41"/>
  <c r="U53" i="41"/>
  <c r="V52" i="41"/>
  <c r="U52" i="41"/>
  <c r="V51" i="41"/>
  <c r="U51" i="41"/>
  <c r="V50" i="41"/>
  <c r="U50" i="41"/>
  <c r="V49" i="41"/>
  <c r="U49" i="41"/>
  <c r="V48" i="41"/>
  <c r="U48" i="41"/>
  <c r="V47" i="41"/>
  <c r="U47" i="41"/>
  <c r="V46" i="41"/>
  <c r="U46" i="41"/>
  <c r="V45" i="41"/>
  <c r="U45" i="41"/>
  <c r="V44" i="41"/>
  <c r="U44" i="41"/>
  <c r="V43" i="41"/>
  <c r="U43" i="41"/>
  <c r="V42" i="41"/>
  <c r="U42" i="41"/>
  <c r="V41" i="41"/>
  <c r="U41" i="41"/>
  <c r="V40" i="41"/>
  <c r="U40" i="41"/>
  <c r="V39" i="41"/>
  <c r="U39" i="41"/>
  <c r="V38" i="41"/>
  <c r="U38" i="41"/>
  <c r="V37" i="41"/>
  <c r="U37" i="41"/>
  <c r="V36" i="41"/>
  <c r="U36" i="41"/>
  <c r="V35" i="41"/>
  <c r="U35" i="41"/>
  <c r="V34" i="41"/>
  <c r="U34" i="41"/>
  <c r="V33" i="41"/>
  <c r="U33" i="41"/>
  <c r="V32" i="41"/>
  <c r="U32" i="41"/>
  <c r="V31" i="41"/>
  <c r="U31" i="41"/>
  <c r="V30" i="41"/>
  <c r="U30" i="41"/>
  <c r="V29" i="41"/>
  <c r="U29" i="41"/>
  <c r="V28" i="41"/>
  <c r="U28" i="41"/>
  <c r="V27" i="41"/>
  <c r="U27" i="41"/>
  <c r="V26" i="41"/>
  <c r="U26" i="41"/>
  <c r="V25" i="41"/>
  <c r="U25" i="41"/>
  <c r="V24" i="41"/>
  <c r="U24" i="41"/>
  <c r="V23" i="41"/>
  <c r="U23" i="41"/>
  <c r="V22" i="41"/>
  <c r="U22" i="41"/>
  <c r="V21" i="41"/>
  <c r="U21" i="41"/>
  <c r="V20" i="41"/>
  <c r="U20" i="41"/>
  <c r="V19" i="41"/>
  <c r="U19" i="41"/>
  <c r="V18" i="41"/>
  <c r="U18" i="41"/>
  <c r="V17" i="41"/>
  <c r="U17" i="41"/>
  <c r="V16" i="41"/>
  <c r="U16" i="41"/>
  <c r="V15" i="41"/>
  <c r="U15" i="41"/>
  <c r="V14" i="41"/>
  <c r="U14" i="41"/>
  <c r="V13" i="41"/>
  <c r="U13" i="41"/>
  <c r="V12" i="41"/>
  <c r="U12" i="41"/>
  <c r="V11" i="41"/>
  <c r="U11" i="41"/>
  <c r="V10" i="41"/>
  <c r="U10" i="41"/>
  <c r="V9" i="41"/>
  <c r="U9" i="41"/>
  <c r="V8" i="41"/>
  <c r="R98" i="41"/>
  <c r="S98" i="41" s="1"/>
  <c r="R97" i="41"/>
  <c r="S97" i="41" s="1"/>
  <c r="R96" i="41"/>
  <c r="S96" i="41" s="1"/>
  <c r="R95" i="41"/>
  <c r="S95" i="41" s="1"/>
  <c r="R94" i="41"/>
  <c r="S94" i="41" s="1"/>
  <c r="R93" i="41"/>
  <c r="S93" i="41" s="1"/>
  <c r="R92" i="41"/>
  <c r="S92" i="41" s="1"/>
  <c r="R91" i="41"/>
  <c r="S91" i="41" s="1"/>
  <c r="R90" i="41"/>
  <c r="S90" i="41" s="1"/>
  <c r="R89" i="41"/>
  <c r="S89" i="41" s="1"/>
  <c r="R88" i="41"/>
  <c r="S88" i="41" s="1"/>
  <c r="R87" i="41"/>
  <c r="S87" i="41" s="1"/>
  <c r="R86" i="41"/>
  <c r="S86" i="41" s="1"/>
  <c r="R85" i="41"/>
  <c r="S85" i="41" s="1"/>
  <c r="P98" i="41"/>
  <c r="P97" i="41"/>
  <c r="P96" i="41"/>
  <c r="P95" i="41"/>
  <c r="P94" i="41"/>
  <c r="P93" i="41"/>
  <c r="P92" i="41"/>
  <c r="P91" i="41"/>
  <c r="P90" i="41"/>
  <c r="P89" i="41"/>
  <c r="P88" i="41"/>
  <c r="P87" i="41"/>
  <c r="P86" i="41"/>
  <c r="P85" i="41"/>
  <c r="P84" i="41"/>
  <c r="P83" i="41"/>
  <c r="P82" i="41"/>
  <c r="P81" i="41"/>
  <c r="P80" i="41"/>
  <c r="P79" i="41"/>
  <c r="P78" i="41"/>
  <c r="P77" i="41"/>
  <c r="P76" i="41"/>
  <c r="P75" i="41"/>
  <c r="P74" i="41"/>
  <c r="P73" i="41"/>
  <c r="P72" i="41"/>
  <c r="P71" i="41"/>
  <c r="P70" i="41"/>
  <c r="P69" i="41"/>
  <c r="P68" i="41"/>
  <c r="P67" i="41"/>
  <c r="P66" i="41"/>
  <c r="P65" i="41"/>
  <c r="P64" i="41"/>
  <c r="P63" i="41"/>
  <c r="P62" i="41"/>
  <c r="P61" i="41"/>
  <c r="P60" i="41"/>
  <c r="P59" i="41"/>
  <c r="P58" i="41"/>
  <c r="P57" i="41"/>
  <c r="P56" i="41"/>
  <c r="P55" i="41"/>
  <c r="P54" i="41"/>
  <c r="P53" i="41"/>
  <c r="P52" i="41"/>
  <c r="P51" i="41"/>
  <c r="P50" i="41"/>
  <c r="P49" i="41"/>
  <c r="P48" i="41"/>
  <c r="P47" i="41"/>
  <c r="P46" i="41"/>
  <c r="P45" i="41"/>
  <c r="P44" i="41"/>
  <c r="P43" i="41"/>
  <c r="P42" i="41"/>
  <c r="P41" i="41"/>
  <c r="P40" i="41"/>
  <c r="P39" i="41"/>
  <c r="P38" i="41"/>
  <c r="P37" i="41"/>
  <c r="P36" i="41"/>
  <c r="P35" i="41"/>
  <c r="P34" i="41"/>
  <c r="P33" i="41"/>
  <c r="P32" i="41"/>
  <c r="P31" i="41"/>
  <c r="P30" i="41"/>
  <c r="P29" i="41"/>
  <c r="P28" i="41"/>
  <c r="P27" i="41"/>
  <c r="P26" i="41"/>
  <c r="P25" i="41"/>
  <c r="P24" i="41"/>
  <c r="P23" i="41"/>
  <c r="P22" i="41"/>
  <c r="P21" i="41"/>
  <c r="P20" i="41"/>
  <c r="P19" i="41"/>
  <c r="P18" i="41"/>
  <c r="P17" i="41"/>
  <c r="P16" i="41"/>
  <c r="P15" i="41"/>
  <c r="P14" i="41"/>
  <c r="P13" i="41"/>
  <c r="P12" i="41"/>
  <c r="P11" i="41"/>
  <c r="P10" i="41"/>
  <c r="P9" i="41"/>
  <c r="P8" i="41"/>
  <c r="M98" i="41"/>
  <c r="M97" i="41"/>
  <c r="M96" i="41"/>
  <c r="M95" i="41"/>
  <c r="M94" i="41"/>
  <c r="M93" i="41"/>
  <c r="M92" i="41"/>
  <c r="M91" i="41"/>
  <c r="M90" i="41"/>
  <c r="M89" i="41"/>
  <c r="M88" i="41"/>
  <c r="M87" i="41"/>
  <c r="M86" i="41"/>
  <c r="M85" i="41"/>
  <c r="M84" i="41"/>
  <c r="M83" i="41"/>
  <c r="M82" i="41"/>
  <c r="M81" i="41"/>
  <c r="M80" i="41"/>
  <c r="M79" i="41"/>
  <c r="M78" i="41"/>
  <c r="M77" i="41"/>
  <c r="M76" i="41"/>
  <c r="M75" i="41"/>
  <c r="M74" i="41"/>
  <c r="M73" i="41"/>
  <c r="M72" i="41"/>
  <c r="M71" i="41"/>
  <c r="M70" i="41"/>
  <c r="M69" i="41"/>
  <c r="M68" i="41"/>
  <c r="M67" i="41"/>
  <c r="M66" i="41"/>
  <c r="M65" i="41"/>
  <c r="M64" i="41"/>
  <c r="M63" i="41"/>
  <c r="M62" i="41"/>
  <c r="M61" i="41"/>
  <c r="M60" i="41"/>
  <c r="M59" i="41"/>
  <c r="M58" i="41"/>
  <c r="M57" i="41"/>
  <c r="M56" i="41"/>
  <c r="M55" i="41"/>
  <c r="M54" i="41"/>
  <c r="M53" i="41"/>
  <c r="M52" i="41"/>
  <c r="M51" i="41"/>
  <c r="M50" i="41"/>
  <c r="M49" i="41"/>
  <c r="M48" i="41"/>
  <c r="M47" i="41"/>
  <c r="M46" i="41"/>
  <c r="M45" i="41"/>
  <c r="M44" i="41"/>
  <c r="M43" i="41"/>
  <c r="M42" i="41"/>
  <c r="M41" i="41"/>
  <c r="M40" i="41"/>
  <c r="M39" i="41"/>
  <c r="M38" i="41"/>
  <c r="M37" i="41"/>
  <c r="M36" i="41"/>
  <c r="M35" i="41"/>
  <c r="M34" i="41"/>
  <c r="M33" i="41"/>
  <c r="M32" i="41"/>
  <c r="M31" i="41"/>
  <c r="M30" i="41"/>
  <c r="M29" i="41"/>
  <c r="M28" i="41"/>
  <c r="M27" i="41"/>
  <c r="M26" i="41"/>
  <c r="M25" i="41"/>
  <c r="M24" i="41"/>
  <c r="M23" i="41"/>
  <c r="M22" i="41"/>
  <c r="M21" i="41"/>
  <c r="M20" i="41"/>
  <c r="M19" i="41"/>
  <c r="M18" i="41"/>
  <c r="M17" i="41"/>
  <c r="M16" i="41"/>
  <c r="M15" i="41"/>
  <c r="M14" i="41"/>
  <c r="M13" i="41"/>
  <c r="M12" i="41"/>
  <c r="M11" i="41"/>
  <c r="M10" i="41"/>
  <c r="M9" i="41"/>
  <c r="M8" i="41"/>
  <c r="CR101" i="41"/>
  <c r="CN101" i="41"/>
  <c r="CM101" i="41"/>
  <c r="CL101" i="41"/>
  <c r="CK101" i="41"/>
  <c r="CF101" i="41"/>
  <c r="CE101" i="41"/>
  <c r="CD101" i="41"/>
  <c r="CC101" i="41"/>
  <c r="CB101" i="41"/>
  <c r="CA101" i="41"/>
  <c r="BZ101" i="41"/>
  <c r="BY101" i="41"/>
  <c r="BX101" i="41"/>
  <c r="BW101" i="41"/>
  <c r="BV101" i="41"/>
  <c r="BU101" i="41"/>
  <c r="BT101" i="41"/>
  <c r="BS101" i="41"/>
  <c r="BR101" i="41"/>
  <c r="BQ101" i="41"/>
  <c r="BP101" i="41"/>
  <c r="BO101" i="41"/>
  <c r="BN101" i="41"/>
  <c r="BM101" i="41"/>
  <c r="BI101" i="41"/>
  <c r="BH101" i="41"/>
  <c r="BG101" i="41"/>
  <c r="BF101" i="41"/>
  <c r="BE101" i="41"/>
  <c r="BD101" i="41"/>
  <c r="AW101" i="41"/>
  <c r="AV101" i="41"/>
  <c r="AU101" i="41"/>
  <c r="AO101" i="41"/>
  <c r="AN101" i="41"/>
  <c r="AL101" i="41"/>
  <c r="AI101" i="41"/>
  <c r="AC101" i="41"/>
  <c r="L101" i="41"/>
  <c r="F98" i="100"/>
  <c r="E98" i="100"/>
  <c r="D98" i="100"/>
  <c r="C98" i="100"/>
  <c r="B98" i="100"/>
  <c r="Z1637" i="99"/>
  <c r="Y1637" i="99"/>
  <c r="X1637" i="99"/>
  <c r="W1637" i="99"/>
  <c r="V1637" i="99"/>
  <c r="U1637" i="99"/>
  <c r="T1637" i="99"/>
  <c r="S1637" i="99"/>
  <c r="R1637" i="99"/>
  <c r="Q1637" i="99"/>
  <c r="P1637" i="99"/>
  <c r="O1637" i="99"/>
  <c r="N1637" i="99"/>
  <c r="M1637" i="99"/>
  <c r="AA1637" i="99"/>
  <c r="W9" i="41" l="1"/>
  <c r="W10" i="41"/>
  <c r="W11" i="41"/>
  <c r="W12" i="41"/>
  <c r="W13" i="41"/>
  <c r="W14" i="41"/>
  <c r="W15" i="41"/>
  <c r="W16" i="41"/>
  <c r="W17" i="41"/>
  <c r="W18" i="41"/>
  <c r="W19" i="41"/>
  <c r="W20" i="41"/>
  <c r="W21" i="41"/>
  <c r="W22" i="41"/>
  <c r="W23" i="41"/>
  <c r="W24" i="41"/>
  <c r="W25" i="41"/>
  <c r="W26" i="41"/>
  <c r="W27" i="41"/>
  <c r="W28" i="41"/>
  <c r="W29" i="41"/>
  <c r="W30" i="41"/>
  <c r="W31" i="41"/>
  <c r="W32" i="41"/>
  <c r="W33" i="41"/>
  <c r="W34" i="41"/>
  <c r="W35" i="41"/>
  <c r="W36" i="41"/>
  <c r="W37" i="41"/>
  <c r="W38" i="41"/>
  <c r="W39" i="41"/>
  <c r="W40" i="41"/>
  <c r="W41" i="41"/>
  <c r="W42" i="41"/>
  <c r="W43" i="41"/>
  <c r="W44" i="41"/>
  <c r="W45" i="41"/>
  <c r="W46" i="41"/>
  <c r="W47" i="41"/>
  <c r="W48" i="41"/>
  <c r="W49" i="41"/>
  <c r="W50" i="41"/>
  <c r="W51" i="41"/>
  <c r="W52" i="41"/>
  <c r="W53" i="41"/>
  <c r="W54" i="41"/>
  <c r="W55" i="41"/>
  <c r="W56" i="41"/>
  <c r="W57" i="41"/>
  <c r="W58" i="41"/>
  <c r="W59" i="41"/>
  <c r="W60" i="41"/>
  <c r="W61" i="41"/>
  <c r="W62" i="41"/>
  <c r="W63" i="41"/>
  <c r="W64" i="41"/>
  <c r="W65" i="41"/>
  <c r="W66" i="41"/>
  <c r="W67" i="41"/>
  <c r="W68" i="41"/>
  <c r="W69" i="41"/>
  <c r="W70" i="41"/>
  <c r="W71" i="41"/>
  <c r="W72" i="41"/>
  <c r="W73" i="41"/>
  <c r="W74" i="41"/>
  <c r="W75" i="41"/>
  <c r="W76" i="41"/>
  <c r="W77" i="41"/>
  <c r="W78" i="41"/>
  <c r="W79" i="41"/>
  <c r="W80" i="41"/>
  <c r="W81" i="41"/>
  <c r="W82" i="41"/>
  <c r="W83" i="41"/>
  <c r="W84" i="41"/>
  <c r="W85" i="41"/>
  <c r="W86" i="41"/>
  <c r="W87" i="41"/>
  <c r="W88" i="41"/>
  <c r="W89" i="41"/>
  <c r="W90" i="41"/>
  <c r="W91" i="41"/>
  <c r="W92" i="41"/>
  <c r="W93" i="41"/>
  <c r="W94" i="41"/>
  <c r="W95" i="41"/>
  <c r="W96" i="41"/>
  <c r="W97" i="41"/>
  <c r="W98" i="41"/>
  <c r="W8" i="41"/>
  <c r="W101" i="41" s="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T50" i="41"/>
  <c r="T51" i="41"/>
  <c r="T52" i="41"/>
  <c r="T53" i="41"/>
  <c r="T54" i="41"/>
  <c r="T55" i="41"/>
  <c r="T56" i="41"/>
  <c r="T57" i="41"/>
  <c r="T58" i="41"/>
  <c r="T59" i="41"/>
  <c r="T60" i="41"/>
  <c r="T61" i="41"/>
  <c r="T62" i="41"/>
  <c r="T63" i="41"/>
  <c r="T64" i="41"/>
  <c r="T65" i="41"/>
  <c r="T66" i="41"/>
  <c r="T67" i="41"/>
  <c r="T68" i="41"/>
  <c r="T69" i="41"/>
  <c r="T70" i="41"/>
  <c r="T71" i="41"/>
  <c r="T72" i="41"/>
  <c r="T73" i="41"/>
  <c r="T74" i="41"/>
  <c r="T75" i="41"/>
  <c r="T76" i="41"/>
  <c r="T77" i="41"/>
  <c r="T78" i="41"/>
  <c r="T79" i="41"/>
  <c r="T80" i="41"/>
  <c r="T81" i="41"/>
  <c r="T82" i="41"/>
  <c r="T83" i="41"/>
  <c r="T84" i="41"/>
  <c r="T85" i="41"/>
  <c r="T86" i="41"/>
  <c r="T87" i="41"/>
  <c r="T88" i="41"/>
  <c r="T89" i="41"/>
  <c r="T90" i="41"/>
  <c r="T91" i="41"/>
  <c r="T92" i="41"/>
  <c r="T93" i="41"/>
  <c r="T94" i="41"/>
  <c r="T95" i="41"/>
  <c r="T96" i="41"/>
  <c r="T97" i="41"/>
  <c r="T98" i="41"/>
  <c r="T8" i="41"/>
  <c r="Q9" i="41"/>
  <c r="Q10" i="41"/>
  <c r="Q11" i="41"/>
  <c r="Q12" i="41"/>
  <c r="Q13" i="41"/>
  <c r="Q14" i="41"/>
  <c r="Q15" i="41"/>
  <c r="Q16" i="41"/>
  <c r="Q17" i="41"/>
  <c r="Q18" i="41"/>
  <c r="Q19" i="41"/>
  <c r="Q20" i="41"/>
  <c r="Q21" i="41"/>
  <c r="Q22" i="41"/>
  <c r="Q23" i="41"/>
  <c r="Q24" i="41"/>
  <c r="Q25" i="41"/>
  <c r="Q26" i="41"/>
  <c r="Q27" i="41"/>
  <c r="Q28" i="41"/>
  <c r="Q29" i="41"/>
  <c r="Q30" i="41"/>
  <c r="Q31" i="41"/>
  <c r="Q32" i="41"/>
  <c r="Q33" i="41"/>
  <c r="Q34" i="41"/>
  <c r="Q35" i="41"/>
  <c r="Q36" i="41"/>
  <c r="Q37" i="41"/>
  <c r="Q38" i="41"/>
  <c r="Q39" i="41"/>
  <c r="Q40" i="41"/>
  <c r="Q41" i="41"/>
  <c r="Q42" i="41"/>
  <c r="Q43" i="41"/>
  <c r="Q44" i="41"/>
  <c r="Q45" i="41"/>
  <c r="Q46" i="41"/>
  <c r="Q47" i="41"/>
  <c r="Q48" i="41"/>
  <c r="Q49" i="41"/>
  <c r="Q50" i="41"/>
  <c r="Q51" i="41"/>
  <c r="Q52" i="41"/>
  <c r="Q53" i="41"/>
  <c r="Q54" i="41"/>
  <c r="Q55" i="41"/>
  <c r="Q56" i="41"/>
  <c r="Q57" i="41"/>
  <c r="Q58" i="41"/>
  <c r="Q59" i="41"/>
  <c r="Q60" i="41"/>
  <c r="Q61" i="41"/>
  <c r="Q62" i="41"/>
  <c r="Q63" i="41"/>
  <c r="Q64" i="41"/>
  <c r="Q65" i="41"/>
  <c r="Q66" i="41"/>
  <c r="Q67" i="41"/>
  <c r="Q68" i="41"/>
  <c r="Q69" i="41"/>
  <c r="Q70" i="41"/>
  <c r="Q71" i="41"/>
  <c r="Q72" i="41"/>
  <c r="Q73" i="41"/>
  <c r="Q74" i="41"/>
  <c r="Q75" i="41"/>
  <c r="Q76" i="41"/>
  <c r="Q77" i="41"/>
  <c r="Q78" i="41"/>
  <c r="Q79" i="41"/>
  <c r="Q80" i="41"/>
  <c r="Q81" i="41"/>
  <c r="Q82" i="41"/>
  <c r="Q83" i="41"/>
  <c r="Q84" i="41"/>
  <c r="Q85" i="41"/>
  <c r="Q86" i="41"/>
  <c r="Q87" i="41"/>
  <c r="Q88" i="41"/>
  <c r="Q89" i="41"/>
  <c r="Q90" i="41"/>
  <c r="Q91" i="41"/>
  <c r="Q92" i="41"/>
  <c r="Q93" i="41"/>
  <c r="Q94" i="41"/>
  <c r="Q95" i="41"/>
  <c r="Q96" i="41"/>
  <c r="Q97" i="41"/>
  <c r="Q98" i="41"/>
  <c r="Q8" i="41"/>
  <c r="Q101" i="41" s="1"/>
  <c r="N9" i="41"/>
  <c r="N10" i="41"/>
  <c r="N11" i="41"/>
  <c r="N12" i="41"/>
  <c r="N13" i="41"/>
  <c r="N14" i="41"/>
  <c r="N15" i="41"/>
  <c r="N16" i="41"/>
  <c r="N17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N31" i="41"/>
  <c r="N32" i="41"/>
  <c r="N33" i="41"/>
  <c r="N34" i="41"/>
  <c r="N35" i="41"/>
  <c r="N36" i="41"/>
  <c r="N37" i="41"/>
  <c r="N38" i="41"/>
  <c r="N39" i="41"/>
  <c r="N40" i="41"/>
  <c r="N41" i="41"/>
  <c r="N42" i="41"/>
  <c r="N43" i="41"/>
  <c r="N44" i="41"/>
  <c r="N45" i="41"/>
  <c r="N46" i="41"/>
  <c r="N47" i="41"/>
  <c r="N48" i="41"/>
  <c r="N49" i="41"/>
  <c r="N50" i="41"/>
  <c r="N51" i="41"/>
  <c r="N52" i="41"/>
  <c r="N53" i="41"/>
  <c r="N54" i="41"/>
  <c r="N55" i="41"/>
  <c r="N56" i="41"/>
  <c r="N57" i="41"/>
  <c r="N58" i="41"/>
  <c r="N59" i="41"/>
  <c r="N60" i="41"/>
  <c r="N61" i="41"/>
  <c r="N62" i="41"/>
  <c r="N63" i="41"/>
  <c r="N64" i="41"/>
  <c r="N65" i="41"/>
  <c r="N66" i="41"/>
  <c r="N67" i="41"/>
  <c r="N68" i="41"/>
  <c r="N69" i="41"/>
  <c r="N70" i="41"/>
  <c r="N71" i="41"/>
  <c r="N72" i="41"/>
  <c r="N73" i="41"/>
  <c r="N74" i="41"/>
  <c r="N75" i="41"/>
  <c r="N76" i="41"/>
  <c r="N77" i="41"/>
  <c r="N78" i="41"/>
  <c r="N79" i="41"/>
  <c r="N80" i="41"/>
  <c r="N81" i="41"/>
  <c r="N82" i="41"/>
  <c r="N83" i="41"/>
  <c r="N84" i="41"/>
  <c r="N85" i="41"/>
  <c r="N86" i="41"/>
  <c r="N87" i="41"/>
  <c r="N88" i="41"/>
  <c r="N89" i="41"/>
  <c r="N90" i="41"/>
  <c r="N91" i="41"/>
  <c r="N92" i="41"/>
  <c r="N93" i="41"/>
  <c r="N94" i="41"/>
  <c r="N95" i="41"/>
  <c r="N96" i="41"/>
  <c r="N97" i="41"/>
  <c r="N98" i="41"/>
  <c r="N8" i="41"/>
  <c r="J9" i="41"/>
  <c r="J10" i="41"/>
  <c r="K10" i="41" s="1"/>
  <c r="J11" i="41"/>
  <c r="K11" i="41" s="1"/>
  <c r="J12" i="41"/>
  <c r="K12" i="41" s="1"/>
  <c r="J13" i="41"/>
  <c r="K13" i="41" s="1"/>
  <c r="J14" i="41"/>
  <c r="K14" i="41" s="1"/>
  <c r="J15" i="41"/>
  <c r="K15" i="41" s="1"/>
  <c r="J16" i="41"/>
  <c r="K16" i="41" s="1"/>
  <c r="J17" i="41"/>
  <c r="K17" i="41" s="1"/>
  <c r="J18" i="41"/>
  <c r="K18" i="41" s="1"/>
  <c r="J19" i="41"/>
  <c r="J20" i="41"/>
  <c r="K20" i="41" s="1"/>
  <c r="J21" i="41"/>
  <c r="K21" i="41" s="1"/>
  <c r="J22" i="41"/>
  <c r="K22" i="41" s="1"/>
  <c r="J23" i="41"/>
  <c r="K23" i="41" s="1"/>
  <c r="J24" i="41"/>
  <c r="K24" i="41" s="1"/>
  <c r="J25" i="41"/>
  <c r="K25" i="41" s="1"/>
  <c r="J26" i="41"/>
  <c r="K26" i="41" s="1"/>
  <c r="J27" i="41"/>
  <c r="J28" i="41"/>
  <c r="K28" i="41" s="1"/>
  <c r="J29" i="41"/>
  <c r="K29" i="41" s="1"/>
  <c r="J30" i="41"/>
  <c r="K30" i="41" s="1"/>
  <c r="J31" i="41"/>
  <c r="K31" i="41" s="1"/>
  <c r="J32" i="41"/>
  <c r="K32" i="41" s="1"/>
  <c r="J33" i="41"/>
  <c r="J34" i="41"/>
  <c r="K34" i="41" s="1"/>
  <c r="J35" i="41"/>
  <c r="K35" i="41" s="1"/>
  <c r="J36" i="41"/>
  <c r="K36" i="41" s="1"/>
  <c r="J37" i="41"/>
  <c r="K37" i="41" s="1"/>
  <c r="J38" i="41"/>
  <c r="K38" i="41" s="1"/>
  <c r="J39" i="41"/>
  <c r="K39" i="41" s="1"/>
  <c r="J40" i="41"/>
  <c r="K40" i="41" s="1"/>
  <c r="J41" i="41"/>
  <c r="J42" i="41"/>
  <c r="K42" i="41" s="1"/>
  <c r="J43" i="41"/>
  <c r="K43" i="41" s="1"/>
  <c r="J44" i="41"/>
  <c r="K44" i="41" s="1"/>
  <c r="J45" i="41"/>
  <c r="K45" i="41" s="1"/>
  <c r="J46" i="41"/>
  <c r="K46" i="41" s="1"/>
  <c r="J47" i="41"/>
  <c r="K47" i="41" s="1"/>
  <c r="J48" i="41"/>
  <c r="K48" i="41" s="1"/>
  <c r="J49" i="41"/>
  <c r="K49" i="41" s="1"/>
  <c r="J50" i="41"/>
  <c r="K50" i="41" s="1"/>
  <c r="J51" i="41"/>
  <c r="J52" i="41"/>
  <c r="K52" i="41" s="1"/>
  <c r="J53" i="41"/>
  <c r="K53" i="41" s="1"/>
  <c r="J54" i="41"/>
  <c r="K54" i="41" s="1"/>
  <c r="J55" i="41"/>
  <c r="K55" i="41" s="1"/>
  <c r="J56" i="41"/>
  <c r="K56" i="41" s="1"/>
  <c r="J57" i="41"/>
  <c r="K57" i="41" s="1"/>
  <c r="J58" i="41"/>
  <c r="K58" i="41" s="1"/>
  <c r="J59" i="41"/>
  <c r="K59" i="41" s="1"/>
  <c r="J60" i="41"/>
  <c r="J61" i="41"/>
  <c r="K61" i="41" s="1"/>
  <c r="J62" i="41"/>
  <c r="K62" i="41" s="1"/>
  <c r="J63" i="41"/>
  <c r="K63" i="41" s="1"/>
  <c r="J64" i="41"/>
  <c r="K64" i="41" s="1"/>
  <c r="J65" i="41"/>
  <c r="K65" i="41" s="1"/>
  <c r="J66" i="41"/>
  <c r="K66" i="41" s="1"/>
  <c r="J67" i="41"/>
  <c r="K67" i="41" s="1"/>
  <c r="J68" i="41"/>
  <c r="K68" i="41" s="1"/>
  <c r="J69" i="41"/>
  <c r="K69" i="41" s="1"/>
  <c r="J70" i="41"/>
  <c r="K70" i="41" s="1"/>
  <c r="J71" i="41"/>
  <c r="K71" i="41" s="1"/>
  <c r="J72" i="41"/>
  <c r="K72" i="41" s="1"/>
  <c r="J73" i="41"/>
  <c r="K73" i="41" s="1"/>
  <c r="J74" i="41"/>
  <c r="K74" i="41" s="1"/>
  <c r="J75" i="41"/>
  <c r="K75" i="41" s="1"/>
  <c r="J76" i="41"/>
  <c r="J77" i="41"/>
  <c r="K77" i="41" s="1"/>
  <c r="J78" i="41"/>
  <c r="K78" i="41" s="1"/>
  <c r="J79" i="41"/>
  <c r="K79" i="41" s="1"/>
  <c r="J80" i="41"/>
  <c r="K80" i="41" s="1"/>
  <c r="J81" i="41"/>
  <c r="K81" i="41" s="1"/>
  <c r="J82" i="41"/>
  <c r="K82" i="41" s="1"/>
  <c r="J83" i="41"/>
  <c r="K83" i="41" s="1"/>
  <c r="J84" i="41"/>
  <c r="K84" i="41" s="1"/>
  <c r="J85" i="41"/>
  <c r="K85" i="41" s="1"/>
  <c r="J86" i="41"/>
  <c r="K86" i="41" s="1"/>
  <c r="J87" i="41"/>
  <c r="K87" i="41" s="1"/>
  <c r="J88" i="41"/>
  <c r="K88" i="41" s="1"/>
  <c r="J89" i="41"/>
  <c r="K89" i="41" s="1"/>
  <c r="J90" i="41"/>
  <c r="K90" i="41" s="1"/>
  <c r="J91" i="41"/>
  <c r="K91" i="41" s="1"/>
  <c r="J92" i="41"/>
  <c r="K92" i="41" s="1"/>
  <c r="J93" i="41"/>
  <c r="K93" i="41" s="1"/>
  <c r="J94" i="41"/>
  <c r="K94" i="41" s="1"/>
  <c r="J95" i="41"/>
  <c r="K95" i="41" s="1"/>
  <c r="J96" i="41"/>
  <c r="K96" i="41" s="1"/>
  <c r="J97" i="41"/>
  <c r="K97" i="41" s="1"/>
  <c r="J98" i="41"/>
  <c r="K98" i="41" s="1"/>
  <c r="J8" i="41"/>
  <c r="J101" i="41" s="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3" i="41"/>
  <c r="D24" i="41"/>
  <c r="D25" i="41"/>
  <c r="D26" i="41"/>
  <c r="D27" i="41"/>
  <c r="D28" i="41"/>
  <c r="D29" i="41"/>
  <c r="D30" i="41"/>
  <c r="D31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8" i="41"/>
  <c r="D8" i="41"/>
  <c r="AA1636" i="99"/>
  <c r="Z1636" i="99"/>
  <c r="Y1636" i="99"/>
  <c r="X1636" i="99"/>
  <c r="W1636" i="99"/>
  <c r="V1636" i="99"/>
  <c r="U1636" i="99"/>
  <c r="T1636" i="99"/>
  <c r="S1636" i="99"/>
  <c r="R1636" i="99"/>
  <c r="Q1636" i="99"/>
  <c r="P1636" i="99"/>
  <c r="O1636" i="99"/>
  <c r="N1636" i="99"/>
  <c r="M1636" i="99"/>
  <c r="AA1619" i="99"/>
  <c r="Z1619" i="99"/>
  <c r="Y1619" i="99"/>
  <c r="X1619" i="99"/>
  <c r="W1619" i="99"/>
  <c r="V1619" i="99"/>
  <c r="U1619" i="99"/>
  <c r="T1619" i="99"/>
  <c r="S1619" i="99"/>
  <c r="R1619" i="99"/>
  <c r="Q1619" i="99"/>
  <c r="P1619" i="99"/>
  <c r="O1619" i="99"/>
  <c r="N1619" i="99"/>
  <c r="M1619" i="99"/>
  <c r="AA1602" i="99"/>
  <c r="Z1602" i="99"/>
  <c r="Y1602" i="99"/>
  <c r="X1602" i="99"/>
  <c r="W1602" i="99"/>
  <c r="V1602" i="99"/>
  <c r="U1602" i="99"/>
  <c r="T1602" i="99"/>
  <c r="S1602" i="99"/>
  <c r="R1602" i="99"/>
  <c r="Q1602" i="99"/>
  <c r="P1602" i="99"/>
  <c r="O1602" i="99"/>
  <c r="N1602" i="99"/>
  <c r="M1602" i="99"/>
  <c r="AA1585" i="99"/>
  <c r="Z1585" i="99"/>
  <c r="Y1585" i="99"/>
  <c r="X1585" i="99"/>
  <c r="W1585" i="99"/>
  <c r="V1585" i="99"/>
  <c r="U1585" i="99"/>
  <c r="T1585" i="99"/>
  <c r="S1585" i="99"/>
  <c r="R1585" i="99"/>
  <c r="Q1585" i="99"/>
  <c r="P1585" i="99"/>
  <c r="O1585" i="99"/>
  <c r="N1585" i="99"/>
  <c r="M1585" i="99"/>
  <c r="AA1568" i="99"/>
  <c r="Z1568" i="99"/>
  <c r="Y1568" i="99"/>
  <c r="X1568" i="99"/>
  <c r="W1568" i="99"/>
  <c r="V1568" i="99"/>
  <c r="U1568" i="99"/>
  <c r="T1568" i="99"/>
  <c r="S1568" i="99"/>
  <c r="R1568" i="99"/>
  <c r="Q1568" i="99"/>
  <c r="P1568" i="99"/>
  <c r="O1568" i="99"/>
  <c r="N1568" i="99"/>
  <c r="M1568" i="99"/>
  <c r="AA1550" i="99"/>
  <c r="Z1550" i="99"/>
  <c r="Y1550" i="99"/>
  <c r="X1550" i="99"/>
  <c r="W1550" i="99"/>
  <c r="V1550" i="99"/>
  <c r="U1550" i="99"/>
  <c r="T1550" i="99"/>
  <c r="S1550" i="99"/>
  <c r="R1550" i="99"/>
  <c r="Q1550" i="99"/>
  <c r="P1550" i="99"/>
  <c r="O1550" i="99"/>
  <c r="N1550" i="99"/>
  <c r="M1550" i="99"/>
  <c r="AA1532" i="99"/>
  <c r="Z1532" i="99"/>
  <c r="Y1532" i="99"/>
  <c r="X1532" i="99"/>
  <c r="W1532" i="99"/>
  <c r="V1532" i="99"/>
  <c r="U1532" i="99"/>
  <c r="T1532" i="99"/>
  <c r="S1532" i="99"/>
  <c r="R1532" i="99"/>
  <c r="Q1532" i="99"/>
  <c r="P1532" i="99"/>
  <c r="O1532" i="99"/>
  <c r="N1532" i="99"/>
  <c r="M1532" i="99"/>
  <c r="AA1514" i="99"/>
  <c r="Z1514" i="99"/>
  <c r="Y1514" i="99"/>
  <c r="X1514" i="99"/>
  <c r="W1514" i="99"/>
  <c r="V1514" i="99"/>
  <c r="U1514" i="99"/>
  <c r="T1514" i="99"/>
  <c r="S1514" i="99"/>
  <c r="R1514" i="99"/>
  <c r="Q1514" i="99"/>
  <c r="P1514" i="99"/>
  <c r="O1514" i="99"/>
  <c r="N1514" i="99"/>
  <c r="M1514" i="99"/>
  <c r="AA1496" i="99"/>
  <c r="Z1496" i="99"/>
  <c r="Y1496" i="99"/>
  <c r="X1496" i="99"/>
  <c r="W1496" i="99"/>
  <c r="V1496" i="99"/>
  <c r="U1496" i="99"/>
  <c r="T1496" i="99"/>
  <c r="S1496" i="99"/>
  <c r="R1496" i="99"/>
  <c r="Q1496" i="99"/>
  <c r="P1496" i="99"/>
  <c r="O1496" i="99"/>
  <c r="N1496" i="99"/>
  <c r="M1496" i="99"/>
  <c r="AA1478" i="99"/>
  <c r="Z1478" i="99"/>
  <c r="Y1478" i="99"/>
  <c r="X1478" i="99"/>
  <c r="W1478" i="99"/>
  <c r="V1478" i="99"/>
  <c r="U1478" i="99"/>
  <c r="T1478" i="99"/>
  <c r="S1478" i="99"/>
  <c r="R1478" i="99"/>
  <c r="Q1478" i="99"/>
  <c r="P1478" i="99"/>
  <c r="O1478" i="99"/>
  <c r="N1478" i="99"/>
  <c r="M1478" i="99"/>
  <c r="AA1460" i="99"/>
  <c r="Z1460" i="99"/>
  <c r="Y1460" i="99"/>
  <c r="X1460" i="99"/>
  <c r="W1460" i="99"/>
  <c r="V1460" i="99"/>
  <c r="U1460" i="99"/>
  <c r="T1460" i="99"/>
  <c r="S1460" i="99"/>
  <c r="R1460" i="99"/>
  <c r="Q1460" i="99"/>
  <c r="P1460" i="99"/>
  <c r="O1460" i="99"/>
  <c r="N1460" i="99"/>
  <c r="M1460" i="99"/>
  <c r="AA1442" i="99"/>
  <c r="Z1442" i="99"/>
  <c r="Y1442" i="99"/>
  <c r="X1442" i="99"/>
  <c r="W1442" i="99"/>
  <c r="V1442" i="99"/>
  <c r="U1442" i="99"/>
  <c r="T1442" i="99"/>
  <c r="S1442" i="99"/>
  <c r="R1442" i="99"/>
  <c r="Q1442" i="99"/>
  <c r="P1442" i="99"/>
  <c r="O1442" i="99"/>
  <c r="N1442" i="99"/>
  <c r="M1442" i="99"/>
  <c r="AA1424" i="99"/>
  <c r="Z1424" i="99"/>
  <c r="Y1424" i="99"/>
  <c r="X1424" i="99"/>
  <c r="W1424" i="99"/>
  <c r="V1424" i="99"/>
  <c r="U1424" i="99"/>
  <c r="T1424" i="99"/>
  <c r="S1424" i="99"/>
  <c r="R1424" i="99"/>
  <c r="Q1424" i="99"/>
  <c r="P1424" i="99"/>
  <c r="O1424" i="99"/>
  <c r="N1424" i="99"/>
  <c r="M1424" i="99"/>
  <c r="AA1406" i="99"/>
  <c r="Z1406" i="99"/>
  <c r="Y1406" i="99"/>
  <c r="X1406" i="99"/>
  <c r="W1406" i="99"/>
  <c r="V1406" i="99"/>
  <c r="U1406" i="99"/>
  <c r="T1406" i="99"/>
  <c r="S1406" i="99"/>
  <c r="R1406" i="99"/>
  <c r="Q1406" i="99"/>
  <c r="P1406" i="99"/>
  <c r="O1406" i="99"/>
  <c r="N1406" i="99"/>
  <c r="M1406" i="99"/>
  <c r="Z1388" i="99"/>
  <c r="Y1388" i="99"/>
  <c r="X1388" i="99"/>
  <c r="W1388" i="99"/>
  <c r="V1388" i="99"/>
  <c r="U1388" i="99"/>
  <c r="AA1387" i="99"/>
  <c r="Z1387" i="99"/>
  <c r="Y1387" i="99"/>
  <c r="X1387" i="99"/>
  <c r="W1387" i="99"/>
  <c r="V1387" i="99"/>
  <c r="U1387" i="99"/>
  <c r="T1387" i="99"/>
  <c r="S1387" i="99"/>
  <c r="R1387" i="99"/>
  <c r="Q1387" i="99"/>
  <c r="P1387" i="99"/>
  <c r="O1387" i="99"/>
  <c r="N1387" i="99"/>
  <c r="M1387" i="99"/>
  <c r="AA1369" i="99"/>
  <c r="Z1369" i="99"/>
  <c r="Y1369" i="99"/>
  <c r="X1369" i="99"/>
  <c r="W1369" i="99"/>
  <c r="V1369" i="99"/>
  <c r="U1369" i="99"/>
  <c r="T1369" i="99"/>
  <c r="S1369" i="99"/>
  <c r="R1369" i="99"/>
  <c r="Q1369" i="99"/>
  <c r="P1369" i="99"/>
  <c r="O1369" i="99"/>
  <c r="N1369" i="99"/>
  <c r="M1369" i="99"/>
  <c r="AA1351" i="99"/>
  <c r="Z1351" i="99"/>
  <c r="Y1351" i="99"/>
  <c r="X1351" i="99"/>
  <c r="W1351" i="99"/>
  <c r="V1351" i="99"/>
  <c r="U1351" i="99"/>
  <c r="T1351" i="99"/>
  <c r="S1351" i="99"/>
  <c r="R1351" i="99"/>
  <c r="Q1351" i="99"/>
  <c r="P1351" i="99"/>
  <c r="O1351" i="99"/>
  <c r="N1351" i="99"/>
  <c r="M1351" i="99"/>
  <c r="AA1333" i="99"/>
  <c r="Z1333" i="99"/>
  <c r="Y1333" i="99"/>
  <c r="X1333" i="99"/>
  <c r="W1333" i="99"/>
  <c r="V1333" i="99"/>
  <c r="U1333" i="99"/>
  <c r="T1333" i="99"/>
  <c r="S1333" i="99"/>
  <c r="R1333" i="99"/>
  <c r="Q1333" i="99"/>
  <c r="P1333" i="99"/>
  <c r="O1333" i="99"/>
  <c r="N1333" i="99"/>
  <c r="M1333" i="99"/>
  <c r="AA1315" i="99"/>
  <c r="Z1315" i="99"/>
  <c r="Y1315" i="99"/>
  <c r="X1315" i="99"/>
  <c r="W1315" i="99"/>
  <c r="V1315" i="99"/>
  <c r="U1315" i="99"/>
  <c r="T1315" i="99"/>
  <c r="S1315" i="99"/>
  <c r="R1315" i="99"/>
  <c r="Q1315" i="99"/>
  <c r="P1315" i="99"/>
  <c r="O1315" i="99"/>
  <c r="N1315" i="99"/>
  <c r="M1315" i="99"/>
  <c r="AA1297" i="99"/>
  <c r="Z1297" i="99"/>
  <c r="Y1297" i="99"/>
  <c r="X1297" i="99"/>
  <c r="W1297" i="99"/>
  <c r="V1297" i="99"/>
  <c r="U1297" i="99"/>
  <c r="T1297" i="99"/>
  <c r="S1297" i="99"/>
  <c r="R1297" i="99"/>
  <c r="Q1297" i="99"/>
  <c r="P1297" i="99"/>
  <c r="O1297" i="99"/>
  <c r="N1297" i="99"/>
  <c r="M1297" i="99"/>
  <c r="AA1279" i="99"/>
  <c r="Z1279" i="99"/>
  <c r="Y1279" i="99"/>
  <c r="X1279" i="99"/>
  <c r="W1279" i="99"/>
  <c r="V1279" i="99"/>
  <c r="U1279" i="99"/>
  <c r="T1279" i="99"/>
  <c r="S1279" i="99"/>
  <c r="R1279" i="99"/>
  <c r="Q1279" i="99"/>
  <c r="P1279" i="99"/>
  <c r="O1279" i="99"/>
  <c r="N1279" i="99"/>
  <c r="M1279" i="99"/>
  <c r="AA1261" i="99"/>
  <c r="Z1261" i="99"/>
  <c r="Y1261" i="99"/>
  <c r="X1261" i="99"/>
  <c r="W1261" i="99"/>
  <c r="V1261" i="99"/>
  <c r="U1261" i="99"/>
  <c r="T1261" i="99"/>
  <c r="S1261" i="99"/>
  <c r="R1261" i="99"/>
  <c r="Q1261" i="99"/>
  <c r="P1261" i="99"/>
  <c r="O1261" i="99"/>
  <c r="N1261" i="99"/>
  <c r="M1261" i="99"/>
  <c r="AA1243" i="99"/>
  <c r="Z1243" i="99"/>
  <c r="Y1243" i="99"/>
  <c r="X1243" i="99"/>
  <c r="W1243" i="99"/>
  <c r="V1243" i="99"/>
  <c r="U1243" i="99"/>
  <c r="T1243" i="99"/>
  <c r="S1243" i="99"/>
  <c r="R1243" i="99"/>
  <c r="Q1243" i="99"/>
  <c r="P1243" i="99"/>
  <c r="O1243" i="99"/>
  <c r="N1243" i="99"/>
  <c r="M1243" i="99"/>
  <c r="AA1225" i="99"/>
  <c r="Z1225" i="99"/>
  <c r="Y1225" i="99"/>
  <c r="X1225" i="99"/>
  <c r="W1225" i="99"/>
  <c r="V1225" i="99"/>
  <c r="U1225" i="99"/>
  <c r="T1225" i="99"/>
  <c r="S1225" i="99"/>
  <c r="R1225" i="99"/>
  <c r="Q1225" i="99"/>
  <c r="P1225" i="99"/>
  <c r="O1225" i="99"/>
  <c r="N1225" i="99"/>
  <c r="M1225" i="99"/>
  <c r="AA1207" i="99"/>
  <c r="Z1207" i="99"/>
  <c r="Y1207" i="99"/>
  <c r="X1207" i="99"/>
  <c r="W1207" i="99"/>
  <c r="V1207" i="99"/>
  <c r="U1207" i="99"/>
  <c r="T1207" i="99"/>
  <c r="S1207" i="99"/>
  <c r="R1207" i="99"/>
  <c r="Q1207" i="99"/>
  <c r="P1207" i="99"/>
  <c r="O1207" i="99"/>
  <c r="N1207" i="99"/>
  <c r="M1207" i="99"/>
  <c r="AA1189" i="99"/>
  <c r="Z1189" i="99"/>
  <c r="Y1189" i="99"/>
  <c r="X1189" i="99"/>
  <c r="W1189" i="99"/>
  <c r="V1189" i="99"/>
  <c r="U1189" i="99"/>
  <c r="T1189" i="99"/>
  <c r="S1189" i="99"/>
  <c r="R1189" i="99"/>
  <c r="Q1189" i="99"/>
  <c r="P1189" i="99"/>
  <c r="O1189" i="99"/>
  <c r="N1189" i="99"/>
  <c r="M1189" i="99"/>
  <c r="AA1171" i="99"/>
  <c r="Z1171" i="99"/>
  <c r="Y1171" i="99"/>
  <c r="X1171" i="99"/>
  <c r="W1171" i="99"/>
  <c r="V1171" i="99"/>
  <c r="U1171" i="99"/>
  <c r="T1171" i="99"/>
  <c r="S1171" i="99"/>
  <c r="R1171" i="99"/>
  <c r="Q1171" i="99"/>
  <c r="P1171" i="99"/>
  <c r="O1171" i="99"/>
  <c r="N1171" i="99"/>
  <c r="M1171" i="99"/>
  <c r="AA1153" i="99"/>
  <c r="Z1153" i="99"/>
  <c r="Y1153" i="99"/>
  <c r="X1153" i="99"/>
  <c r="W1153" i="99"/>
  <c r="V1153" i="99"/>
  <c r="U1153" i="99"/>
  <c r="T1153" i="99"/>
  <c r="S1153" i="99"/>
  <c r="R1153" i="99"/>
  <c r="Q1153" i="99"/>
  <c r="P1153" i="99"/>
  <c r="O1153" i="99"/>
  <c r="N1153" i="99"/>
  <c r="M1153" i="99"/>
  <c r="AA1135" i="99"/>
  <c r="Z1135" i="99"/>
  <c r="Y1135" i="99"/>
  <c r="X1135" i="99"/>
  <c r="W1135" i="99"/>
  <c r="V1135" i="99"/>
  <c r="U1135" i="99"/>
  <c r="T1135" i="99"/>
  <c r="S1135" i="99"/>
  <c r="R1135" i="99"/>
  <c r="Q1135" i="99"/>
  <c r="P1135" i="99"/>
  <c r="O1135" i="99"/>
  <c r="N1135" i="99"/>
  <c r="M1135" i="99"/>
  <c r="AA1117" i="99"/>
  <c r="Z1117" i="99"/>
  <c r="Y1117" i="99"/>
  <c r="X1117" i="99"/>
  <c r="W1117" i="99"/>
  <c r="V1117" i="99"/>
  <c r="U1117" i="99"/>
  <c r="T1117" i="99"/>
  <c r="S1117" i="99"/>
  <c r="R1117" i="99"/>
  <c r="Q1117" i="99"/>
  <c r="P1117" i="99"/>
  <c r="O1117" i="99"/>
  <c r="N1117" i="99"/>
  <c r="M1117" i="99"/>
  <c r="AA1099" i="99"/>
  <c r="Z1099" i="99"/>
  <c r="Y1099" i="99"/>
  <c r="X1099" i="99"/>
  <c r="W1099" i="99"/>
  <c r="V1099" i="99"/>
  <c r="U1099" i="99"/>
  <c r="T1099" i="99"/>
  <c r="S1099" i="99"/>
  <c r="R1099" i="99"/>
  <c r="Q1099" i="99"/>
  <c r="P1099" i="99"/>
  <c r="O1099" i="99"/>
  <c r="N1099" i="99"/>
  <c r="M1099" i="99"/>
  <c r="AA1082" i="99"/>
  <c r="Z1082" i="99"/>
  <c r="Y1082" i="99"/>
  <c r="X1082" i="99"/>
  <c r="W1082" i="99"/>
  <c r="V1082" i="99"/>
  <c r="U1082" i="99"/>
  <c r="T1082" i="99"/>
  <c r="S1082" i="99"/>
  <c r="R1082" i="99"/>
  <c r="Q1082" i="99"/>
  <c r="P1082" i="99"/>
  <c r="O1082" i="99"/>
  <c r="N1082" i="99"/>
  <c r="M1082" i="99"/>
  <c r="AA1064" i="99"/>
  <c r="Z1064" i="99"/>
  <c r="Y1064" i="99"/>
  <c r="X1064" i="99"/>
  <c r="W1064" i="99"/>
  <c r="V1064" i="99"/>
  <c r="U1064" i="99"/>
  <c r="T1064" i="99"/>
  <c r="S1064" i="99"/>
  <c r="R1064" i="99"/>
  <c r="Q1064" i="99"/>
  <c r="P1064" i="99"/>
  <c r="O1064" i="99"/>
  <c r="N1064" i="99"/>
  <c r="M1064" i="99"/>
  <c r="AA1046" i="99"/>
  <c r="Z1046" i="99"/>
  <c r="Y1046" i="99"/>
  <c r="X1046" i="99"/>
  <c r="W1046" i="99"/>
  <c r="V1046" i="99"/>
  <c r="U1046" i="99"/>
  <c r="T1046" i="99"/>
  <c r="S1046" i="99"/>
  <c r="R1046" i="99"/>
  <c r="Q1046" i="99"/>
  <c r="P1046" i="99"/>
  <c r="O1046" i="99"/>
  <c r="N1046" i="99"/>
  <c r="M1046" i="99"/>
  <c r="AA1028" i="99"/>
  <c r="Z1028" i="99"/>
  <c r="Y1028" i="99"/>
  <c r="X1028" i="99"/>
  <c r="W1028" i="99"/>
  <c r="V1028" i="99"/>
  <c r="U1028" i="99"/>
  <c r="T1028" i="99"/>
  <c r="S1028" i="99"/>
  <c r="R1028" i="99"/>
  <c r="Q1028" i="99"/>
  <c r="P1028" i="99"/>
  <c r="O1028" i="99"/>
  <c r="N1028" i="99"/>
  <c r="M1028" i="99"/>
  <c r="AA1010" i="99"/>
  <c r="Z1010" i="99"/>
  <c r="Y1010" i="99"/>
  <c r="X1010" i="99"/>
  <c r="W1010" i="99"/>
  <c r="V1010" i="99"/>
  <c r="U1010" i="99"/>
  <c r="T1010" i="99"/>
  <c r="S1010" i="99"/>
  <c r="R1010" i="99"/>
  <c r="Q1010" i="99"/>
  <c r="P1010" i="99"/>
  <c r="O1010" i="99"/>
  <c r="N1010" i="99"/>
  <c r="M1010" i="99"/>
  <c r="AA992" i="99"/>
  <c r="Z992" i="99"/>
  <c r="Y992" i="99"/>
  <c r="X992" i="99"/>
  <c r="W992" i="99"/>
  <c r="V992" i="99"/>
  <c r="U992" i="99"/>
  <c r="T992" i="99"/>
  <c r="S992" i="99"/>
  <c r="R992" i="99"/>
  <c r="Q992" i="99"/>
  <c r="P992" i="99"/>
  <c r="O992" i="99"/>
  <c r="N992" i="99"/>
  <c r="M992" i="99"/>
  <c r="AA974" i="99"/>
  <c r="Z974" i="99"/>
  <c r="Y974" i="99"/>
  <c r="X974" i="99"/>
  <c r="W974" i="99"/>
  <c r="V974" i="99"/>
  <c r="U974" i="99"/>
  <c r="T974" i="99"/>
  <c r="S974" i="99"/>
  <c r="R974" i="99"/>
  <c r="Q974" i="99"/>
  <c r="P974" i="99"/>
  <c r="O974" i="99"/>
  <c r="N974" i="99"/>
  <c r="M974" i="99"/>
  <c r="AA956" i="99"/>
  <c r="Z956" i="99"/>
  <c r="Y956" i="99"/>
  <c r="X956" i="99"/>
  <c r="W956" i="99"/>
  <c r="V956" i="99"/>
  <c r="U956" i="99"/>
  <c r="T956" i="99"/>
  <c r="S956" i="99"/>
  <c r="R956" i="99"/>
  <c r="Q956" i="99"/>
  <c r="P956" i="99"/>
  <c r="O956" i="99"/>
  <c r="N956" i="99"/>
  <c r="M956" i="99"/>
  <c r="AA937" i="99"/>
  <c r="Z937" i="99"/>
  <c r="Y937" i="99"/>
  <c r="X937" i="99"/>
  <c r="W937" i="99"/>
  <c r="V937" i="99"/>
  <c r="U937" i="99"/>
  <c r="T937" i="99"/>
  <c r="S937" i="99"/>
  <c r="R937" i="99"/>
  <c r="Q937" i="99"/>
  <c r="P937" i="99"/>
  <c r="O937" i="99"/>
  <c r="N937" i="99"/>
  <c r="M937" i="99"/>
  <c r="AA919" i="99"/>
  <c r="Z919" i="99"/>
  <c r="Y919" i="99"/>
  <c r="X919" i="99"/>
  <c r="W919" i="99"/>
  <c r="V919" i="99"/>
  <c r="U919" i="99"/>
  <c r="T919" i="99"/>
  <c r="S919" i="99"/>
  <c r="R919" i="99"/>
  <c r="Q919" i="99"/>
  <c r="P919" i="99"/>
  <c r="O919" i="99"/>
  <c r="N919" i="99"/>
  <c r="M919" i="99"/>
  <c r="AA901" i="99"/>
  <c r="Z901" i="99"/>
  <c r="Y901" i="99"/>
  <c r="X901" i="99"/>
  <c r="W901" i="99"/>
  <c r="V901" i="99"/>
  <c r="U901" i="99"/>
  <c r="T901" i="99"/>
  <c r="S901" i="99"/>
  <c r="R901" i="99"/>
  <c r="Q901" i="99"/>
  <c r="P901" i="99"/>
  <c r="O901" i="99"/>
  <c r="N901" i="99"/>
  <c r="M901" i="99"/>
  <c r="AA883" i="99"/>
  <c r="Z883" i="99"/>
  <c r="Y883" i="99"/>
  <c r="X883" i="99"/>
  <c r="W883" i="99"/>
  <c r="V883" i="99"/>
  <c r="U883" i="99"/>
  <c r="T883" i="99"/>
  <c r="S883" i="99"/>
  <c r="R883" i="99"/>
  <c r="Q883" i="99"/>
  <c r="P883" i="99"/>
  <c r="O883" i="99"/>
  <c r="N883" i="99"/>
  <c r="M883" i="99"/>
  <c r="AA865" i="99"/>
  <c r="Z865" i="99"/>
  <c r="Y865" i="99"/>
  <c r="X865" i="99"/>
  <c r="W865" i="99"/>
  <c r="V865" i="99"/>
  <c r="U865" i="99"/>
  <c r="T865" i="99"/>
  <c r="S865" i="99"/>
  <c r="R865" i="99"/>
  <c r="Q865" i="99"/>
  <c r="P865" i="99"/>
  <c r="O865" i="99"/>
  <c r="N865" i="99"/>
  <c r="M865" i="99"/>
  <c r="AA847" i="99"/>
  <c r="Z847" i="99"/>
  <c r="Y847" i="99"/>
  <c r="X847" i="99"/>
  <c r="W847" i="99"/>
  <c r="V847" i="99"/>
  <c r="U847" i="99"/>
  <c r="T847" i="99"/>
  <c r="S847" i="99"/>
  <c r="R847" i="99"/>
  <c r="Q847" i="99"/>
  <c r="P847" i="99"/>
  <c r="O847" i="99"/>
  <c r="N847" i="99"/>
  <c r="M847" i="99"/>
  <c r="AA829" i="99"/>
  <c r="Z829" i="99"/>
  <c r="Y829" i="99"/>
  <c r="X829" i="99"/>
  <c r="W829" i="99"/>
  <c r="V829" i="99"/>
  <c r="U829" i="99"/>
  <c r="T829" i="99"/>
  <c r="S829" i="99"/>
  <c r="R829" i="99"/>
  <c r="Q829" i="99"/>
  <c r="P829" i="99"/>
  <c r="O829" i="99"/>
  <c r="N829" i="99"/>
  <c r="M829" i="99"/>
  <c r="AA811" i="99"/>
  <c r="Z811" i="99"/>
  <c r="Y811" i="99"/>
  <c r="X811" i="99"/>
  <c r="W811" i="99"/>
  <c r="V811" i="99"/>
  <c r="U811" i="99"/>
  <c r="T811" i="99"/>
  <c r="S811" i="99"/>
  <c r="R811" i="99"/>
  <c r="Q811" i="99"/>
  <c r="P811" i="99"/>
  <c r="O811" i="99"/>
  <c r="N811" i="99"/>
  <c r="M811" i="99"/>
  <c r="AA793" i="99"/>
  <c r="Z793" i="99"/>
  <c r="Y793" i="99"/>
  <c r="X793" i="99"/>
  <c r="W793" i="99"/>
  <c r="V793" i="99"/>
  <c r="U793" i="99"/>
  <c r="T793" i="99"/>
  <c r="S793" i="99"/>
  <c r="R793" i="99"/>
  <c r="Q793" i="99"/>
  <c r="P793" i="99"/>
  <c r="O793" i="99"/>
  <c r="N793" i="99"/>
  <c r="M793" i="99"/>
  <c r="AA775" i="99"/>
  <c r="Z775" i="99"/>
  <c r="Y775" i="99"/>
  <c r="X775" i="99"/>
  <c r="W775" i="99"/>
  <c r="V775" i="99"/>
  <c r="U775" i="99"/>
  <c r="T775" i="99"/>
  <c r="S775" i="99"/>
  <c r="R775" i="99"/>
  <c r="Q775" i="99"/>
  <c r="P775" i="99"/>
  <c r="O775" i="99"/>
  <c r="N775" i="99"/>
  <c r="M775" i="99"/>
  <c r="AA757" i="99"/>
  <c r="Z757" i="99"/>
  <c r="Y757" i="99"/>
  <c r="X757" i="99"/>
  <c r="W757" i="99"/>
  <c r="V757" i="99"/>
  <c r="U757" i="99"/>
  <c r="T757" i="99"/>
  <c r="S757" i="99"/>
  <c r="R757" i="99"/>
  <c r="Q757" i="99"/>
  <c r="P757" i="99"/>
  <c r="O757" i="99"/>
  <c r="N757" i="99"/>
  <c r="M757" i="99"/>
  <c r="AA739" i="99"/>
  <c r="Z739" i="99"/>
  <c r="Y739" i="99"/>
  <c r="X739" i="99"/>
  <c r="W739" i="99"/>
  <c r="V739" i="99"/>
  <c r="U739" i="99"/>
  <c r="T739" i="99"/>
  <c r="S739" i="99"/>
  <c r="R739" i="99"/>
  <c r="Q739" i="99"/>
  <c r="P739" i="99"/>
  <c r="O739" i="99"/>
  <c r="N739" i="99"/>
  <c r="M739" i="99"/>
  <c r="AA721" i="99"/>
  <c r="Z721" i="99"/>
  <c r="Y721" i="99"/>
  <c r="X721" i="99"/>
  <c r="W721" i="99"/>
  <c r="V721" i="99"/>
  <c r="U721" i="99"/>
  <c r="T721" i="99"/>
  <c r="S721" i="99"/>
  <c r="R721" i="99"/>
  <c r="Q721" i="99"/>
  <c r="P721" i="99"/>
  <c r="O721" i="99"/>
  <c r="N721" i="99"/>
  <c r="M721" i="99"/>
  <c r="AA703" i="99"/>
  <c r="Z703" i="99"/>
  <c r="Y703" i="99"/>
  <c r="X703" i="99"/>
  <c r="W703" i="99"/>
  <c r="V703" i="99"/>
  <c r="U703" i="99"/>
  <c r="T703" i="99"/>
  <c r="S703" i="99"/>
  <c r="R703" i="99"/>
  <c r="Q703" i="99"/>
  <c r="P703" i="99"/>
  <c r="O703" i="99"/>
  <c r="N703" i="99"/>
  <c r="M703" i="99"/>
  <c r="AA685" i="99"/>
  <c r="Z685" i="99"/>
  <c r="Y685" i="99"/>
  <c r="X685" i="99"/>
  <c r="W685" i="99"/>
  <c r="V685" i="99"/>
  <c r="U685" i="99"/>
  <c r="T685" i="99"/>
  <c r="S685" i="99"/>
  <c r="R685" i="99"/>
  <c r="Q685" i="99"/>
  <c r="P685" i="99"/>
  <c r="O685" i="99"/>
  <c r="N685" i="99"/>
  <c r="M685" i="99"/>
  <c r="AA667" i="99"/>
  <c r="Z667" i="99"/>
  <c r="Y667" i="99"/>
  <c r="X667" i="99"/>
  <c r="W667" i="99"/>
  <c r="V667" i="99"/>
  <c r="U667" i="99"/>
  <c r="T667" i="99"/>
  <c r="S667" i="99"/>
  <c r="R667" i="99"/>
  <c r="Q667" i="99"/>
  <c r="P667" i="99"/>
  <c r="O667" i="99"/>
  <c r="N667" i="99"/>
  <c r="M667" i="99"/>
  <c r="AA649" i="99"/>
  <c r="Z649" i="99"/>
  <c r="Y649" i="99"/>
  <c r="X649" i="99"/>
  <c r="W649" i="99"/>
  <c r="V649" i="99"/>
  <c r="U649" i="99"/>
  <c r="T649" i="99"/>
  <c r="S649" i="99"/>
  <c r="R649" i="99"/>
  <c r="Q649" i="99"/>
  <c r="P649" i="99"/>
  <c r="O649" i="99"/>
  <c r="N649" i="99"/>
  <c r="M649" i="99"/>
  <c r="AA631" i="99"/>
  <c r="Z631" i="99"/>
  <c r="Y631" i="99"/>
  <c r="X631" i="99"/>
  <c r="W631" i="99"/>
  <c r="V631" i="99"/>
  <c r="U631" i="99"/>
  <c r="T631" i="99"/>
  <c r="S631" i="99"/>
  <c r="R631" i="99"/>
  <c r="Q631" i="99"/>
  <c r="P631" i="99"/>
  <c r="O631" i="99"/>
  <c r="N631" i="99"/>
  <c r="M631" i="99"/>
  <c r="AA613" i="99"/>
  <c r="Z613" i="99"/>
  <c r="Y613" i="99"/>
  <c r="X613" i="99"/>
  <c r="W613" i="99"/>
  <c r="V613" i="99"/>
  <c r="U613" i="99"/>
  <c r="T613" i="99"/>
  <c r="S613" i="99"/>
  <c r="R613" i="99"/>
  <c r="Q613" i="99"/>
  <c r="P613" i="99"/>
  <c r="O613" i="99"/>
  <c r="N613" i="99"/>
  <c r="M613" i="99"/>
  <c r="Z595" i="99"/>
  <c r="Y595" i="99"/>
  <c r="X595" i="99"/>
  <c r="W595" i="99"/>
  <c r="V595" i="99"/>
  <c r="U595" i="99"/>
  <c r="T595" i="99"/>
  <c r="AA594" i="99"/>
  <c r="Z594" i="99"/>
  <c r="Y594" i="99"/>
  <c r="X594" i="99"/>
  <c r="W594" i="99"/>
  <c r="V594" i="99"/>
  <c r="U594" i="99"/>
  <c r="T594" i="99"/>
  <c r="S594" i="99"/>
  <c r="R594" i="99"/>
  <c r="Q594" i="99"/>
  <c r="P594" i="99"/>
  <c r="O594" i="99"/>
  <c r="N594" i="99"/>
  <c r="M594" i="99"/>
  <c r="AA576" i="99"/>
  <c r="Z576" i="99"/>
  <c r="Y576" i="99"/>
  <c r="X576" i="99"/>
  <c r="W576" i="99"/>
  <c r="V576" i="99"/>
  <c r="U576" i="99"/>
  <c r="T576" i="99"/>
  <c r="S576" i="99"/>
  <c r="R576" i="99"/>
  <c r="Q576" i="99"/>
  <c r="P576" i="99"/>
  <c r="O576" i="99"/>
  <c r="N576" i="99"/>
  <c r="M576" i="99"/>
  <c r="AA558" i="99"/>
  <c r="Z558" i="99"/>
  <c r="Y558" i="99"/>
  <c r="X558" i="99"/>
  <c r="W558" i="99"/>
  <c r="V558" i="99"/>
  <c r="U558" i="99"/>
  <c r="T558" i="99"/>
  <c r="S558" i="99"/>
  <c r="R558" i="99"/>
  <c r="Q558" i="99"/>
  <c r="P558" i="99"/>
  <c r="O558" i="99"/>
  <c r="N558" i="99"/>
  <c r="M558" i="99"/>
  <c r="AA540" i="99"/>
  <c r="Z540" i="99"/>
  <c r="Y540" i="99"/>
  <c r="X540" i="99"/>
  <c r="W540" i="99"/>
  <c r="V540" i="99"/>
  <c r="U540" i="99"/>
  <c r="T540" i="99"/>
  <c r="S540" i="99"/>
  <c r="R540" i="99"/>
  <c r="Q540" i="99"/>
  <c r="P540" i="99"/>
  <c r="O540" i="99"/>
  <c r="N540" i="99"/>
  <c r="M540" i="99"/>
  <c r="AA522" i="99"/>
  <c r="Z522" i="99"/>
  <c r="Y522" i="99"/>
  <c r="X522" i="99"/>
  <c r="W522" i="99"/>
  <c r="V522" i="99"/>
  <c r="U522" i="99"/>
  <c r="T522" i="99"/>
  <c r="S522" i="99"/>
  <c r="R522" i="99"/>
  <c r="Q522" i="99"/>
  <c r="P522" i="99"/>
  <c r="O522" i="99"/>
  <c r="N522" i="99"/>
  <c r="M522" i="99"/>
  <c r="AA504" i="99"/>
  <c r="Z504" i="99"/>
  <c r="Y504" i="99"/>
  <c r="X504" i="99"/>
  <c r="W504" i="99"/>
  <c r="V504" i="99"/>
  <c r="U504" i="99"/>
  <c r="T504" i="99"/>
  <c r="S504" i="99"/>
  <c r="R504" i="99"/>
  <c r="Q504" i="99"/>
  <c r="P504" i="99"/>
  <c r="O504" i="99"/>
  <c r="N504" i="99"/>
  <c r="M504" i="99"/>
  <c r="AA486" i="99"/>
  <c r="Z486" i="99"/>
  <c r="Y486" i="99"/>
  <c r="X486" i="99"/>
  <c r="W486" i="99"/>
  <c r="V486" i="99"/>
  <c r="U486" i="99"/>
  <c r="T486" i="99"/>
  <c r="S486" i="99"/>
  <c r="R486" i="99"/>
  <c r="Q486" i="99"/>
  <c r="P486" i="99"/>
  <c r="O486" i="99"/>
  <c r="N486" i="99"/>
  <c r="M486" i="99"/>
  <c r="AA468" i="99"/>
  <c r="Z468" i="99"/>
  <c r="Y468" i="99"/>
  <c r="X468" i="99"/>
  <c r="W468" i="99"/>
  <c r="V468" i="99"/>
  <c r="U468" i="99"/>
  <c r="T468" i="99"/>
  <c r="S468" i="99"/>
  <c r="R468" i="99"/>
  <c r="Q468" i="99"/>
  <c r="P468" i="99"/>
  <c r="O468" i="99"/>
  <c r="N468" i="99"/>
  <c r="M468" i="99"/>
  <c r="AA450" i="99"/>
  <c r="Z450" i="99"/>
  <c r="Y450" i="99"/>
  <c r="X450" i="99"/>
  <c r="W450" i="99"/>
  <c r="V450" i="99"/>
  <c r="U450" i="99"/>
  <c r="T450" i="99"/>
  <c r="S450" i="99"/>
  <c r="R450" i="99"/>
  <c r="Q450" i="99"/>
  <c r="P450" i="99"/>
  <c r="O450" i="99"/>
  <c r="N450" i="99"/>
  <c r="M450" i="99"/>
  <c r="AA432" i="99"/>
  <c r="Z432" i="99"/>
  <c r="Y432" i="99"/>
  <c r="X432" i="99"/>
  <c r="W432" i="99"/>
  <c r="V432" i="99"/>
  <c r="U432" i="99"/>
  <c r="T432" i="99"/>
  <c r="S432" i="99"/>
  <c r="R432" i="99"/>
  <c r="Q432" i="99"/>
  <c r="P432" i="99"/>
  <c r="O432" i="99"/>
  <c r="N432" i="99"/>
  <c r="M432" i="99"/>
  <c r="AA414" i="99"/>
  <c r="Z414" i="99"/>
  <c r="Y414" i="99"/>
  <c r="X414" i="99"/>
  <c r="W414" i="99"/>
  <c r="V414" i="99"/>
  <c r="U414" i="99"/>
  <c r="T414" i="99"/>
  <c r="S414" i="99"/>
  <c r="R414" i="99"/>
  <c r="Q414" i="99"/>
  <c r="P414" i="99"/>
  <c r="O414" i="99"/>
  <c r="N414" i="99"/>
  <c r="M414" i="99"/>
  <c r="AA396" i="99"/>
  <c r="Z396" i="99"/>
  <c r="Y396" i="99"/>
  <c r="X396" i="99"/>
  <c r="W396" i="99"/>
  <c r="V396" i="99"/>
  <c r="U396" i="99"/>
  <c r="T396" i="99"/>
  <c r="S396" i="99"/>
  <c r="R396" i="99"/>
  <c r="Q396" i="99"/>
  <c r="P396" i="99"/>
  <c r="O396" i="99"/>
  <c r="N396" i="99"/>
  <c r="M396" i="99"/>
  <c r="AA378" i="99"/>
  <c r="Z378" i="99"/>
  <c r="Y378" i="99"/>
  <c r="X378" i="99"/>
  <c r="W378" i="99"/>
  <c r="V378" i="99"/>
  <c r="U378" i="99"/>
  <c r="T378" i="99"/>
  <c r="S378" i="99"/>
  <c r="R378" i="99"/>
  <c r="Q378" i="99"/>
  <c r="P378" i="99"/>
  <c r="O378" i="99"/>
  <c r="N378" i="99"/>
  <c r="M378" i="99"/>
  <c r="AA360" i="99"/>
  <c r="Z360" i="99"/>
  <c r="Y360" i="99"/>
  <c r="X360" i="99"/>
  <c r="W360" i="99"/>
  <c r="V360" i="99"/>
  <c r="U360" i="99"/>
  <c r="T360" i="99"/>
  <c r="S360" i="99"/>
  <c r="R360" i="99"/>
  <c r="Q360" i="99"/>
  <c r="P360" i="99"/>
  <c r="O360" i="99"/>
  <c r="N360" i="99"/>
  <c r="M360" i="99"/>
  <c r="AA342" i="99"/>
  <c r="Z342" i="99"/>
  <c r="Y342" i="99"/>
  <c r="X342" i="99"/>
  <c r="W342" i="99"/>
  <c r="V342" i="99"/>
  <c r="U342" i="99"/>
  <c r="T342" i="99"/>
  <c r="S342" i="99"/>
  <c r="R342" i="99"/>
  <c r="Q342" i="99"/>
  <c r="P342" i="99"/>
  <c r="O342" i="99"/>
  <c r="N342" i="99"/>
  <c r="M342" i="99"/>
  <c r="AA324" i="99"/>
  <c r="Z324" i="99"/>
  <c r="Y324" i="99"/>
  <c r="X324" i="99"/>
  <c r="W324" i="99"/>
  <c r="V324" i="99"/>
  <c r="U324" i="99"/>
  <c r="T324" i="99"/>
  <c r="S324" i="99"/>
  <c r="R324" i="99"/>
  <c r="Q324" i="99"/>
  <c r="P324" i="99"/>
  <c r="O324" i="99"/>
  <c r="N324" i="99"/>
  <c r="M324" i="99"/>
  <c r="AA306" i="99"/>
  <c r="Z306" i="99"/>
  <c r="Y306" i="99"/>
  <c r="X306" i="99"/>
  <c r="W306" i="99"/>
  <c r="V306" i="99"/>
  <c r="U306" i="99"/>
  <c r="T306" i="99"/>
  <c r="S306" i="99"/>
  <c r="R306" i="99"/>
  <c r="Q306" i="99"/>
  <c r="P306" i="99"/>
  <c r="O306" i="99"/>
  <c r="N306" i="99"/>
  <c r="M306" i="99"/>
  <c r="AA288" i="99"/>
  <c r="Z288" i="99"/>
  <c r="Y288" i="99"/>
  <c r="X288" i="99"/>
  <c r="W288" i="99"/>
  <c r="V288" i="99"/>
  <c r="U288" i="99"/>
  <c r="T288" i="99"/>
  <c r="S288" i="99"/>
  <c r="R288" i="99"/>
  <c r="Q288" i="99"/>
  <c r="P288" i="99"/>
  <c r="O288" i="99"/>
  <c r="N288" i="99"/>
  <c r="M288" i="99"/>
  <c r="AA270" i="99"/>
  <c r="Z270" i="99"/>
  <c r="Y270" i="99"/>
  <c r="X270" i="99"/>
  <c r="W270" i="99"/>
  <c r="V270" i="99"/>
  <c r="U270" i="99"/>
  <c r="T270" i="99"/>
  <c r="S270" i="99"/>
  <c r="R270" i="99"/>
  <c r="Q270" i="99"/>
  <c r="P270" i="99"/>
  <c r="O270" i="99"/>
  <c r="N270" i="99"/>
  <c r="M270" i="99"/>
  <c r="AA252" i="99"/>
  <c r="Z252" i="99"/>
  <c r="Y252" i="99"/>
  <c r="X252" i="99"/>
  <c r="W252" i="99"/>
  <c r="V252" i="99"/>
  <c r="U252" i="99"/>
  <c r="T252" i="99"/>
  <c r="S252" i="99"/>
  <c r="R252" i="99"/>
  <c r="Q252" i="99"/>
  <c r="P252" i="99"/>
  <c r="O252" i="99"/>
  <c r="N252" i="99"/>
  <c r="M252" i="99"/>
  <c r="AA234" i="99"/>
  <c r="Z234" i="99"/>
  <c r="Y234" i="99"/>
  <c r="X234" i="99"/>
  <c r="W234" i="99"/>
  <c r="V234" i="99"/>
  <c r="U234" i="99"/>
  <c r="T234" i="99"/>
  <c r="S234" i="99"/>
  <c r="R234" i="99"/>
  <c r="Q234" i="99"/>
  <c r="P234" i="99"/>
  <c r="O234" i="99"/>
  <c r="N234" i="99"/>
  <c r="M234" i="99"/>
  <c r="AA216" i="99"/>
  <c r="Z216" i="99"/>
  <c r="Y216" i="99"/>
  <c r="X216" i="99"/>
  <c r="W216" i="99"/>
  <c r="V216" i="99"/>
  <c r="U216" i="99"/>
  <c r="T216" i="99"/>
  <c r="S216" i="99"/>
  <c r="R216" i="99"/>
  <c r="Q216" i="99"/>
  <c r="P216" i="99"/>
  <c r="O216" i="99"/>
  <c r="N216" i="99"/>
  <c r="M216" i="99"/>
  <c r="AA198" i="99"/>
  <c r="Z198" i="99"/>
  <c r="Y198" i="99"/>
  <c r="X198" i="99"/>
  <c r="W198" i="99"/>
  <c r="V198" i="99"/>
  <c r="U198" i="99"/>
  <c r="T198" i="99"/>
  <c r="S198" i="99"/>
  <c r="R198" i="99"/>
  <c r="Q198" i="99"/>
  <c r="P198" i="99"/>
  <c r="O198" i="99"/>
  <c r="N198" i="99"/>
  <c r="M198" i="99"/>
  <c r="AA180" i="99"/>
  <c r="Z180" i="99"/>
  <c r="Y180" i="99"/>
  <c r="X180" i="99"/>
  <c r="W180" i="99"/>
  <c r="V180" i="99"/>
  <c r="U180" i="99"/>
  <c r="T180" i="99"/>
  <c r="S180" i="99"/>
  <c r="R180" i="99"/>
  <c r="Q180" i="99"/>
  <c r="P180" i="99"/>
  <c r="O180" i="99"/>
  <c r="N180" i="99"/>
  <c r="M180" i="99"/>
  <c r="AA162" i="99"/>
  <c r="Z162" i="99"/>
  <c r="Y162" i="99"/>
  <c r="X162" i="99"/>
  <c r="W162" i="99"/>
  <c r="V162" i="99"/>
  <c r="U162" i="99"/>
  <c r="T162" i="99"/>
  <c r="S162" i="99"/>
  <c r="R162" i="99"/>
  <c r="Q162" i="99"/>
  <c r="P162" i="99"/>
  <c r="O162" i="99"/>
  <c r="N162" i="99"/>
  <c r="M162" i="99"/>
  <c r="AA144" i="99"/>
  <c r="Z144" i="99"/>
  <c r="Y144" i="99"/>
  <c r="X144" i="99"/>
  <c r="W144" i="99"/>
  <c r="V144" i="99"/>
  <c r="U144" i="99"/>
  <c r="T144" i="99"/>
  <c r="S144" i="99"/>
  <c r="R144" i="99"/>
  <c r="Q144" i="99"/>
  <c r="P144" i="99"/>
  <c r="O144" i="99"/>
  <c r="N144" i="99"/>
  <c r="M144" i="99"/>
  <c r="AA126" i="99"/>
  <c r="Z126" i="99"/>
  <c r="Y126" i="99"/>
  <c r="X126" i="99"/>
  <c r="W126" i="99"/>
  <c r="V126" i="99"/>
  <c r="U126" i="99"/>
  <c r="T126" i="99"/>
  <c r="S126" i="99"/>
  <c r="R126" i="99"/>
  <c r="Q126" i="99"/>
  <c r="P126" i="99"/>
  <c r="O126" i="99"/>
  <c r="N126" i="99"/>
  <c r="M126" i="99"/>
  <c r="AA108" i="99"/>
  <c r="Z108" i="99"/>
  <c r="Y108" i="99"/>
  <c r="X108" i="99"/>
  <c r="W108" i="99"/>
  <c r="V108" i="99"/>
  <c r="U108" i="99"/>
  <c r="T108" i="99"/>
  <c r="S108" i="99"/>
  <c r="R108" i="99"/>
  <c r="Q108" i="99"/>
  <c r="P108" i="99"/>
  <c r="O108" i="99"/>
  <c r="N108" i="99"/>
  <c r="M108" i="99"/>
  <c r="AA90" i="99"/>
  <c r="Z90" i="99"/>
  <c r="Y90" i="99"/>
  <c r="X90" i="99"/>
  <c r="W90" i="99"/>
  <c r="V90" i="99"/>
  <c r="U90" i="99"/>
  <c r="T90" i="99"/>
  <c r="S90" i="99"/>
  <c r="R90" i="99"/>
  <c r="Q90" i="99"/>
  <c r="P90" i="99"/>
  <c r="O90" i="99"/>
  <c r="N90" i="99"/>
  <c r="M90" i="99"/>
  <c r="AA72" i="99"/>
  <c r="Z72" i="99"/>
  <c r="Y72" i="99"/>
  <c r="X72" i="99"/>
  <c r="W72" i="99"/>
  <c r="V72" i="99"/>
  <c r="U72" i="99"/>
  <c r="T72" i="99"/>
  <c r="S72" i="99"/>
  <c r="R72" i="99"/>
  <c r="Q72" i="99"/>
  <c r="P72" i="99"/>
  <c r="O72" i="99"/>
  <c r="N72" i="99"/>
  <c r="M72" i="99"/>
  <c r="AA54" i="99"/>
  <c r="Z54" i="99"/>
  <c r="Y54" i="99"/>
  <c r="X54" i="99"/>
  <c r="W54" i="99"/>
  <c r="V54" i="99"/>
  <c r="U54" i="99"/>
  <c r="T54" i="99"/>
  <c r="S54" i="99"/>
  <c r="R54" i="99"/>
  <c r="Q54" i="99"/>
  <c r="P54" i="99"/>
  <c r="O54" i="99"/>
  <c r="N54" i="99"/>
  <c r="M54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AA18" i="99"/>
  <c r="Z18" i="99"/>
  <c r="Y18" i="99"/>
  <c r="X18" i="99"/>
  <c r="W18" i="99"/>
  <c r="V18" i="99"/>
  <c r="U18" i="99"/>
  <c r="T18" i="99"/>
  <c r="S18" i="99"/>
  <c r="R18" i="99"/>
  <c r="Q18" i="99"/>
  <c r="P18" i="99"/>
  <c r="O18" i="99"/>
  <c r="N18" i="99"/>
  <c r="M18" i="99"/>
  <c r="Z98" i="41"/>
  <c r="Z97" i="41"/>
  <c r="Z96" i="41"/>
  <c r="Z95" i="41"/>
  <c r="Z94" i="41"/>
  <c r="Z93" i="41"/>
  <c r="Z92" i="41"/>
  <c r="Z91" i="41"/>
  <c r="Z90" i="41"/>
  <c r="Z89" i="41"/>
  <c r="Z88" i="41"/>
  <c r="Z87" i="41"/>
  <c r="Z86" i="41"/>
  <c r="Z85" i="41"/>
  <c r="Z84" i="41"/>
  <c r="Z83" i="41"/>
  <c r="Z82" i="41"/>
  <c r="Z81" i="41"/>
  <c r="Z80" i="41"/>
  <c r="Z79" i="41"/>
  <c r="Z78" i="41"/>
  <c r="Z77" i="41"/>
  <c r="Z76" i="41"/>
  <c r="Z75" i="41"/>
  <c r="Z74" i="41"/>
  <c r="Z73" i="41"/>
  <c r="Z72" i="41"/>
  <c r="Z71" i="41"/>
  <c r="Z70" i="41"/>
  <c r="Z69" i="41"/>
  <c r="Z68" i="41"/>
  <c r="Z67" i="41"/>
  <c r="Z66" i="41"/>
  <c r="Z65" i="41"/>
  <c r="Z64" i="41"/>
  <c r="Z63" i="41"/>
  <c r="Z62" i="41"/>
  <c r="Z61" i="41"/>
  <c r="Z60" i="41"/>
  <c r="Z59" i="41"/>
  <c r="Z58" i="41"/>
  <c r="Z57" i="41"/>
  <c r="Z56" i="41"/>
  <c r="Z55" i="41"/>
  <c r="Z54" i="41"/>
  <c r="Z53" i="41"/>
  <c r="Z52" i="41"/>
  <c r="Z51" i="41"/>
  <c r="Z50" i="41"/>
  <c r="Z49" i="41"/>
  <c r="Z48" i="41"/>
  <c r="Z47" i="41"/>
  <c r="Z46" i="41"/>
  <c r="Z45" i="41"/>
  <c r="Z44" i="41"/>
  <c r="Z43" i="41"/>
  <c r="Z42" i="41"/>
  <c r="Z41" i="41"/>
  <c r="Z40" i="41"/>
  <c r="Z39" i="41"/>
  <c r="Z38" i="41"/>
  <c r="Z37" i="41"/>
  <c r="Z36" i="41"/>
  <c r="Z35" i="41"/>
  <c r="Z34" i="41"/>
  <c r="Z33" i="41"/>
  <c r="Z32" i="41"/>
  <c r="Z31" i="41"/>
  <c r="Z30" i="41"/>
  <c r="Z29" i="41"/>
  <c r="Z28" i="41"/>
  <c r="Z27" i="41"/>
  <c r="Z26" i="41"/>
  <c r="Z25" i="41"/>
  <c r="Z24" i="41"/>
  <c r="Z23" i="41"/>
  <c r="Z22" i="41"/>
  <c r="Z21" i="41"/>
  <c r="Z20" i="41"/>
  <c r="Z19" i="41"/>
  <c r="Z18" i="41"/>
  <c r="Z17" i="41"/>
  <c r="Z16" i="41"/>
  <c r="Z15" i="41"/>
  <c r="Z14" i="41"/>
  <c r="Z13" i="41"/>
  <c r="Z12" i="41"/>
  <c r="Z11" i="41"/>
  <c r="Z10" i="41"/>
  <c r="Z9" i="41"/>
  <c r="Z8" i="41"/>
  <c r="K76" i="41"/>
  <c r="K60" i="41"/>
  <c r="K51" i="41"/>
  <c r="K41" i="41"/>
  <c r="K33" i="41"/>
  <c r="K27" i="41"/>
  <c r="K19" i="41"/>
  <c r="K9" i="41"/>
  <c r="CV97" i="41"/>
  <c r="BK97" i="41"/>
  <c r="BJ97" i="41"/>
  <c r="BB97" i="41"/>
  <c r="BA97" i="41"/>
  <c r="AY97" i="41"/>
  <c r="AX97" i="41"/>
  <c r="AS97" i="41"/>
  <c r="AR97" i="41"/>
  <c r="AP97" i="41"/>
  <c r="AQ97" i="41" s="1"/>
  <c r="AM97" i="41"/>
  <c r="AJ97" i="41"/>
  <c r="AK97" i="41" s="1"/>
  <c r="AG97" i="41"/>
  <c r="AF97" i="41"/>
  <c r="AD97" i="41"/>
  <c r="AE97" i="41" s="1"/>
  <c r="AA97" i="41"/>
  <c r="X97" i="41"/>
  <c r="O97" i="41"/>
  <c r="H97" i="41"/>
  <c r="G97" i="41"/>
  <c r="F97" i="41"/>
  <c r="F22" i="41"/>
  <c r="CV24" i="41"/>
  <c r="CV98" i="41"/>
  <c r="CV96" i="41"/>
  <c r="CV95" i="41"/>
  <c r="CV94" i="41"/>
  <c r="CV93" i="41"/>
  <c r="CV92" i="41"/>
  <c r="CV91" i="41"/>
  <c r="CV90" i="41"/>
  <c r="CV89" i="41"/>
  <c r="CV88" i="41"/>
  <c r="CV87" i="41"/>
  <c r="CV86" i="41"/>
  <c r="CV85" i="41"/>
  <c r="CV84" i="41"/>
  <c r="CV83" i="41"/>
  <c r="CV82" i="41"/>
  <c r="CV81" i="41"/>
  <c r="CV80" i="41"/>
  <c r="CV79" i="41"/>
  <c r="CV78" i="41"/>
  <c r="CV77" i="41"/>
  <c r="CV76" i="41"/>
  <c r="CV75" i="41"/>
  <c r="CV74" i="41"/>
  <c r="CV73" i="41"/>
  <c r="CV72" i="41"/>
  <c r="CV71" i="41"/>
  <c r="CV70" i="41"/>
  <c r="CV69" i="41"/>
  <c r="CV68" i="41"/>
  <c r="CV67" i="41"/>
  <c r="CV66" i="41"/>
  <c r="CV65" i="41"/>
  <c r="CV64" i="41"/>
  <c r="CV63" i="41"/>
  <c r="CV62" i="41"/>
  <c r="CV61" i="41"/>
  <c r="CV60" i="41"/>
  <c r="CV59" i="41"/>
  <c r="CV58" i="41"/>
  <c r="CV57" i="41"/>
  <c r="CV56" i="41"/>
  <c r="CV55" i="41"/>
  <c r="CV54" i="41"/>
  <c r="CV53" i="41"/>
  <c r="CV52" i="41"/>
  <c r="CV51" i="41"/>
  <c r="CV50" i="41"/>
  <c r="CV49" i="41"/>
  <c r="CV48" i="41"/>
  <c r="CV47" i="41"/>
  <c r="CV46" i="41"/>
  <c r="CV45" i="41"/>
  <c r="CV44" i="41"/>
  <c r="CV43" i="41"/>
  <c r="CV42" i="41"/>
  <c r="CV41" i="41"/>
  <c r="CV40" i="41"/>
  <c r="CV39" i="41"/>
  <c r="CV38" i="41"/>
  <c r="CV37" i="41"/>
  <c r="CV36" i="41"/>
  <c r="CV35" i="41"/>
  <c r="CV34" i="41"/>
  <c r="CV33" i="41"/>
  <c r="CV32" i="41"/>
  <c r="CV31" i="41"/>
  <c r="CV30" i="41"/>
  <c r="CV29" i="41"/>
  <c r="CV28" i="41"/>
  <c r="CV27" i="41"/>
  <c r="CV26" i="41"/>
  <c r="CV25" i="41"/>
  <c r="CV23" i="41"/>
  <c r="CV22" i="41"/>
  <c r="CV21" i="41"/>
  <c r="CV20" i="41"/>
  <c r="CV19" i="41"/>
  <c r="CV18" i="41"/>
  <c r="CV17" i="41"/>
  <c r="CV16" i="41"/>
  <c r="CV15" i="41"/>
  <c r="CV14" i="41"/>
  <c r="CV13" i="41"/>
  <c r="CV12" i="41"/>
  <c r="CV11" i="41"/>
  <c r="CV10" i="41"/>
  <c r="CV9" i="41"/>
  <c r="CV8" i="41"/>
  <c r="BJ98" i="41"/>
  <c r="BJ96" i="41"/>
  <c r="BJ95" i="41"/>
  <c r="BJ94" i="41"/>
  <c r="BJ93" i="41"/>
  <c r="BJ92" i="41"/>
  <c r="BJ91" i="41"/>
  <c r="BJ90" i="41"/>
  <c r="BJ89" i="41"/>
  <c r="BJ88" i="41"/>
  <c r="BJ87" i="41"/>
  <c r="BJ86" i="41"/>
  <c r="BJ85" i="41"/>
  <c r="BJ84" i="41"/>
  <c r="BJ83" i="41"/>
  <c r="BJ82" i="41"/>
  <c r="BJ81" i="41"/>
  <c r="BJ80" i="41"/>
  <c r="BJ79" i="41"/>
  <c r="BJ78" i="41"/>
  <c r="BJ77" i="41"/>
  <c r="BJ76" i="41"/>
  <c r="BJ75" i="41"/>
  <c r="BJ74" i="41"/>
  <c r="BJ73" i="41"/>
  <c r="BJ72" i="41"/>
  <c r="BJ71" i="41"/>
  <c r="BJ70" i="41"/>
  <c r="BJ69" i="41"/>
  <c r="BJ68" i="41"/>
  <c r="BJ67" i="41"/>
  <c r="BJ66" i="41"/>
  <c r="BJ65" i="41"/>
  <c r="BJ64" i="41"/>
  <c r="BJ63" i="41"/>
  <c r="BJ62" i="41"/>
  <c r="BJ61" i="41"/>
  <c r="BJ60" i="41"/>
  <c r="BJ59" i="41"/>
  <c r="BJ58" i="41"/>
  <c r="BJ57" i="41"/>
  <c r="BJ56" i="41"/>
  <c r="BJ55" i="41"/>
  <c r="BJ54" i="41"/>
  <c r="BJ53" i="41"/>
  <c r="BJ52" i="41"/>
  <c r="BJ51" i="41"/>
  <c r="BJ50" i="41"/>
  <c r="BJ49" i="41"/>
  <c r="BJ48" i="41"/>
  <c r="BJ47" i="41"/>
  <c r="BJ46" i="41"/>
  <c r="BJ45" i="41"/>
  <c r="BJ44" i="41"/>
  <c r="BJ43" i="41"/>
  <c r="BJ42" i="41"/>
  <c r="BJ41" i="41"/>
  <c r="BJ40" i="41"/>
  <c r="BJ39" i="41"/>
  <c r="BJ38" i="41"/>
  <c r="BJ37" i="41"/>
  <c r="BJ36" i="41"/>
  <c r="BJ35" i="41"/>
  <c r="BJ34" i="41"/>
  <c r="BJ33" i="41"/>
  <c r="BJ32" i="41"/>
  <c r="BJ31" i="41"/>
  <c r="BJ30" i="41"/>
  <c r="BJ29" i="41"/>
  <c r="BJ28" i="41"/>
  <c r="BJ27" i="41"/>
  <c r="BJ26" i="41"/>
  <c r="BJ25" i="41"/>
  <c r="BJ24" i="41"/>
  <c r="BJ23" i="41"/>
  <c r="BJ22" i="41"/>
  <c r="BJ21" i="41"/>
  <c r="BJ20" i="41"/>
  <c r="BJ19" i="41"/>
  <c r="BJ18" i="41"/>
  <c r="BJ17" i="41"/>
  <c r="BJ16" i="41"/>
  <c r="BJ15" i="41"/>
  <c r="BJ14" i="41"/>
  <c r="BJ13" i="41"/>
  <c r="BJ12" i="41"/>
  <c r="BJ11" i="41"/>
  <c r="BJ10" i="41"/>
  <c r="BJ9" i="41"/>
  <c r="BJ8" i="41"/>
  <c r="BJ101" i="41" s="1"/>
  <c r="BA98" i="41"/>
  <c r="BA96" i="41"/>
  <c r="BA95" i="41"/>
  <c r="BA94" i="41"/>
  <c r="BA93" i="41"/>
  <c r="BA92" i="41"/>
  <c r="BA91" i="41"/>
  <c r="BA90" i="41"/>
  <c r="BA89" i="41"/>
  <c r="BA88" i="41"/>
  <c r="BA87" i="41"/>
  <c r="BA86" i="41"/>
  <c r="BA85" i="41"/>
  <c r="BA84" i="41"/>
  <c r="BA83" i="41"/>
  <c r="BA82" i="41"/>
  <c r="BA81" i="41"/>
  <c r="BA80" i="41"/>
  <c r="BA79" i="41"/>
  <c r="BA78" i="41"/>
  <c r="BA77" i="41"/>
  <c r="BA76" i="41"/>
  <c r="BA75" i="41"/>
  <c r="BA74" i="41"/>
  <c r="BA73" i="41"/>
  <c r="BA72" i="41"/>
  <c r="BA71" i="41"/>
  <c r="BA70" i="41"/>
  <c r="BA69" i="41"/>
  <c r="BA68" i="41"/>
  <c r="BA67" i="41"/>
  <c r="BA66" i="41"/>
  <c r="BA65" i="41"/>
  <c r="BA64" i="41"/>
  <c r="BA63" i="41"/>
  <c r="BA62" i="41"/>
  <c r="BA61" i="41"/>
  <c r="BA60" i="41"/>
  <c r="BA59" i="41"/>
  <c r="BA58" i="41"/>
  <c r="BA57" i="41"/>
  <c r="BA56" i="41"/>
  <c r="BA55" i="41"/>
  <c r="BA54" i="41"/>
  <c r="BA53" i="41"/>
  <c r="BA52" i="41"/>
  <c r="BA51" i="41"/>
  <c r="BA50" i="41"/>
  <c r="BA49" i="41"/>
  <c r="BA48" i="41"/>
  <c r="BA47" i="41"/>
  <c r="BA46" i="41"/>
  <c r="BA45" i="41"/>
  <c r="BA44" i="41"/>
  <c r="BA43" i="41"/>
  <c r="BA42" i="41"/>
  <c r="BA41" i="41"/>
  <c r="BA40" i="41"/>
  <c r="BA39" i="41"/>
  <c r="BA38" i="41"/>
  <c r="BA37" i="41"/>
  <c r="BA36" i="41"/>
  <c r="BA35" i="41"/>
  <c r="BA34" i="41"/>
  <c r="BA33" i="41"/>
  <c r="BA32" i="41"/>
  <c r="BA31" i="41"/>
  <c r="BA30" i="41"/>
  <c r="BA29" i="41"/>
  <c r="BA28" i="41"/>
  <c r="BA27" i="41"/>
  <c r="BA26" i="41"/>
  <c r="BA25" i="41"/>
  <c r="BA24" i="41"/>
  <c r="BA23" i="41"/>
  <c r="BA22" i="41"/>
  <c r="BA21" i="41"/>
  <c r="BA20" i="41"/>
  <c r="BA19" i="41"/>
  <c r="BA18" i="41"/>
  <c r="BA17" i="41"/>
  <c r="BA16" i="41"/>
  <c r="BA15" i="41"/>
  <c r="BA14" i="41"/>
  <c r="BA13" i="41"/>
  <c r="BA12" i="41"/>
  <c r="BA11" i="41"/>
  <c r="BA10" i="41"/>
  <c r="BA9" i="41"/>
  <c r="BA8" i="41"/>
  <c r="BA101" i="41" s="1"/>
  <c r="AX98" i="41"/>
  <c r="AX96" i="41"/>
  <c r="AX95" i="41"/>
  <c r="AX94" i="41"/>
  <c r="AX93" i="41"/>
  <c r="AX92" i="41"/>
  <c r="AX91" i="41"/>
  <c r="AX90" i="41"/>
  <c r="AX89" i="41"/>
  <c r="AX88" i="41"/>
  <c r="AX87" i="41"/>
  <c r="AX86" i="41"/>
  <c r="AX85" i="41"/>
  <c r="AX84" i="41"/>
  <c r="AX83" i="41"/>
  <c r="AX82" i="41"/>
  <c r="AX81" i="41"/>
  <c r="AX80" i="41"/>
  <c r="AX79" i="41"/>
  <c r="AX78" i="41"/>
  <c r="AX77" i="41"/>
  <c r="AX76" i="41"/>
  <c r="AX75" i="41"/>
  <c r="AX74" i="41"/>
  <c r="AX73" i="41"/>
  <c r="AX72" i="41"/>
  <c r="AX71" i="41"/>
  <c r="AX70" i="41"/>
  <c r="AX69" i="41"/>
  <c r="AX68" i="41"/>
  <c r="AX67" i="41"/>
  <c r="AX66" i="41"/>
  <c r="AX65" i="41"/>
  <c r="AX64" i="41"/>
  <c r="AX63" i="41"/>
  <c r="AX62" i="41"/>
  <c r="AX61" i="41"/>
  <c r="AX60" i="41"/>
  <c r="AX59" i="41"/>
  <c r="AX58" i="41"/>
  <c r="AX57" i="41"/>
  <c r="AX56" i="41"/>
  <c r="AX55" i="41"/>
  <c r="AX54" i="41"/>
  <c r="AX53" i="41"/>
  <c r="AX52" i="41"/>
  <c r="AX51" i="41"/>
  <c r="AX50" i="41"/>
  <c r="AX49" i="41"/>
  <c r="AX48" i="41"/>
  <c r="AX47" i="41"/>
  <c r="AX46" i="41"/>
  <c r="AX45" i="41"/>
  <c r="AX44" i="41"/>
  <c r="AX43" i="41"/>
  <c r="AX42" i="41"/>
  <c r="AX41" i="41"/>
  <c r="AX40" i="41"/>
  <c r="AX39" i="41"/>
  <c r="AX38" i="41"/>
  <c r="AX37" i="41"/>
  <c r="AX36" i="41"/>
  <c r="AX35" i="41"/>
  <c r="AX34" i="41"/>
  <c r="AX33" i="41"/>
  <c r="AX32" i="41"/>
  <c r="AX31" i="41"/>
  <c r="AX30" i="41"/>
  <c r="AX29" i="41"/>
  <c r="AX28" i="41"/>
  <c r="AX27" i="41"/>
  <c r="AX26" i="41"/>
  <c r="AX25" i="41"/>
  <c r="AX24" i="41"/>
  <c r="AX23" i="41"/>
  <c r="AX22" i="41"/>
  <c r="AX21" i="41"/>
  <c r="AX20" i="41"/>
  <c r="AX19" i="41"/>
  <c r="AX18" i="41"/>
  <c r="AX17" i="41"/>
  <c r="AX16" i="41"/>
  <c r="AX15" i="41"/>
  <c r="AX14" i="41"/>
  <c r="AX13" i="41"/>
  <c r="AX12" i="41"/>
  <c r="AX11" i="41"/>
  <c r="AX10" i="41"/>
  <c r="AX9" i="41"/>
  <c r="AX8" i="41"/>
  <c r="AX101" i="41" s="1"/>
  <c r="AR98" i="41"/>
  <c r="AR96" i="41"/>
  <c r="AR95" i="41"/>
  <c r="AR94" i="41"/>
  <c r="AR93" i="41"/>
  <c r="AR92" i="41"/>
  <c r="AR91" i="41"/>
  <c r="AR90" i="41"/>
  <c r="AR89" i="41"/>
  <c r="AR88" i="41"/>
  <c r="AR87" i="41"/>
  <c r="AR86" i="41"/>
  <c r="AR85" i="41"/>
  <c r="AR84" i="41"/>
  <c r="AR83" i="41"/>
  <c r="AR82" i="41"/>
  <c r="AR81" i="41"/>
  <c r="AR80" i="41"/>
  <c r="AR79" i="41"/>
  <c r="AR78" i="41"/>
  <c r="AR77" i="41"/>
  <c r="AR76" i="41"/>
  <c r="AR75" i="41"/>
  <c r="AR74" i="41"/>
  <c r="AR73" i="41"/>
  <c r="AR72" i="41"/>
  <c r="AR71" i="41"/>
  <c r="AR70" i="41"/>
  <c r="AR69" i="41"/>
  <c r="AR68" i="41"/>
  <c r="AR67" i="41"/>
  <c r="AR66" i="41"/>
  <c r="AR65" i="41"/>
  <c r="AR64" i="41"/>
  <c r="AR63" i="41"/>
  <c r="AR62" i="41"/>
  <c r="AR61" i="41"/>
  <c r="AR60" i="41"/>
  <c r="AR59" i="41"/>
  <c r="AR58" i="41"/>
  <c r="AR57" i="41"/>
  <c r="AR56" i="41"/>
  <c r="AR55" i="41"/>
  <c r="AR54" i="41"/>
  <c r="AR53" i="41"/>
  <c r="AR52" i="41"/>
  <c r="AR51" i="41"/>
  <c r="AR50" i="41"/>
  <c r="AR49" i="41"/>
  <c r="AR48" i="41"/>
  <c r="AR47" i="41"/>
  <c r="AR46" i="41"/>
  <c r="AR45" i="41"/>
  <c r="AR44" i="41"/>
  <c r="AR43" i="41"/>
  <c r="AR42" i="41"/>
  <c r="AR41" i="41"/>
  <c r="AR40" i="41"/>
  <c r="AR39" i="41"/>
  <c r="AR38" i="41"/>
  <c r="AR37" i="41"/>
  <c r="AR36" i="41"/>
  <c r="AR35" i="41"/>
  <c r="AR34" i="41"/>
  <c r="AR33" i="41"/>
  <c r="AR32" i="41"/>
  <c r="AR31" i="41"/>
  <c r="AR30" i="41"/>
  <c r="AR29" i="41"/>
  <c r="AR28" i="41"/>
  <c r="AR27" i="41"/>
  <c r="AR26" i="41"/>
  <c r="AR25" i="41"/>
  <c r="AR24" i="41"/>
  <c r="AR23" i="41"/>
  <c r="AR22" i="41"/>
  <c r="AR21" i="41"/>
  <c r="AR20" i="41"/>
  <c r="AR19" i="41"/>
  <c r="AR18" i="41"/>
  <c r="AR17" i="41"/>
  <c r="AR16" i="41"/>
  <c r="AR15" i="41"/>
  <c r="AR14" i="41"/>
  <c r="AR13" i="41"/>
  <c r="AR12" i="41"/>
  <c r="AR11" i="41"/>
  <c r="AR10" i="41"/>
  <c r="AR9" i="41"/>
  <c r="AR8" i="41"/>
  <c r="AR101" i="41" s="1"/>
  <c r="H98" i="41"/>
  <c r="H96" i="41"/>
  <c r="H95" i="41"/>
  <c r="H94" i="41"/>
  <c r="H93" i="41"/>
  <c r="H92" i="41"/>
  <c r="H91" i="41"/>
  <c r="H90" i="41"/>
  <c r="H89" i="41"/>
  <c r="H88" i="41"/>
  <c r="H87" i="41"/>
  <c r="H86" i="41"/>
  <c r="H85" i="41"/>
  <c r="H84" i="41"/>
  <c r="H83" i="41"/>
  <c r="H82" i="41"/>
  <c r="H81" i="41"/>
  <c r="H80" i="41"/>
  <c r="H79" i="41"/>
  <c r="H78" i="41"/>
  <c r="H77" i="41"/>
  <c r="H76" i="41"/>
  <c r="H75" i="41"/>
  <c r="H74" i="41"/>
  <c r="H73" i="41"/>
  <c r="H72" i="41"/>
  <c r="H71" i="41"/>
  <c r="H70" i="41"/>
  <c r="H69" i="41"/>
  <c r="H68" i="41"/>
  <c r="H67" i="41"/>
  <c r="H66" i="41"/>
  <c r="H65" i="41"/>
  <c r="H64" i="41"/>
  <c r="H63" i="41"/>
  <c r="H62" i="41"/>
  <c r="H61" i="41"/>
  <c r="H60" i="41"/>
  <c r="H59" i="41"/>
  <c r="H58" i="41"/>
  <c r="H57" i="41"/>
  <c r="H56" i="41"/>
  <c r="H55" i="41"/>
  <c r="H54" i="41"/>
  <c r="H53" i="41"/>
  <c r="H52" i="41"/>
  <c r="H51" i="41"/>
  <c r="H50" i="41"/>
  <c r="H49" i="41"/>
  <c r="H48" i="41"/>
  <c r="H47" i="41"/>
  <c r="H46" i="41"/>
  <c r="H45" i="41"/>
  <c r="H44" i="41"/>
  <c r="H43" i="41"/>
  <c r="H42" i="41"/>
  <c r="H41" i="41"/>
  <c r="H40" i="41"/>
  <c r="H39" i="41"/>
  <c r="H38" i="41"/>
  <c r="H37" i="41"/>
  <c r="H36" i="41"/>
  <c r="H35" i="41"/>
  <c r="H34" i="41"/>
  <c r="H33" i="41"/>
  <c r="H31" i="41"/>
  <c r="H30" i="41"/>
  <c r="H29" i="41"/>
  <c r="H28" i="41"/>
  <c r="H27" i="41"/>
  <c r="H26" i="41"/>
  <c r="H25" i="41"/>
  <c r="H24" i="41"/>
  <c r="H23" i="41"/>
  <c r="H21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G98" i="41"/>
  <c r="G96" i="41"/>
  <c r="G95" i="41"/>
  <c r="G94" i="41"/>
  <c r="G93" i="41"/>
  <c r="G92" i="41"/>
  <c r="G91" i="41"/>
  <c r="G90" i="41"/>
  <c r="G89" i="41"/>
  <c r="G88" i="41"/>
  <c r="G87" i="41"/>
  <c r="G86" i="41"/>
  <c r="G85" i="41"/>
  <c r="G84" i="41"/>
  <c r="G83" i="41"/>
  <c r="G82" i="41"/>
  <c r="G81" i="41"/>
  <c r="G80" i="41"/>
  <c r="G79" i="41"/>
  <c r="G78" i="4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1" i="41"/>
  <c r="G30" i="41"/>
  <c r="G29" i="41"/>
  <c r="G28" i="41"/>
  <c r="G27" i="41"/>
  <c r="G26" i="41"/>
  <c r="G25" i="41"/>
  <c r="G24" i="41"/>
  <c r="G23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F98" i="41"/>
  <c r="F96" i="41"/>
  <c r="F95" i="41"/>
  <c r="F94" i="41"/>
  <c r="F93" i="41"/>
  <c r="F92" i="41"/>
  <c r="F91" i="41"/>
  <c r="F90" i="41"/>
  <c r="F89" i="41"/>
  <c r="F88" i="41"/>
  <c r="F87" i="41"/>
  <c r="F86" i="41"/>
  <c r="F85" i="41"/>
  <c r="F84" i="41"/>
  <c r="F83" i="41"/>
  <c r="F82" i="41"/>
  <c r="F81" i="41"/>
  <c r="F80" i="41"/>
  <c r="F79" i="41"/>
  <c r="F78" i="41"/>
  <c r="F77" i="41"/>
  <c r="F76" i="41"/>
  <c r="F75" i="41"/>
  <c r="F74" i="41"/>
  <c r="F73" i="41"/>
  <c r="F72" i="41"/>
  <c r="F71" i="41"/>
  <c r="F70" i="41"/>
  <c r="F69" i="41"/>
  <c r="F68" i="41"/>
  <c r="F67" i="41"/>
  <c r="F66" i="41"/>
  <c r="F65" i="41"/>
  <c r="F64" i="41"/>
  <c r="F63" i="41"/>
  <c r="F62" i="41"/>
  <c r="F61" i="41"/>
  <c r="F60" i="41"/>
  <c r="F59" i="41"/>
  <c r="F58" i="41"/>
  <c r="F57" i="41"/>
  <c r="F56" i="41"/>
  <c r="F55" i="41"/>
  <c r="F54" i="41"/>
  <c r="F53" i="41"/>
  <c r="F52" i="41"/>
  <c r="F51" i="41"/>
  <c r="F50" i="41"/>
  <c r="F49" i="41"/>
  <c r="F48" i="41"/>
  <c r="F47" i="41"/>
  <c r="F46" i="41"/>
  <c r="F45" i="41"/>
  <c r="F44" i="41"/>
  <c r="F43" i="41"/>
  <c r="F42" i="41"/>
  <c r="F41" i="41"/>
  <c r="F40" i="41"/>
  <c r="F39" i="41"/>
  <c r="F38" i="41"/>
  <c r="F37" i="41"/>
  <c r="F36" i="41"/>
  <c r="F35" i="41"/>
  <c r="F34" i="41"/>
  <c r="F33" i="41"/>
  <c r="F31" i="41"/>
  <c r="F30" i="41"/>
  <c r="F29" i="41"/>
  <c r="F28" i="41"/>
  <c r="F27" i="41"/>
  <c r="F26" i="41"/>
  <c r="F25" i="41"/>
  <c r="F24" i="41"/>
  <c r="F23" i="41"/>
  <c r="F21" i="41"/>
  <c r="F20" i="41"/>
  <c r="F19" i="41"/>
  <c r="F18" i="41"/>
  <c r="F17" i="41"/>
  <c r="F16" i="41"/>
  <c r="F15" i="41"/>
  <c r="F14" i="41"/>
  <c r="F13" i="41"/>
  <c r="F12" i="41"/>
  <c r="F11" i="41"/>
  <c r="F10" i="41"/>
  <c r="F9" i="41"/>
  <c r="F8" i="41"/>
  <c r="BK40" i="41"/>
  <c r="BB40" i="41"/>
  <c r="AY40" i="41"/>
  <c r="AS40" i="41"/>
  <c r="AP40" i="41"/>
  <c r="AQ40" i="41" s="1"/>
  <c r="AM40" i="41"/>
  <c r="AJ40" i="41"/>
  <c r="AK40" i="41" s="1"/>
  <c r="AG40" i="41"/>
  <c r="AF40" i="41"/>
  <c r="AD40" i="41"/>
  <c r="AE40" i="41" s="1"/>
  <c r="AA40" i="41"/>
  <c r="X40" i="41"/>
  <c r="R40" i="41"/>
  <c r="O40" i="41"/>
  <c r="BK21" i="41"/>
  <c r="BB21" i="41"/>
  <c r="AY21" i="41"/>
  <c r="AS21" i="41"/>
  <c r="AP21" i="41"/>
  <c r="AQ21" i="41" s="1"/>
  <c r="AM21" i="41"/>
  <c r="AJ21" i="41"/>
  <c r="AK21" i="41" s="1"/>
  <c r="AG21" i="41"/>
  <c r="AF21" i="41"/>
  <c r="AD21" i="41"/>
  <c r="AE21" i="41" s="1"/>
  <c r="AA21" i="41"/>
  <c r="X21" i="41"/>
  <c r="R21" i="41"/>
  <c r="O21" i="41"/>
  <c r="AY98" i="41"/>
  <c r="AY96" i="41"/>
  <c r="AY95" i="41"/>
  <c r="AY94" i="41"/>
  <c r="AY93" i="41"/>
  <c r="AY92" i="41"/>
  <c r="AY91" i="41"/>
  <c r="AY90" i="41"/>
  <c r="AY89" i="41"/>
  <c r="AY88" i="41"/>
  <c r="AY87" i="41"/>
  <c r="AY86" i="41"/>
  <c r="AY85" i="41"/>
  <c r="AY84" i="41"/>
  <c r="AY83" i="41"/>
  <c r="AY82" i="41"/>
  <c r="AY81" i="41"/>
  <c r="AY80" i="41"/>
  <c r="AY79" i="41"/>
  <c r="AY78" i="41"/>
  <c r="AY77" i="41"/>
  <c r="AY76" i="41"/>
  <c r="AY75" i="41"/>
  <c r="AY74" i="41"/>
  <c r="AY73" i="41"/>
  <c r="AY72" i="41"/>
  <c r="AY71" i="41"/>
  <c r="AY70" i="41"/>
  <c r="AY69" i="41"/>
  <c r="AY68" i="41"/>
  <c r="AY67" i="41"/>
  <c r="AY66" i="41"/>
  <c r="AY65" i="41"/>
  <c r="AY64" i="41"/>
  <c r="AY63" i="41"/>
  <c r="AY62" i="41"/>
  <c r="AY61" i="41"/>
  <c r="AY60" i="41"/>
  <c r="AY59" i="41"/>
  <c r="AY58" i="41"/>
  <c r="AY57" i="41"/>
  <c r="AY56" i="41"/>
  <c r="AY55" i="41"/>
  <c r="AY54" i="41"/>
  <c r="AY53" i="41"/>
  <c r="AY52" i="41"/>
  <c r="AY51" i="41"/>
  <c r="AY50" i="41"/>
  <c r="AY49" i="41"/>
  <c r="AY48" i="41"/>
  <c r="AY47" i="41"/>
  <c r="AY46" i="41"/>
  <c r="AY45" i="41"/>
  <c r="AY44" i="41"/>
  <c r="AY43" i="41"/>
  <c r="AY42" i="41"/>
  <c r="AY41" i="41"/>
  <c r="AY39" i="41"/>
  <c r="AY38" i="41"/>
  <c r="AY37" i="41"/>
  <c r="AY36" i="41"/>
  <c r="AY35" i="41"/>
  <c r="AY34" i="41"/>
  <c r="AY33" i="41"/>
  <c r="AY32" i="41"/>
  <c r="AY31" i="41"/>
  <c r="AY30" i="41"/>
  <c r="AY29" i="41"/>
  <c r="AY28" i="41"/>
  <c r="AY27" i="41"/>
  <c r="AY26" i="41"/>
  <c r="AY25" i="41"/>
  <c r="AY24" i="41"/>
  <c r="AY23" i="41"/>
  <c r="AY22" i="41"/>
  <c r="AY20" i="41"/>
  <c r="AY19" i="41"/>
  <c r="AY18" i="41"/>
  <c r="AY17" i="41"/>
  <c r="AY16" i="41"/>
  <c r="AY15" i="41"/>
  <c r="AY14" i="41"/>
  <c r="AY13" i="41"/>
  <c r="AY12" i="41"/>
  <c r="AY11" i="41"/>
  <c r="AY10" i="41"/>
  <c r="AY9" i="41"/>
  <c r="AS98" i="41"/>
  <c r="AS96" i="41"/>
  <c r="AS95" i="41"/>
  <c r="AS94" i="41"/>
  <c r="AS93" i="41"/>
  <c r="AS92" i="41"/>
  <c r="AS91" i="41"/>
  <c r="AS90" i="41"/>
  <c r="AS89" i="41"/>
  <c r="AS88" i="41"/>
  <c r="AS87" i="41"/>
  <c r="AS86" i="41"/>
  <c r="AS85" i="41"/>
  <c r="AS84" i="41"/>
  <c r="AS83" i="41"/>
  <c r="AS82" i="41"/>
  <c r="AS81" i="41"/>
  <c r="AS80" i="41"/>
  <c r="AS79" i="41"/>
  <c r="AS78" i="41"/>
  <c r="AS77" i="41"/>
  <c r="AS76" i="41"/>
  <c r="AS75" i="41"/>
  <c r="AS74" i="41"/>
  <c r="AS73" i="41"/>
  <c r="AS72" i="41"/>
  <c r="AS71" i="41"/>
  <c r="AS70" i="41"/>
  <c r="AS69" i="41"/>
  <c r="AS68" i="41"/>
  <c r="AS67" i="41"/>
  <c r="AS66" i="41"/>
  <c r="AS65" i="41"/>
  <c r="AS64" i="41"/>
  <c r="AS63" i="41"/>
  <c r="AS62" i="41"/>
  <c r="AS61" i="41"/>
  <c r="AS60" i="41"/>
  <c r="AS59" i="41"/>
  <c r="AS58" i="41"/>
  <c r="AS57" i="41"/>
  <c r="AS56" i="41"/>
  <c r="AS55" i="41"/>
  <c r="AS54" i="41"/>
  <c r="AS53" i="41"/>
  <c r="AS52" i="41"/>
  <c r="AS51" i="41"/>
  <c r="AS50" i="41"/>
  <c r="AS49" i="41"/>
  <c r="AS48" i="41"/>
  <c r="AS47" i="41"/>
  <c r="AS46" i="41"/>
  <c r="AS45" i="41"/>
  <c r="AS44" i="41"/>
  <c r="AS43" i="41"/>
  <c r="AS42" i="41"/>
  <c r="AS41" i="41"/>
  <c r="AS39" i="41"/>
  <c r="AS38" i="41"/>
  <c r="AS37" i="41"/>
  <c r="AS36" i="41"/>
  <c r="AS35" i="41"/>
  <c r="AS34" i="41"/>
  <c r="AS33" i="41"/>
  <c r="AS32" i="41"/>
  <c r="AS31" i="41"/>
  <c r="AS30" i="41"/>
  <c r="AS29" i="41"/>
  <c r="AS28" i="41"/>
  <c r="AS27" i="41"/>
  <c r="AS26" i="41"/>
  <c r="AS25" i="41"/>
  <c r="AS24" i="41"/>
  <c r="AS23" i="41"/>
  <c r="AS22" i="41"/>
  <c r="AS20" i="41"/>
  <c r="AS19" i="41"/>
  <c r="AS18" i="41"/>
  <c r="AS17" i="41"/>
  <c r="AS16" i="41"/>
  <c r="AS15" i="41"/>
  <c r="AS14" i="41"/>
  <c r="AS13" i="41"/>
  <c r="AS12" i="41"/>
  <c r="AS11" i="41"/>
  <c r="AS10" i="41"/>
  <c r="AS9" i="41"/>
  <c r="AY8" i="41"/>
  <c r="AS8" i="41"/>
  <c r="AS101" i="41" s="1"/>
  <c r="BK98" i="41"/>
  <c r="BB98" i="41"/>
  <c r="AP98" i="41"/>
  <c r="AQ98" i="41" s="1"/>
  <c r="AM98" i="41"/>
  <c r="AJ98" i="41"/>
  <c r="AK98" i="41" s="1"/>
  <c r="AG98" i="41"/>
  <c r="AF98" i="41"/>
  <c r="AD98" i="41"/>
  <c r="AE98" i="41" s="1"/>
  <c r="AA98" i="41"/>
  <c r="X98" i="41"/>
  <c r="O98" i="41"/>
  <c r="BK96" i="41"/>
  <c r="BB96" i="41"/>
  <c r="AP96" i="41"/>
  <c r="AQ96" i="41" s="1"/>
  <c r="AM96" i="41"/>
  <c r="AJ96" i="41"/>
  <c r="AK96" i="41" s="1"/>
  <c r="AG96" i="41"/>
  <c r="AF96" i="41"/>
  <c r="AD96" i="41"/>
  <c r="AE96" i="41" s="1"/>
  <c r="AA96" i="41"/>
  <c r="X96" i="41"/>
  <c r="O96" i="41"/>
  <c r="BK95" i="41"/>
  <c r="BB95" i="41"/>
  <c r="AP95" i="41"/>
  <c r="AQ95" i="41" s="1"/>
  <c r="AM95" i="41"/>
  <c r="AJ95" i="41"/>
  <c r="AK95" i="41" s="1"/>
  <c r="AG95" i="41"/>
  <c r="AF95" i="41"/>
  <c r="AD95" i="41"/>
  <c r="AE95" i="41" s="1"/>
  <c r="AA95" i="41"/>
  <c r="X95" i="41"/>
  <c r="O95" i="41"/>
  <c r="BK94" i="41"/>
  <c r="BB94" i="41"/>
  <c r="AP94" i="41"/>
  <c r="AQ94" i="41" s="1"/>
  <c r="AM94" i="41"/>
  <c r="AJ94" i="41"/>
  <c r="AK94" i="41" s="1"/>
  <c r="AG94" i="41"/>
  <c r="AF94" i="41"/>
  <c r="AH94" i="41" s="1"/>
  <c r="AD94" i="41"/>
  <c r="AE94" i="41" s="1"/>
  <c r="AA94" i="41"/>
  <c r="X94" i="41"/>
  <c r="O94" i="41"/>
  <c r="BK93" i="41"/>
  <c r="BB93" i="41"/>
  <c r="AP93" i="41"/>
  <c r="AQ93" i="41" s="1"/>
  <c r="AM93" i="41"/>
  <c r="AJ93" i="41"/>
  <c r="AK93" i="41" s="1"/>
  <c r="AG93" i="41"/>
  <c r="AF93" i="41"/>
  <c r="AD93" i="41"/>
  <c r="AE93" i="41" s="1"/>
  <c r="AA93" i="41"/>
  <c r="X93" i="41"/>
  <c r="O93" i="41"/>
  <c r="BK92" i="41"/>
  <c r="BB92" i="41"/>
  <c r="AP92" i="41"/>
  <c r="AQ92" i="41" s="1"/>
  <c r="AM92" i="41"/>
  <c r="AJ92" i="41"/>
  <c r="AK92" i="41" s="1"/>
  <c r="AG92" i="41"/>
  <c r="AF92" i="41"/>
  <c r="AD92" i="41"/>
  <c r="AE92" i="41" s="1"/>
  <c r="AA92" i="41"/>
  <c r="X92" i="41"/>
  <c r="O92" i="41"/>
  <c r="BK91" i="41"/>
  <c r="BB91" i="41"/>
  <c r="AP91" i="41"/>
  <c r="AQ91" i="41" s="1"/>
  <c r="AM91" i="41"/>
  <c r="AJ91" i="41"/>
  <c r="AK91" i="41" s="1"/>
  <c r="AG91" i="41"/>
  <c r="AF91" i="41"/>
  <c r="AD91" i="41"/>
  <c r="AE91" i="41" s="1"/>
  <c r="AA91" i="41"/>
  <c r="X91" i="41"/>
  <c r="O91" i="41"/>
  <c r="BK90" i="41"/>
  <c r="BB90" i="41"/>
  <c r="AP90" i="41"/>
  <c r="AQ90" i="41" s="1"/>
  <c r="AM90" i="41"/>
  <c r="AJ90" i="41"/>
  <c r="AK90" i="41" s="1"/>
  <c r="AG90" i="41"/>
  <c r="AF90" i="41"/>
  <c r="AH90" i="41" s="1"/>
  <c r="AD90" i="41"/>
  <c r="AE90" i="41" s="1"/>
  <c r="AA90" i="41"/>
  <c r="X90" i="41"/>
  <c r="O90" i="41"/>
  <c r="BK89" i="41"/>
  <c r="BB89" i="41"/>
  <c r="AP89" i="41"/>
  <c r="AQ89" i="41" s="1"/>
  <c r="AM89" i="41"/>
  <c r="AJ89" i="41"/>
  <c r="AK89" i="41" s="1"/>
  <c r="AG89" i="41"/>
  <c r="AF89" i="41"/>
  <c r="AD89" i="41"/>
  <c r="AE89" i="41" s="1"/>
  <c r="AA89" i="41"/>
  <c r="X89" i="41"/>
  <c r="O89" i="41"/>
  <c r="BK88" i="41"/>
  <c r="BB88" i="41"/>
  <c r="AP88" i="41"/>
  <c r="AQ88" i="41" s="1"/>
  <c r="AM88" i="41"/>
  <c r="AJ88" i="41"/>
  <c r="AK88" i="41" s="1"/>
  <c r="AG88" i="41"/>
  <c r="AF88" i="41"/>
  <c r="AD88" i="41"/>
  <c r="AE88" i="41" s="1"/>
  <c r="AA88" i="41"/>
  <c r="X88" i="41"/>
  <c r="O88" i="41"/>
  <c r="BK87" i="41"/>
  <c r="BB87" i="41"/>
  <c r="AP87" i="41"/>
  <c r="AQ87" i="41" s="1"/>
  <c r="AM87" i="41"/>
  <c r="AJ87" i="41"/>
  <c r="AK87" i="41" s="1"/>
  <c r="AG87" i="41"/>
  <c r="AF87" i="41"/>
  <c r="AD87" i="41"/>
  <c r="AE87" i="41" s="1"/>
  <c r="AA87" i="41"/>
  <c r="X87" i="41"/>
  <c r="O87" i="41"/>
  <c r="BK86" i="41"/>
  <c r="BB86" i="41"/>
  <c r="AP86" i="41"/>
  <c r="AQ86" i="41" s="1"/>
  <c r="AM86" i="41"/>
  <c r="AJ86" i="41"/>
  <c r="AK86" i="41" s="1"/>
  <c r="AG86" i="41"/>
  <c r="AF86" i="41"/>
  <c r="AH86" i="41" s="1"/>
  <c r="AD86" i="41"/>
  <c r="AE86" i="41" s="1"/>
  <c r="AA86" i="41"/>
  <c r="X86" i="41"/>
  <c r="O86" i="41"/>
  <c r="BK85" i="41"/>
  <c r="BB85" i="41"/>
  <c r="AP85" i="41"/>
  <c r="AQ85" i="41" s="1"/>
  <c r="AM85" i="41"/>
  <c r="AJ85" i="41"/>
  <c r="AK85" i="41" s="1"/>
  <c r="AG85" i="41"/>
  <c r="AF85" i="41"/>
  <c r="AD85" i="41"/>
  <c r="AE85" i="41" s="1"/>
  <c r="AA85" i="41"/>
  <c r="X85" i="41"/>
  <c r="O85" i="41"/>
  <c r="BK84" i="41"/>
  <c r="BB84" i="41"/>
  <c r="AP84" i="41"/>
  <c r="AQ84" i="41" s="1"/>
  <c r="AM84" i="41"/>
  <c r="AJ84" i="41"/>
  <c r="AK84" i="41" s="1"/>
  <c r="AG84" i="41"/>
  <c r="AF84" i="41"/>
  <c r="AD84" i="41"/>
  <c r="AE84" i="41" s="1"/>
  <c r="AA84" i="41"/>
  <c r="X84" i="41"/>
  <c r="R84" i="41"/>
  <c r="O84" i="41"/>
  <c r="BK83" i="41"/>
  <c r="BB83" i="41"/>
  <c r="AP83" i="41"/>
  <c r="AQ83" i="41" s="1"/>
  <c r="AM83" i="41"/>
  <c r="AJ83" i="41"/>
  <c r="AK83" i="41" s="1"/>
  <c r="AG83" i="41"/>
  <c r="AF83" i="41"/>
  <c r="AD83" i="41"/>
  <c r="AE83" i="41" s="1"/>
  <c r="AA83" i="41"/>
  <c r="X83" i="41"/>
  <c r="R83" i="41"/>
  <c r="O83" i="41"/>
  <c r="BK82" i="41"/>
  <c r="BB82" i="41"/>
  <c r="AP82" i="41"/>
  <c r="AQ82" i="41" s="1"/>
  <c r="AM82" i="41"/>
  <c r="AJ82" i="41"/>
  <c r="AK82" i="41" s="1"/>
  <c r="AG82" i="41"/>
  <c r="AF82" i="41"/>
  <c r="AH82" i="41" s="1"/>
  <c r="AD82" i="41"/>
  <c r="AE82" i="41" s="1"/>
  <c r="AA82" i="41"/>
  <c r="X82" i="41"/>
  <c r="R82" i="41"/>
  <c r="O82" i="41"/>
  <c r="BK81" i="41"/>
  <c r="BB81" i="41"/>
  <c r="AP81" i="41"/>
  <c r="AQ81" i="41" s="1"/>
  <c r="AM81" i="41"/>
  <c r="AJ81" i="41"/>
  <c r="AK81" i="41" s="1"/>
  <c r="AG81" i="41"/>
  <c r="AF81" i="41"/>
  <c r="AD81" i="41"/>
  <c r="AE81" i="41" s="1"/>
  <c r="AA81" i="41"/>
  <c r="X81" i="41"/>
  <c r="R81" i="41"/>
  <c r="O81" i="41"/>
  <c r="BK80" i="41"/>
  <c r="BB80" i="41"/>
  <c r="AP80" i="41"/>
  <c r="AQ80" i="41" s="1"/>
  <c r="AM80" i="41"/>
  <c r="AJ80" i="41"/>
  <c r="AK80" i="41" s="1"/>
  <c r="AG80" i="41"/>
  <c r="AF80" i="41"/>
  <c r="AD80" i="41"/>
  <c r="AE80" i="41" s="1"/>
  <c r="AA80" i="41"/>
  <c r="X80" i="41"/>
  <c r="R80" i="41"/>
  <c r="O80" i="41"/>
  <c r="BK79" i="41"/>
  <c r="BB79" i="41"/>
  <c r="AP79" i="41"/>
  <c r="AQ79" i="41" s="1"/>
  <c r="AM79" i="41"/>
  <c r="AJ79" i="41"/>
  <c r="AK79" i="41" s="1"/>
  <c r="AG79" i="41"/>
  <c r="AF79" i="41"/>
  <c r="AD79" i="41"/>
  <c r="AE79" i="41" s="1"/>
  <c r="AA79" i="41"/>
  <c r="X79" i="41"/>
  <c r="R79" i="41"/>
  <c r="O79" i="41"/>
  <c r="BK78" i="41"/>
  <c r="BB78" i="41"/>
  <c r="AP78" i="41"/>
  <c r="AQ78" i="41" s="1"/>
  <c r="AM78" i="41"/>
  <c r="AJ78" i="41"/>
  <c r="AK78" i="41" s="1"/>
  <c r="AG78" i="41"/>
  <c r="AF78" i="41"/>
  <c r="AD78" i="41"/>
  <c r="AE78" i="41" s="1"/>
  <c r="AA78" i="41"/>
  <c r="X78" i="41"/>
  <c r="R78" i="41"/>
  <c r="O78" i="41"/>
  <c r="BK77" i="41"/>
  <c r="BB77" i="41"/>
  <c r="AP77" i="41"/>
  <c r="AQ77" i="41" s="1"/>
  <c r="AM77" i="41"/>
  <c r="AJ77" i="41"/>
  <c r="AK77" i="41" s="1"/>
  <c r="AG77" i="41"/>
  <c r="AF77" i="41"/>
  <c r="AD77" i="41"/>
  <c r="AE77" i="41" s="1"/>
  <c r="AA77" i="41"/>
  <c r="X77" i="41"/>
  <c r="R77" i="41"/>
  <c r="O77" i="41"/>
  <c r="BK76" i="41"/>
  <c r="BB76" i="41"/>
  <c r="AP76" i="41"/>
  <c r="AQ76" i="41" s="1"/>
  <c r="AM76" i="41"/>
  <c r="AJ76" i="41"/>
  <c r="AK76" i="41" s="1"/>
  <c r="AG76" i="41"/>
  <c r="AF76" i="41"/>
  <c r="AD76" i="41"/>
  <c r="AE76" i="41" s="1"/>
  <c r="AA76" i="41"/>
  <c r="X76" i="41"/>
  <c r="R76" i="41"/>
  <c r="O76" i="41"/>
  <c r="BK75" i="41"/>
  <c r="BB75" i="41"/>
  <c r="AP75" i="41"/>
  <c r="AQ75" i="41" s="1"/>
  <c r="AM75" i="41"/>
  <c r="AJ75" i="41"/>
  <c r="AK75" i="41" s="1"/>
  <c r="AG75" i="41"/>
  <c r="AF75" i="41"/>
  <c r="AD75" i="41"/>
  <c r="AE75" i="41" s="1"/>
  <c r="AA75" i="41"/>
  <c r="X75" i="41"/>
  <c r="R75" i="41"/>
  <c r="O75" i="41"/>
  <c r="BK74" i="41"/>
  <c r="BB74" i="41"/>
  <c r="AP74" i="41"/>
  <c r="AQ74" i="41" s="1"/>
  <c r="AM74" i="41"/>
  <c r="AJ74" i="41"/>
  <c r="AK74" i="41" s="1"/>
  <c r="AG74" i="41"/>
  <c r="AF74" i="41"/>
  <c r="AD74" i="41"/>
  <c r="AE74" i="41" s="1"/>
  <c r="AA74" i="41"/>
  <c r="X74" i="41"/>
  <c r="R74" i="41"/>
  <c r="O74" i="41"/>
  <c r="BK73" i="41"/>
  <c r="BB73" i="41"/>
  <c r="AP73" i="41"/>
  <c r="AQ73" i="41" s="1"/>
  <c r="AM73" i="41"/>
  <c r="AJ73" i="41"/>
  <c r="AK73" i="41" s="1"/>
  <c r="AG73" i="41"/>
  <c r="AF73" i="41"/>
  <c r="AD73" i="41"/>
  <c r="AE73" i="41" s="1"/>
  <c r="AA73" i="41"/>
  <c r="X73" i="41"/>
  <c r="R73" i="41"/>
  <c r="O73" i="41"/>
  <c r="BK72" i="41"/>
  <c r="BB72" i="41"/>
  <c r="AP72" i="41"/>
  <c r="AQ72" i="41" s="1"/>
  <c r="AM72" i="41"/>
  <c r="AJ72" i="41"/>
  <c r="AK72" i="41" s="1"/>
  <c r="AG72" i="41"/>
  <c r="AF72" i="41"/>
  <c r="AD72" i="41"/>
  <c r="AE72" i="41" s="1"/>
  <c r="AA72" i="41"/>
  <c r="X72" i="41"/>
  <c r="R72" i="41"/>
  <c r="O72" i="41"/>
  <c r="BK71" i="41"/>
  <c r="BB71" i="41"/>
  <c r="AP71" i="41"/>
  <c r="AQ71" i="41" s="1"/>
  <c r="AM71" i="41"/>
  <c r="AJ71" i="41"/>
  <c r="AK71" i="41" s="1"/>
  <c r="AG71" i="41"/>
  <c r="AF71" i="41"/>
  <c r="AD71" i="41"/>
  <c r="AE71" i="41" s="1"/>
  <c r="AA71" i="41"/>
  <c r="X71" i="41"/>
  <c r="R71" i="41"/>
  <c r="O71" i="41"/>
  <c r="BK70" i="41"/>
  <c r="BB70" i="41"/>
  <c r="AP70" i="41"/>
  <c r="AQ70" i="41" s="1"/>
  <c r="AM70" i="41"/>
  <c r="AJ70" i="41"/>
  <c r="AK70" i="41" s="1"/>
  <c r="AG70" i="41"/>
  <c r="AF70" i="41"/>
  <c r="AD70" i="41"/>
  <c r="AE70" i="41" s="1"/>
  <c r="AA70" i="41"/>
  <c r="X70" i="41"/>
  <c r="R70" i="41"/>
  <c r="O70" i="41"/>
  <c r="BK69" i="41"/>
  <c r="BB69" i="41"/>
  <c r="AP69" i="41"/>
  <c r="AQ69" i="41" s="1"/>
  <c r="AM69" i="41"/>
  <c r="AJ69" i="41"/>
  <c r="AK69" i="41" s="1"/>
  <c r="AG69" i="41"/>
  <c r="AF69" i="41"/>
  <c r="AD69" i="41"/>
  <c r="AE69" i="41" s="1"/>
  <c r="AA69" i="41"/>
  <c r="X69" i="41"/>
  <c r="R69" i="41"/>
  <c r="O69" i="41"/>
  <c r="BK68" i="41"/>
  <c r="BB68" i="41"/>
  <c r="AP68" i="41"/>
  <c r="AQ68" i="41" s="1"/>
  <c r="AM68" i="41"/>
  <c r="AJ68" i="41"/>
  <c r="AK68" i="41" s="1"/>
  <c r="AG68" i="41"/>
  <c r="AF68" i="41"/>
  <c r="AD68" i="41"/>
  <c r="AE68" i="41" s="1"/>
  <c r="AA68" i="41"/>
  <c r="X68" i="41"/>
  <c r="R68" i="41"/>
  <c r="O68" i="41"/>
  <c r="BK67" i="41"/>
  <c r="BB67" i="41"/>
  <c r="AP67" i="41"/>
  <c r="AQ67" i="41" s="1"/>
  <c r="AM67" i="41"/>
  <c r="AJ67" i="41"/>
  <c r="AK67" i="41" s="1"/>
  <c r="AG67" i="41"/>
  <c r="AF67" i="41"/>
  <c r="AD67" i="41"/>
  <c r="AE67" i="41" s="1"/>
  <c r="AA67" i="41"/>
  <c r="X67" i="41"/>
  <c r="R67" i="41"/>
  <c r="O67" i="41"/>
  <c r="BK66" i="41"/>
  <c r="BB66" i="41"/>
  <c r="AP66" i="41"/>
  <c r="AQ66" i="41" s="1"/>
  <c r="AM66" i="41"/>
  <c r="AJ66" i="41"/>
  <c r="AK66" i="41" s="1"/>
  <c r="AG66" i="41"/>
  <c r="AF66" i="41"/>
  <c r="AD66" i="41"/>
  <c r="AE66" i="41" s="1"/>
  <c r="AA66" i="41"/>
  <c r="X66" i="41"/>
  <c r="R66" i="41"/>
  <c r="O66" i="41"/>
  <c r="BK65" i="41"/>
  <c r="BB65" i="41"/>
  <c r="AP65" i="41"/>
  <c r="AQ65" i="41" s="1"/>
  <c r="AM65" i="41"/>
  <c r="AJ65" i="41"/>
  <c r="AK65" i="41" s="1"/>
  <c r="AG65" i="41"/>
  <c r="AF65" i="41"/>
  <c r="AD65" i="41"/>
  <c r="AE65" i="41" s="1"/>
  <c r="AA65" i="41"/>
  <c r="X65" i="41"/>
  <c r="R65" i="41"/>
  <c r="O65" i="41"/>
  <c r="BK64" i="41"/>
  <c r="BB64" i="41"/>
  <c r="AP64" i="41"/>
  <c r="AQ64" i="41" s="1"/>
  <c r="AM64" i="41"/>
  <c r="AJ64" i="41"/>
  <c r="AK64" i="41" s="1"/>
  <c r="AG64" i="41"/>
  <c r="AF64" i="41"/>
  <c r="AD64" i="41"/>
  <c r="AE64" i="41" s="1"/>
  <c r="AA64" i="41"/>
  <c r="X64" i="41"/>
  <c r="R64" i="41"/>
  <c r="O64" i="41"/>
  <c r="BK63" i="41"/>
  <c r="BB63" i="41"/>
  <c r="AP63" i="41"/>
  <c r="AQ63" i="41" s="1"/>
  <c r="AM63" i="41"/>
  <c r="AJ63" i="41"/>
  <c r="AK63" i="41" s="1"/>
  <c r="AG63" i="41"/>
  <c r="AF63" i="41"/>
  <c r="AD63" i="41"/>
  <c r="AE63" i="41" s="1"/>
  <c r="AA63" i="41"/>
  <c r="X63" i="41"/>
  <c r="R63" i="41"/>
  <c r="O63" i="41"/>
  <c r="BK62" i="41"/>
  <c r="BB62" i="41"/>
  <c r="AP62" i="41"/>
  <c r="AQ62" i="41" s="1"/>
  <c r="AM62" i="41"/>
  <c r="AJ62" i="41"/>
  <c r="AK62" i="41" s="1"/>
  <c r="AG62" i="41"/>
  <c r="AF62" i="41"/>
  <c r="AD62" i="41"/>
  <c r="AE62" i="41" s="1"/>
  <c r="AA62" i="41"/>
  <c r="X62" i="41"/>
  <c r="R62" i="41"/>
  <c r="O62" i="41"/>
  <c r="BK61" i="41"/>
  <c r="BB61" i="41"/>
  <c r="AP61" i="41"/>
  <c r="AQ61" i="41" s="1"/>
  <c r="AM61" i="41"/>
  <c r="AJ61" i="41"/>
  <c r="AK61" i="41" s="1"/>
  <c r="AG61" i="41"/>
  <c r="AF61" i="41"/>
  <c r="AD61" i="41"/>
  <c r="AE61" i="41" s="1"/>
  <c r="AA61" i="41"/>
  <c r="X61" i="41"/>
  <c r="R61" i="41"/>
  <c r="O61" i="41"/>
  <c r="BK60" i="41"/>
  <c r="BB60" i="41"/>
  <c r="AP60" i="41"/>
  <c r="AQ60" i="41" s="1"/>
  <c r="AM60" i="41"/>
  <c r="AJ60" i="41"/>
  <c r="AK60" i="41" s="1"/>
  <c r="AG60" i="41"/>
  <c r="AF60" i="41"/>
  <c r="AD60" i="41"/>
  <c r="AE60" i="41" s="1"/>
  <c r="AA60" i="41"/>
  <c r="X60" i="41"/>
  <c r="R60" i="41"/>
  <c r="O60" i="41"/>
  <c r="BK59" i="41"/>
  <c r="BB59" i="41"/>
  <c r="AP59" i="41"/>
  <c r="AQ59" i="41" s="1"/>
  <c r="AM59" i="41"/>
  <c r="AJ59" i="41"/>
  <c r="AK59" i="41" s="1"/>
  <c r="AG59" i="41"/>
  <c r="AF59" i="41"/>
  <c r="AD59" i="41"/>
  <c r="AE59" i="41" s="1"/>
  <c r="AA59" i="41"/>
  <c r="X59" i="41"/>
  <c r="R59" i="41"/>
  <c r="O59" i="41"/>
  <c r="BK58" i="41"/>
  <c r="BB58" i="41"/>
  <c r="AP58" i="41"/>
  <c r="AQ58" i="41" s="1"/>
  <c r="AM58" i="41"/>
  <c r="AJ58" i="41"/>
  <c r="AK58" i="41" s="1"/>
  <c r="AG58" i="41"/>
  <c r="AF58" i="41"/>
  <c r="AD58" i="41"/>
  <c r="AE58" i="41" s="1"/>
  <c r="AA58" i="41"/>
  <c r="X58" i="41"/>
  <c r="R58" i="41"/>
  <c r="O58" i="41"/>
  <c r="BK57" i="41"/>
  <c r="BB57" i="41"/>
  <c r="AP57" i="41"/>
  <c r="AQ57" i="41" s="1"/>
  <c r="AM57" i="41"/>
  <c r="AJ57" i="41"/>
  <c r="AK57" i="41" s="1"/>
  <c r="AG57" i="41"/>
  <c r="AF57" i="41"/>
  <c r="AD57" i="41"/>
  <c r="AE57" i="41" s="1"/>
  <c r="AA57" i="41"/>
  <c r="X57" i="41"/>
  <c r="R57" i="41"/>
  <c r="O57" i="41"/>
  <c r="BK56" i="41"/>
  <c r="BB56" i="41"/>
  <c r="AP56" i="41"/>
  <c r="AQ56" i="41" s="1"/>
  <c r="AM56" i="41"/>
  <c r="AJ56" i="41"/>
  <c r="AK56" i="41" s="1"/>
  <c r="AG56" i="41"/>
  <c r="AF56" i="41"/>
  <c r="AD56" i="41"/>
  <c r="AE56" i="41" s="1"/>
  <c r="AA56" i="41"/>
  <c r="X56" i="41"/>
  <c r="R56" i="41"/>
  <c r="O56" i="41"/>
  <c r="BK55" i="41"/>
  <c r="BB55" i="41"/>
  <c r="AP55" i="41"/>
  <c r="AQ55" i="41" s="1"/>
  <c r="AM55" i="41"/>
  <c r="AJ55" i="41"/>
  <c r="AK55" i="41" s="1"/>
  <c r="AG55" i="41"/>
  <c r="AF55" i="41"/>
  <c r="AD55" i="41"/>
  <c r="AE55" i="41" s="1"/>
  <c r="AA55" i="41"/>
  <c r="X55" i="41"/>
  <c r="R55" i="41"/>
  <c r="O55" i="41"/>
  <c r="BK54" i="41"/>
  <c r="BB54" i="41"/>
  <c r="AP54" i="41"/>
  <c r="AQ54" i="41" s="1"/>
  <c r="AM54" i="41"/>
  <c r="AJ54" i="41"/>
  <c r="AK54" i="41" s="1"/>
  <c r="AG54" i="41"/>
  <c r="AF54" i="41"/>
  <c r="AD54" i="41"/>
  <c r="AE54" i="41" s="1"/>
  <c r="AA54" i="41"/>
  <c r="X54" i="41"/>
  <c r="R54" i="41"/>
  <c r="O54" i="41"/>
  <c r="BK53" i="41"/>
  <c r="BB53" i="41"/>
  <c r="AP53" i="41"/>
  <c r="AQ53" i="41" s="1"/>
  <c r="AM53" i="41"/>
  <c r="AJ53" i="41"/>
  <c r="AK53" i="41" s="1"/>
  <c r="AG53" i="41"/>
  <c r="AF53" i="41"/>
  <c r="AD53" i="41"/>
  <c r="AE53" i="41" s="1"/>
  <c r="AA53" i="41"/>
  <c r="X53" i="41"/>
  <c r="R53" i="41"/>
  <c r="O53" i="41"/>
  <c r="BK52" i="41"/>
  <c r="BB52" i="41"/>
  <c r="AP52" i="41"/>
  <c r="AQ52" i="41" s="1"/>
  <c r="AM52" i="41"/>
  <c r="AJ52" i="41"/>
  <c r="AK52" i="41" s="1"/>
  <c r="AG52" i="41"/>
  <c r="AF52" i="41"/>
  <c r="AD52" i="41"/>
  <c r="AE52" i="41" s="1"/>
  <c r="AA52" i="41"/>
  <c r="X52" i="41"/>
  <c r="R52" i="41"/>
  <c r="O52" i="41"/>
  <c r="BK51" i="41"/>
  <c r="BB51" i="41"/>
  <c r="AP51" i="41"/>
  <c r="AQ51" i="41" s="1"/>
  <c r="AM51" i="41"/>
  <c r="AJ51" i="41"/>
  <c r="AK51" i="41" s="1"/>
  <c r="AG51" i="41"/>
  <c r="AF51" i="41"/>
  <c r="AD51" i="41"/>
  <c r="AE51" i="41" s="1"/>
  <c r="AA51" i="41"/>
  <c r="X51" i="41"/>
  <c r="R51" i="41"/>
  <c r="O51" i="41"/>
  <c r="BK50" i="41"/>
  <c r="BB50" i="41"/>
  <c r="AP50" i="41"/>
  <c r="AQ50" i="41" s="1"/>
  <c r="AM50" i="41"/>
  <c r="AJ50" i="41"/>
  <c r="AK50" i="41" s="1"/>
  <c r="AG50" i="41"/>
  <c r="AF50" i="41"/>
  <c r="AD50" i="41"/>
  <c r="AE50" i="41" s="1"/>
  <c r="AA50" i="41"/>
  <c r="X50" i="41"/>
  <c r="R50" i="41"/>
  <c r="O50" i="41"/>
  <c r="BK49" i="41"/>
  <c r="BB49" i="41"/>
  <c r="AP49" i="41"/>
  <c r="AQ49" i="41" s="1"/>
  <c r="AM49" i="41"/>
  <c r="AJ49" i="41"/>
  <c r="AK49" i="41" s="1"/>
  <c r="AG49" i="41"/>
  <c r="AF49" i="41"/>
  <c r="AD49" i="41"/>
  <c r="AE49" i="41" s="1"/>
  <c r="AA49" i="41"/>
  <c r="X49" i="41"/>
  <c r="R49" i="41"/>
  <c r="O49" i="41"/>
  <c r="BK48" i="41"/>
  <c r="BB48" i="41"/>
  <c r="AP48" i="41"/>
  <c r="AQ48" i="41" s="1"/>
  <c r="AM48" i="41"/>
  <c r="AJ48" i="41"/>
  <c r="AK48" i="41" s="1"/>
  <c r="AG48" i="41"/>
  <c r="AF48" i="41"/>
  <c r="AD48" i="41"/>
  <c r="AE48" i="41" s="1"/>
  <c r="AA48" i="41"/>
  <c r="X48" i="41"/>
  <c r="R48" i="41"/>
  <c r="O48" i="41"/>
  <c r="BK47" i="41"/>
  <c r="BB47" i="41"/>
  <c r="AP47" i="41"/>
  <c r="AQ47" i="41" s="1"/>
  <c r="AM47" i="41"/>
  <c r="AJ47" i="41"/>
  <c r="AK47" i="41" s="1"/>
  <c r="AG47" i="41"/>
  <c r="AF47" i="41"/>
  <c r="AD47" i="41"/>
  <c r="AE47" i="41" s="1"/>
  <c r="AA47" i="41"/>
  <c r="X47" i="41"/>
  <c r="R47" i="41"/>
  <c r="O47" i="41"/>
  <c r="BK46" i="41"/>
  <c r="BB46" i="41"/>
  <c r="AP46" i="41"/>
  <c r="AQ46" i="41" s="1"/>
  <c r="AM46" i="41"/>
  <c r="AJ46" i="41"/>
  <c r="AK46" i="41" s="1"/>
  <c r="AG46" i="41"/>
  <c r="AF46" i="41"/>
  <c r="AD46" i="41"/>
  <c r="AE46" i="41" s="1"/>
  <c r="AA46" i="41"/>
  <c r="X46" i="41"/>
  <c r="R46" i="41"/>
  <c r="O46" i="41"/>
  <c r="BK45" i="41"/>
  <c r="BB45" i="41"/>
  <c r="AP45" i="41"/>
  <c r="AQ45" i="41" s="1"/>
  <c r="AM45" i="41"/>
  <c r="AJ45" i="41"/>
  <c r="AK45" i="41" s="1"/>
  <c r="AG45" i="41"/>
  <c r="AF45" i="41"/>
  <c r="AD45" i="41"/>
  <c r="AE45" i="41" s="1"/>
  <c r="AA45" i="41"/>
  <c r="X45" i="41"/>
  <c r="R45" i="41"/>
  <c r="O45" i="41"/>
  <c r="BK44" i="41"/>
  <c r="BB44" i="41"/>
  <c r="AP44" i="41"/>
  <c r="AQ44" i="41" s="1"/>
  <c r="AM44" i="41"/>
  <c r="AJ44" i="41"/>
  <c r="AK44" i="41" s="1"/>
  <c r="AG44" i="41"/>
  <c r="AF44" i="41"/>
  <c r="AD44" i="41"/>
  <c r="AE44" i="41" s="1"/>
  <c r="AA44" i="41"/>
  <c r="X44" i="41"/>
  <c r="R44" i="41"/>
  <c r="O44" i="41"/>
  <c r="BK43" i="41"/>
  <c r="BB43" i="41"/>
  <c r="AP43" i="41"/>
  <c r="AQ43" i="41" s="1"/>
  <c r="AM43" i="41"/>
  <c r="AJ43" i="41"/>
  <c r="AK43" i="41" s="1"/>
  <c r="AG43" i="41"/>
  <c r="AF43" i="41"/>
  <c r="AD43" i="41"/>
  <c r="AE43" i="41" s="1"/>
  <c r="AA43" i="41"/>
  <c r="X43" i="41"/>
  <c r="R43" i="41"/>
  <c r="O43" i="41"/>
  <c r="BK42" i="41"/>
  <c r="BB42" i="41"/>
  <c r="AP42" i="41"/>
  <c r="AQ42" i="41" s="1"/>
  <c r="AM42" i="41"/>
  <c r="AJ42" i="41"/>
  <c r="AK42" i="41" s="1"/>
  <c r="AG42" i="41"/>
  <c r="AF42" i="41"/>
  <c r="AD42" i="41"/>
  <c r="AE42" i="41" s="1"/>
  <c r="AA42" i="41"/>
  <c r="X42" i="41"/>
  <c r="R42" i="41"/>
  <c r="O42" i="41"/>
  <c r="BK41" i="41"/>
  <c r="BB41" i="41"/>
  <c r="AP41" i="41"/>
  <c r="AQ41" i="41" s="1"/>
  <c r="AM41" i="41"/>
  <c r="AJ41" i="41"/>
  <c r="AK41" i="41" s="1"/>
  <c r="AG41" i="41"/>
  <c r="AF41" i="41"/>
  <c r="AD41" i="41"/>
  <c r="AE41" i="41" s="1"/>
  <c r="AA41" i="41"/>
  <c r="X41" i="41"/>
  <c r="R41" i="41"/>
  <c r="O41" i="41"/>
  <c r="BK39" i="41"/>
  <c r="BB39" i="41"/>
  <c r="AP39" i="41"/>
  <c r="AQ39" i="41" s="1"/>
  <c r="AM39" i="41"/>
  <c r="AJ39" i="41"/>
  <c r="AK39" i="41" s="1"/>
  <c r="AG39" i="41"/>
  <c r="AF39" i="41"/>
  <c r="AD39" i="41"/>
  <c r="AE39" i="41" s="1"/>
  <c r="AA39" i="41"/>
  <c r="X39" i="41"/>
  <c r="R39" i="41"/>
  <c r="O39" i="41"/>
  <c r="BK38" i="41"/>
  <c r="BB38" i="41"/>
  <c r="AP38" i="41"/>
  <c r="AQ38" i="41" s="1"/>
  <c r="AM38" i="41"/>
  <c r="AJ38" i="41"/>
  <c r="AK38" i="41" s="1"/>
  <c r="AG38" i="41"/>
  <c r="AF38" i="41"/>
  <c r="AD38" i="41"/>
  <c r="AE38" i="41" s="1"/>
  <c r="AA38" i="41"/>
  <c r="X38" i="41"/>
  <c r="R38" i="41"/>
  <c r="O38" i="41"/>
  <c r="BK37" i="41"/>
  <c r="BB37" i="41"/>
  <c r="AP37" i="41"/>
  <c r="AQ37" i="41" s="1"/>
  <c r="AM37" i="41"/>
  <c r="AJ37" i="41"/>
  <c r="AK37" i="41" s="1"/>
  <c r="AG37" i="41"/>
  <c r="AF37" i="41"/>
  <c r="AD37" i="41"/>
  <c r="AE37" i="41" s="1"/>
  <c r="AA37" i="41"/>
  <c r="X37" i="41"/>
  <c r="R37" i="41"/>
  <c r="O37" i="41"/>
  <c r="BK36" i="41"/>
  <c r="BB36" i="41"/>
  <c r="AP36" i="41"/>
  <c r="AQ36" i="41" s="1"/>
  <c r="AM36" i="41"/>
  <c r="AJ36" i="41"/>
  <c r="AK36" i="41" s="1"/>
  <c r="AG36" i="41"/>
  <c r="AF36" i="41"/>
  <c r="AD36" i="41"/>
  <c r="AE36" i="41" s="1"/>
  <c r="AA36" i="41"/>
  <c r="X36" i="41"/>
  <c r="R36" i="41"/>
  <c r="O36" i="41"/>
  <c r="BK35" i="41"/>
  <c r="BB35" i="41"/>
  <c r="AP35" i="41"/>
  <c r="AQ35" i="41" s="1"/>
  <c r="AM35" i="41"/>
  <c r="AJ35" i="41"/>
  <c r="AK35" i="41" s="1"/>
  <c r="AG35" i="41"/>
  <c r="AF35" i="41"/>
  <c r="AD35" i="41"/>
  <c r="AE35" i="41" s="1"/>
  <c r="AA35" i="41"/>
  <c r="X35" i="41"/>
  <c r="R35" i="41"/>
  <c r="O35" i="41"/>
  <c r="BK34" i="41"/>
  <c r="BB34" i="41"/>
  <c r="AP34" i="41"/>
  <c r="AQ34" i="41" s="1"/>
  <c r="AM34" i="41"/>
  <c r="AJ34" i="41"/>
  <c r="AK34" i="41" s="1"/>
  <c r="AG34" i="41"/>
  <c r="AF34" i="41"/>
  <c r="AD34" i="41"/>
  <c r="AE34" i="41" s="1"/>
  <c r="AA34" i="41"/>
  <c r="X34" i="41"/>
  <c r="R34" i="41"/>
  <c r="O34" i="41"/>
  <c r="BK33" i="41"/>
  <c r="BB33" i="41"/>
  <c r="AP33" i="41"/>
  <c r="AQ33" i="41" s="1"/>
  <c r="AM33" i="41"/>
  <c r="AJ33" i="41"/>
  <c r="AK33" i="41" s="1"/>
  <c r="AG33" i="41"/>
  <c r="AF33" i="41"/>
  <c r="AD33" i="41"/>
  <c r="AE33" i="41" s="1"/>
  <c r="AA33" i="41"/>
  <c r="X33" i="41"/>
  <c r="R33" i="41"/>
  <c r="O33" i="41"/>
  <c r="BK32" i="41"/>
  <c r="BB32" i="41"/>
  <c r="AP32" i="41"/>
  <c r="AQ32" i="41" s="1"/>
  <c r="AM32" i="41"/>
  <c r="AJ32" i="41"/>
  <c r="AK32" i="41" s="1"/>
  <c r="AG32" i="41"/>
  <c r="AF32" i="41"/>
  <c r="AD32" i="41"/>
  <c r="AE32" i="41" s="1"/>
  <c r="AA32" i="41"/>
  <c r="X32" i="41"/>
  <c r="R32" i="41"/>
  <c r="O32" i="41"/>
  <c r="BK31" i="41"/>
  <c r="BB31" i="41"/>
  <c r="AP31" i="41"/>
  <c r="AQ31" i="41" s="1"/>
  <c r="AM31" i="41"/>
  <c r="AJ31" i="41"/>
  <c r="AK31" i="41" s="1"/>
  <c r="AG31" i="41"/>
  <c r="AF31" i="41"/>
  <c r="AD31" i="41"/>
  <c r="AE31" i="41" s="1"/>
  <c r="AA31" i="41"/>
  <c r="X31" i="41"/>
  <c r="R31" i="41"/>
  <c r="O31" i="41"/>
  <c r="BK30" i="41"/>
  <c r="BB30" i="41"/>
  <c r="AP30" i="41"/>
  <c r="AQ30" i="41" s="1"/>
  <c r="AM30" i="41"/>
  <c r="AJ30" i="41"/>
  <c r="AK30" i="41" s="1"/>
  <c r="AG30" i="41"/>
  <c r="AF30" i="41"/>
  <c r="AD30" i="41"/>
  <c r="AE30" i="41" s="1"/>
  <c r="AA30" i="41"/>
  <c r="X30" i="41"/>
  <c r="R30" i="41"/>
  <c r="O30" i="41"/>
  <c r="BK29" i="41"/>
  <c r="BB29" i="41"/>
  <c r="AP29" i="41"/>
  <c r="AQ29" i="41" s="1"/>
  <c r="AM29" i="41"/>
  <c r="AJ29" i="41"/>
  <c r="AK29" i="41" s="1"/>
  <c r="AG29" i="41"/>
  <c r="AF29" i="41"/>
  <c r="AD29" i="41"/>
  <c r="AE29" i="41" s="1"/>
  <c r="AA29" i="41"/>
  <c r="X29" i="41"/>
  <c r="R29" i="41"/>
  <c r="O29" i="41"/>
  <c r="BK28" i="41"/>
  <c r="BB28" i="41"/>
  <c r="AP28" i="41"/>
  <c r="AQ28" i="41" s="1"/>
  <c r="AM28" i="41"/>
  <c r="AJ28" i="41"/>
  <c r="AK28" i="41" s="1"/>
  <c r="AG28" i="41"/>
  <c r="AF28" i="41"/>
  <c r="AD28" i="41"/>
  <c r="AE28" i="41" s="1"/>
  <c r="AA28" i="41"/>
  <c r="X28" i="41"/>
  <c r="R28" i="41"/>
  <c r="O28" i="41"/>
  <c r="BK27" i="41"/>
  <c r="BB27" i="41"/>
  <c r="AP27" i="41"/>
  <c r="AQ27" i="41" s="1"/>
  <c r="AM27" i="41"/>
  <c r="AJ27" i="41"/>
  <c r="AK27" i="41" s="1"/>
  <c r="AG27" i="41"/>
  <c r="AF27" i="41"/>
  <c r="AD27" i="41"/>
  <c r="AE27" i="41" s="1"/>
  <c r="AA27" i="41"/>
  <c r="X27" i="41"/>
  <c r="R27" i="41"/>
  <c r="O27" i="41"/>
  <c r="BK26" i="41"/>
  <c r="BB26" i="41"/>
  <c r="AP26" i="41"/>
  <c r="AQ26" i="41" s="1"/>
  <c r="AM26" i="41"/>
  <c r="AJ26" i="41"/>
  <c r="AK26" i="41" s="1"/>
  <c r="AG26" i="41"/>
  <c r="AF26" i="41"/>
  <c r="AD26" i="41"/>
  <c r="AE26" i="41" s="1"/>
  <c r="AA26" i="41"/>
  <c r="X26" i="41"/>
  <c r="R26" i="41"/>
  <c r="O26" i="41"/>
  <c r="BK25" i="41"/>
  <c r="BB25" i="41"/>
  <c r="AP25" i="41"/>
  <c r="AQ25" i="41" s="1"/>
  <c r="AM25" i="41"/>
  <c r="AJ25" i="41"/>
  <c r="AK25" i="41" s="1"/>
  <c r="AG25" i="41"/>
  <c r="AF25" i="41"/>
  <c r="AD25" i="41"/>
  <c r="AE25" i="41" s="1"/>
  <c r="AA25" i="41"/>
  <c r="X25" i="41"/>
  <c r="R25" i="41"/>
  <c r="O25" i="41"/>
  <c r="BK24" i="41"/>
  <c r="BB24" i="41"/>
  <c r="AP24" i="41"/>
  <c r="AQ24" i="41" s="1"/>
  <c r="AM24" i="41"/>
  <c r="AJ24" i="41"/>
  <c r="AK24" i="41" s="1"/>
  <c r="AG24" i="41"/>
  <c r="AF24" i="41"/>
  <c r="AD24" i="41"/>
  <c r="AE24" i="41" s="1"/>
  <c r="AA24" i="41"/>
  <c r="X24" i="41"/>
  <c r="R24" i="41"/>
  <c r="O24" i="41"/>
  <c r="BK23" i="41"/>
  <c r="BB23" i="41"/>
  <c r="AP23" i="41"/>
  <c r="AQ23" i="41" s="1"/>
  <c r="AM23" i="41"/>
  <c r="AJ23" i="41"/>
  <c r="AK23" i="41" s="1"/>
  <c r="AG23" i="41"/>
  <c r="AF23" i="41"/>
  <c r="AD23" i="41"/>
  <c r="AE23" i="41" s="1"/>
  <c r="AA23" i="41"/>
  <c r="X23" i="41"/>
  <c r="R23" i="41"/>
  <c r="O23" i="41"/>
  <c r="BK22" i="41"/>
  <c r="BB22" i="41"/>
  <c r="AP22" i="41"/>
  <c r="AQ22" i="41" s="1"/>
  <c r="AM22" i="41"/>
  <c r="AJ22" i="41"/>
  <c r="AK22" i="41" s="1"/>
  <c r="AG22" i="41"/>
  <c r="AF22" i="41"/>
  <c r="AD22" i="41"/>
  <c r="AE22" i="41" s="1"/>
  <c r="AA22" i="41"/>
  <c r="X22" i="41"/>
  <c r="R22" i="41"/>
  <c r="O22" i="41"/>
  <c r="BK20" i="41"/>
  <c r="BB20" i="41"/>
  <c r="AP20" i="41"/>
  <c r="AQ20" i="41" s="1"/>
  <c r="AM20" i="41"/>
  <c r="AJ20" i="41"/>
  <c r="AK20" i="41" s="1"/>
  <c r="AG20" i="41"/>
  <c r="AF20" i="41"/>
  <c r="AD20" i="41"/>
  <c r="AE20" i="41" s="1"/>
  <c r="AA20" i="41"/>
  <c r="X20" i="41"/>
  <c r="R20" i="41"/>
  <c r="O20" i="41"/>
  <c r="BK19" i="41"/>
  <c r="BB19" i="41"/>
  <c r="AP19" i="41"/>
  <c r="AQ19" i="41" s="1"/>
  <c r="AM19" i="41"/>
  <c r="AJ19" i="41"/>
  <c r="AK19" i="41" s="1"/>
  <c r="AG19" i="41"/>
  <c r="AF19" i="41"/>
  <c r="AD19" i="41"/>
  <c r="AE19" i="41" s="1"/>
  <c r="AA19" i="41"/>
  <c r="X19" i="41"/>
  <c r="R19" i="41"/>
  <c r="O19" i="41"/>
  <c r="BK18" i="41"/>
  <c r="BB18" i="41"/>
  <c r="AP18" i="41"/>
  <c r="AQ18" i="41" s="1"/>
  <c r="AM18" i="41"/>
  <c r="AJ18" i="41"/>
  <c r="AK18" i="41" s="1"/>
  <c r="AG18" i="41"/>
  <c r="AF18" i="41"/>
  <c r="AD18" i="41"/>
  <c r="AE18" i="41" s="1"/>
  <c r="AA18" i="41"/>
  <c r="X18" i="41"/>
  <c r="R18" i="41"/>
  <c r="O18" i="41"/>
  <c r="BK17" i="41"/>
  <c r="BB17" i="41"/>
  <c r="AP17" i="41"/>
  <c r="AQ17" i="41" s="1"/>
  <c r="AM17" i="41"/>
  <c r="AJ17" i="41"/>
  <c r="AK17" i="41" s="1"/>
  <c r="AG17" i="41"/>
  <c r="AF17" i="41"/>
  <c r="AD17" i="41"/>
  <c r="AE17" i="41" s="1"/>
  <c r="AA17" i="41"/>
  <c r="X17" i="41"/>
  <c r="R17" i="41"/>
  <c r="O17" i="41"/>
  <c r="BK16" i="41"/>
  <c r="BB16" i="41"/>
  <c r="AP16" i="41"/>
  <c r="AQ16" i="41" s="1"/>
  <c r="AM16" i="41"/>
  <c r="AJ16" i="41"/>
  <c r="AK16" i="41" s="1"/>
  <c r="AG16" i="41"/>
  <c r="AF16" i="41"/>
  <c r="AD16" i="41"/>
  <c r="AE16" i="41" s="1"/>
  <c r="AA16" i="41"/>
  <c r="X16" i="41"/>
  <c r="R16" i="41"/>
  <c r="O16" i="41"/>
  <c r="BK15" i="41"/>
  <c r="BB15" i="41"/>
  <c r="AP15" i="41"/>
  <c r="AQ15" i="41" s="1"/>
  <c r="AM15" i="41"/>
  <c r="AJ15" i="41"/>
  <c r="AK15" i="41" s="1"/>
  <c r="AG15" i="41"/>
  <c r="AF15" i="41"/>
  <c r="AD15" i="41"/>
  <c r="AE15" i="41" s="1"/>
  <c r="AA15" i="41"/>
  <c r="X15" i="41"/>
  <c r="R15" i="41"/>
  <c r="O15" i="41"/>
  <c r="BK14" i="41"/>
  <c r="BB14" i="41"/>
  <c r="AP14" i="41"/>
  <c r="AQ14" i="41" s="1"/>
  <c r="AM14" i="41"/>
  <c r="AJ14" i="41"/>
  <c r="AK14" i="41" s="1"/>
  <c r="AG14" i="41"/>
  <c r="AF14" i="41"/>
  <c r="AD14" i="41"/>
  <c r="AE14" i="41" s="1"/>
  <c r="AA14" i="41"/>
  <c r="X14" i="41"/>
  <c r="R14" i="41"/>
  <c r="O14" i="41"/>
  <c r="BK13" i="41"/>
  <c r="BB13" i="41"/>
  <c r="AP13" i="41"/>
  <c r="AQ13" i="41" s="1"/>
  <c r="AM13" i="41"/>
  <c r="AJ13" i="41"/>
  <c r="AK13" i="41" s="1"/>
  <c r="AG13" i="41"/>
  <c r="AF13" i="41"/>
  <c r="AD13" i="41"/>
  <c r="AE13" i="41" s="1"/>
  <c r="AA13" i="41"/>
  <c r="X13" i="41"/>
  <c r="R13" i="41"/>
  <c r="O13" i="41"/>
  <c r="BK12" i="41"/>
  <c r="BB12" i="41"/>
  <c r="AP12" i="41"/>
  <c r="AQ12" i="41" s="1"/>
  <c r="AM12" i="41"/>
  <c r="AJ12" i="41"/>
  <c r="AK12" i="41" s="1"/>
  <c r="AG12" i="41"/>
  <c r="AF12" i="41"/>
  <c r="AD12" i="41"/>
  <c r="AE12" i="41" s="1"/>
  <c r="AA12" i="41"/>
  <c r="X12" i="41"/>
  <c r="R12" i="41"/>
  <c r="O12" i="41"/>
  <c r="BK11" i="41"/>
  <c r="BB11" i="41"/>
  <c r="AP11" i="41"/>
  <c r="AQ11" i="41" s="1"/>
  <c r="AM11" i="41"/>
  <c r="AJ11" i="41"/>
  <c r="AK11" i="41" s="1"/>
  <c r="AG11" i="41"/>
  <c r="AF11" i="41"/>
  <c r="AD11" i="41"/>
  <c r="AE11" i="41" s="1"/>
  <c r="AA11" i="41"/>
  <c r="X11" i="41"/>
  <c r="R11" i="41"/>
  <c r="O11" i="41"/>
  <c r="BK10" i="41"/>
  <c r="BB10" i="41"/>
  <c r="AP10" i="41"/>
  <c r="AQ10" i="41" s="1"/>
  <c r="AM10" i="41"/>
  <c r="AJ10" i="41"/>
  <c r="AK10" i="41" s="1"/>
  <c r="AG10" i="41"/>
  <c r="AF10" i="41"/>
  <c r="AD10" i="41"/>
  <c r="AE10" i="41" s="1"/>
  <c r="AA10" i="41"/>
  <c r="X10" i="41"/>
  <c r="R10" i="41"/>
  <c r="O10" i="41"/>
  <c r="BK9" i="41"/>
  <c r="BB9" i="41"/>
  <c r="AP9" i="41"/>
  <c r="AQ9" i="41" s="1"/>
  <c r="AM9" i="41"/>
  <c r="AJ9" i="41"/>
  <c r="AK9" i="41" s="1"/>
  <c r="AG9" i="41"/>
  <c r="AF9" i="41"/>
  <c r="AD9" i="41"/>
  <c r="AE9" i="41" s="1"/>
  <c r="AA9" i="41"/>
  <c r="X9" i="41"/>
  <c r="R9" i="41"/>
  <c r="O9" i="41"/>
  <c r="O8" i="41"/>
  <c r="R8" i="41"/>
  <c r="R101" i="41" s="1"/>
  <c r="U8" i="41"/>
  <c r="X101" i="41"/>
  <c r="AA8" i="41"/>
  <c r="AD8" i="41"/>
  <c r="AF8" i="41"/>
  <c r="AG8" i="41"/>
  <c r="AG101" i="41" s="1"/>
  <c r="AJ8" i="41"/>
  <c r="AM8" i="41"/>
  <c r="AM101" i="41" s="1"/>
  <c r="AP8" i="41"/>
  <c r="BB8" i="41"/>
  <c r="BB101" i="41" s="1"/>
  <c r="AY101" i="41" l="1"/>
  <c r="Z101" i="41"/>
  <c r="N101" i="41"/>
  <c r="T101" i="41"/>
  <c r="AE8" i="41"/>
  <c r="AE101" i="41" s="1"/>
  <c r="AD101" i="41"/>
  <c r="AQ8" i="41"/>
  <c r="AQ101" i="41" s="1"/>
  <c r="AP101" i="41"/>
  <c r="AK8" i="41"/>
  <c r="AK101" i="41" s="1"/>
  <c r="AJ101" i="41"/>
  <c r="AF101" i="41"/>
  <c r="AA101" i="41"/>
  <c r="U101" i="41"/>
  <c r="O101" i="41"/>
  <c r="AH54" i="41"/>
  <c r="AH58" i="41"/>
  <c r="AH62" i="41"/>
  <c r="AH66" i="41"/>
  <c r="AH70" i="41"/>
  <c r="AH74" i="41"/>
  <c r="AH78" i="41"/>
  <c r="M1639" i="99"/>
  <c r="M1640" i="99" s="1"/>
  <c r="Q1639" i="99"/>
  <c r="U1639" i="99"/>
  <c r="Y1639" i="99"/>
  <c r="AH40" i="41"/>
  <c r="AH9" i="41"/>
  <c r="AH13" i="41"/>
  <c r="AH47" i="41"/>
  <c r="AH51" i="41"/>
  <c r="R1639" i="99"/>
  <c r="V1639" i="99"/>
  <c r="Z1639" i="99"/>
  <c r="O1639" i="99"/>
  <c r="O1640" i="99" s="1"/>
  <c r="S1639" i="99"/>
  <c r="W1639" i="99"/>
  <c r="AA1639" i="99"/>
  <c r="AA1640" i="99" s="1"/>
  <c r="T1639" i="99"/>
  <c r="X1639" i="99"/>
  <c r="AH21" i="41"/>
  <c r="AH16" i="41"/>
  <c r="AH20" i="41"/>
  <c r="AH25" i="41"/>
  <c r="AH29" i="41"/>
  <c r="AH33" i="41"/>
  <c r="AH37" i="41"/>
  <c r="AH42" i="41"/>
  <c r="AZ97" i="41"/>
  <c r="BL97" i="41"/>
  <c r="AH11" i="41"/>
  <c r="AH15" i="41"/>
  <c r="AH18" i="41"/>
  <c r="AH23" i="41"/>
  <c r="AH27" i="41"/>
  <c r="AH31" i="41"/>
  <c r="AH35" i="41"/>
  <c r="AH39" i="41"/>
  <c r="AH44" i="41"/>
  <c r="AH48" i="41"/>
  <c r="AH52" i="41"/>
  <c r="AH55" i="41"/>
  <c r="AH63" i="41"/>
  <c r="AH67" i="41"/>
  <c r="AH71" i="41"/>
  <c r="AH75" i="41"/>
  <c r="AH79" i="41"/>
  <c r="AH83" i="41"/>
  <c r="AH87" i="41"/>
  <c r="AH91" i="41"/>
  <c r="AH95" i="41"/>
  <c r="AH12" i="41"/>
  <c r="AH19" i="41"/>
  <c r="AH28" i="41"/>
  <c r="AH32" i="41"/>
  <c r="AH36" i="41"/>
  <c r="AH41" i="41"/>
  <c r="AH45" i="41"/>
  <c r="AH49" i="41"/>
  <c r="AH56" i="41"/>
  <c r="AH60" i="41"/>
  <c r="AH64" i="41"/>
  <c r="AH68" i="41"/>
  <c r="AH72" i="41"/>
  <c r="AH76" i="41"/>
  <c r="AH80" i="41"/>
  <c r="AH84" i="41"/>
  <c r="AH88" i="41"/>
  <c r="AH92" i="41"/>
  <c r="AH96" i="41"/>
  <c r="N1639" i="99"/>
  <c r="N1640" i="99" s="1"/>
  <c r="P1639" i="99"/>
  <c r="P1640" i="99" s="1"/>
  <c r="AB97" i="41"/>
  <c r="AH10" i="41"/>
  <c r="AH14" i="41"/>
  <c r="AH17" i="41"/>
  <c r="AH22" i="41"/>
  <c r="AH26" i="41"/>
  <c r="AH30" i="41"/>
  <c r="AH34" i="41"/>
  <c r="AH38" i="41"/>
  <c r="AH43" i="41"/>
  <c r="AH46" i="41"/>
  <c r="AH50" i="41"/>
  <c r="AH57" i="41"/>
  <c r="AH61" i="41"/>
  <c r="AH65" i="41"/>
  <c r="AH69" i="41"/>
  <c r="AH73" i="41"/>
  <c r="AH77" i="41"/>
  <c r="AH81" i="41"/>
  <c r="AH85" i="41"/>
  <c r="AH89" i="41"/>
  <c r="AH93" i="41"/>
  <c r="AH98" i="41"/>
  <c r="AH97" i="41"/>
  <c r="AT97" i="41"/>
  <c r="BC97" i="41"/>
  <c r="AH59" i="41"/>
  <c r="S40" i="41"/>
  <c r="CP40" i="41"/>
  <c r="BL40" i="41"/>
  <c r="BL21" i="41"/>
  <c r="BC40" i="41"/>
  <c r="BC21" i="41"/>
  <c r="AZ40" i="41"/>
  <c r="AZ21" i="41"/>
  <c r="AT98" i="41"/>
  <c r="AT96" i="41"/>
  <c r="AT95" i="41"/>
  <c r="AT94" i="41"/>
  <c r="AT93" i="41"/>
  <c r="AT92" i="41"/>
  <c r="AT91" i="41"/>
  <c r="AT90" i="41"/>
  <c r="AT89" i="41"/>
  <c r="AT88" i="41"/>
  <c r="AT87" i="41"/>
  <c r="AT86" i="41"/>
  <c r="AT85" i="41"/>
  <c r="AT83" i="41"/>
  <c r="AT82" i="41"/>
  <c r="AT40" i="41"/>
  <c r="AT21" i="41"/>
  <c r="AH53" i="41"/>
  <c r="S21" i="41"/>
  <c r="CP21" i="41"/>
  <c r="AB40" i="41"/>
  <c r="AB21" i="41"/>
  <c r="AT80" i="41"/>
  <c r="AT79" i="41"/>
  <c r="AT78" i="41"/>
  <c r="AT75" i="41"/>
  <c r="AT72" i="41"/>
  <c r="AT70" i="41"/>
  <c r="AT68" i="41"/>
  <c r="AT65" i="41"/>
  <c r="AT62" i="41"/>
  <c r="AT60" i="41"/>
  <c r="AT58" i="41"/>
  <c r="AT55" i="41"/>
  <c r="AT50" i="41"/>
  <c r="AT46" i="41"/>
  <c r="AT43" i="41"/>
  <c r="AT41" i="41"/>
  <c r="AT38" i="41"/>
  <c r="AT34" i="41"/>
  <c r="AT32" i="41"/>
  <c r="AT28" i="41"/>
  <c r="AT25" i="41"/>
  <c r="AT22" i="41"/>
  <c r="AT18" i="41"/>
  <c r="AT15" i="41"/>
  <c r="AT14" i="41"/>
  <c r="AT11" i="41"/>
  <c r="AT81" i="41"/>
  <c r="AT76" i="41"/>
  <c r="AT74" i="41"/>
  <c r="AT71" i="41"/>
  <c r="AT66" i="41"/>
  <c r="AT63" i="41"/>
  <c r="AT59" i="41"/>
  <c r="AT57" i="41"/>
  <c r="AT54" i="41"/>
  <c r="AT51" i="41"/>
  <c r="AT48" i="41"/>
  <c r="AT45" i="41"/>
  <c r="AT37" i="41"/>
  <c r="AT33" i="41"/>
  <c r="AT31" i="41"/>
  <c r="AT29" i="41"/>
  <c r="AT26" i="41"/>
  <c r="AT23" i="41"/>
  <c r="AT20" i="41"/>
  <c r="AT17" i="41"/>
  <c r="AT13" i="41"/>
  <c r="AT9" i="41"/>
  <c r="AT84" i="41"/>
  <c r="AT77" i="41"/>
  <c r="AT73" i="41"/>
  <c r="AT69" i="41"/>
  <c r="AT67" i="41"/>
  <c r="AT64" i="41"/>
  <c r="AT61" i="41"/>
  <c r="AT56" i="41"/>
  <c r="AT53" i="41"/>
  <c r="AT52" i="41"/>
  <c r="AT49" i="41"/>
  <c r="AT47" i="41"/>
  <c r="AT44" i="41"/>
  <c r="AT42" i="41"/>
  <c r="AT39" i="41"/>
  <c r="AT36" i="41"/>
  <c r="AT35" i="41"/>
  <c r="AT30" i="41"/>
  <c r="AT27" i="41"/>
  <c r="AT24" i="41"/>
  <c r="AT19" i="41"/>
  <c r="AT16" i="41"/>
  <c r="AT12" i="41"/>
  <c r="AT10" i="41"/>
  <c r="AZ98" i="41"/>
  <c r="AZ96" i="41"/>
  <c r="AZ95" i="41"/>
  <c r="AZ94" i="41"/>
  <c r="AZ93" i="41"/>
  <c r="AZ92" i="41"/>
  <c r="AZ91" i="41"/>
  <c r="AZ90" i="41"/>
  <c r="AH24" i="41"/>
  <c r="BC96" i="41"/>
  <c r="BC93" i="41"/>
  <c r="BC91" i="41"/>
  <c r="BC89" i="41"/>
  <c r="BC87" i="41"/>
  <c r="BC86" i="41"/>
  <c r="BC83" i="41"/>
  <c r="BC81" i="41"/>
  <c r="BC79" i="41"/>
  <c r="CT79" i="41" s="1"/>
  <c r="BC77" i="41"/>
  <c r="BC75" i="41"/>
  <c r="BC73" i="41"/>
  <c r="BC71" i="41"/>
  <c r="BC68" i="41"/>
  <c r="BC66" i="41"/>
  <c r="BC64" i="41"/>
  <c r="BC62" i="41"/>
  <c r="BC60" i="41"/>
  <c r="BC58" i="41"/>
  <c r="BC56" i="41"/>
  <c r="BC54" i="41"/>
  <c r="BC52" i="41"/>
  <c r="CT52" i="41" s="1"/>
  <c r="BC51" i="41"/>
  <c r="BC49" i="41"/>
  <c r="BC47" i="41"/>
  <c r="CT47" i="41" s="1"/>
  <c r="BC45" i="41"/>
  <c r="BC43" i="41"/>
  <c r="BC36" i="41"/>
  <c r="BC34" i="41"/>
  <c r="BC32" i="41"/>
  <c r="BC30" i="41"/>
  <c r="CT30" i="41" s="1"/>
  <c r="BC28" i="41"/>
  <c r="BC26" i="41"/>
  <c r="BC24" i="41"/>
  <c r="BC22" i="41"/>
  <c r="BC19" i="41"/>
  <c r="BC17" i="41"/>
  <c r="BC14" i="41"/>
  <c r="BC12" i="41"/>
  <c r="BC9" i="41"/>
  <c r="BC98" i="41"/>
  <c r="BC95" i="41"/>
  <c r="BC94" i="41"/>
  <c r="BC92" i="41"/>
  <c r="BC90" i="41"/>
  <c r="BC88" i="41"/>
  <c r="BC85" i="41"/>
  <c r="BC84" i="41"/>
  <c r="BC82" i="41"/>
  <c r="BC80" i="41"/>
  <c r="BC78" i="41"/>
  <c r="BC76" i="41"/>
  <c r="BC74" i="41"/>
  <c r="BC72" i="41"/>
  <c r="BC70" i="41"/>
  <c r="CT70" i="41" s="1"/>
  <c r="BC69" i="41"/>
  <c r="BC67" i="41"/>
  <c r="BC65" i="41"/>
  <c r="BC63" i="41"/>
  <c r="CT63" i="41" s="1"/>
  <c r="BC61" i="41"/>
  <c r="BC59" i="41"/>
  <c r="BC57" i="41"/>
  <c r="BC55" i="41"/>
  <c r="BC53" i="41"/>
  <c r="BC50" i="41"/>
  <c r="BC48" i="41"/>
  <c r="BC46" i="41"/>
  <c r="BC44" i="41"/>
  <c r="BC35" i="41"/>
  <c r="BC33" i="41"/>
  <c r="BC31" i="41"/>
  <c r="BC29" i="41"/>
  <c r="BC27" i="41"/>
  <c r="BC25" i="41"/>
  <c r="CT25" i="41" s="1"/>
  <c r="BC23" i="41"/>
  <c r="CT23" i="41" s="1"/>
  <c r="BC20" i="41"/>
  <c r="BC18" i="41"/>
  <c r="BC16" i="41"/>
  <c r="CT16" i="41" s="1"/>
  <c r="BC15" i="41"/>
  <c r="BC13" i="41"/>
  <c r="BC11" i="41"/>
  <c r="BC8" i="41"/>
  <c r="AZ89" i="41"/>
  <c r="AZ88" i="41"/>
  <c r="AZ87" i="41"/>
  <c r="AZ86" i="41"/>
  <c r="AZ85" i="41"/>
  <c r="AZ84" i="41"/>
  <c r="AZ83" i="41"/>
  <c r="AZ82" i="41"/>
  <c r="AZ81" i="41"/>
  <c r="AZ80" i="41"/>
  <c r="AZ79" i="41"/>
  <c r="AZ78" i="41"/>
  <c r="AZ77" i="41"/>
  <c r="AZ76" i="41"/>
  <c r="AZ75" i="41"/>
  <c r="AZ74" i="41"/>
  <c r="AZ73" i="41"/>
  <c r="AZ72" i="41"/>
  <c r="AZ71" i="41"/>
  <c r="AZ70" i="41"/>
  <c r="AZ69" i="41"/>
  <c r="AZ68" i="41"/>
  <c r="AZ67" i="41"/>
  <c r="AZ66" i="41"/>
  <c r="AZ65" i="41"/>
  <c r="AZ64" i="41"/>
  <c r="AZ63" i="41"/>
  <c r="AZ62" i="41"/>
  <c r="AZ61" i="41"/>
  <c r="AZ60" i="41"/>
  <c r="AZ59" i="41"/>
  <c r="AZ58" i="41"/>
  <c r="AZ57" i="41"/>
  <c r="AZ56" i="41"/>
  <c r="AZ55" i="41"/>
  <c r="AZ54" i="41"/>
  <c r="AZ53" i="41"/>
  <c r="AZ52" i="41"/>
  <c r="AZ51" i="41"/>
  <c r="AZ50" i="41"/>
  <c r="AZ49" i="41"/>
  <c r="AZ48" i="41"/>
  <c r="AZ47" i="41"/>
  <c r="AZ46" i="41"/>
  <c r="AZ45" i="41"/>
  <c r="AZ44" i="41"/>
  <c r="AZ43" i="41"/>
  <c r="AZ42" i="41"/>
  <c r="AZ41" i="41"/>
  <c r="AZ39" i="41"/>
  <c r="AZ38" i="41"/>
  <c r="AZ37" i="41"/>
  <c r="AZ36" i="41"/>
  <c r="AZ35" i="41"/>
  <c r="AZ34" i="41"/>
  <c r="AZ33" i="41"/>
  <c r="AZ32" i="41"/>
  <c r="AZ31" i="41"/>
  <c r="AZ30" i="41"/>
  <c r="AZ29" i="41"/>
  <c r="AZ28" i="41"/>
  <c r="AZ27" i="41"/>
  <c r="AZ26" i="41"/>
  <c r="AZ25" i="41"/>
  <c r="AZ24" i="41"/>
  <c r="AZ23" i="41"/>
  <c r="AZ22" i="41"/>
  <c r="AZ20" i="41"/>
  <c r="AZ19" i="41"/>
  <c r="AZ18" i="41"/>
  <c r="AZ17" i="41"/>
  <c r="AZ16" i="41"/>
  <c r="AZ15" i="41"/>
  <c r="AZ14" i="41"/>
  <c r="AZ13" i="41"/>
  <c r="AZ12" i="41"/>
  <c r="AZ11" i="41"/>
  <c r="AZ10" i="41"/>
  <c r="AZ9" i="41"/>
  <c r="S80" i="41"/>
  <c r="S75" i="41"/>
  <c r="S70" i="41"/>
  <c r="S64" i="41"/>
  <c r="S59" i="41"/>
  <c r="S55" i="41"/>
  <c r="S51" i="41"/>
  <c r="S46" i="41"/>
  <c r="S39" i="41"/>
  <c r="S35" i="41"/>
  <c r="S27" i="41"/>
  <c r="S20" i="41"/>
  <c r="S16" i="41"/>
  <c r="S10" i="41"/>
  <c r="CT96" i="41"/>
  <c r="CP77" i="41"/>
  <c r="CP62" i="41"/>
  <c r="CP47" i="41"/>
  <c r="CP43" i="41"/>
  <c r="CT38" i="41"/>
  <c r="CP32" i="41"/>
  <c r="CP25" i="41"/>
  <c r="CP18" i="41"/>
  <c r="CP14" i="41"/>
  <c r="BL36" i="41"/>
  <c r="BL32" i="41"/>
  <c r="BL28" i="41"/>
  <c r="AB34" i="41"/>
  <c r="AB31" i="41"/>
  <c r="AB28" i="41"/>
  <c r="AB24" i="41"/>
  <c r="S81" i="41"/>
  <c r="S76" i="41"/>
  <c r="S71" i="41"/>
  <c r="S63" i="41"/>
  <c r="S57" i="41"/>
  <c r="S48" i="41"/>
  <c r="S43" i="41"/>
  <c r="S37" i="41"/>
  <c r="S32" i="41"/>
  <c r="S26" i="41"/>
  <c r="S23" i="41"/>
  <c r="S19" i="41"/>
  <c r="S12" i="41"/>
  <c r="CP83" i="41"/>
  <c r="CP79" i="41"/>
  <c r="CP76" i="41"/>
  <c r="CP70" i="41"/>
  <c r="CP66" i="41"/>
  <c r="CP61" i="41"/>
  <c r="CP56" i="41"/>
  <c r="CP52" i="41"/>
  <c r="CP45" i="41"/>
  <c r="CP36" i="41"/>
  <c r="CP30" i="41"/>
  <c r="CP26" i="41"/>
  <c r="CP16" i="41"/>
  <c r="CP11" i="41"/>
  <c r="BL34" i="41"/>
  <c r="BL29" i="41"/>
  <c r="BL25" i="41"/>
  <c r="AB90" i="41"/>
  <c r="AB37" i="41"/>
  <c r="AB33" i="41"/>
  <c r="AB29" i="41"/>
  <c r="AB25" i="41"/>
  <c r="S84" i="41"/>
  <c r="S79" i="41"/>
  <c r="S74" i="41"/>
  <c r="S68" i="41"/>
  <c r="S65" i="41"/>
  <c r="S60" i="41"/>
  <c r="S56" i="41"/>
  <c r="S52" i="41"/>
  <c r="S47" i="41"/>
  <c r="S33" i="41"/>
  <c r="S30" i="41"/>
  <c r="S24" i="41"/>
  <c r="S18" i="41"/>
  <c r="S13" i="41"/>
  <c r="CP98" i="41"/>
  <c r="CP89" i="41"/>
  <c r="CP75" i="41"/>
  <c r="CP69" i="41"/>
  <c r="CP59" i="41"/>
  <c r="CT54" i="41"/>
  <c r="CP48" i="41"/>
  <c r="CP37" i="41"/>
  <c r="CP31" i="41"/>
  <c r="CT27" i="41"/>
  <c r="CP22" i="41"/>
  <c r="CP10" i="41"/>
  <c r="BL33" i="41"/>
  <c r="BL30" i="41"/>
  <c r="BL26" i="41"/>
  <c r="AB36" i="41"/>
  <c r="AB32" i="41"/>
  <c r="AB27" i="41"/>
  <c r="AB23" i="41"/>
  <c r="S82" i="41"/>
  <c r="S78" i="41"/>
  <c r="S73" i="41"/>
  <c r="S67" i="41"/>
  <c r="S62" i="41"/>
  <c r="S58" i="41"/>
  <c r="S53" i="41"/>
  <c r="S49" i="41"/>
  <c r="S45" i="41"/>
  <c r="S41" i="41"/>
  <c r="S34" i="41"/>
  <c r="S29" i="41"/>
  <c r="S22" i="41"/>
  <c r="S15" i="41"/>
  <c r="S11" i="41"/>
  <c r="CP94" i="41"/>
  <c r="CP85" i="41"/>
  <c r="CP80" i="41"/>
  <c r="CP73" i="41"/>
  <c r="CP67" i="41"/>
  <c r="CP63" i="41"/>
  <c r="CP57" i="41"/>
  <c r="CP53" i="41"/>
  <c r="CP49" i="41"/>
  <c r="CP44" i="41"/>
  <c r="CT34" i="41"/>
  <c r="CP23" i="41"/>
  <c r="CP15" i="41"/>
  <c r="CP12" i="41"/>
  <c r="BL89" i="41"/>
  <c r="BL35" i="41"/>
  <c r="BL31" i="41"/>
  <c r="BL27" i="41"/>
  <c r="AB35" i="41"/>
  <c r="AB30" i="41"/>
  <c r="AB26" i="41"/>
  <c r="S83" i="41"/>
  <c r="S77" i="41"/>
  <c r="S72" i="41"/>
  <c r="S69" i="41"/>
  <c r="S66" i="41"/>
  <c r="S61" i="41"/>
  <c r="S54" i="41"/>
  <c r="S50" i="41"/>
  <c r="S42" i="41"/>
  <c r="S36" i="41"/>
  <c r="S31" i="41"/>
  <c r="S28" i="41"/>
  <c r="S25" i="41"/>
  <c r="S17" i="41"/>
  <c r="S9" i="41"/>
  <c r="CP95" i="41"/>
  <c r="CP91" i="41"/>
  <c r="CP81" i="41"/>
  <c r="CP74" i="41"/>
  <c r="CP65" i="41"/>
  <c r="CT46" i="41"/>
  <c r="CP35" i="41"/>
  <c r="CP28" i="41"/>
  <c r="CP24" i="41"/>
  <c r="CP17" i="41"/>
  <c r="BL98" i="41"/>
  <c r="BL96" i="41"/>
  <c r="BL95" i="41"/>
  <c r="BL94" i="41"/>
  <c r="BL93" i="41"/>
  <c r="BL92" i="41"/>
  <c r="BL91" i="41"/>
  <c r="BL90" i="41"/>
  <c r="BL88" i="41"/>
  <c r="BL87" i="41"/>
  <c r="BL86" i="41"/>
  <c r="BL85" i="41"/>
  <c r="BL84" i="41"/>
  <c r="BL83" i="41"/>
  <c r="BL82" i="41"/>
  <c r="BL81" i="41"/>
  <c r="BL79" i="41"/>
  <c r="BL74" i="41"/>
  <c r="BL72" i="41"/>
  <c r="BL70" i="41"/>
  <c r="BL68" i="41"/>
  <c r="BL65" i="41"/>
  <c r="BL63" i="41"/>
  <c r="BL59" i="41"/>
  <c r="BL57" i="41"/>
  <c r="BL54" i="41"/>
  <c r="BL52" i="41"/>
  <c r="BL50" i="41"/>
  <c r="BL47" i="41"/>
  <c r="BL45" i="41"/>
  <c r="BL43" i="41"/>
  <c r="BL41" i="41"/>
  <c r="BL23" i="41"/>
  <c r="BL20" i="41"/>
  <c r="BL18" i="41"/>
  <c r="BL13" i="41"/>
  <c r="BL10" i="41"/>
  <c r="BC39" i="41"/>
  <c r="BC37" i="41"/>
  <c r="AB98" i="41"/>
  <c r="AB96" i="41"/>
  <c r="AB95" i="41"/>
  <c r="AB94" i="41"/>
  <c r="AB93" i="41"/>
  <c r="AB92" i="41"/>
  <c r="AB91" i="41"/>
  <c r="AB89" i="41"/>
  <c r="AB88" i="41"/>
  <c r="AB87" i="41"/>
  <c r="AB86" i="41"/>
  <c r="AB85" i="41"/>
  <c r="AB84" i="41"/>
  <c r="AB83" i="41"/>
  <c r="AB82" i="41"/>
  <c r="AB81" i="41"/>
  <c r="AB80" i="41"/>
  <c r="AB79" i="41"/>
  <c r="AB78" i="41"/>
  <c r="AB77" i="41"/>
  <c r="AB76" i="41"/>
  <c r="AB75" i="41"/>
  <c r="AB74" i="41"/>
  <c r="AB73" i="41"/>
  <c r="AB72" i="41"/>
  <c r="AB71" i="41"/>
  <c r="AB70" i="41"/>
  <c r="AB69" i="41"/>
  <c r="AB68" i="41"/>
  <c r="AB67" i="41"/>
  <c r="AB66" i="41"/>
  <c r="AB65" i="41"/>
  <c r="AB64" i="41"/>
  <c r="AB63" i="41"/>
  <c r="AB62" i="41"/>
  <c r="AB61" i="41"/>
  <c r="AB60" i="41"/>
  <c r="AB59" i="41"/>
  <c r="AB58" i="41"/>
  <c r="AB57" i="41"/>
  <c r="AB56" i="41"/>
  <c r="AB55" i="41"/>
  <c r="AB54" i="41"/>
  <c r="AB53" i="41"/>
  <c r="AB52" i="41"/>
  <c r="AB51" i="41"/>
  <c r="AB50" i="41"/>
  <c r="AB49" i="41"/>
  <c r="AB48" i="41"/>
  <c r="AB47" i="41"/>
  <c r="AB46" i="41"/>
  <c r="AB45" i="41"/>
  <c r="AB44" i="41"/>
  <c r="AB43" i="41"/>
  <c r="AB42" i="41"/>
  <c r="AB41" i="41"/>
  <c r="AB39" i="41"/>
  <c r="AB38" i="41"/>
  <c r="AB22" i="41"/>
  <c r="AB20" i="41"/>
  <c r="AB19" i="41"/>
  <c r="AB18" i="41"/>
  <c r="AB17" i="41"/>
  <c r="AB16" i="41"/>
  <c r="AB15" i="41"/>
  <c r="AB14" i="41"/>
  <c r="AB13" i="41"/>
  <c r="AB12" i="41"/>
  <c r="AB11" i="41"/>
  <c r="AB10" i="41"/>
  <c r="AB9" i="41"/>
  <c r="BL80" i="41"/>
  <c r="BL78" i="41"/>
  <c r="BL77" i="41"/>
  <c r="BL76" i="41"/>
  <c r="BL75" i="41"/>
  <c r="BL73" i="41"/>
  <c r="BL71" i="41"/>
  <c r="BL69" i="41"/>
  <c r="BL67" i="41"/>
  <c r="BL66" i="41"/>
  <c r="BL64" i="41"/>
  <c r="BL62" i="41"/>
  <c r="BL61" i="41"/>
  <c r="BL60" i="41"/>
  <c r="BL58" i="41"/>
  <c r="BL56" i="41"/>
  <c r="BL55" i="41"/>
  <c r="BL53" i="41"/>
  <c r="BL51" i="41"/>
  <c r="BL49" i="41"/>
  <c r="BL48" i="41"/>
  <c r="BL46" i="41"/>
  <c r="BL44" i="41"/>
  <c r="BL42" i="41"/>
  <c r="BL39" i="41"/>
  <c r="BL38" i="41"/>
  <c r="BL37" i="41"/>
  <c r="BL24" i="41"/>
  <c r="BL22" i="41"/>
  <c r="BL19" i="41"/>
  <c r="BL17" i="41"/>
  <c r="BL16" i="41"/>
  <c r="BL15" i="41"/>
  <c r="BL14" i="41"/>
  <c r="BL12" i="41"/>
  <c r="BL11" i="41"/>
  <c r="BL9" i="41"/>
  <c r="BC42" i="41"/>
  <c r="BC41" i="41"/>
  <c r="BC38" i="41"/>
  <c r="AZ8" i="41"/>
  <c r="AZ101" i="41" s="1"/>
  <c r="AT8" i="41"/>
  <c r="AB8" i="41"/>
  <c r="AB101" i="41" s="1"/>
  <c r="V101" i="41"/>
  <c r="S14" i="41"/>
  <c r="S44" i="41"/>
  <c r="CP13" i="41"/>
  <c r="BC10" i="41"/>
  <c r="S38" i="41"/>
  <c r="CP20" i="41"/>
  <c r="AH8" i="41"/>
  <c r="AH101" i="41" s="1"/>
  <c r="S8" i="41"/>
  <c r="BK8" i="41"/>
  <c r="BK101" i="41" s="1"/>
  <c r="K8" i="41"/>
  <c r="S101" i="41" l="1"/>
  <c r="M101" i="41"/>
  <c r="K101" i="41"/>
  <c r="CT55" i="41"/>
  <c r="CT86" i="41"/>
  <c r="CT64" i="41"/>
  <c r="CT82" i="41"/>
  <c r="CT93" i="41"/>
  <c r="CT9" i="41"/>
  <c r="CT88" i="41"/>
  <c r="CT72" i="41"/>
  <c r="CT84" i="41"/>
  <c r="CT97" i="41"/>
  <c r="CP38" i="41"/>
  <c r="CP72" i="41"/>
  <c r="CT36" i="41"/>
  <c r="CT13" i="41"/>
  <c r="CP84" i="41"/>
  <c r="CP27" i="41"/>
  <c r="P101" i="41"/>
  <c r="Y101" i="41"/>
  <c r="AT101" i="41"/>
  <c r="CT42" i="41"/>
  <c r="CT51" i="41"/>
  <c r="CT60" i="41"/>
  <c r="CT68" i="41"/>
  <c r="CT19" i="41"/>
  <c r="CT29" i="41"/>
  <c r="CT41" i="41"/>
  <c r="CT87" i="41"/>
  <c r="CT78" i="41"/>
  <c r="CT33" i="41"/>
  <c r="CT39" i="41"/>
  <c r="CT50" i="41"/>
  <c r="CT92" i="41"/>
  <c r="CT58" i="41"/>
  <c r="CT71" i="41"/>
  <c r="CT90" i="41"/>
  <c r="BC101" i="41"/>
  <c r="CP54" i="41"/>
  <c r="CP93" i="41"/>
  <c r="CP88" i="41"/>
  <c r="CP34" i="41"/>
  <c r="CP46" i="41"/>
  <c r="CP64" i="41"/>
  <c r="CP82" i="41"/>
  <c r="CT24" i="41"/>
  <c r="CT44" i="41"/>
  <c r="CT62" i="41"/>
  <c r="CT74" i="41"/>
  <c r="CP55" i="41"/>
  <c r="CP97" i="41"/>
  <c r="CT15" i="41"/>
  <c r="CT35" i="41"/>
  <c r="CT75" i="41"/>
  <c r="CT95" i="41"/>
  <c r="CP96" i="41"/>
  <c r="CP86" i="41"/>
  <c r="CT94" i="41"/>
  <c r="CP9" i="41"/>
  <c r="CP42" i="41"/>
  <c r="CP50" i="41"/>
  <c r="CP58" i="41"/>
  <c r="CP68" i="41"/>
  <c r="CP78" i="41"/>
  <c r="CT12" i="41"/>
  <c r="CT20" i="41"/>
  <c r="CT28" i="41"/>
  <c r="CT32" i="41"/>
  <c r="CT40" i="41"/>
  <c r="CT48" i="41"/>
  <c r="CT56" i="41"/>
  <c r="CT66" i="41"/>
  <c r="CT80" i="41"/>
  <c r="CT31" i="41"/>
  <c r="CP39" i="41"/>
  <c r="CP71" i="41"/>
  <c r="CP87" i="41"/>
  <c r="CT11" i="41"/>
  <c r="CT21" i="41"/>
  <c r="CT43" i="41"/>
  <c r="CT59" i="41"/>
  <c r="CT67" i="41"/>
  <c r="CT83" i="41"/>
  <c r="CT91" i="41"/>
  <c r="CP60" i="41"/>
  <c r="CT49" i="41"/>
  <c r="CT17" i="41"/>
  <c r="CP41" i="41"/>
  <c r="CP90" i="41"/>
  <c r="CT98" i="41"/>
  <c r="CT76" i="41"/>
  <c r="CP19" i="41"/>
  <c r="CP92" i="41"/>
  <c r="CT10" i="41"/>
  <c r="CT14" i="41"/>
  <c r="CT18" i="41"/>
  <c r="CT22" i="41"/>
  <c r="CT26" i="41"/>
  <c r="CP51" i="41"/>
  <c r="CP29" i="41"/>
  <c r="CT37" i="41"/>
  <c r="CT45" i="41"/>
  <c r="CT53" i="41"/>
  <c r="CT57" i="41"/>
  <c r="CT61" i="41"/>
  <c r="CT65" i="41"/>
  <c r="CT69" i="41"/>
  <c r="CT73" i="41"/>
  <c r="CT77" i="41"/>
  <c r="CT81" i="41"/>
  <c r="CT85" i="41"/>
  <c r="CT89" i="41"/>
  <c r="CP33" i="41"/>
  <c r="CW21" i="41"/>
  <c r="CX21" i="41" s="1"/>
  <c r="CW40" i="41"/>
  <c r="CX40" i="41" s="1"/>
  <c r="CW20" i="41"/>
  <c r="CW62" i="41"/>
  <c r="CW50" i="41"/>
  <c r="CW33" i="41"/>
  <c r="CW82" i="41"/>
  <c r="CW31" i="41"/>
  <c r="CW91" i="41"/>
  <c r="CW96" i="41"/>
  <c r="CW84" i="41"/>
  <c r="CW71" i="41"/>
  <c r="CW58" i="41"/>
  <c r="CW89" i="41"/>
  <c r="CW54" i="41"/>
  <c r="CW22" i="41"/>
  <c r="CW85" i="41"/>
  <c r="CW41" i="41"/>
  <c r="CW95" i="41"/>
  <c r="CW47" i="41"/>
  <c r="CO32" i="41"/>
  <c r="CQ32" i="41" s="1"/>
  <c r="CS32" i="41" s="1"/>
  <c r="CW14" i="41"/>
  <c r="CW88" i="41"/>
  <c r="CW76" i="41"/>
  <c r="CW52" i="41"/>
  <c r="CW36" i="41"/>
  <c r="CW9" i="41"/>
  <c r="CW78" i="41"/>
  <c r="CW94" i="41"/>
  <c r="CO29" i="41"/>
  <c r="CQ29" i="41" s="1"/>
  <c r="CS29" i="41" s="1"/>
  <c r="CW15" i="41"/>
  <c r="CW86" i="41"/>
  <c r="CW81" i="41"/>
  <c r="CW74" i="41"/>
  <c r="CW24" i="41"/>
  <c r="CX24" i="41" s="1"/>
  <c r="CW17" i="41"/>
  <c r="BL8" i="41"/>
  <c r="CG101" i="41" l="1"/>
  <c r="BL101" i="41"/>
  <c r="CJ24" i="41"/>
  <c r="CI24" i="41"/>
  <c r="CH24" i="41"/>
  <c r="CO24" i="41" s="1"/>
  <c r="CQ24" i="41" s="1"/>
  <c r="CS24" i="41" s="1"/>
  <c r="CJ21" i="41"/>
  <c r="CI21" i="41"/>
  <c r="CH21" i="41"/>
  <c r="CO21" i="41" s="1"/>
  <c r="CQ21" i="41" s="1"/>
  <c r="CS21" i="41" s="1"/>
  <c r="CJ40" i="41"/>
  <c r="CI40" i="41"/>
  <c r="CH40" i="41"/>
  <c r="CO40" i="41" s="1"/>
  <c r="CQ40" i="41" s="1"/>
  <c r="CS40" i="41" s="1"/>
  <c r="CW97" i="41"/>
  <c r="CX97" i="41" s="1"/>
  <c r="CW68" i="41"/>
  <c r="CW65" i="41"/>
  <c r="CW60" i="41"/>
  <c r="CW12" i="41"/>
  <c r="CW80" i="41"/>
  <c r="CW77" i="41"/>
  <c r="CW73" i="41"/>
  <c r="CW32" i="41"/>
  <c r="CW29" i="41"/>
  <c r="CW16" i="41"/>
  <c r="CW63" i="41"/>
  <c r="CW59" i="41"/>
  <c r="CW56" i="41"/>
  <c r="CW53" i="41"/>
  <c r="CW45" i="41"/>
  <c r="CW18" i="41"/>
  <c r="CW48" i="41"/>
  <c r="CW42" i="41"/>
  <c r="CW26" i="41"/>
  <c r="CW98" i="41"/>
  <c r="CW93" i="41"/>
  <c r="CW92" i="41"/>
  <c r="CW90" i="41"/>
  <c r="CW87" i="41"/>
  <c r="CW83" i="41"/>
  <c r="CW11" i="41"/>
  <c r="CW79" i="41"/>
  <c r="CW75" i="41"/>
  <c r="CW70" i="41"/>
  <c r="CW35" i="41"/>
  <c r="CW30" i="41"/>
  <c r="CW19" i="41"/>
  <c r="CW64" i="41"/>
  <c r="CW61" i="41"/>
  <c r="CW57" i="41"/>
  <c r="CW55" i="41"/>
  <c r="CW43" i="41"/>
  <c r="CW23" i="41"/>
  <c r="CW49" i="41"/>
  <c r="CW46" i="41"/>
  <c r="CW34" i="41"/>
  <c r="CW28" i="41"/>
  <c r="CW25" i="41"/>
  <c r="CW27" i="41"/>
  <c r="CW72" i="41"/>
  <c r="CW69" i="41"/>
  <c r="CW67" i="41"/>
  <c r="CW66" i="41"/>
  <c r="CW51" i="41"/>
  <c r="CW39" i="41"/>
  <c r="CW37" i="41"/>
  <c r="CW44" i="41"/>
  <c r="CW38" i="41"/>
  <c r="CW13" i="41"/>
  <c r="CW10" i="41"/>
  <c r="CJ97" i="41" l="1"/>
  <c r="CI97" i="41"/>
  <c r="CH97" i="41"/>
  <c r="CO97" i="41" l="1"/>
  <c r="CQ97" i="41" s="1"/>
  <c r="CS97" i="41" s="1"/>
  <c r="BB102" i="41"/>
  <c r="CX64" i="41" l="1"/>
  <c r="CX76" i="41"/>
  <c r="CX75" i="41"/>
  <c r="CX71" i="41"/>
  <c r="CX34" i="41"/>
  <c r="CX60" i="41"/>
  <c r="CX56" i="41"/>
  <c r="CX17" i="41"/>
  <c r="CX62" i="41"/>
  <c r="CX61" i="41"/>
  <c r="CX66" i="41"/>
  <c r="CX51" i="41"/>
  <c r="CX59" i="41"/>
  <c r="CX74" i="41"/>
  <c r="CX33" i="41"/>
  <c r="CX48" i="41"/>
  <c r="CX52" i="41"/>
  <c r="CX57" i="41"/>
  <c r="CX93" i="41"/>
  <c r="CX86" i="41"/>
  <c r="CX89" i="41"/>
  <c r="CX29" i="41"/>
  <c r="CX92" i="41"/>
  <c r="CX90" i="41"/>
  <c r="CX78" i="41"/>
  <c r="CX13" i="41"/>
  <c r="CX30" i="41"/>
  <c r="CX84" i="41"/>
  <c r="CX53" i="41"/>
  <c r="CX28" i="41"/>
  <c r="CX9" i="41"/>
  <c r="CX91" i="41"/>
  <c r="CX36" i="41"/>
  <c r="CX15" i="41"/>
  <c r="CX87" i="41"/>
  <c r="CX50" i="41"/>
  <c r="CX95" i="41"/>
  <c r="CX44" i="41"/>
  <c r="CX19" i="41"/>
  <c r="CX73" i="41"/>
  <c r="CX41" i="41"/>
  <c r="CX35" i="41"/>
  <c r="CX58" i="41"/>
  <c r="CX82" i="41"/>
  <c r="CX45" i="41"/>
  <c r="CX98" i="41"/>
  <c r="CX67" i="41"/>
  <c r="CX14" i="41"/>
  <c r="CX37" i="41"/>
  <c r="CX79" i="41"/>
  <c r="CX69" i="41"/>
  <c r="CX83" i="41"/>
  <c r="CX88" i="41"/>
  <c r="CX96" i="41"/>
  <c r="CX25" i="41"/>
  <c r="CX43" i="41"/>
  <c r="CX55" i="41"/>
  <c r="CX39" i="41"/>
  <c r="CX47" i="41"/>
  <c r="CX42" i="41"/>
  <c r="CX12" i="41"/>
  <c r="CX23" i="41"/>
  <c r="CX49" i="41"/>
  <c r="CX11" i="41"/>
  <c r="CX85" i="41"/>
  <c r="CX26" i="41"/>
  <c r="CX94" i="41"/>
  <c r="CX46" i="41"/>
  <c r="CX81" i="41"/>
  <c r="CX27" i="41"/>
  <c r="CX38" i="41"/>
  <c r="CX70" i="41"/>
  <c r="CX72" i="41"/>
  <c r="CX20" i="41"/>
  <c r="CX80" i="41"/>
  <c r="CX68" i="41"/>
  <c r="CX32" i="41"/>
  <c r="CX31" i="41"/>
  <c r="CX77" i="41"/>
  <c r="CX65" i="41"/>
  <c r="CX54" i="41"/>
  <c r="CX10" i="41"/>
  <c r="CX63" i="41"/>
  <c r="CX22" i="41"/>
  <c r="CX16" i="41"/>
  <c r="CX18" i="41"/>
  <c r="I26" i="59"/>
  <c r="CJ63" i="41" l="1"/>
  <c r="CI63" i="41"/>
  <c r="CH63" i="41"/>
  <c r="CO63" i="41" s="1"/>
  <c r="CQ63" i="41" s="1"/>
  <c r="CS63" i="41" s="1"/>
  <c r="CJ80" i="41"/>
  <c r="CI80" i="41"/>
  <c r="CH80" i="41"/>
  <c r="CO80" i="41" s="1"/>
  <c r="CQ80" i="41" s="1"/>
  <c r="CS80" i="41" s="1"/>
  <c r="CJ11" i="41"/>
  <c r="CI11" i="41"/>
  <c r="CH11" i="41"/>
  <c r="CO11" i="41" s="1"/>
  <c r="CQ11" i="41" s="1"/>
  <c r="CS11" i="41" s="1"/>
  <c r="CJ43" i="41"/>
  <c r="CI43" i="41"/>
  <c r="CH43" i="41"/>
  <c r="CO43" i="41" s="1"/>
  <c r="CQ43" i="41" s="1"/>
  <c r="CS43" i="41" s="1"/>
  <c r="CJ82" i="41"/>
  <c r="CI82" i="41"/>
  <c r="CH82" i="41"/>
  <c r="CO82" i="41" s="1"/>
  <c r="CQ82" i="41" s="1"/>
  <c r="CS82" i="41" s="1"/>
  <c r="CJ50" i="41"/>
  <c r="CI50" i="41"/>
  <c r="CH50" i="41"/>
  <c r="CO50" i="41" s="1"/>
  <c r="CQ50" i="41" s="1"/>
  <c r="CS50" i="41" s="1"/>
  <c r="CJ84" i="41"/>
  <c r="CI84" i="41"/>
  <c r="CH84" i="41"/>
  <c r="CO84" i="41" s="1"/>
  <c r="CQ84" i="41" s="1"/>
  <c r="CS84" i="41" s="1"/>
  <c r="CJ86" i="41"/>
  <c r="CI86" i="41"/>
  <c r="CH86" i="41"/>
  <c r="CO86" i="41" s="1"/>
  <c r="CQ86" i="41" s="1"/>
  <c r="CS86" i="41" s="1"/>
  <c r="CJ51" i="41"/>
  <c r="CI51" i="41"/>
  <c r="CH51" i="41"/>
  <c r="CO51" i="41" s="1"/>
  <c r="CQ51" i="41" s="1"/>
  <c r="CS51" i="41" s="1"/>
  <c r="CJ18" i="41"/>
  <c r="CI18" i="41"/>
  <c r="CH18" i="41"/>
  <c r="CO18" i="41" s="1"/>
  <c r="CQ18" i="41" s="1"/>
  <c r="CS18" i="41" s="1"/>
  <c r="CJ10" i="41"/>
  <c r="CI10" i="41"/>
  <c r="CH10" i="41"/>
  <c r="CO10" i="41" s="1"/>
  <c r="CQ10" i="41" s="1"/>
  <c r="CS10" i="41" s="1"/>
  <c r="CJ31" i="41"/>
  <c r="CI31" i="41"/>
  <c r="CH31" i="41"/>
  <c r="CO31" i="41" s="1"/>
  <c r="CQ31" i="41" s="1"/>
  <c r="CS31" i="41" s="1"/>
  <c r="CJ20" i="41"/>
  <c r="CI20" i="41"/>
  <c r="CH20" i="41"/>
  <c r="CO20" i="41" s="1"/>
  <c r="CQ20" i="41" s="1"/>
  <c r="CS20" i="41" s="1"/>
  <c r="CJ27" i="41"/>
  <c r="CI27" i="41"/>
  <c r="CH27" i="41"/>
  <c r="CO27" i="41" s="1"/>
  <c r="CQ27" i="41" s="1"/>
  <c r="CS27" i="41" s="1"/>
  <c r="CJ26" i="41"/>
  <c r="CI26" i="41"/>
  <c r="CH26" i="41"/>
  <c r="CO26" i="41" s="1"/>
  <c r="CQ26" i="41" s="1"/>
  <c r="CS26" i="41" s="1"/>
  <c r="CJ49" i="41"/>
  <c r="CI49" i="41"/>
  <c r="CH49" i="41"/>
  <c r="CO49" i="41" s="1"/>
  <c r="CQ49" i="41" s="1"/>
  <c r="CS49" i="41" s="1"/>
  <c r="CJ47" i="41"/>
  <c r="CI47" i="41"/>
  <c r="CH47" i="41"/>
  <c r="CO47" i="41" s="1"/>
  <c r="CQ47" i="41" s="1"/>
  <c r="CS47" i="41" s="1"/>
  <c r="CJ25" i="41"/>
  <c r="CI25" i="41"/>
  <c r="CH25" i="41"/>
  <c r="CO25" i="41" s="1"/>
  <c r="CQ25" i="41" s="1"/>
  <c r="CS25" i="41" s="1"/>
  <c r="CJ69" i="41"/>
  <c r="CI69" i="41"/>
  <c r="CH69" i="41"/>
  <c r="CO69" i="41" s="1"/>
  <c r="CQ69" i="41" s="1"/>
  <c r="CS69" i="41" s="1"/>
  <c r="CJ67" i="41"/>
  <c r="CI67" i="41"/>
  <c r="CH67" i="41"/>
  <c r="CO67" i="41" s="1"/>
  <c r="CQ67" i="41" s="1"/>
  <c r="CS67" i="41" s="1"/>
  <c r="CJ58" i="41"/>
  <c r="CI58" i="41"/>
  <c r="CH58" i="41"/>
  <c r="CO58" i="41" s="1"/>
  <c r="CQ58" i="41" s="1"/>
  <c r="CS58" i="41" s="1"/>
  <c r="CJ19" i="41"/>
  <c r="CI19" i="41"/>
  <c r="CH19" i="41"/>
  <c r="CO19" i="41" s="1"/>
  <c r="CQ19" i="41" s="1"/>
  <c r="CS19" i="41" s="1"/>
  <c r="CJ87" i="41"/>
  <c r="CI87" i="41"/>
  <c r="CH87" i="41"/>
  <c r="CO87" i="41" s="1"/>
  <c r="CQ87" i="41" s="1"/>
  <c r="CS87" i="41" s="1"/>
  <c r="CJ9" i="41"/>
  <c r="CI9" i="41"/>
  <c r="CH9" i="41"/>
  <c r="CO9" i="41" s="1"/>
  <c r="CQ9" i="41" s="1"/>
  <c r="CS9" i="41" s="1"/>
  <c r="CJ30" i="41"/>
  <c r="CI30" i="41"/>
  <c r="CH30" i="41"/>
  <c r="CO30" i="41" s="1"/>
  <c r="CQ30" i="41" s="1"/>
  <c r="CS30" i="41" s="1"/>
  <c r="CJ92" i="41"/>
  <c r="CI92" i="41"/>
  <c r="CH92" i="41"/>
  <c r="CO92" i="41" s="1"/>
  <c r="CQ92" i="41" s="1"/>
  <c r="CS92" i="41" s="1"/>
  <c r="CJ93" i="41"/>
  <c r="CI93" i="41"/>
  <c r="CH93" i="41"/>
  <c r="CO93" i="41" s="1"/>
  <c r="CQ93" i="41" s="1"/>
  <c r="CS93" i="41" s="1"/>
  <c r="CJ33" i="41"/>
  <c r="CI33" i="41"/>
  <c r="CH33" i="41"/>
  <c r="CO33" i="41" s="1"/>
  <c r="CQ33" i="41" s="1"/>
  <c r="CS33" i="41" s="1"/>
  <c r="CJ66" i="41"/>
  <c r="CI66" i="41"/>
  <c r="CH66" i="41"/>
  <c r="CO66" i="41" s="1"/>
  <c r="CQ66" i="41" s="1"/>
  <c r="CS66" i="41" s="1"/>
  <c r="CJ56" i="41"/>
  <c r="CI56" i="41"/>
  <c r="CH56" i="41"/>
  <c r="CO56" i="41" s="1"/>
  <c r="CQ56" i="41" s="1"/>
  <c r="CS56" i="41" s="1"/>
  <c r="CJ75" i="41"/>
  <c r="CI75" i="41"/>
  <c r="CH75" i="41"/>
  <c r="CO75" i="41" s="1"/>
  <c r="CQ75" i="41" s="1"/>
  <c r="CS75" i="41" s="1"/>
  <c r="CJ77" i="41"/>
  <c r="CI77" i="41"/>
  <c r="CH77" i="41"/>
  <c r="CO77" i="41" s="1"/>
  <c r="CQ77" i="41" s="1"/>
  <c r="CS77" i="41" s="1"/>
  <c r="CJ94" i="41"/>
  <c r="CI94" i="41"/>
  <c r="CH94" i="41"/>
  <c r="CO94" i="41" s="1"/>
  <c r="CQ94" i="41" s="1"/>
  <c r="CS94" i="41" s="1"/>
  <c r="CJ42" i="41"/>
  <c r="CI42" i="41"/>
  <c r="CH42" i="41"/>
  <c r="CO42" i="41" s="1"/>
  <c r="CQ42" i="41" s="1"/>
  <c r="CS42" i="41" s="1"/>
  <c r="CJ14" i="41"/>
  <c r="CI14" i="41"/>
  <c r="CH14" i="41"/>
  <c r="CO14" i="41" s="1"/>
  <c r="CQ14" i="41" s="1"/>
  <c r="CS14" i="41" s="1"/>
  <c r="CJ73" i="41"/>
  <c r="CI73" i="41"/>
  <c r="CH73" i="41"/>
  <c r="CO73" i="41" s="1"/>
  <c r="CQ73" i="41" s="1"/>
  <c r="CS73" i="41" s="1"/>
  <c r="CJ91" i="41"/>
  <c r="CI91" i="41"/>
  <c r="CH91" i="41"/>
  <c r="CO91" i="41" s="1"/>
  <c r="CQ91" i="41" s="1"/>
  <c r="CS91" i="41" s="1"/>
  <c r="CJ90" i="41"/>
  <c r="CI90" i="41"/>
  <c r="CH90" i="41"/>
  <c r="CO90" i="41" s="1"/>
  <c r="CQ90" i="41" s="1"/>
  <c r="CS90" i="41" s="1"/>
  <c r="CJ48" i="41"/>
  <c r="CI48" i="41"/>
  <c r="CH48" i="41"/>
  <c r="CO48" i="41" s="1"/>
  <c r="CQ48" i="41" s="1"/>
  <c r="CS48" i="41" s="1"/>
  <c r="CJ17" i="41"/>
  <c r="CI17" i="41"/>
  <c r="CH17" i="41"/>
  <c r="CO17" i="41" s="1"/>
  <c r="CQ17" i="41" s="1"/>
  <c r="CS17" i="41" s="1"/>
  <c r="CJ16" i="41"/>
  <c r="CI16" i="41"/>
  <c r="CH16" i="41"/>
  <c r="CJ72" i="41"/>
  <c r="CI72" i="41"/>
  <c r="CH72" i="41"/>
  <c r="CO72" i="41" s="1"/>
  <c r="CQ72" i="41" s="1"/>
  <c r="CS72" i="41" s="1"/>
  <c r="CJ81" i="41"/>
  <c r="CI81" i="41"/>
  <c r="CH81" i="41"/>
  <c r="CO81" i="41" s="1"/>
  <c r="CQ81" i="41" s="1"/>
  <c r="CS81" i="41" s="1"/>
  <c r="CJ23" i="41"/>
  <c r="CI23" i="41"/>
  <c r="CH23" i="41"/>
  <c r="CO23" i="41" s="1"/>
  <c r="CQ23" i="41" s="1"/>
  <c r="CS23" i="41" s="1"/>
  <c r="CJ39" i="41"/>
  <c r="CI39" i="41"/>
  <c r="CH39" i="41"/>
  <c r="CO39" i="41" s="1"/>
  <c r="CQ39" i="41" s="1"/>
  <c r="CS39" i="41" s="1"/>
  <c r="CJ96" i="41"/>
  <c r="CI96" i="41"/>
  <c r="CH96" i="41"/>
  <c r="CO96" i="41" s="1"/>
  <c r="CQ96" i="41" s="1"/>
  <c r="CS96" i="41" s="1"/>
  <c r="CJ79" i="41"/>
  <c r="CI79" i="41"/>
  <c r="CH79" i="41"/>
  <c r="CO79" i="41" s="1"/>
  <c r="CQ79" i="41" s="1"/>
  <c r="CS79" i="41" s="1"/>
  <c r="CJ98" i="41"/>
  <c r="CI98" i="41"/>
  <c r="CH98" i="41"/>
  <c r="CO98" i="41" s="1"/>
  <c r="CQ98" i="41" s="1"/>
  <c r="CS98" i="41" s="1"/>
  <c r="CJ35" i="41"/>
  <c r="CI35" i="41"/>
  <c r="CH35" i="41"/>
  <c r="CO35" i="41" s="1"/>
  <c r="CQ35" i="41" s="1"/>
  <c r="CS35" i="41" s="1"/>
  <c r="CJ44" i="41"/>
  <c r="CI44" i="41"/>
  <c r="CH44" i="41"/>
  <c r="CO44" i="41" s="1"/>
  <c r="CQ44" i="41" s="1"/>
  <c r="CS44" i="41" s="1"/>
  <c r="CJ15" i="41"/>
  <c r="CI15" i="41"/>
  <c r="CH15" i="41"/>
  <c r="CO15" i="41" s="1"/>
  <c r="CQ15" i="41" s="1"/>
  <c r="CS15" i="41" s="1"/>
  <c r="CJ28" i="41"/>
  <c r="CI28" i="41"/>
  <c r="CH28" i="41"/>
  <c r="CO28" i="41" s="1"/>
  <c r="CQ28" i="41" s="1"/>
  <c r="CS28" i="41" s="1"/>
  <c r="CJ13" i="41"/>
  <c r="CI13" i="41"/>
  <c r="CH13" i="41"/>
  <c r="CO13" i="41" s="1"/>
  <c r="CQ13" i="41" s="1"/>
  <c r="CS13" i="41" s="1"/>
  <c r="CJ57" i="41"/>
  <c r="CI57" i="41"/>
  <c r="CH57" i="41"/>
  <c r="CO57" i="41" s="1"/>
  <c r="CQ57" i="41" s="1"/>
  <c r="CS57" i="41" s="1"/>
  <c r="CJ74" i="41"/>
  <c r="CI74" i="41"/>
  <c r="CH74" i="41"/>
  <c r="CO74" i="41" s="1"/>
  <c r="CQ74" i="41" s="1"/>
  <c r="CS74" i="41" s="1"/>
  <c r="CJ61" i="41"/>
  <c r="CI61" i="41"/>
  <c r="CH61" i="41"/>
  <c r="CO61" i="41" s="1"/>
  <c r="CQ61" i="41" s="1"/>
  <c r="CS61" i="41" s="1"/>
  <c r="CJ60" i="41"/>
  <c r="CI60" i="41"/>
  <c r="CH60" i="41"/>
  <c r="CO60" i="41" s="1"/>
  <c r="CQ60" i="41" s="1"/>
  <c r="CS60" i="41" s="1"/>
  <c r="CJ76" i="41"/>
  <c r="CI76" i="41"/>
  <c r="CH76" i="41"/>
  <c r="CO76" i="41" s="1"/>
  <c r="CQ76" i="41" s="1"/>
  <c r="CS76" i="41" s="1"/>
  <c r="CJ38" i="41"/>
  <c r="CI38" i="41"/>
  <c r="CH38" i="41"/>
  <c r="CO38" i="41" s="1"/>
  <c r="CQ38" i="41" s="1"/>
  <c r="CS38" i="41" s="1"/>
  <c r="CJ83" i="41"/>
  <c r="CI83" i="41"/>
  <c r="CH83" i="41"/>
  <c r="CO83" i="41" s="1"/>
  <c r="CQ83" i="41" s="1"/>
  <c r="CS83" i="41" s="1"/>
  <c r="CJ71" i="41"/>
  <c r="CI71" i="41"/>
  <c r="CH71" i="41"/>
  <c r="CO71" i="41" s="1"/>
  <c r="CQ71" i="41" s="1"/>
  <c r="CS71" i="41" s="1"/>
  <c r="CJ54" i="41"/>
  <c r="CI54" i="41"/>
  <c r="CH54" i="41"/>
  <c r="CO54" i="41" s="1"/>
  <c r="CQ54" i="41" s="1"/>
  <c r="CS54" i="41" s="1"/>
  <c r="CJ22" i="41"/>
  <c r="CI22" i="41"/>
  <c r="CH22" i="41"/>
  <c r="CO22" i="41" s="1"/>
  <c r="CQ22" i="41" s="1"/>
  <c r="CS22" i="41" s="1"/>
  <c r="CJ65" i="41"/>
  <c r="CI65" i="41"/>
  <c r="CH65" i="41"/>
  <c r="CO65" i="41" s="1"/>
  <c r="CQ65" i="41" s="1"/>
  <c r="CS65" i="41" s="1"/>
  <c r="CJ68" i="41"/>
  <c r="CI68" i="41"/>
  <c r="CH68" i="41"/>
  <c r="CO68" i="41" s="1"/>
  <c r="CQ68" i="41" s="1"/>
  <c r="CS68" i="41" s="1"/>
  <c r="CJ70" i="41"/>
  <c r="CI70" i="41"/>
  <c r="CH70" i="41"/>
  <c r="CO70" i="41" s="1"/>
  <c r="CQ70" i="41" s="1"/>
  <c r="CS70" i="41" s="1"/>
  <c r="CJ46" i="41"/>
  <c r="CI46" i="41"/>
  <c r="CH46" i="41"/>
  <c r="CO46" i="41" s="1"/>
  <c r="CQ46" i="41" s="1"/>
  <c r="CS46" i="41" s="1"/>
  <c r="CJ85" i="41"/>
  <c r="CI85" i="41"/>
  <c r="CH85" i="41"/>
  <c r="CO85" i="41" s="1"/>
  <c r="CQ85" i="41" s="1"/>
  <c r="CS85" i="41" s="1"/>
  <c r="CJ12" i="41"/>
  <c r="CI12" i="41"/>
  <c r="CH12" i="41"/>
  <c r="CO12" i="41" s="1"/>
  <c r="CQ12" i="41" s="1"/>
  <c r="CS12" i="41" s="1"/>
  <c r="CJ55" i="41"/>
  <c r="CI55" i="41"/>
  <c r="CH55" i="41"/>
  <c r="CO55" i="41" s="1"/>
  <c r="CQ55" i="41" s="1"/>
  <c r="CS55" i="41" s="1"/>
  <c r="CJ88" i="41"/>
  <c r="CI88" i="41"/>
  <c r="CH88" i="41"/>
  <c r="CO88" i="41" s="1"/>
  <c r="CQ88" i="41" s="1"/>
  <c r="CS88" i="41" s="1"/>
  <c r="CJ37" i="41"/>
  <c r="CI37" i="41"/>
  <c r="CH37" i="41"/>
  <c r="CO37" i="41" s="1"/>
  <c r="CQ37" i="41" s="1"/>
  <c r="CS37" i="41" s="1"/>
  <c r="CJ45" i="41"/>
  <c r="CI45" i="41"/>
  <c r="CH45" i="41"/>
  <c r="CO45" i="41" s="1"/>
  <c r="CQ45" i="41" s="1"/>
  <c r="CS45" i="41" s="1"/>
  <c r="CJ41" i="41"/>
  <c r="CI41" i="41"/>
  <c r="CH41" i="41"/>
  <c r="CO41" i="41" s="1"/>
  <c r="CQ41" i="41" s="1"/>
  <c r="CS41" i="41" s="1"/>
  <c r="CJ95" i="41"/>
  <c r="CI95" i="41"/>
  <c r="CH95" i="41"/>
  <c r="CO95" i="41" s="1"/>
  <c r="CQ95" i="41" s="1"/>
  <c r="CS95" i="41" s="1"/>
  <c r="CJ36" i="41"/>
  <c r="CI36" i="41"/>
  <c r="CH36" i="41"/>
  <c r="CO36" i="41" s="1"/>
  <c r="CQ36" i="41" s="1"/>
  <c r="CS36" i="41" s="1"/>
  <c r="CJ53" i="41"/>
  <c r="CI53" i="41"/>
  <c r="CH53" i="41"/>
  <c r="CO53" i="41" s="1"/>
  <c r="CQ53" i="41" s="1"/>
  <c r="CS53" i="41" s="1"/>
  <c r="CJ78" i="41"/>
  <c r="CI78" i="41"/>
  <c r="CH78" i="41"/>
  <c r="CO78" i="41" s="1"/>
  <c r="CQ78" i="41" s="1"/>
  <c r="CS78" i="41" s="1"/>
  <c r="CJ89" i="41"/>
  <c r="CI89" i="41"/>
  <c r="CH89" i="41"/>
  <c r="CO89" i="41" s="1"/>
  <c r="CQ89" i="41" s="1"/>
  <c r="CS89" i="41" s="1"/>
  <c r="CJ52" i="41"/>
  <c r="CI52" i="41"/>
  <c r="CH52" i="41"/>
  <c r="CO52" i="41" s="1"/>
  <c r="CQ52" i="41" s="1"/>
  <c r="CS52" i="41" s="1"/>
  <c r="CJ59" i="41"/>
  <c r="CI59" i="41"/>
  <c r="CH59" i="41"/>
  <c r="CO59" i="41" s="1"/>
  <c r="CQ59" i="41" s="1"/>
  <c r="CS59" i="41" s="1"/>
  <c r="CJ62" i="41"/>
  <c r="CI62" i="41"/>
  <c r="CH62" i="41"/>
  <c r="CO62" i="41" s="1"/>
  <c r="CQ62" i="41" s="1"/>
  <c r="CS62" i="41" s="1"/>
  <c r="CJ34" i="41"/>
  <c r="CI34" i="41"/>
  <c r="CH34" i="41"/>
  <c r="CO34" i="41" s="1"/>
  <c r="CQ34" i="41" s="1"/>
  <c r="CS34" i="41" s="1"/>
  <c r="CJ64" i="41"/>
  <c r="CI64" i="41"/>
  <c r="CH64" i="41"/>
  <c r="CO64" i="41" s="1"/>
  <c r="CQ64" i="41" s="1"/>
  <c r="CS64" i="41" s="1"/>
  <c r="X102" i="41"/>
  <c r="X103" i="41" s="1"/>
  <c r="W102" i="41"/>
  <c r="W103" i="41" s="1"/>
  <c r="L102" i="41"/>
  <c r="L103" i="41" s="1"/>
  <c r="AC102" i="41"/>
  <c r="AF102" i="41"/>
  <c r="AI102" i="41"/>
  <c r="AL102" i="41"/>
  <c r="AN102" i="41"/>
  <c r="AO102" i="41"/>
  <c r="AX102" i="41"/>
  <c r="BA102" i="41"/>
  <c r="BE102" i="41"/>
  <c r="BH102" i="41"/>
  <c r="BN102" i="41"/>
  <c r="BP102" i="41"/>
  <c r="BR102" i="41"/>
  <c r="BT102" i="41"/>
  <c r="BV102" i="41"/>
  <c r="BX102" i="41"/>
  <c r="BZ102" i="41"/>
  <c r="CB102" i="41"/>
  <c r="CD102" i="41"/>
  <c r="CF102" i="41"/>
  <c r="CL102" i="41"/>
  <c r="CM102" i="41"/>
  <c r="CM103" i="41" s="1"/>
  <c r="CN102" i="41"/>
  <c r="CU102" i="41"/>
  <c r="T102" i="41"/>
  <c r="T103" i="41" s="1"/>
  <c r="Q102" i="41"/>
  <c r="Q103" i="41" s="1"/>
  <c r="H43" i="60" l="1"/>
  <c r="CN103" i="41"/>
  <c r="H42" i="60"/>
  <c r="CL103" i="41"/>
  <c r="CO16" i="41"/>
  <c r="CQ16" i="41" s="1"/>
  <c r="CS16" i="41" s="1"/>
  <c r="Y102" i="41"/>
  <c r="AR102" i="41"/>
  <c r="AU102" i="41"/>
  <c r="BK102" i="41"/>
  <c r="N102" i="41"/>
  <c r="N103" i="41" s="1"/>
  <c r="Z102" i="41"/>
  <c r="B101" i="41"/>
  <c r="I20" i="60" l="1"/>
  <c r="Y103" i="41"/>
  <c r="CT8" i="41"/>
  <c r="CT101" i="41" s="1"/>
  <c r="CP8" i="41"/>
  <c r="CP101" i="41" s="1"/>
  <c r="J102" i="41"/>
  <c r="J103" i="41" s="1"/>
  <c r="CV101" i="41"/>
  <c r="CW8" i="41" l="1"/>
  <c r="CX8" i="41" s="1"/>
  <c r="AY102" i="41"/>
  <c r="CJ8" i="41" l="1"/>
  <c r="CJ101" i="41" s="1"/>
  <c r="CI8" i="41"/>
  <c r="CI101" i="41" s="1"/>
  <c r="CH8" i="41"/>
  <c r="CH101" i="41" s="1"/>
  <c r="AG102" i="41"/>
  <c r="BO102" i="41" l="1"/>
  <c r="BQ102" i="41"/>
  <c r="CE102" i="41" l="1"/>
  <c r="CA102" i="41" l="1"/>
  <c r="K102" i="41"/>
  <c r="K103" i="41" s="1"/>
  <c r="M69" i="61" l="1"/>
  <c r="H69" i="61"/>
  <c r="J69" i="61" s="1"/>
  <c r="M68" i="61"/>
  <c r="H68" i="61"/>
  <c r="J68" i="61" s="1"/>
  <c r="M67" i="61"/>
  <c r="H67" i="61"/>
  <c r="J67" i="61" s="1"/>
  <c r="M66" i="61"/>
  <c r="H66" i="61"/>
  <c r="J66" i="61" s="1"/>
  <c r="M65" i="61"/>
  <c r="H65" i="61"/>
  <c r="J65" i="61" s="1"/>
  <c r="N65" i="61" s="1"/>
  <c r="M64" i="61"/>
  <c r="H64" i="61"/>
  <c r="J64" i="61" s="1"/>
  <c r="N64" i="61" s="1"/>
  <c r="M63" i="61"/>
  <c r="H63" i="61"/>
  <c r="J63" i="61" s="1"/>
  <c r="N63" i="61" s="1"/>
  <c r="M62" i="61"/>
  <c r="H62" i="61"/>
  <c r="J62" i="61" s="1"/>
  <c r="N62" i="61" s="1"/>
  <c r="M61" i="61"/>
  <c r="H61" i="61"/>
  <c r="J61" i="61" s="1"/>
  <c r="N61" i="61" s="1"/>
  <c r="M60" i="61"/>
  <c r="H60" i="61"/>
  <c r="J60" i="61" s="1"/>
  <c r="M59" i="61"/>
  <c r="H59" i="61"/>
  <c r="J59" i="61" s="1"/>
  <c r="M58" i="61"/>
  <c r="H58" i="61"/>
  <c r="J58" i="61" s="1"/>
  <c r="M57" i="61"/>
  <c r="H57" i="61"/>
  <c r="J57" i="61" s="1"/>
  <c r="M56" i="61"/>
  <c r="H56" i="61"/>
  <c r="J56" i="61" s="1"/>
  <c r="M55" i="61"/>
  <c r="H55" i="61"/>
  <c r="J55" i="61" s="1"/>
  <c r="M54" i="61"/>
  <c r="H54" i="61"/>
  <c r="J54" i="61" s="1"/>
  <c r="M53" i="61"/>
  <c r="H53" i="61"/>
  <c r="J53" i="61" s="1"/>
  <c r="M52" i="61"/>
  <c r="H52" i="61"/>
  <c r="J52" i="61" s="1"/>
  <c r="M51" i="61"/>
  <c r="H51" i="61"/>
  <c r="J51" i="61" s="1"/>
  <c r="M50" i="61"/>
  <c r="H50" i="61"/>
  <c r="J50" i="61" s="1"/>
  <c r="M49" i="61"/>
  <c r="H49" i="61"/>
  <c r="J49" i="61" s="1"/>
  <c r="M48" i="61"/>
  <c r="H48" i="61"/>
  <c r="J48" i="61" s="1"/>
  <c r="M47" i="61"/>
  <c r="H47" i="61"/>
  <c r="J47" i="61" s="1"/>
  <c r="M46" i="61"/>
  <c r="H46" i="61"/>
  <c r="J46" i="61" s="1"/>
  <c r="M45" i="61"/>
  <c r="H45" i="61"/>
  <c r="J45" i="61" s="1"/>
  <c r="M44" i="61"/>
  <c r="H44" i="61"/>
  <c r="J44" i="61" s="1"/>
  <c r="M43" i="61"/>
  <c r="H43" i="61"/>
  <c r="J43" i="61" s="1"/>
  <c r="M42" i="61"/>
  <c r="H42" i="61"/>
  <c r="J42" i="61" s="1"/>
  <c r="M41" i="61"/>
  <c r="H41" i="61"/>
  <c r="J41" i="61" s="1"/>
  <c r="M40" i="61"/>
  <c r="H40" i="61"/>
  <c r="J40" i="61" s="1"/>
  <c r="N40" i="61" s="1"/>
  <c r="M39" i="61"/>
  <c r="H39" i="61"/>
  <c r="J39" i="61" s="1"/>
  <c r="M38" i="61"/>
  <c r="H38" i="61"/>
  <c r="J38" i="61" s="1"/>
  <c r="M37" i="61"/>
  <c r="H37" i="61"/>
  <c r="J37" i="61" s="1"/>
  <c r="N37" i="61" s="1"/>
  <c r="M36" i="61"/>
  <c r="H36" i="61"/>
  <c r="M35" i="61"/>
  <c r="H35" i="61"/>
  <c r="J35" i="61" s="1"/>
  <c r="N35" i="61" s="1"/>
  <c r="M34" i="61"/>
  <c r="H34" i="61"/>
  <c r="M33" i="61"/>
  <c r="H33" i="61"/>
  <c r="J33" i="61" s="1"/>
  <c r="M32" i="61"/>
  <c r="H32" i="61"/>
  <c r="M31" i="61"/>
  <c r="H31" i="61"/>
  <c r="M30" i="61"/>
  <c r="H30" i="61"/>
  <c r="J30" i="61" s="1"/>
  <c r="M29" i="61"/>
  <c r="H29" i="61"/>
  <c r="M28" i="61"/>
  <c r="H28" i="61"/>
  <c r="M27" i="61"/>
  <c r="H27" i="61"/>
  <c r="J27" i="61" s="1"/>
  <c r="M26" i="61"/>
  <c r="H26" i="61"/>
  <c r="M25" i="61"/>
  <c r="H25" i="61"/>
  <c r="J25" i="61" s="1"/>
  <c r="M24" i="61"/>
  <c r="H24" i="61"/>
  <c r="M23" i="61"/>
  <c r="H23" i="61"/>
  <c r="M22" i="61"/>
  <c r="H22" i="61"/>
  <c r="M21" i="61"/>
  <c r="H21" i="61"/>
  <c r="M20" i="61"/>
  <c r="H20" i="61"/>
  <c r="M19" i="61"/>
  <c r="H19" i="61"/>
  <c r="M18" i="61"/>
  <c r="H18" i="61"/>
  <c r="M17" i="61"/>
  <c r="H17" i="61"/>
  <c r="M16" i="61"/>
  <c r="H16" i="61"/>
  <c r="M15" i="61"/>
  <c r="H15" i="61"/>
  <c r="M14" i="61"/>
  <c r="H14" i="61"/>
  <c r="M13" i="61"/>
  <c r="H13" i="61"/>
  <c r="M12" i="61"/>
  <c r="H12" i="61"/>
  <c r="M11" i="61"/>
  <c r="H11" i="61"/>
  <c r="M10" i="61"/>
  <c r="H10" i="61"/>
  <c r="J10" i="61" s="1"/>
  <c r="M9" i="61"/>
  <c r="H9" i="61"/>
  <c r="J18" i="61" l="1"/>
  <c r="J16" i="61"/>
  <c r="J15" i="61"/>
  <c r="J14" i="61"/>
  <c r="J13" i="61"/>
  <c r="J11" i="61"/>
  <c r="CO8" i="41"/>
  <c r="N30" i="61"/>
  <c r="N45" i="61"/>
  <c r="N47" i="61"/>
  <c r="N49" i="61"/>
  <c r="N53" i="61"/>
  <c r="N25" i="61"/>
  <c r="N27" i="61"/>
  <c r="N46" i="61"/>
  <c r="N48" i="61"/>
  <c r="N11" i="61"/>
  <c r="N13" i="61"/>
  <c r="N15" i="61"/>
  <c r="N41" i="61"/>
  <c r="N54" i="61"/>
  <c r="N56" i="61"/>
  <c r="N67" i="61"/>
  <c r="N10" i="61"/>
  <c r="N14" i="61"/>
  <c r="N16" i="61"/>
  <c r="N18" i="61"/>
  <c r="N33" i="61"/>
  <c r="N42" i="61"/>
  <c r="N55" i="61"/>
  <c r="N57" i="61"/>
  <c r="N68" i="61"/>
  <c r="J24" i="61"/>
  <c r="N24" i="61" s="1"/>
  <c r="J29" i="61"/>
  <c r="N29" i="61" s="1"/>
  <c r="J34" i="61"/>
  <c r="N34" i="61" s="1"/>
  <c r="N44" i="61"/>
  <c r="N51" i="61"/>
  <c r="N58" i="61"/>
  <c r="N60" i="61"/>
  <c r="J12" i="61"/>
  <c r="N12" i="61" s="1"/>
  <c r="J26" i="61"/>
  <c r="N26" i="61" s="1"/>
  <c r="J31" i="61"/>
  <c r="N31" i="61" s="1"/>
  <c r="J36" i="61"/>
  <c r="N36" i="61" s="1"/>
  <c r="J20" i="61"/>
  <c r="N20" i="61" s="1"/>
  <c r="J17" i="61"/>
  <c r="N17" i="61" s="1"/>
  <c r="J19" i="61"/>
  <c r="N19" i="61" s="1"/>
  <c r="J21" i="61"/>
  <c r="N21" i="61" s="1"/>
  <c r="J23" i="61"/>
  <c r="N23" i="61" s="1"/>
  <c r="J28" i="61"/>
  <c r="N28" i="61" s="1"/>
  <c r="N38" i="61"/>
  <c r="N43" i="61"/>
  <c r="N50" i="61"/>
  <c r="N52" i="61"/>
  <c r="N59" i="61"/>
  <c r="J22" i="61"/>
  <c r="N22" i="61" s="1"/>
  <c r="J32" i="61"/>
  <c r="N32" i="61" s="1"/>
  <c r="J9" i="61"/>
  <c r="N9" i="61" s="1"/>
  <c r="N39" i="61"/>
  <c r="N66" i="61"/>
  <c r="N69" i="61"/>
  <c r="H39" i="60"/>
  <c r="H35" i="60"/>
  <c r="BL102" i="41"/>
  <c r="H28" i="60" s="1"/>
  <c r="BI102" i="41"/>
  <c r="BF102" i="41"/>
  <c r="BC102" i="41"/>
  <c r="H27" i="60" s="1"/>
  <c r="AV102" i="41"/>
  <c r="AS102" i="41"/>
  <c r="AP102" i="41"/>
  <c r="AM102" i="41"/>
  <c r="AJ102" i="41"/>
  <c r="AD102" i="41"/>
  <c r="AA102" i="41"/>
  <c r="U102" i="41"/>
  <c r="U103" i="41" s="1"/>
  <c r="R102" i="41"/>
  <c r="R103" i="41" s="1"/>
  <c r="O102" i="41"/>
  <c r="O103" i="41" s="1"/>
  <c r="D16" i="60"/>
  <c r="A14" i="60"/>
  <c r="I8" i="60"/>
  <c r="E40" i="59"/>
  <c r="I40" i="59" s="1"/>
  <c r="C17" i="59"/>
  <c r="I9" i="59"/>
  <c r="K24" i="34"/>
  <c r="D13" i="34"/>
  <c r="B11" i="34"/>
  <c r="D5" i="34"/>
  <c r="H1" i="34"/>
  <c r="CQ8" i="41" l="1"/>
  <c r="CQ101" i="41" s="1"/>
  <c r="CO101" i="41"/>
  <c r="CS8" i="41"/>
  <c r="CS101" i="41" s="1"/>
  <c r="BS102" i="41"/>
  <c r="CC102" i="41"/>
  <c r="H36" i="60" s="1"/>
  <c r="BU102" i="41"/>
  <c r="BW102" i="41"/>
  <c r="BY102" i="41"/>
  <c r="V102" i="41"/>
  <c r="V103" i="41" s="1"/>
  <c r="I34" i="59"/>
  <c r="BM102" i="41"/>
  <c r="AQ102" i="41"/>
  <c r="H35" i="34"/>
  <c r="P102" i="41"/>
  <c r="P103" i="41" s="1"/>
  <c r="AH102" i="41"/>
  <c r="AK102" i="41"/>
  <c r="AW102" i="41"/>
  <c r="BG102" i="41"/>
  <c r="S102" i="41"/>
  <c r="S103" i="41" s="1"/>
  <c r="AE102" i="41"/>
  <c r="AT102" i="41"/>
  <c r="AZ102" i="41"/>
  <c r="BD102" i="41"/>
  <c r="BJ102" i="41"/>
  <c r="H38" i="34"/>
  <c r="K38" i="34" s="1"/>
  <c r="AB102" i="41" l="1"/>
  <c r="M102" i="41"/>
  <c r="H31" i="60"/>
  <c r="CV102" i="41"/>
  <c r="I32" i="34"/>
  <c r="I34" i="60"/>
  <c r="H32" i="60"/>
  <c r="I30" i="34"/>
  <c r="H21" i="34"/>
  <c r="K21" i="34" s="1"/>
  <c r="H33" i="34"/>
  <c r="H31" i="34"/>
  <c r="K31" i="34" s="1"/>
  <c r="H33" i="60"/>
  <c r="H29" i="60"/>
  <c r="H27" i="34"/>
  <c r="K27" i="34" s="1"/>
  <c r="H17" i="34"/>
  <c r="K17" i="34" s="1"/>
  <c r="I19" i="59" l="1"/>
  <c r="M103" i="41"/>
  <c r="CG102" i="41"/>
  <c r="CG103" i="41" s="1"/>
  <c r="H29" i="34"/>
  <c r="K29" i="34" s="1"/>
  <c r="H26" i="34"/>
  <c r="K26" i="34" s="1"/>
  <c r="H23" i="34"/>
  <c r="K23" i="34" s="1"/>
  <c r="H25" i="60"/>
  <c r="H22" i="34"/>
  <c r="K22" i="34" s="1"/>
  <c r="H24" i="60"/>
  <c r="H25" i="34"/>
  <c r="K25" i="34" s="1"/>
  <c r="H26" i="60"/>
  <c r="I24" i="34"/>
  <c r="CG105" i="41" l="1"/>
  <c r="I21" i="59" s="1"/>
  <c r="H28" i="34"/>
  <c r="K28" i="34" s="1"/>
  <c r="H30" i="60"/>
  <c r="CK102" i="41" l="1"/>
  <c r="I25" i="59"/>
  <c r="H37" i="34" l="1"/>
  <c r="K37" i="34" s="1"/>
  <c r="CK103" i="41"/>
  <c r="H18" i="34"/>
  <c r="K18" i="34" s="1"/>
  <c r="H37" i="60"/>
  <c r="H16" i="34"/>
  <c r="K16" i="34" s="1"/>
  <c r="H19" i="34"/>
  <c r="K19" i="34" s="1"/>
  <c r="H23" i="60"/>
  <c r="H18" i="60"/>
  <c r="H22" i="60" l="1"/>
  <c r="H20" i="34"/>
  <c r="K20" i="34" s="1"/>
  <c r="H21" i="60"/>
  <c r="H19" i="60"/>
  <c r="H15" i="34"/>
  <c r="K15" i="34" s="1"/>
  <c r="H34" i="34"/>
  <c r="K34" i="34" s="1"/>
  <c r="H14" i="34" l="1"/>
  <c r="K14" i="34" s="1"/>
  <c r="H17" i="60" l="1"/>
  <c r="H41" i="34"/>
  <c r="H45" i="60" l="1"/>
  <c r="CW102" i="41" l="1"/>
  <c r="CX102" i="41" l="1"/>
  <c r="CI102" i="41"/>
  <c r="CI103" i="41" s="1"/>
  <c r="CJ102" i="41"/>
  <c r="CJ103" i="41" s="1"/>
  <c r="H41" i="60" l="1"/>
  <c r="I24" i="59"/>
  <c r="CH102" i="41"/>
  <c r="H36" i="34"/>
  <c r="K36" i="34" s="1"/>
  <c r="I23" i="59" l="1"/>
  <c r="CH103" i="41"/>
  <c r="H40" i="60"/>
  <c r="CO102" i="41"/>
  <c r="CS102" i="41"/>
  <c r="CS103" i="41" s="1"/>
  <c r="CQ102" i="41"/>
  <c r="CT107" i="41" l="1"/>
  <c r="CQ103" i="41"/>
  <c r="CT105" i="41"/>
  <c r="CO103" i="41"/>
  <c r="I27" i="59"/>
  <c r="H39" i="34"/>
  <c r="K39" i="34" s="1"/>
  <c r="H44" i="60"/>
  <c r="H46" i="60" s="1"/>
  <c r="K41" i="34"/>
  <c r="CP102" i="41"/>
  <c r="CP103" i="41" s="1"/>
  <c r="CT106" i="41" l="1"/>
  <c r="I20" i="59"/>
  <c r="I22" i="59" s="1"/>
  <c r="I28" i="59" s="1"/>
  <c r="CT102" i="41"/>
  <c r="CR102" i="41"/>
  <c r="CR103" i="41" s="1"/>
  <c r="K40" i="34"/>
  <c r="H40" i="34"/>
  <c r="H43" i="34" s="1"/>
  <c r="K46" i="60" l="1"/>
  <c r="CT103" i="41"/>
  <c r="E38" i="59"/>
  <c r="E41" i="59" s="1"/>
  <c r="I38" i="59"/>
  <c r="J28" i="59"/>
  <c r="K43" i="34"/>
  <c r="H48" i="34"/>
  <c r="I35" i="59" l="1"/>
  <c r="I37" i="59" s="1"/>
  <c r="I39" i="59" s="1"/>
  <c r="I41" i="59" s="1"/>
  <c r="I33" i="59"/>
  <c r="K48" i="34"/>
  <c r="G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GMSI</author>
  </authors>
  <commentList>
    <comment ref="I33" authorId="0" shapeId="0" xr:uid="{00000000-0006-0000-0100-000001000000}">
      <text>
        <r>
          <rPr>
            <b/>
            <sz val="9"/>
            <rFont val="Tahoma"/>
            <family val="2"/>
          </rPr>
          <t>TOTAL SALES (Vat inclusive)</t>
        </r>
      </text>
    </comment>
    <comment ref="I34" authorId="0" shapeId="0" xr:uid="{00000000-0006-0000-0100-000002000000}">
      <text>
        <r>
          <rPr>
            <b/>
            <sz val="9"/>
            <rFont val="Tahoma"/>
            <family val="2"/>
          </rPr>
          <t>Less: VAT</t>
        </r>
      </text>
    </comment>
    <comment ref="I35" authorId="0" shapeId="0" xr:uid="{00000000-0006-0000-0100-000003000000}">
      <text>
        <r>
          <rPr>
            <b/>
            <sz val="9"/>
            <rFont val="Tahoma"/>
            <family val="2"/>
          </rPr>
          <t>Amount Net of VAT</t>
        </r>
      </text>
    </comment>
    <comment ref="I36" authorId="0" shapeId="0" xr:uid="{00000000-0006-0000-0100-000004000000}">
      <text>
        <r>
          <rPr>
            <b/>
            <sz val="9"/>
            <rFont val="Tahoma"/>
            <family val="2"/>
          </rPr>
          <t>Less: SC/PWD Discount</t>
        </r>
      </text>
    </comment>
    <comment ref="E37" authorId="0" shapeId="0" xr:uid="{00000000-0006-0000-0100-000005000000}">
      <text>
        <r>
          <rPr>
            <b/>
            <sz val="9"/>
            <rFont val="Tahoma"/>
            <family val="2"/>
          </rPr>
          <t>VATable Sales</t>
        </r>
      </text>
    </comment>
    <comment ref="I37" authorId="0" shapeId="0" xr:uid="{00000000-0006-0000-0100-000006000000}">
      <text>
        <r>
          <rPr>
            <b/>
            <sz val="9"/>
            <rFont val="Tahoma"/>
            <family val="2"/>
          </rPr>
          <t>Total Due</t>
        </r>
      </text>
    </comment>
    <comment ref="E38" authorId="0" shapeId="0" xr:uid="{00000000-0006-0000-0100-000007000000}">
      <text>
        <r>
          <rPr>
            <b/>
            <sz val="9"/>
            <rFont val="Tahoma"/>
            <family val="2"/>
          </rPr>
          <t>VAT Exempt Sales</t>
        </r>
      </text>
    </comment>
    <comment ref="I38" authorId="0" shapeId="0" xr:uid="{00000000-0006-0000-0100-000008000000}">
      <text>
        <r>
          <rPr>
            <b/>
            <sz val="9"/>
            <rFont val="Tahoma"/>
            <family val="2"/>
          </rPr>
          <t>Less: Withholding Tax</t>
        </r>
      </text>
    </comment>
    <comment ref="E39" authorId="0" shapeId="0" xr:uid="{00000000-0006-0000-0100-000009000000}">
      <text>
        <r>
          <rPr>
            <b/>
            <sz val="9"/>
            <rFont val="Tahoma"/>
            <family val="2"/>
          </rPr>
          <t>VAT Zero Rated Sales</t>
        </r>
      </text>
    </comment>
    <comment ref="I39" authorId="0" shapeId="0" xr:uid="{00000000-0006-0000-0100-00000A000000}">
      <text>
        <r>
          <rPr>
            <b/>
            <sz val="9"/>
            <rFont val="Tahoma"/>
            <family val="2"/>
          </rPr>
          <t>Amonth Due</t>
        </r>
      </text>
    </comment>
    <comment ref="E40" authorId="0" shapeId="0" xr:uid="{00000000-0006-0000-0100-00000B000000}">
      <text>
        <r>
          <rPr>
            <b/>
            <sz val="9"/>
            <rFont val="Tahoma"/>
            <family val="2"/>
          </rPr>
          <t>VAT Amount</t>
        </r>
      </text>
    </comment>
    <comment ref="I40" authorId="0" shapeId="0" xr:uid="{00000000-0006-0000-0100-00000C000000}">
      <text>
        <r>
          <rPr>
            <b/>
            <sz val="9"/>
            <rFont val="Tahoma"/>
            <family val="2"/>
          </rPr>
          <t>Add: VAT</t>
        </r>
      </text>
    </comment>
    <comment ref="E41" authorId="0" shapeId="0" xr:uid="{00000000-0006-0000-0100-00000D000000}">
      <text>
        <r>
          <rPr>
            <b/>
            <sz val="9"/>
            <rFont val="Tahoma"/>
            <family val="2"/>
          </rPr>
          <t>Total Sales</t>
        </r>
      </text>
    </comment>
    <comment ref="I41" authorId="0" shapeId="0" xr:uid="{00000000-0006-0000-0100-00000E000000}">
      <text>
        <r>
          <rPr>
            <b/>
            <sz val="9"/>
            <rFont val="Tahoma"/>
            <family val="2"/>
          </rPr>
          <t>TOTAL AMOUNT DUE</t>
        </r>
      </text>
    </comment>
  </commentList>
</comments>
</file>

<file path=xl/sharedStrings.xml><?xml version="1.0" encoding="utf-8"?>
<sst xmlns="http://schemas.openxmlformats.org/spreadsheetml/2006/main" count="10551" uniqueCount="403">
  <si>
    <t xml:space="preserve">HYS Metal Plastic and Electronics </t>
  </si>
  <si>
    <t xml:space="preserve">                   On file</t>
  </si>
  <si>
    <t>Blk 6-2 &amp; 6-4 Amplefield SME Park JP Rizal Ave. Bugtong na Pulo,Lipa City Batangas 4225</t>
  </si>
  <si>
    <t>009-937-716-000</t>
  </si>
  <si>
    <t>PHP</t>
  </si>
  <si>
    <t>Billing for the services rendered by Workers ( ALL )</t>
  </si>
  <si>
    <t>Head Count</t>
  </si>
  <si>
    <t>MP</t>
  </si>
  <si>
    <t>Basic Pay</t>
  </si>
  <si>
    <t>Reg Ot</t>
  </si>
  <si>
    <t>Night Differential</t>
  </si>
  <si>
    <t>Night Diff. Ot</t>
  </si>
  <si>
    <t>Sunday Duty</t>
  </si>
  <si>
    <t>Sunday Excess</t>
  </si>
  <si>
    <t>Sunday ND</t>
  </si>
  <si>
    <t>Sunday ND OT</t>
  </si>
  <si>
    <t>Special Holiday</t>
  </si>
  <si>
    <t>Special Holiday OT</t>
  </si>
  <si>
    <t>Special Holiday ND</t>
  </si>
  <si>
    <t>Legal Holiday</t>
  </si>
  <si>
    <t>Unworked Legal Holiday</t>
  </si>
  <si>
    <t>Basic Pay (adjustment)</t>
  </si>
  <si>
    <t>Regular OT (adjustment)</t>
  </si>
  <si>
    <t>Regular ND (adjustment)</t>
  </si>
  <si>
    <t>Regular NDOT (adjustment)</t>
  </si>
  <si>
    <t>Sunday Duty  (adjustment)</t>
  </si>
  <si>
    <t>Sunday OT  (adjustment)</t>
  </si>
  <si>
    <t>Unworked Legal Holiday ( adjustment )</t>
  </si>
  <si>
    <t>Late/Undertime</t>
  </si>
  <si>
    <t>SIL</t>
  </si>
  <si>
    <t>SSS</t>
  </si>
  <si>
    <t>EC</t>
  </si>
  <si>
    <t>Philhealth</t>
  </si>
  <si>
    <t>Pag-Ibig</t>
  </si>
  <si>
    <t>Total Billing Before Admin</t>
  </si>
  <si>
    <t>Admin Fee</t>
  </si>
  <si>
    <t>Total Amount Billing :</t>
  </si>
  <si>
    <t>(See Attachment for Detailed Summary)</t>
  </si>
  <si>
    <t xml:space="preserve">ONE MILLION  TWO HUNDRED FOURTY SEVEN  THOUSAND SIX HUNDRED SIXTY TWO PESOS 93/100 ONLY. </t>
  </si>
  <si>
    <t xml:space="preserve"> </t>
  </si>
  <si>
    <t xml:space="preserve">GRACE C. MALBATAAN </t>
  </si>
  <si>
    <t>CHRISTOPHER D. LAMARCA</t>
  </si>
  <si>
    <t xml:space="preserve">HR COORDINATOR </t>
  </si>
  <si>
    <t>ACCOUNTING HEAD</t>
  </si>
  <si>
    <t>Blk 6-2 &amp; 6-4 Amplefield SME Park JP Rizal Ave.</t>
  </si>
  <si>
    <t>Bugtong na Pulo,Lipa City Batangas 4225</t>
  </si>
  <si>
    <t>Total Basic Salary</t>
  </si>
  <si>
    <t>Admin Fee 10%</t>
  </si>
  <si>
    <t>TOTAL (exluded basic amount)</t>
  </si>
  <si>
    <t>Total  After Admin</t>
  </si>
  <si>
    <t>SSS ER</t>
  </si>
  <si>
    <t>SSS EC</t>
  </si>
  <si>
    <t>PHILHEALTH</t>
  </si>
  <si>
    <t>PAG-IBIG</t>
  </si>
  <si>
    <t>Total Government Premium</t>
  </si>
  <si>
    <t>TOTAL BILLING AMOUNT</t>
  </si>
  <si>
    <t>GOLDENHAND MANAGEMENT SERVICES, INC.</t>
  </si>
  <si>
    <t>Unit 1&amp;2 2/F 2560 Marcelita Bldg. Paciano Rizal 4027</t>
  </si>
  <si>
    <t>City of Calamba Laguna Philippines</t>
  </si>
  <si>
    <t>VAT Reg. TIN: 008-417-493-00001</t>
  </si>
  <si>
    <t>AGENCY BILLING SUMMARY</t>
  </si>
  <si>
    <t>Client Name</t>
  </si>
  <si>
    <t>Issue Date</t>
  </si>
  <si>
    <t>Client Address</t>
  </si>
  <si>
    <t>TIN No.:</t>
  </si>
  <si>
    <t>P  A  R  T  I  C  U  L  A  R  S</t>
  </si>
  <si>
    <t>Amount</t>
  </si>
  <si>
    <t>Billing for the services rendered by:</t>
  </si>
  <si>
    <t>Prepared By:</t>
  </si>
  <si>
    <t>Certified True and Correct:</t>
  </si>
  <si>
    <t>Received by:</t>
  </si>
  <si>
    <t>Signature Over Printed Name</t>
  </si>
  <si>
    <t>Accounting/Authorized Representative</t>
  </si>
  <si>
    <t>NAMES OF EMPLOYEE</t>
  </si>
  <si>
    <t>REGULAR DAYS</t>
  </si>
  <si>
    <t>DEDUCTION</t>
  </si>
  <si>
    <t>REGULAR OT</t>
  </si>
  <si>
    <t>REGULAR ND</t>
  </si>
  <si>
    <t>SUNDAY DUTY</t>
  </si>
  <si>
    <t>SUNDAY OT EXCESS</t>
  </si>
  <si>
    <t>SUNDAY ND</t>
  </si>
  <si>
    <t>SPECIAL HOLIDAY+RD</t>
  </si>
  <si>
    <t>SPECIAL HOLIDAY OT+RD</t>
  </si>
  <si>
    <t>SPECIAL HOLIDAY ND+RD</t>
  </si>
  <si>
    <t>SPECIAL HOLIDAY</t>
  </si>
  <si>
    <t>SPECIAL HOLIDAY OT</t>
  </si>
  <si>
    <t>SPECIAL HOLIDAY ND</t>
  </si>
  <si>
    <t>LEGAL HOLIDAY</t>
  </si>
  <si>
    <t>LEGAL HOLIDAY OT</t>
  </si>
  <si>
    <t>LEGAL HOLIDAY ND</t>
  </si>
  <si>
    <t>UNWORKED LEGAL HOLIDAY</t>
  </si>
  <si>
    <t xml:space="preserve">ADJUSTMENT </t>
  </si>
  <si>
    <t>5 Day's Service Incentive Leave</t>
  </si>
  <si>
    <t>GROSS AMOUNT</t>
  </si>
  <si>
    <t>MANDATORY</t>
  </si>
  <si>
    <t>TOTAL BILLING BEFORE ADMIN FEE</t>
  </si>
  <si>
    <t>Admin fee 10%</t>
  </si>
  <si>
    <t>BILLING AFTER ADMIN FEE</t>
  </si>
  <si>
    <t>VAT 12%</t>
  </si>
  <si>
    <t xml:space="preserve">TOTAL BILLING </t>
  </si>
  <si>
    <t>13 MONTH</t>
  </si>
  <si>
    <t>NET REGULAR HRS</t>
  </si>
  <si>
    <t>Days</t>
  </si>
  <si>
    <t>RATE</t>
  </si>
  <si>
    <t>AMOUNT</t>
  </si>
  <si>
    <t>LATE/UNDERTIME IN MINUTES</t>
  </si>
  <si>
    <t>HOURS</t>
  </si>
  <si>
    <t>REGULAR HOURS</t>
  </si>
  <si>
    <t>REGULAR OT HOURS</t>
  </si>
  <si>
    <t>REGULAR ND HOURS</t>
  </si>
  <si>
    <t>REGULAR ND OT HOURS</t>
  </si>
  <si>
    <t>RD REG. HOURS</t>
  </si>
  <si>
    <t>RD OT HOURS</t>
  </si>
  <si>
    <t>ULH</t>
  </si>
  <si>
    <t>2nd Gross</t>
  </si>
  <si>
    <t>TOTAL</t>
  </si>
  <si>
    <t>GRAND TOTAL</t>
  </si>
  <si>
    <t>ADMIN FEE ( 10%)</t>
  </si>
  <si>
    <t>TOTAL BILLING AFTER ADMIN FEE</t>
  </si>
  <si>
    <t>,</t>
  </si>
  <si>
    <t>FACTORY</t>
  </si>
  <si>
    <t>LH</t>
  </si>
  <si>
    <t>WISP</t>
  </si>
  <si>
    <t>Social Security System</t>
  </si>
  <si>
    <t>Circular No. 2024-006</t>
  </si>
  <si>
    <t>Schedule of SSS Contributions Effective January 2025</t>
  </si>
  <si>
    <t>RANGE OF COMPENSATION</t>
  </si>
  <si>
    <t>MONTHLY SALARY CREDIT</t>
  </si>
  <si>
    <t>AMOUNT OF CONTRIBUTION</t>
  </si>
  <si>
    <t>REGULAR SSS</t>
  </si>
  <si>
    <t>WISP/MPF</t>
  </si>
  <si>
    <t>EMPLOYER</t>
  </si>
  <si>
    <t>EMPLOYEE</t>
  </si>
  <si>
    <t>TOTAL CONTRIBUTION</t>
  </si>
  <si>
    <t>REGULAR SS</t>
  </si>
  <si>
    <t>TOTAL 1</t>
  </si>
  <si>
    <t>TOTAL 2</t>
  </si>
  <si>
    <t>PHILHEALTH    ER</t>
  </si>
  <si>
    <t>PHILHEALTH    EE</t>
  </si>
  <si>
    <t>PAG-IBIG   EE</t>
  </si>
  <si>
    <t xml:space="preserve">PAG-IBIG             ER </t>
  </si>
  <si>
    <t>SSS EE</t>
  </si>
  <si>
    <t xml:space="preserve">Payroll &amp; Billing Section </t>
  </si>
  <si>
    <t>RD ND HOURS</t>
  </si>
  <si>
    <t>Prepared  By:</t>
  </si>
  <si>
    <t>Checked By:</t>
  </si>
  <si>
    <t>ID NO.</t>
  </si>
  <si>
    <t>Allowance</t>
  </si>
  <si>
    <t>Sunday OT   (adjustment)</t>
  </si>
  <si>
    <t>Legal Holiday (adjustment)</t>
  </si>
  <si>
    <t>1st Gross 600</t>
  </si>
  <si>
    <t>No.</t>
  </si>
  <si>
    <t>EN</t>
  </si>
  <si>
    <t>NAME</t>
  </si>
  <si>
    <t>TIME IN</t>
  </si>
  <si>
    <t>TIME OUT</t>
  </si>
  <si>
    <t>SHIFT</t>
  </si>
  <si>
    <t>REG.HRS.</t>
  </si>
  <si>
    <t>REG. OT</t>
  </si>
  <si>
    <t>ND</t>
  </si>
  <si>
    <t>RD</t>
  </si>
  <si>
    <t>RD OT</t>
  </si>
  <si>
    <t>RD ND</t>
  </si>
  <si>
    <t>SH</t>
  </si>
  <si>
    <t>SH OT</t>
  </si>
  <si>
    <t>SH ND</t>
  </si>
  <si>
    <t>LH OT</t>
  </si>
  <si>
    <t>UT/LATE</t>
  </si>
  <si>
    <t>B</t>
  </si>
  <si>
    <t>A</t>
  </si>
  <si>
    <t>NO.</t>
  </si>
  <si>
    <t>REGULAR ND OT</t>
  </si>
  <si>
    <t xml:space="preserve">Night Differential OT </t>
  </si>
  <si>
    <t>SUNDAY</t>
  </si>
  <si>
    <t>ND OT</t>
  </si>
  <si>
    <t>LH ND</t>
  </si>
  <si>
    <t>BU</t>
  </si>
  <si>
    <t>POSITION</t>
  </si>
  <si>
    <t>IDL/DL</t>
  </si>
  <si>
    <t>METAL STAMPING</t>
  </si>
  <si>
    <t>DL</t>
  </si>
  <si>
    <t>REG. TIME</t>
  </si>
  <si>
    <t>HYS ID NUMBER</t>
  </si>
  <si>
    <t>7PM-4AM</t>
  </si>
  <si>
    <t>GD250452</t>
  </si>
  <si>
    <t xml:space="preserve">DEPARTMENT </t>
  </si>
  <si>
    <t>8AM-5PM</t>
  </si>
  <si>
    <t>F3</t>
  </si>
  <si>
    <t>Row Labels</t>
  </si>
  <si>
    <t>(blank)</t>
  </si>
  <si>
    <t>Grand Total</t>
  </si>
  <si>
    <t>Sum of REG.HRS.</t>
  </si>
  <si>
    <t>Sum of REG. OT</t>
  </si>
  <si>
    <t>Sum of ND</t>
  </si>
  <si>
    <t>Sum of ND OT</t>
  </si>
  <si>
    <t>Sum of UT/LATE</t>
  </si>
  <si>
    <t>LUMBAYO, JEXON ATONG</t>
  </si>
  <si>
    <t>DECULAWAN, MARLON</t>
  </si>
  <si>
    <t>Pamada, James Benavidez</t>
  </si>
  <si>
    <t>GD250073</t>
  </si>
  <si>
    <t>Oclarino, Edena San Buenaventura</t>
  </si>
  <si>
    <t>GD250051</t>
  </si>
  <si>
    <t>Jaway, Joshua Sangalang</t>
  </si>
  <si>
    <t>GD250070</t>
  </si>
  <si>
    <t>Flores, Joey Brasula</t>
  </si>
  <si>
    <t>GD250519</t>
  </si>
  <si>
    <t>Bardon, Norly Villacruel</t>
  </si>
  <si>
    <t>GD250548</t>
  </si>
  <si>
    <t>Dado, Jerome Romero</t>
  </si>
  <si>
    <t>GD250522</t>
  </si>
  <si>
    <t>Melgar, Billy Rey Watiwat</t>
  </si>
  <si>
    <t>GD250503</t>
  </si>
  <si>
    <t>Lanzaderas, Crisanto Villagracia</t>
  </si>
  <si>
    <t>GD250147</t>
  </si>
  <si>
    <t>Desalisa, Mark Jay Almaida</t>
  </si>
  <si>
    <t>GD250359</t>
  </si>
  <si>
    <t>DE CHAVEZ,JOE ANTENOR</t>
  </si>
  <si>
    <t xml:space="preserve">MORETE, JOHN DOMINIC </t>
  </si>
  <si>
    <t>BAJAMONDE, MARLON SAN ANDRES</t>
  </si>
  <si>
    <t>Somera, Prix Janshien Namuro</t>
  </si>
  <si>
    <t>GD250125</t>
  </si>
  <si>
    <t>Senosin, Sandylyn Cornelio</t>
  </si>
  <si>
    <t>GD250049</t>
  </si>
  <si>
    <t>Pamplona, Hazel</t>
  </si>
  <si>
    <t>Manalo, John Lester Romero</t>
  </si>
  <si>
    <t>GD250424</t>
  </si>
  <si>
    <t>GD250417</t>
  </si>
  <si>
    <t>Magpao, Joven Dinolan</t>
  </si>
  <si>
    <t>Doronela, Jimuel Belason</t>
  </si>
  <si>
    <t>GD250135</t>
  </si>
  <si>
    <t>De Leon, Jenny Sinodlay</t>
  </si>
  <si>
    <t>GD250031</t>
  </si>
  <si>
    <t>Balba, Christopher Laloma</t>
  </si>
  <si>
    <t>GD250201</t>
  </si>
  <si>
    <t>Ampon, Jerrold Mark Anday</t>
  </si>
  <si>
    <t>GD250292</t>
  </si>
  <si>
    <t>Aclan, Marvin Balmes</t>
  </si>
  <si>
    <t>GD250278</t>
  </si>
  <si>
    <t>Salumbides, Luigi Lazo</t>
  </si>
  <si>
    <t>GD250270</t>
  </si>
  <si>
    <t>Rivero, Ronald Sta. Ana</t>
  </si>
  <si>
    <t>GD250216</t>
  </si>
  <si>
    <t>Panta, Jerick</t>
  </si>
  <si>
    <t>Nicolas, Joey Camigla</t>
  </si>
  <si>
    <t>GD250122</t>
  </si>
  <si>
    <t>Natingga, Precious Gotera</t>
  </si>
  <si>
    <t>GD250241</t>
  </si>
  <si>
    <t>Gamilla, Karen Niña Lazaro</t>
  </si>
  <si>
    <t>GD250235</t>
  </si>
  <si>
    <t>Dagli, Renz Jemrick Zara</t>
  </si>
  <si>
    <t>GD250343</t>
  </si>
  <si>
    <t>Aragdon, Edmun Aguilar</t>
  </si>
  <si>
    <t>GD250017</t>
  </si>
  <si>
    <t>Ada, Joemer Vera</t>
  </si>
  <si>
    <t>GD250042</t>
  </si>
  <si>
    <t>Bajamonde, Marlon San Andres</t>
  </si>
  <si>
    <t>De Chavez,Joe Antenor</t>
  </si>
  <si>
    <t>Deculawan, Marlon</t>
  </si>
  <si>
    <t>Lumbayo, Jexon Atong</t>
  </si>
  <si>
    <t>Morete, John Dominic</t>
  </si>
  <si>
    <t>Cerda, Josephine Tirados</t>
  </si>
  <si>
    <t>GD250332</t>
  </si>
  <si>
    <t>F1</t>
  </si>
  <si>
    <t>ORTIZ, NEOMIE</t>
  </si>
  <si>
    <t>PUNZALAN, ANGELICA MAE</t>
  </si>
  <si>
    <t>MANLONGAT, AMYLITA JAMILLA</t>
  </si>
  <si>
    <t xml:space="preserve">PRADO, MARY GRACE </t>
  </si>
  <si>
    <t>DEZA, SHAE ANN</t>
  </si>
  <si>
    <t xml:space="preserve">CARINGAL, JENNYLYN </t>
  </si>
  <si>
    <t>Delos Reyes, Renante Pernecita</t>
  </si>
  <si>
    <t>GD250088</t>
  </si>
  <si>
    <t>Payopas, Kyla Marie Sanico</t>
  </si>
  <si>
    <t>GD250237</t>
  </si>
  <si>
    <t>Masapol, Mary Joy Sanchez</t>
  </si>
  <si>
    <t>GD250169</t>
  </si>
  <si>
    <t>De Jesus, John Lorren Liwanag</t>
  </si>
  <si>
    <t>GD250254</t>
  </si>
  <si>
    <t>Tabios, Angelite Balictar</t>
  </si>
  <si>
    <t>GD250217</t>
  </si>
  <si>
    <t>Pascua, Rechelle Macalalay</t>
  </si>
  <si>
    <t>GD250527</t>
  </si>
  <si>
    <t>Ordeniza, Lorna Salamangga</t>
  </si>
  <si>
    <t>GD250174</t>
  </si>
  <si>
    <t>Junio, Jenessa Miras</t>
  </si>
  <si>
    <t>GD250167</t>
  </si>
  <si>
    <t>Herrera, Marcela Bramidas</t>
  </si>
  <si>
    <t>GD250173</t>
  </si>
  <si>
    <t>Sapallo, Marjorie Ramirez</t>
  </si>
  <si>
    <t>GD250474</t>
  </si>
  <si>
    <t>Ramos, Jairo Fabellar</t>
  </si>
  <si>
    <t>GD250460</t>
  </si>
  <si>
    <t>Rabaja, Jocelyn Dulay</t>
  </si>
  <si>
    <t>GD250143</t>
  </si>
  <si>
    <t>Raali, Analin Awan</t>
  </si>
  <si>
    <t>GD250110</t>
  </si>
  <si>
    <t>Paz, Rochelle Perez</t>
  </si>
  <si>
    <t>GD250455</t>
  </si>
  <si>
    <t>Melitante, Maricar Sueno</t>
  </si>
  <si>
    <t>GD250168</t>
  </si>
  <si>
    <t>Magalona, Jun-Rose Paran</t>
  </si>
  <si>
    <t>GD250508</t>
  </si>
  <si>
    <t>Hugo, Ma. Elizabeth Llaga</t>
  </si>
  <si>
    <t>GD250161</t>
  </si>
  <si>
    <t>Conzaga, Anna Fe Acopio</t>
  </si>
  <si>
    <t>GD250531</t>
  </si>
  <si>
    <t>Donato, Maria Christina Payumo</t>
  </si>
  <si>
    <t>GD250529</t>
  </si>
  <si>
    <t>Aguilera, Baby Rose Lacbay</t>
  </si>
  <si>
    <t>GD250285</t>
  </si>
  <si>
    <t>UNTALAN,CHRIS JOSHUA SEMANA</t>
  </si>
  <si>
    <t>Pisuena, Jae Ann Espiritu</t>
  </si>
  <si>
    <t>GD250554</t>
  </si>
  <si>
    <t>Dipasupil, Joshua Garcia</t>
  </si>
  <si>
    <t>GD250593</t>
  </si>
  <si>
    <t>Ramos, Marie Rachielle Dumo</t>
  </si>
  <si>
    <t>GD250691</t>
  </si>
  <si>
    <t>Nialla, Jenny Mae Bravo</t>
  </si>
  <si>
    <t>GD250441</t>
  </si>
  <si>
    <t>Nazarita, Cherry Mae Badinas</t>
  </si>
  <si>
    <t>GD250439</t>
  </si>
  <si>
    <t>Maquiniana, Reymar Bio</t>
  </si>
  <si>
    <t>GD250428</t>
  </si>
  <si>
    <t>Jazmin, Geralyn Bermas</t>
  </si>
  <si>
    <t>GD250399</t>
  </si>
  <si>
    <t>Gallego, Anna Jean Gallego</t>
  </si>
  <si>
    <t>GD250136</t>
  </si>
  <si>
    <t>Flores, Jayson Cañoneo</t>
  </si>
  <si>
    <t>GD250372</t>
  </si>
  <si>
    <t>Eguia, Mary Grace Deomampo</t>
  </si>
  <si>
    <t>GD250540</t>
  </si>
  <si>
    <t>Cortez, Armin Padis</t>
  </si>
  <si>
    <t>GD250159</t>
  </si>
  <si>
    <t>Belarmino, Jade Espenida</t>
  </si>
  <si>
    <t>GD250089</t>
  </si>
  <si>
    <t>Acosta, Alexis Dorongon</t>
  </si>
  <si>
    <t>GD250280</t>
  </si>
  <si>
    <t>Ugaban, Dangie Nialla</t>
  </si>
  <si>
    <t>GD250489</t>
  </si>
  <si>
    <t>Vale, Christine Ann</t>
  </si>
  <si>
    <t>GD250491</t>
  </si>
  <si>
    <t>Rementilla, Janice Lunar</t>
  </si>
  <si>
    <t>GD250014</t>
  </si>
  <si>
    <t>Pagcaliwangan, Jessa Leyesa</t>
  </si>
  <si>
    <t>Ochea, Adelfa Abrigo</t>
  </si>
  <si>
    <t>GD250117</t>
  </si>
  <si>
    <t>Lucing, Analiza Aguilar</t>
  </si>
  <si>
    <t>GD250412</t>
  </si>
  <si>
    <t>Forte, Harlene Mae Frando</t>
  </si>
  <si>
    <t>GD250069</t>
  </si>
  <si>
    <t>Dimalibot, Cristine Barro</t>
  </si>
  <si>
    <t>GD250036</t>
  </si>
  <si>
    <t>Caudilla, Arlene</t>
  </si>
  <si>
    <t>Blanco, Aireen Bambase</t>
  </si>
  <si>
    <t>GD250311</t>
  </si>
  <si>
    <t>Acayin, Jerrick Butial</t>
  </si>
  <si>
    <t>GD250532</t>
  </si>
  <si>
    <t>Timosa, Arliza N/A</t>
  </si>
  <si>
    <t>GD250198</t>
  </si>
  <si>
    <t>Albaña, Rose Marie Esternon</t>
  </si>
  <si>
    <t>Ravadavia, Jonalyn Paloyo</t>
  </si>
  <si>
    <t>GD250462</t>
  </si>
  <si>
    <t>Caringal, Jennylyn</t>
  </si>
  <si>
    <t>Deza, Shae Ann</t>
  </si>
  <si>
    <t>Manlongat, Amylita Jamilla</t>
  </si>
  <si>
    <t>Ortiz, Neomie</t>
  </si>
  <si>
    <t>Prado, Mary Grace</t>
  </si>
  <si>
    <t>Punzalan, Angelica Mae</t>
  </si>
  <si>
    <t>Untalan,Chris Joshua Semana</t>
  </si>
  <si>
    <t>Workers ( F3 MS )</t>
  </si>
  <si>
    <t>Myrla Bianca Ellaine S. Guinto</t>
  </si>
  <si>
    <t>Account Officer I</t>
  </si>
  <si>
    <t>GD250123</t>
  </si>
  <si>
    <t>GD260698</t>
  </si>
  <si>
    <t>GD260699</t>
  </si>
  <si>
    <t>GD260733</t>
  </si>
  <si>
    <t>GD260706</t>
  </si>
  <si>
    <t>GD260707</t>
  </si>
  <si>
    <t>GD250252</t>
  </si>
  <si>
    <t>GD250048</t>
  </si>
  <si>
    <t>GD260739</t>
  </si>
  <si>
    <t>GD260701</t>
  </si>
  <si>
    <t>GD260702</t>
  </si>
  <si>
    <t>GD260703</t>
  </si>
  <si>
    <t>GD260704</t>
  </si>
  <si>
    <t>GD260705</t>
  </si>
  <si>
    <t>YS ID NO.</t>
  </si>
  <si>
    <t>GD250547</t>
  </si>
  <si>
    <t>GD260754</t>
  </si>
  <si>
    <t>GD250225</t>
  </si>
  <si>
    <t>Dueñas, Mannex Alvendia</t>
  </si>
  <si>
    <t>GD250185</t>
  </si>
  <si>
    <t>Capuno, Janarah Nicole Ical</t>
  </si>
  <si>
    <t>PRODUCTION</t>
  </si>
  <si>
    <t>Billing for the services rendered by Workers ( F3 MS)</t>
  </si>
  <si>
    <t>Tolentino, Evangeline De Silva</t>
  </si>
  <si>
    <t>GD250175</t>
  </si>
  <si>
    <t>MP=94</t>
  </si>
  <si>
    <t>SENT HOME DUE TO SICK</t>
  </si>
  <si>
    <t>Tolentino,Evangeline</t>
  </si>
  <si>
    <t>Operator 1</t>
  </si>
  <si>
    <t>PAYROLL PERIOD: JULY 11-25, 2026</t>
  </si>
  <si>
    <t>DATE</t>
  </si>
  <si>
    <t>Sent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</si>
</sst>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-* #,##0.00_-;\-* #,##0.00_-;_-* \-??_-;_-@_-"/>
    <numFmt numFmtId="166" formatCode="[$-F800]dddd\,\ mmmm\ dd\,\ yyyy"/>
    <numFmt numFmtId="167" formatCode="@* &quot;:&quot;"/>
    <numFmt numFmtId="168" formatCode="mmmm\ dd\,\ yyyy"/>
    <numFmt numFmtId="169" formatCode="[$-3409]mmmm\ dd\,\ yyyy;@"/>
    <numFmt numFmtId="170" formatCode="_([$PHP]\ * #,##0.00_);_([$PHP]\ * \(#,##0.00\);_([$PHP]\ * &quot;-&quot;??_);_(@_)"/>
    <numFmt numFmtId="171" formatCode="[$-409]mmmm\ d\,\ yyyy;@"/>
    <numFmt numFmtId="172" formatCode="d/m/yyyy"/>
    <numFmt numFmtId="173" formatCode="[$-F400]h:mm:ss\ AM/PM"/>
  </numFmts>
  <fonts count="1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002060"/>
      <name val="Times New Roman"/>
      <family val="1"/>
    </font>
    <font>
      <sz val="12"/>
      <name val="Times New Roman"/>
      <family val="1"/>
    </font>
    <font>
      <i/>
      <sz val="15"/>
      <name val="Times New Roman"/>
      <family val="1"/>
    </font>
    <font>
      <i/>
      <sz val="6"/>
      <color rgb="FFFF0000"/>
      <name val="Times New Roman"/>
      <family val="1"/>
    </font>
    <font>
      <i/>
      <sz val="6"/>
      <name val="Times New Roman"/>
      <family val="1"/>
    </font>
    <font>
      <b/>
      <i/>
      <sz val="6"/>
      <color rgb="FF002060"/>
      <name val="Times New Roman"/>
      <family val="1"/>
    </font>
    <font>
      <sz val="6"/>
      <name val="Times New Roman"/>
      <family val="1"/>
    </font>
    <font>
      <b/>
      <sz val="10"/>
      <name val="Times New Roman"/>
      <family val="1"/>
    </font>
    <font>
      <b/>
      <i/>
      <sz val="6"/>
      <color theme="0" tint="-0.14996795556505021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002060"/>
      <name val="Times New Roman"/>
      <family val="1"/>
    </font>
    <font>
      <b/>
      <sz val="18"/>
      <name val="Times New Roman"/>
      <family val="1"/>
    </font>
    <font>
      <b/>
      <sz val="18"/>
      <color rgb="FFFF0000"/>
      <name val="Times New Roman"/>
      <family val="1"/>
    </font>
    <font>
      <b/>
      <sz val="18"/>
      <color rgb="FF002060"/>
      <name val="Times New Roman"/>
      <family val="1"/>
    </font>
    <font>
      <b/>
      <sz val="11"/>
      <name val="Times New Roman"/>
      <family val="1"/>
    </font>
    <font>
      <sz val="10"/>
      <color rgb="FFFF0000"/>
      <name val="Times New Roman"/>
      <family val="1"/>
    </font>
    <font>
      <b/>
      <sz val="10"/>
      <color rgb="FF002060"/>
      <name val="Times New Roman"/>
      <family val="1"/>
    </font>
    <font>
      <b/>
      <sz val="12"/>
      <color rgb="FFFF0000"/>
      <name val="Times New Roman"/>
      <family val="1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Rockwell"/>
      <family val="1"/>
    </font>
    <font>
      <b/>
      <sz val="9"/>
      <color theme="1"/>
      <name val="Rockwell"/>
      <family val="1"/>
    </font>
    <font>
      <u val="singleAccounting"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Rockwell"/>
      <family val="1"/>
    </font>
    <font>
      <sz val="9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name val="Rockwell"/>
      <family val="1"/>
    </font>
    <font>
      <b/>
      <sz val="28"/>
      <name val="Rockwell"/>
      <family val="1"/>
    </font>
    <font>
      <sz val="36"/>
      <name val="Rockwell"/>
      <family val="1"/>
    </font>
    <font>
      <sz val="30"/>
      <color theme="1"/>
      <name val="Calibri"/>
      <family val="2"/>
      <scheme val="minor"/>
    </font>
    <font>
      <b/>
      <i/>
      <sz val="28"/>
      <name val="Rockwell"/>
      <family val="1"/>
    </font>
    <font>
      <b/>
      <sz val="36"/>
      <name val="Calibri"/>
      <family val="2"/>
      <scheme val="minor"/>
    </font>
    <font>
      <b/>
      <sz val="36"/>
      <name val="Rockwell"/>
      <family val="1"/>
    </font>
    <font>
      <sz val="36"/>
      <name val="Calibri"/>
      <family val="2"/>
      <scheme val="minor"/>
    </font>
    <font>
      <b/>
      <sz val="28"/>
      <name val="Calibri"/>
      <family val="2"/>
      <scheme val="minor"/>
    </font>
    <font>
      <u/>
      <sz val="36"/>
      <name val="Calibri"/>
      <family val="2"/>
      <scheme val="minor"/>
    </font>
    <font>
      <u/>
      <sz val="28"/>
      <name val="Rockwell"/>
      <family val="1"/>
    </font>
    <font>
      <b/>
      <sz val="28"/>
      <name val="Courier New"/>
      <family val="3"/>
    </font>
    <font>
      <sz val="28"/>
      <name val="Courier New"/>
      <family val="3"/>
    </font>
    <font>
      <b/>
      <sz val="32"/>
      <name val="Rockwell"/>
      <family val="1"/>
    </font>
    <font>
      <b/>
      <sz val="34"/>
      <name val="Rockwell"/>
      <family val="1"/>
    </font>
    <font>
      <b/>
      <sz val="34"/>
      <name val="Century Gothic"/>
      <family val="2"/>
    </font>
    <font>
      <b/>
      <u/>
      <sz val="28"/>
      <name val="Rockwell"/>
      <family val="1"/>
    </font>
    <font>
      <sz val="34"/>
      <name val="Rockwell"/>
      <family val="1"/>
    </font>
    <font>
      <sz val="26"/>
      <name val="Rockwell"/>
      <family val="1"/>
    </font>
    <font>
      <u val="singleAccounting"/>
      <sz val="28"/>
      <name val="Rockwell"/>
      <family val="1"/>
    </font>
    <font>
      <b/>
      <u/>
      <sz val="36"/>
      <name val="Calibri"/>
      <family val="2"/>
      <scheme val="minor"/>
    </font>
    <font>
      <u val="singleAccounting"/>
      <sz val="36"/>
      <name val="Calibri"/>
      <family val="2"/>
      <scheme val="minor"/>
    </font>
    <font>
      <b/>
      <u val="singleAccounting"/>
      <sz val="36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Open Sans"/>
      <family val="2"/>
    </font>
    <font>
      <b/>
      <sz val="9"/>
      <name val="Tahoma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Rockwell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2"/>
      <color theme="1"/>
      <name val="Aptos Narrow"/>
      <family val="2"/>
    </font>
    <font>
      <b/>
      <sz val="12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  <font>
      <b/>
      <sz val="12"/>
      <color rgb="FFFF0000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2"/>
      <color rgb="FFC00000"/>
      <name val="Aptos Narrow"/>
      <family val="2"/>
    </font>
    <font>
      <sz val="11"/>
      <color rgb="FFFF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371318704794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145">
    <xf numFmtId="0" fontId="0" fillId="0" borderId="0"/>
    <xf numFmtId="43" fontId="85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4" fillId="0" borderId="0" applyBorder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85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17" fillId="0" borderId="0"/>
    <xf numFmtId="0" fontId="17" fillId="0" borderId="0"/>
    <xf numFmtId="0" fontId="17" fillId="0" borderId="0"/>
    <xf numFmtId="0" fontId="86" fillId="0" borderId="0"/>
    <xf numFmtId="0" fontId="17" fillId="0" borderId="0"/>
    <xf numFmtId="0" fontId="8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5" fillId="0" borderId="0"/>
    <xf numFmtId="0" fontId="17" fillId="0" borderId="0"/>
    <xf numFmtId="0" fontId="85" fillId="0" borderId="0"/>
    <xf numFmtId="0" fontId="17" fillId="0" borderId="0"/>
    <xf numFmtId="0" fontId="17" fillId="0" borderId="0"/>
    <xf numFmtId="0" fontId="17" fillId="0" borderId="0"/>
    <xf numFmtId="166" fontId="4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5" fillId="0" borderId="0"/>
    <xf numFmtId="0" fontId="14" fillId="0" borderId="0">
      <alignment vertical="center"/>
    </xf>
    <xf numFmtId="0" fontId="17" fillId="0" borderId="0"/>
    <xf numFmtId="0" fontId="13" fillId="0" borderId="0"/>
    <xf numFmtId="0" fontId="89" fillId="0" borderId="0">
      <alignment vertical="center"/>
    </xf>
    <xf numFmtId="165" fontId="14" fillId="0" borderId="0" applyBorder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92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98" fillId="0" borderId="0"/>
    <xf numFmtId="0" fontId="98" fillId="0" borderId="0"/>
    <xf numFmtId="164" fontId="98" fillId="0" borderId="0" applyFont="0" applyFill="0" applyBorder="0" applyAlignment="0" applyProtection="0"/>
    <xf numFmtId="0" fontId="98" fillId="0" borderId="0"/>
    <xf numFmtId="0" fontId="98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24">
    <xf numFmtId="0" fontId="0" fillId="0" borderId="0" xfId="0"/>
    <xf numFmtId="0" fontId="20" fillId="2" borderId="0" xfId="30" applyFont="1" applyFill="1" applyAlignment="1">
      <alignment vertical="center"/>
    </xf>
    <xf numFmtId="0" fontId="20" fillId="0" borderId="0" xfId="30" applyFont="1" applyAlignment="1">
      <alignment vertical="center"/>
    </xf>
    <xf numFmtId="0" fontId="20" fillId="0" borderId="0" xfId="30" applyFont="1"/>
    <xf numFmtId="0" fontId="20" fillId="0" borderId="0" xfId="30" applyFont="1" applyAlignment="1">
      <alignment horizontal="center"/>
    </xf>
    <xf numFmtId="0" fontId="20" fillId="0" borderId="0" xfId="30" applyFont="1" applyAlignment="1">
      <alignment horizontal="center" vertical="center"/>
    </xf>
    <xf numFmtId="0" fontId="19" fillId="0" borderId="0" xfId="30" applyFont="1"/>
    <xf numFmtId="0" fontId="21" fillId="0" borderId="0" xfId="30" applyFont="1"/>
    <xf numFmtId="43" fontId="22" fillId="0" borderId="0" xfId="2" applyFont="1" applyFill="1" applyAlignment="1" applyProtection="1"/>
    <xf numFmtId="43" fontId="21" fillId="0" borderId="0" xfId="2" applyFont="1" applyFill="1" applyAlignment="1" applyProtection="1"/>
    <xf numFmtId="43" fontId="20" fillId="0" borderId="0" xfId="2" applyFont="1" applyFill="1" applyAlignment="1" applyProtection="1"/>
    <xf numFmtId="43" fontId="23" fillId="0" borderId="0" xfId="1" applyFont="1" applyFill="1" applyBorder="1" applyAlignment="1"/>
    <xf numFmtId="0" fontId="19" fillId="0" borderId="0" xfId="30" applyFont="1" applyAlignment="1">
      <alignment vertical="center"/>
    </xf>
    <xf numFmtId="0" fontId="19" fillId="0" borderId="0" xfId="30" applyFont="1" applyAlignment="1">
      <alignment horizontal="center"/>
    </xf>
    <xf numFmtId="0" fontId="24" fillId="0" borderId="0" xfId="30" applyFont="1"/>
    <xf numFmtId="0" fontId="25" fillId="0" borderId="0" xfId="30" applyFont="1" applyAlignment="1">
      <alignment horizontal="right"/>
    </xf>
    <xf numFmtId="0" fontId="26" fillId="0" borderId="0" xfId="30" applyFont="1" applyAlignment="1">
      <alignment horizontal="right"/>
    </xf>
    <xf numFmtId="43" fontId="27" fillId="0" borderId="0" xfId="2" applyFont="1" applyFill="1" applyAlignment="1" applyProtection="1">
      <alignment horizontal="right"/>
    </xf>
    <xf numFmtId="0" fontId="28" fillId="0" borderId="0" xfId="30" applyFont="1" applyAlignment="1">
      <alignment horizontal="right"/>
    </xf>
    <xf numFmtId="43" fontId="30" fillId="0" borderId="0" xfId="2" applyFont="1" applyFill="1" applyAlignment="1" applyProtection="1">
      <alignment horizontal="right"/>
    </xf>
    <xf numFmtId="43" fontId="26" fillId="0" borderId="0" xfId="2" applyFont="1" applyFill="1" applyAlignment="1" applyProtection="1">
      <alignment horizontal="right"/>
    </xf>
    <xf numFmtId="43" fontId="25" fillId="0" borderId="0" xfId="2" applyFont="1" applyFill="1" applyAlignment="1" applyProtection="1">
      <alignment horizontal="right"/>
    </xf>
    <xf numFmtId="0" fontId="31" fillId="0" borderId="0" xfId="2" applyNumberFormat="1" applyFont="1" applyFill="1" applyBorder="1" applyAlignment="1" applyProtection="1">
      <alignment horizontal="center"/>
    </xf>
    <xf numFmtId="43" fontId="32" fillId="0" borderId="0" xfId="2" applyFont="1" applyFill="1" applyBorder="1" applyAlignment="1" applyProtection="1"/>
    <xf numFmtId="43" fontId="31" fillId="0" borderId="0" xfId="2" applyFont="1" applyFill="1" applyBorder="1" applyAlignment="1" applyProtection="1"/>
    <xf numFmtId="43" fontId="19" fillId="0" borderId="0" xfId="2" applyFont="1" applyFill="1" applyBorder="1" applyAlignment="1" applyProtection="1"/>
    <xf numFmtId="43" fontId="33" fillId="0" borderId="0" xfId="2" applyFont="1" applyFill="1" applyBorder="1" applyAlignment="1" applyProtection="1"/>
    <xf numFmtId="43" fontId="34" fillId="0" borderId="0" xfId="2" applyFont="1" applyFill="1" applyBorder="1" applyAlignment="1" applyProtection="1"/>
    <xf numFmtId="43" fontId="35" fillId="0" borderId="0" xfId="2" applyFont="1" applyFill="1" applyBorder="1" applyAlignment="1" applyProtection="1"/>
    <xf numFmtId="0" fontId="34" fillId="0" borderId="0" xfId="30" applyFont="1" applyAlignment="1">
      <alignment vertical="center"/>
    </xf>
    <xf numFmtId="43" fontId="36" fillId="0" borderId="0" xfId="2" applyFont="1" applyFill="1" applyBorder="1" applyAlignment="1" applyProtection="1"/>
    <xf numFmtId="0" fontId="37" fillId="0" borderId="0" xfId="2" applyNumberFormat="1" applyFont="1" applyFill="1" applyBorder="1" applyAlignment="1" applyProtection="1">
      <alignment horizontal="center"/>
    </xf>
    <xf numFmtId="43" fontId="34" fillId="0" borderId="0" xfId="2" applyFont="1" applyFill="1" applyBorder="1" applyAlignment="1" applyProtection="1">
      <alignment horizontal="right"/>
    </xf>
    <xf numFmtId="0" fontId="19" fillId="0" borderId="0" xfId="30" applyFont="1" applyAlignment="1">
      <alignment horizontal="center" vertical="center"/>
    </xf>
    <xf numFmtId="0" fontId="34" fillId="0" borderId="0" xfId="30" applyFont="1"/>
    <xf numFmtId="43" fontId="35" fillId="0" borderId="0" xfId="30" applyNumberFormat="1" applyFont="1"/>
    <xf numFmtId="43" fontId="36" fillId="0" borderId="0" xfId="30" applyNumberFormat="1" applyFont="1"/>
    <xf numFmtId="0" fontId="34" fillId="0" borderId="0" xfId="30" applyFont="1" applyAlignment="1">
      <alignment horizontal="left"/>
    </xf>
    <xf numFmtId="43" fontId="34" fillId="0" borderId="0" xfId="30" applyNumberFormat="1" applyFont="1"/>
    <xf numFmtId="0" fontId="35" fillId="0" borderId="0" xfId="30" applyFont="1"/>
    <xf numFmtId="43" fontId="36" fillId="0" borderId="0" xfId="2" applyFont="1" applyFill="1" applyAlignment="1" applyProtection="1"/>
    <xf numFmtId="0" fontId="22" fillId="0" borderId="0" xfId="30" applyFont="1"/>
    <xf numFmtId="43" fontId="20" fillId="0" borderId="0" xfId="2" applyFont="1" applyFill="1" applyAlignment="1" applyProtection="1">
      <alignment horizontal="center"/>
    </xf>
    <xf numFmtId="43" fontId="20" fillId="0" borderId="0" xfId="2" applyFont="1" applyFill="1" applyAlignment="1" applyProtection="1">
      <alignment horizontal="center" vertical="center"/>
    </xf>
    <xf numFmtId="43" fontId="19" fillId="0" borderId="0" xfId="2" applyFont="1" applyFill="1" applyAlignment="1" applyProtection="1"/>
    <xf numFmtId="43" fontId="37" fillId="0" borderId="0" xfId="2" applyFont="1" applyFill="1" applyBorder="1" applyAlignment="1" applyProtection="1"/>
    <xf numFmtId="43" fontId="38" fillId="0" borderId="0" xfId="30" applyNumberFormat="1" applyFont="1"/>
    <xf numFmtId="43" fontId="19" fillId="0" borderId="0" xfId="30" applyNumberFormat="1" applyFont="1"/>
    <xf numFmtId="43" fontId="39" fillId="0" borderId="0" xfId="30" applyNumberFormat="1" applyFont="1"/>
    <xf numFmtId="43" fontId="21" fillId="0" borderId="0" xfId="30" applyNumberFormat="1" applyFont="1"/>
    <xf numFmtId="43" fontId="20" fillId="0" borderId="0" xfId="30" applyNumberFormat="1" applyFont="1"/>
    <xf numFmtId="43" fontId="22" fillId="0" borderId="0" xfId="30" applyNumberFormat="1" applyFont="1"/>
    <xf numFmtId="0" fontId="29" fillId="0" borderId="0" xfId="30" applyFont="1"/>
    <xf numFmtId="0" fontId="38" fillId="0" borderId="0" xfId="30" applyFont="1" applyAlignment="1">
      <alignment vertical="center"/>
    </xf>
    <xf numFmtId="43" fontId="40" fillId="0" borderId="0" xfId="2" applyFont="1" applyFill="1" applyBorder="1" applyAlignment="1" applyProtection="1"/>
    <xf numFmtId="0" fontId="23" fillId="0" borderId="0" xfId="30" applyFont="1" applyAlignment="1">
      <alignment vertical="center"/>
    </xf>
    <xf numFmtId="43" fontId="40" fillId="0" borderId="0" xfId="2" applyFont="1" applyFill="1" applyBorder="1" applyAlignment="1" applyProtection="1">
      <alignment horizontal="right"/>
    </xf>
    <xf numFmtId="43" fontId="40" fillId="3" borderId="0" xfId="2" applyFont="1" applyFill="1" applyBorder="1" applyAlignment="1" applyProtection="1">
      <alignment horizontal="right"/>
    </xf>
    <xf numFmtId="43" fontId="23" fillId="2" borderId="0" xfId="1" applyFont="1" applyFill="1" applyBorder="1" applyAlignment="1">
      <alignment vertical="center"/>
    </xf>
    <xf numFmtId="43" fontId="23" fillId="0" borderId="0" xfId="1" applyFont="1" applyFill="1" applyBorder="1" applyAlignment="1">
      <alignment vertical="center"/>
    </xf>
    <xf numFmtId="43" fontId="20" fillId="0" borderId="0" xfId="2" applyFont="1" applyFill="1" applyBorder="1" applyAlignment="1" applyProtection="1"/>
    <xf numFmtId="43" fontId="23" fillId="0" borderId="0" xfId="1" applyFont="1" applyFill="1" applyBorder="1" applyAlignment="1" applyProtection="1"/>
    <xf numFmtId="43" fontId="23" fillId="0" borderId="0" xfId="1" applyFont="1" applyFill="1" applyAlignment="1" applyProtection="1"/>
    <xf numFmtId="166" fontId="41" fillId="0" borderId="0" xfId="43" applyFont="1">
      <alignment vertical="center"/>
    </xf>
    <xf numFmtId="166" fontId="41" fillId="0" borderId="0" xfId="43" applyFont="1" applyAlignment="1"/>
    <xf numFmtId="43" fontId="41" fillId="0" borderId="0" xfId="1" applyFont="1" applyAlignment="1"/>
    <xf numFmtId="166" fontId="41" fillId="2" borderId="0" xfId="43" applyFont="1" applyFill="1" applyAlignment="1"/>
    <xf numFmtId="166" fontId="44" fillId="2" borderId="0" xfId="43" applyFont="1" applyFill="1" applyAlignment="1">
      <alignment horizontal="centerContinuous"/>
    </xf>
    <xf numFmtId="166" fontId="45" fillId="2" borderId="0" xfId="43" applyFont="1" applyFill="1" applyAlignment="1"/>
    <xf numFmtId="167" fontId="41" fillId="2" borderId="1" xfId="43" applyNumberFormat="1" applyFont="1" applyFill="1" applyBorder="1">
      <alignment vertical="center"/>
    </xf>
    <xf numFmtId="166" fontId="41" fillId="2" borderId="11" xfId="43" applyFont="1" applyFill="1" applyBorder="1" applyAlignment="1"/>
    <xf numFmtId="166" fontId="41" fillId="2" borderId="12" xfId="43" applyFont="1" applyFill="1" applyBorder="1" applyAlignment="1"/>
    <xf numFmtId="166" fontId="47" fillId="2" borderId="11" xfId="43" applyFont="1" applyFill="1" applyBorder="1" applyAlignment="1">
      <alignment horizontal="left"/>
    </xf>
    <xf numFmtId="166" fontId="47" fillId="2" borderId="12" xfId="43" applyFont="1" applyFill="1" applyBorder="1" applyAlignment="1"/>
    <xf numFmtId="166" fontId="49" fillId="2" borderId="12" xfId="43" applyFont="1" applyFill="1" applyBorder="1" applyAlignment="1"/>
    <xf numFmtId="166" fontId="50" fillId="2" borderId="12" xfId="43" applyFont="1" applyFill="1" applyBorder="1" applyAlignment="1"/>
    <xf numFmtId="166" fontId="41" fillId="2" borderId="13" xfId="43" applyFont="1" applyFill="1" applyBorder="1" applyAlignment="1"/>
    <xf numFmtId="166" fontId="41" fillId="2" borderId="5" xfId="43" applyFont="1" applyFill="1" applyBorder="1" applyAlignment="1"/>
    <xf numFmtId="166" fontId="52" fillId="2" borderId="0" xfId="43" applyFont="1" applyFill="1" applyAlignment="1"/>
    <xf numFmtId="43" fontId="41" fillId="0" borderId="0" xfId="1" applyFont="1" applyAlignment="1">
      <alignment vertical="center"/>
    </xf>
    <xf numFmtId="166" fontId="41" fillId="2" borderId="15" xfId="43" applyFont="1" applyFill="1" applyBorder="1" applyAlignment="1"/>
    <xf numFmtId="43" fontId="41" fillId="2" borderId="15" xfId="1" applyFont="1" applyFill="1" applyBorder="1" applyAlignment="1"/>
    <xf numFmtId="166" fontId="41" fillId="2" borderId="16" xfId="43" applyFont="1" applyFill="1" applyBorder="1" applyAlignment="1"/>
    <xf numFmtId="0" fontId="85" fillId="2" borderId="0" xfId="28" applyFill="1" applyAlignment="1">
      <alignment horizontal="center"/>
    </xf>
    <xf numFmtId="0" fontId="85" fillId="2" borderId="0" xfId="28" applyFill="1"/>
    <xf numFmtId="0" fontId="53" fillId="2" borderId="0" xfId="59" applyFont="1" applyFill="1"/>
    <xf numFmtId="0" fontId="54" fillId="0" borderId="0" xfId="59" applyFont="1" applyAlignment="1">
      <alignment vertical="center"/>
    </xf>
    <xf numFmtId="0" fontId="55" fillId="2" borderId="0" xfId="59" applyFont="1" applyFill="1" applyAlignment="1">
      <alignment vertical="center" wrapText="1"/>
    </xf>
    <xf numFmtId="0" fontId="0" fillId="2" borderId="0" xfId="28" applyFont="1" applyFill="1"/>
    <xf numFmtId="0" fontId="16" fillId="2" borderId="0" xfId="28" applyFont="1" applyFill="1"/>
    <xf numFmtId="0" fontId="18" fillId="2" borderId="0" xfId="28" applyFont="1" applyFill="1"/>
    <xf numFmtId="0" fontId="57" fillId="2" borderId="0" xfId="28" applyFont="1" applyFill="1" applyAlignment="1">
      <alignment horizontal="right"/>
    </xf>
    <xf numFmtId="43" fontId="0" fillId="2" borderId="0" xfId="10" applyFont="1" applyFill="1" applyBorder="1"/>
    <xf numFmtId="169" fontId="59" fillId="2" borderId="0" xfId="28" applyNumberFormat="1" applyFont="1" applyFill="1" applyAlignment="1">
      <alignment horizontal="left"/>
    </xf>
    <xf numFmtId="0" fontId="59" fillId="0" borderId="0" xfId="28" applyFont="1"/>
    <xf numFmtId="43" fontId="60" fillId="2" borderId="0" xfId="10" applyFont="1" applyFill="1" applyBorder="1"/>
    <xf numFmtId="43" fontId="16" fillId="2" borderId="0" xfId="10" applyFont="1" applyFill="1" applyBorder="1"/>
    <xf numFmtId="164" fontId="16" fillId="2" borderId="0" xfId="28" applyNumberFormat="1" applyFont="1" applyFill="1"/>
    <xf numFmtId="164" fontId="85" fillId="2" borderId="0" xfId="28" applyNumberFormat="1" applyFill="1"/>
    <xf numFmtId="43" fontId="61" fillId="2" borderId="0" xfId="10" applyFont="1" applyFill="1" applyBorder="1"/>
    <xf numFmtId="0" fontId="62" fillId="6" borderId="0" xfId="59" applyFont="1" applyFill="1"/>
    <xf numFmtId="0" fontId="63" fillId="2" borderId="0" xfId="59" applyFont="1" applyFill="1"/>
    <xf numFmtId="0" fontId="62" fillId="2" borderId="0" xfId="59" applyFont="1" applyFill="1"/>
    <xf numFmtId="43" fontId="62" fillId="6" borderId="0" xfId="5" applyFont="1" applyFill="1"/>
    <xf numFmtId="0" fontId="64" fillId="2" borderId="0" xfId="59" applyFont="1" applyFill="1"/>
    <xf numFmtId="169" fontId="62" fillId="2" borderId="0" xfId="59" applyNumberFormat="1" applyFont="1" applyFill="1" applyAlignment="1">
      <alignment horizontal="center"/>
    </xf>
    <xf numFmtId="0" fontId="62" fillId="6" borderId="0" xfId="59" applyFont="1" applyFill="1" applyAlignment="1">
      <alignment horizontal="left" indent="4"/>
    </xf>
    <xf numFmtId="0" fontId="63" fillId="6" borderId="0" xfId="59" applyFont="1" applyFill="1"/>
    <xf numFmtId="0" fontId="65" fillId="0" borderId="0" xfId="0" applyFont="1"/>
    <xf numFmtId="0" fontId="62" fillId="2" borderId="0" xfId="59" applyFont="1" applyFill="1" applyAlignment="1">
      <alignment vertical="center" wrapText="1"/>
    </xf>
    <xf numFmtId="0" fontId="66" fillId="6" borderId="0" xfId="59" applyFont="1" applyFill="1"/>
    <xf numFmtId="170" fontId="62" fillId="6" borderId="0" xfId="59" applyNumberFormat="1" applyFont="1" applyFill="1"/>
    <xf numFmtId="0" fontId="62" fillId="2" borderId="0" xfId="59" applyFont="1" applyFill="1" applyAlignment="1">
      <alignment horizontal="center" vertical="center" wrapText="1"/>
    </xf>
    <xf numFmtId="0" fontId="67" fillId="2" borderId="0" xfId="59" applyFont="1" applyFill="1" applyAlignment="1">
      <alignment horizontal="right" vertical="center" wrapText="1"/>
    </xf>
    <xf numFmtId="0" fontId="67" fillId="2" borderId="0" xfId="59" applyFont="1" applyFill="1" applyAlignment="1">
      <alignment horizontal="center" vertical="center" wrapText="1"/>
    </xf>
    <xf numFmtId="43" fontId="67" fillId="2" borderId="0" xfId="59" applyNumberFormat="1" applyFont="1" applyFill="1" applyAlignment="1">
      <alignment horizontal="center" vertical="center" wrapText="1"/>
    </xf>
    <xf numFmtId="43" fontId="62" fillId="2" borderId="0" xfId="59" applyNumberFormat="1" applyFont="1" applyFill="1" applyAlignment="1">
      <alignment horizontal="left" vertical="center" wrapText="1"/>
    </xf>
    <xf numFmtId="43" fontId="68" fillId="2" borderId="0" xfId="59" applyNumberFormat="1" applyFont="1" applyFill="1"/>
    <xf numFmtId="43" fontId="62" fillId="2" borderId="0" xfId="59" applyNumberFormat="1" applyFont="1" applyFill="1"/>
    <xf numFmtId="0" fontId="63" fillId="2" borderId="0" xfId="59" applyFont="1" applyFill="1" applyAlignment="1">
      <alignment horizontal="right"/>
    </xf>
    <xf numFmtId="0" fontId="63" fillId="2" borderId="0" xfId="59" applyFont="1" applyFill="1" applyAlignment="1">
      <alignment horizontal="left"/>
    </xf>
    <xf numFmtId="43" fontId="62" fillId="2" borderId="0" xfId="59" applyNumberFormat="1" applyFont="1" applyFill="1" applyAlignment="1">
      <alignment horizontal="center"/>
    </xf>
    <xf numFmtId="0" fontId="69" fillId="2" borderId="0" xfId="59" applyFont="1" applyFill="1"/>
    <xf numFmtId="43" fontId="69" fillId="2" borderId="0" xfId="59" applyNumberFormat="1" applyFont="1" applyFill="1"/>
    <xf numFmtId="0" fontId="69" fillId="6" borderId="0" xfId="59" applyFont="1" applyFill="1" applyAlignment="1">
      <alignment horizontal="right"/>
    </xf>
    <xf numFmtId="43" fontId="67" fillId="2" borderId="0" xfId="1" applyFont="1" applyFill="1" applyBorder="1"/>
    <xf numFmtId="0" fontId="67" fillId="2" borderId="0" xfId="59" applyFont="1" applyFill="1"/>
    <xf numFmtId="43" fontId="67" fillId="6" borderId="0" xfId="5" applyFont="1" applyFill="1" applyBorder="1"/>
    <xf numFmtId="0" fontId="70" fillId="6" borderId="0" xfId="59" applyFont="1" applyFill="1"/>
    <xf numFmtId="43" fontId="71" fillId="6" borderId="0" xfId="5" applyFont="1" applyFill="1" applyBorder="1"/>
    <xf numFmtId="43" fontId="72" fillId="6" borderId="0" xfId="5" applyFont="1" applyFill="1" applyBorder="1"/>
    <xf numFmtId="0" fontId="73" fillId="2" borderId="0" xfId="59" applyFont="1" applyFill="1"/>
    <xf numFmtId="0" fontId="74" fillId="2" borderId="0" xfId="59" applyFont="1" applyFill="1"/>
    <xf numFmtId="0" fontId="76" fillId="6" borderId="0" xfId="59" applyFont="1" applyFill="1" applyAlignment="1">
      <alignment horizontal="right" vertical="center"/>
    </xf>
    <xf numFmtId="0" fontId="75" fillId="6" borderId="0" xfId="59" applyFont="1" applyFill="1" applyAlignment="1">
      <alignment vertical="justify"/>
    </xf>
    <xf numFmtId="43" fontId="63" fillId="6" borderId="0" xfId="5" applyFont="1" applyFill="1" applyBorder="1"/>
    <xf numFmtId="43" fontId="63" fillId="6" borderId="0" xfId="5" applyFont="1" applyFill="1"/>
    <xf numFmtId="43" fontId="63" fillId="2" borderId="0" xfId="59" applyNumberFormat="1" applyFont="1" applyFill="1"/>
    <xf numFmtId="0" fontId="79" fillId="2" borderId="0" xfId="59" applyFont="1" applyFill="1"/>
    <xf numFmtId="169" fontId="62" fillId="2" borderId="0" xfId="59" applyNumberFormat="1" applyFont="1" applyFill="1" applyAlignment="1">
      <alignment horizontal="right"/>
    </xf>
    <xf numFmtId="171" fontId="62" fillId="6" borderId="0" xfId="59" applyNumberFormat="1" applyFont="1" applyFill="1" applyAlignment="1">
      <alignment horizontal="left"/>
    </xf>
    <xf numFmtId="169" fontId="80" fillId="2" borderId="0" xfId="59" applyNumberFormat="1" applyFont="1" applyFill="1" applyAlignment="1">
      <alignment horizontal="right"/>
    </xf>
    <xf numFmtId="171" fontId="62" fillId="6" borderId="0" xfId="59" applyNumberFormat="1" applyFont="1" applyFill="1" applyAlignment="1">
      <alignment horizontal="center"/>
    </xf>
    <xf numFmtId="0" fontId="69" fillId="2" borderId="0" xfId="59" applyFont="1" applyFill="1" applyAlignment="1">
      <alignment horizontal="right" vertical="center" wrapText="1"/>
    </xf>
    <xf numFmtId="0" fontId="69" fillId="2" borderId="0" xfId="59" applyFont="1" applyFill="1" applyAlignment="1">
      <alignment horizontal="center" vertical="center" wrapText="1"/>
    </xf>
    <xf numFmtId="43" fontId="69" fillId="2" borderId="0" xfId="59" applyNumberFormat="1" applyFont="1" applyFill="1" applyAlignment="1">
      <alignment horizontal="center" vertical="center" wrapText="1"/>
    </xf>
    <xf numFmtId="43" fontId="81" fillId="6" borderId="0" xfId="5" applyFont="1" applyFill="1"/>
    <xf numFmtId="43" fontId="67" fillId="2" borderId="0" xfId="59" applyNumberFormat="1" applyFont="1" applyFill="1"/>
    <xf numFmtId="43" fontId="82" fillId="2" borderId="0" xfId="1" applyFont="1" applyFill="1"/>
    <xf numFmtId="43" fontId="83" fillId="6" borderId="0" xfId="5" applyFont="1" applyFill="1"/>
    <xf numFmtId="43" fontId="84" fillId="6" borderId="0" xfId="59" applyNumberFormat="1" applyFont="1" applyFill="1"/>
    <xf numFmtId="43" fontId="67" fillId="6" borderId="0" xfId="5" applyFont="1" applyFill="1"/>
    <xf numFmtId="0" fontId="67" fillId="6" borderId="0" xfId="59" applyFont="1" applyFill="1"/>
    <xf numFmtId="43" fontId="71" fillId="6" borderId="0" xfId="5" applyFont="1" applyFill="1"/>
    <xf numFmtId="43" fontId="72" fillId="6" borderId="0" xfId="5" applyFont="1" applyFill="1"/>
    <xf numFmtId="0" fontId="76" fillId="6" borderId="0" xfId="59" applyFont="1" applyFill="1" applyAlignment="1">
      <alignment horizontal="right"/>
    </xf>
    <xf numFmtId="43" fontId="77" fillId="6" borderId="0" xfId="59" applyNumberFormat="1" applyFont="1" applyFill="1"/>
    <xf numFmtId="0" fontId="62" fillId="6" borderId="0" xfId="59" applyFont="1" applyFill="1" applyAlignment="1">
      <alignment horizontal="center" vertical="justify"/>
    </xf>
    <xf numFmtId="170" fontId="63" fillId="6" borderId="0" xfId="5" applyNumberFormat="1" applyFont="1" applyFill="1" applyAlignment="1">
      <alignment horizontal="center" vertical="center"/>
    </xf>
    <xf numFmtId="0" fontId="62" fillId="6" borderId="0" xfId="59" applyFont="1" applyFill="1" applyAlignment="1">
      <alignment horizontal="center"/>
    </xf>
    <xf numFmtId="14" fontId="63" fillId="2" borderId="0" xfId="59" applyNumberFormat="1" applyFont="1" applyFill="1"/>
    <xf numFmtId="0" fontId="13" fillId="0" borderId="0" xfId="60" applyAlignment="1">
      <alignment horizontal="center"/>
    </xf>
    <xf numFmtId="0" fontId="13" fillId="0" borderId="0" xfId="60"/>
    <xf numFmtId="0" fontId="88" fillId="8" borderId="28" xfId="60" applyFont="1" applyFill="1" applyBorder="1" applyAlignment="1">
      <alignment horizontal="center"/>
    </xf>
    <xf numFmtId="0" fontId="88" fillId="8" borderId="30" xfId="60" applyFont="1" applyFill="1" applyBorder="1" applyAlignment="1">
      <alignment horizontal="center"/>
    </xf>
    <xf numFmtId="0" fontId="88" fillId="8" borderId="29" xfId="60" applyFont="1" applyFill="1" applyBorder="1" applyAlignment="1">
      <alignment horizontal="center"/>
    </xf>
    <xf numFmtId="0" fontId="88" fillId="9" borderId="28" xfId="60" applyFont="1" applyFill="1" applyBorder="1" applyAlignment="1">
      <alignment horizontal="center"/>
    </xf>
    <xf numFmtId="0" fontId="88" fillId="9" borderId="30" xfId="60" applyFont="1" applyFill="1" applyBorder="1" applyAlignment="1">
      <alignment horizontal="center"/>
    </xf>
    <xf numFmtId="0" fontId="88" fillId="9" borderId="29" xfId="60" applyFont="1" applyFill="1" applyBorder="1" applyAlignment="1">
      <alignment horizontal="center"/>
    </xf>
    <xf numFmtId="3" fontId="89" fillId="7" borderId="21" xfId="61" applyNumberFormat="1" applyFill="1" applyBorder="1" applyAlignment="1">
      <alignment horizontal="center" vertical="center"/>
    </xf>
    <xf numFmtId="3" fontId="89" fillId="7" borderId="23" xfId="61" applyNumberFormat="1" applyFill="1" applyBorder="1" applyAlignment="1">
      <alignment horizontal="center" vertical="center"/>
    </xf>
    <xf numFmtId="3" fontId="89" fillId="7" borderId="22" xfId="61" applyNumberFormat="1" applyFill="1" applyBorder="1" applyAlignment="1">
      <alignment horizontal="center" vertical="center"/>
    </xf>
    <xf numFmtId="3" fontId="89" fillId="7" borderId="32" xfId="61" applyNumberFormat="1" applyFill="1" applyBorder="1" applyAlignment="1">
      <alignment horizontal="center" vertical="center"/>
    </xf>
    <xf numFmtId="2" fontId="13" fillId="0" borderId="33" xfId="60" applyNumberFormat="1" applyBorder="1" applyAlignment="1">
      <alignment horizontal="right" vertical="center" wrapText="1"/>
    </xf>
    <xf numFmtId="2" fontId="13" fillId="0" borderId="34" xfId="60" applyNumberFormat="1" applyBorder="1" applyAlignment="1">
      <alignment horizontal="right" vertical="center" wrapText="1"/>
    </xf>
    <xf numFmtId="2" fontId="13" fillId="0" borderId="19" xfId="60" applyNumberFormat="1" applyBorder="1" applyAlignment="1">
      <alignment horizontal="right" wrapText="1"/>
    </xf>
    <xf numFmtId="2" fontId="13" fillId="0" borderId="26" xfId="60" applyNumberFormat="1" applyBorder="1" applyAlignment="1">
      <alignment horizontal="right" wrapText="1"/>
    </xf>
    <xf numFmtId="2" fontId="13" fillId="0" borderId="20" xfId="60" applyNumberFormat="1" applyBorder="1" applyAlignment="1">
      <alignment horizontal="right" wrapText="1"/>
    </xf>
    <xf numFmtId="2" fontId="13" fillId="0" borderId="26" xfId="60" applyNumberFormat="1" applyBorder="1" applyAlignment="1">
      <alignment horizontal="center" wrapText="1"/>
    </xf>
    <xf numFmtId="4" fontId="13" fillId="10" borderId="26" xfId="60" applyNumberFormat="1" applyFill="1" applyBorder="1" applyAlignment="1">
      <alignment horizontal="right" wrapText="1"/>
    </xf>
    <xf numFmtId="0" fontId="13" fillId="0" borderId="26" xfId="60" applyBorder="1" applyAlignment="1">
      <alignment horizontal="right" wrapText="1"/>
    </xf>
    <xf numFmtId="4" fontId="13" fillId="10" borderId="20" xfId="60" applyNumberFormat="1" applyFill="1" applyBorder="1" applyAlignment="1">
      <alignment horizontal="right" wrapText="1"/>
    </xf>
    <xf numFmtId="0" fontId="13" fillId="0" borderId="19" xfId="60" applyBorder="1" applyAlignment="1">
      <alignment horizontal="right" wrapText="1"/>
    </xf>
    <xf numFmtId="0" fontId="13" fillId="0" borderId="20" xfId="60" applyBorder="1" applyAlignment="1">
      <alignment horizontal="center" wrapText="1"/>
    </xf>
    <xf numFmtId="4" fontId="13" fillId="10" borderId="27" xfId="60" applyNumberFormat="1" applyFill="1" applyBorder="1" applyAlignment="1">
      <alignment horizontal="center"/>
    </xf>
    <xf numFmtId="4" fontId="13" fillId="11" borderId="27" xfId="60" applyNumberFormat="1" applyFill="1" applyBorder="1" applyAlignment="1">
      <alignment horizontal="center" wrapText="1"/>
    </xf>
    <xf numFmtId="2" fontId="13" fillId="0" borderId="24" xfId="60" applyNumberFormat="1" applyBorder="1" applyAlignment="1">
      <alignment horizontal="right" vertical="center" wrapText="1"/>
    </xf>
    <xf numFmtId="2" fontId="13" fillId="0" borderId="25" xfId="60" applyNumberFormat="1" applyBorder="1" applyAlignment="1">
      <alignment horizontal="right" vertical="center" wrapText="1"/>
    </xf>
    <xf numFmtId="2" fontId="13" fillId="0" borderId="24" xfId="60" applyNumberFormat="1" applyBorder="1" applyAlignment="1">
      <alignment horizontal="right" wrapText="1"/>
    </xf>
    <xf numFmtId="2" fontId="13" fillId="0" borderId="35" xfId="60" applyNumberFormat="1" applyBorder="1" applyAlignment="1">
      <alignment horizontal="right" wrapText="1"/>
    </xf>
    <xf numFmtId="2" fontId="13" fillId="0" borderId="25" xfId="60" applyNumberFormat="1" applyBorder="1" applyAlignment="1">
      <alignment horizontal="right" wrapText="1"/>
    </xf>
    <xf numFmtId="2" fontId="13" fillId="0" borderId="35" xfId="60" applyNumberFormat="1" applyBorder="1" applyAlignment="1">
      <alignment horizontal="center" wrapText="1"/>
    </xf>
    <xf numFmtId="4" fontId="13" fillId="10" borderId="35" xfId="60" applyNumberFormat="1" applyFill="1" applyBorder="1" applyAlignment="1">
      <alignment horizontal="right" wrapText="1"/>
    </xf>
    <xf numFmtId="0" fontId="13" fillId="0" borderId="35" xfId="60" applyBorder="1" applyAlignment="1">
      <alignment horizontal="right" wrapText="1"/>
    </xf>
    <xf numFmtId="4" fontId="13" fillId="10" borderId="25" xfId="60" applyNumberFormat="1" applyFill="1" applyBorder="1" applyAlignment="1">
      <alignment horizontal="right" wrapText="1"/>
    </xf>
    <xf numFmtId="0" fontId="13" fillId="0" borderId="24" xfId="60" applyBorder="1" applyAlignment="1">
      <alignment horizontal="right" wrapText="1"/>
    </xf>
    <xf numFmtId="0" fontId="13" fillId="0" borderId="25" xfId="60" applyBorder="1" applyAlignment="1">
      <alignment horizontal="center" wrapText="1"/>
    </xf>
    <xf numFmtId="4" fontId="13" fillId="10" borderId="36" xfId="60" applyNumberFormat="1" applyFill="1" applyBorder="1" applyAlignment="1">
      <alignment horizontal="center"/>
    </xf>
    <xf numFmtId="4" fontId="13" fillId="11" borderId="36" xfId="60" applyNumberFormat="1" applyFill="1" applyBorder="1" applyAlignment="1">
      <alignment horizontal="center" wrapText="1"/>
    </xf>
    <xf numFmtId="4" fontId="13" fillId="0" borderId="24" xfId="60" applyNumberFormat="1" applyBorder="1" applyAlignment="1">
      <alignment horizontal="right" wrapText="1"/>
    </xf>
    <xf numFmtId="2" fontId="13" fillId="0" borderId="28" xfId="60" applyNumberFormat="1" applyBorder="1" applyAlignment="1">
      <alignment horizontal="right" vertical="center" wrapText="1"/>
    </xf>
    <xf numFmtId="2" fontId="13" fillId="0" borderId="29" xfId="60" applyNumberFormat="1" applyBorder="1" applyAlignment="1">
      <alignment vertical="center" wrapText="1"/>
    </xf>
    <xf numFmtId="2" fontId="13" fillId="0" borderId="28" xfId="60" applyNumberFormat="1" applyBorder="1" applyAlignment="1">
      <alignment horizontal="right" wrapText="1"/>
    </xf>
    <xf numFmtId="2" fontId="13" fillId="0" borderId="30" xfId="60" applyNumberFormat="1" applyBorder="1" applyAlignment="1">
      <alignment horizontal="right" wrapText="1"/>
    </xf>
    <xf numFmtId="2" fontId="13" fillId="0" borderId="29" xfId="60" applyNumberFormat="1" applyBorder="1" applyAlignment="1">
      <alignment horizontal="right" wrapText="1"/>
    </xf>
    <xf numFmtId="2" fontId="13" fillId="0" borderId="30" xfId="60" applyNumberFormat="1" applyBorder="1" applyAlignment="1">
      <alignment horizontal="center" wrapText="1"/>
    </xf>
    <xf numFmtId="4" fontId="13" fillId="10" borderId="30" xfId="60" applyNumberFormat="1" applyFill="1" applyBorder="1" applyAlignment="1">
      <alignment horizontal="right" wrapText="1"/>
    </xf>
    <xf numFmtId="0" fontId="13" fillId="0" borderId="30" xfId="60" applyBorder="1" applyAlignment="1">
      <alignment horizontal="right" wrapText="1"/>
    </xf>
    <xf numFmtId="4" fontId="13" fillId="10" borderId="29" xfId="60" applyNumberFormat="1" applyFill="1" applyBorder="1" applyAlignment="1">
      <alignment horizontal="right" wrapText="1"/>
    </xf>
    <xf numFmtId="4" fontId="13" fillId="0" borderId="28" xfId="60" applyNumberFormat="1" applyBorder="1" applyAlignment="1">
      <alignment horizontal="right" wrapText="1"/>
    </xf>
    <xf numFmtId="0" fontId="13" fillId="0" borderId="29" xfId="60" applyBorder="1" applyAlignment="1">
      <alignment horizontal="center" wrapText="1"/>
    </xf>
    <xf numFmtId="4" fontId="13" fillId="10" borderId="31" xfId="60" applyNumberFormat="1" applyFill="1" applyBorder="1" applyAlignment="1">
      <alignment horizontal="center"/>
    </xf>
    <xf numFmtId="4" fontId="13" fillId="11" borderId="31" xfId="60" applyNumberFormat="1" applyFill="1" applyBorder="1" applyAlignment="1">
      <alignment horizontal="center" wrapText="1"/>
    </xf>
    <xf numFmtId="43" fontId="19" fillId="2" borderId="3" xfId="2" applyFont="1" applyFill="1" applyBorder="1" applyAlignment="1" applyProtection="1"/>
    <xf numFmtId="43" fontId="29" fillId="2" borderId="3" xfId="2" applyFont="1" applyFill="1" applyBorder="1" applyAlignment="1" applyProtection="1">
      <alignment vertical="center"/>
    </xf>
    <xf numFmtId="43" fontId="19" fillId="2" borderId="3" xfId="2" applyFont="1" applyFill="1" applyBorder="1" applyAlignment="1" applyProtection="1">
      <alignment vertical="center"/>
    </xf>
    <xf numFmtId="43" fontId="29" fillId="2" borderId="3" xfId="2" applyFont="1" applyFill="1" applyBorder="1" applyAlignment="1" applyProtection="1"/>
    <xf numFmtId="43" fontId="19" fillId="2" borderId="3" xfId="2" applyFont="1" applyFill="1" applyBorder="1" applyProtection="1"/>
    <xf numFmtId="0" fontId="21" fillId="0" borderId="0" xfId="30" applyFont="1" applyAlignment="1">
      <alignment horizontal="center"/>
    </xf>
    <xf numFmtId="0" fontId="25" fillId="0" borderId="0" xfId="30" applyFont="1" applyAlignment="1">
      <alignment horizontal="center"/>
    </xf>
    <xf numFmtId="43" fontId="31" fillId="0" borderId="0" xfId="2" applyFont="1" applyFill="1" applyBorder="1" applyAlignment="1" applyProtection="1">
      <alignment horizontal="center"/>
    </xf>
    <xf numFmtId="43" fontId="35" fillId="0" borderId="0" xfId="2" applyFont="1" applyFill="1" applyBorder="1" applyAlignment="1" applyProtection="1">
      <alignment horizontal="center"/>
    </xf>
    <xf numFmtId="43" fontId="34" fillId="0" borderId="0" xfId="2" applyFont="1" applyFill="1" applyBorder="1" applyAlignment="1" applyProtection="1">
      <alignment horizontal="center"/>
    </xf>
    <xf numFmtId="43" fontId="35" fillId="0" borderId="0" xfId="30" applyNumberFormat="1" applyFont="1" applyAlignment="1">
      <alignment horizontal="center"/>
    </xf>
    <xf numFmtId="0" fontId="35" fillId="0" borderId="0" xfId="30" applyFont="1" applyAlignment="1">
      <alignment horizontal="center"/>
    </xf>
    <xf numFmtId="43" fontId="21" fillId="0" borderId="0" xfId="2" applyFont="1" applyFill="1" applyAlignment="1" applyProtection="1">
      <alignment horizontal="center"/>
    </xf>
    <xf numFmtId="3" fontId="89" fillId="3" borderId="22" xfId="61" applyNumberFormat="1" applyFill="1" applyBorder="1" applyAlignment="1">
      <alignment horizontal="center" vertical="center"/>
    </xf>
    <xf numFmtId="3" fontId="89" fillId="3" borderId="21" xfId="61" applyNumberFormat="1" applyFill="1" applyBorder="1" applyAlignment="1">
      <alignment horizontal="center" vertical="center"/>
    </xf>
    <xf numFmtId="0" fontId="12" fillId="2" borderId="0" xfId="28" applyFont="1" applyFill="1"/>
    <xf numFmtId="43" fontId="15" fillId="0" borderId="11" xfId="1" applyFont="1" applyFill="1" applyBorder="1" applyAlignment="1">
      <alignment horizontal="center"/>
    </xf>
    <xf numFmtId="43" fontId="15" fillId="0" borderId="12" xfId="1" applyFont="1" applyFill="1" applyBorder="1" applyAlignment="1">
      <alignment horizontal="center"/>
    </xf>
    <xf numFmtId="166" fontId="45" fillId="2" borderId="12" xfId="43" applyFont="1" applyFill="1" applyBorder="1" applyAlignment="1"/>
    <xf numFmtId="43" fontId="32" fillId="2" borderId="3" xfId="2" applyFont="1" applyFill="1" applyBorder="1" applyAlignment="1" applyProtection="1">
      <alignment horizontal="center"/>
    </xf>
    <xf numFmtId="43" fontId="29" fillId="3" borderId="3" xfId="2" applyFont="1" applyFill="1" applyBorder="1" applyAlignment="1" applyProtection="1">
      <alignment horizontal="center" vertical="center"/>
    </xf>
    <xf numFmtId="0" fontId="32" fillId="2" borderId="3" xfId="30" applyFont="1" applyFill="1" applyBorder="1" applyAlignment="1">
      <alignment horizontal="center" vertical="center"/>
    </xf>
    <xf numFmtId="0" fontId="19" fillId="0" borderId="3" xfId="30" quotePrefix="1" applyFont="1" applyBorder="1" applyAlignment="1">
      <alignment horizontal="center" vertical="center"/>
    </xf>
    <xf numFmtId="0" fontId="32" fillId="0" borderId="3" xfId="30" applyFont="1" applyBorder="1" applyAlignment="1">
      <alignment horizontal="center" vertical="center"/>
    </xf>
    <xf numFmtId="43" fontId="19" fillId="0" borderId="3" xfId="2" applyFont="1" applyFill="1" applyBorder="1" applyAlignment="1" applyProtection="1"/>
    <xf numFmtId="43" fontId="29" fillId="0" borderId="3" xfId="2" applyFont="1" applyFill="1" applyBorder="1" applyAlignment="1" applyProtection="1">
      <alignment vertical="center"/>
    </xf>
    <xf numFmtId="43" fontId="19" fillId="0" borderId="3" xfId="2" applyFont="1" applyFill="1" applyBorder="1" applyAlignment="1" applyProtection="1">
      <alignment vertical="center"/>
    </xf>
    <xf numFmtId="0" fontId="19" fillId="0" borderId="3" xfId="30" applyFont="1" applyBorder="1" applyAlignment="1">
      <alignment horizontal="center" vertical="center"/>
    </xf>
    <xf numFmtId="43" fontId="32" fillId="0" borderId="3" xfId="2" applyFont="1" applyFill="1" applyBorder="1" applyAlignment="1" applyProtection="1"/>
    <xf numFmtId="43" fontId="32" fillId="0" borderId="3" xfId="2" applyFont="1" applyFill="1" applyBorder="1" applyAlignment="1" applyProtection="1">
      <alignment horizontal="center"/>
    </xf>
    <xf numFmtId="43" fontId="29" fillId="0" borderId="3" xfId="2" applyFont="1" applyFill="1" applyBorder="1" applyProtection="1"/>
    <xf numFmtId="43" fontId="20" fillId="0" borderId="0" xfId="30" applyNumberFormat="1" applyFont="1" applyAlignment="1">
      <alignment vertical="center"/>
    </xf>
    <xf numFmtId="43" fontId="23" fillId="0" borderId="3" xfId="1" applyFont="1" applyFill="1" applyBorder="1" applyAlignment="1">
      <alignment vertical="center"/>
    </xf>
    <xf numFmtId="0" fontId="21" fillId="0" borderId="0" xfId="30" applyFont="1" applyAlignment="1">
      <alignment vertical="center"/>
    </xf>
    <xf numFmtId="164" fontId="19" fillId="2" borderId="3" xfId="2" applyNumberFormat="1" applyFont="1" applyFill="1" applyBorder="1" applyAlignment="1" applyProtection="1"/>
    <xf numFmtId="43" fontId="29" fillId="3" borderId="1" xfId="2" applyFont="1" applyFill="1" applyBorder="1" applyAlignment="1" applyProtection="1">
      <alignment horizontal="center" vertical="center"/>
    </xf>
    <xf numFmtId="43" fontId="29" fillId="3" borderId="8" xfId="2" applyFont="1" applyFill="1" applyBorder="1" applyAlignment="1" applyProtection="1">
      <alignment horizontal="center" vertical="center"/>
    </xf>
    <xf numFmtId="43" fontId="29" fillId="3" borderId="2" xfId="2" applyFont="1" applyFill="1" applyBorder="1" applyAlignment="1" applyProtection="1">
      <alignment horizontal="center" vertical="center"/>
    </xf>
    <xf numFmtId="43" fontId="29" fillId="3" borderId="3" xfId="2" applyFont="1" applyFill="1" applyBorder="1" applyAlignment="1" applyProtection="1">
      <alignment horizontal="center" vertical="center" wrapText="1"/>
    </xf>
    <xf numFmtId="43" fontId="29" fillId="3" borderId="4" xfId="2" applyFont="1" applyFill="1" applyBorder="1" applyAlignment="1" applyProtection="1">
      <alignment horizontal="center" vertical="center" wrapText="1"/>
    </xf>
    <xf numFmtId="43" fontId="29" fillId="12" borderId="3" xfId="2" applyFont="1" applyFill="1" applyBorder="1" applyAlignment="1" applyProtection="1">
      <alignment horizontal="center" vertical="center" wrapText="1"/>
    </xf>
    <xf numFmtId="43" fontId="29" fillId="3" borderId="6" xfId="2" applyFont="1" applyFill="1" applyBorder="1" applyAlignment="1" applyProtection="1">
      <alignment horizontal="center" vertical="center" wrapText="1"/>
    </xf>
    <xf numFmtId="43" fontId="29" fillId="4" borderId="3" xfId="2" applyFont="1" applyFill="1" applyBorder="1" applyAlignment="1" applyProtection="1">
      <alignment horizontal="center" vertical="center" wrapText="1"/>
    </xf>
    <xf numFmtId="43" fontId="19" fillId="0" borderId="3" xfId="2" applyFont="1" applyFill="1" applyBorder="1" applyProtection="1"/>
    <xf numFmtId="43" fontId="93" fillId="0" borderId="0" xfId="1" applyFont="1" applyFill="1" applyBorder="1" applyAlignment="1">
      <alignment vertical="center"/>
    </xf>
    <xf numFmtId="0" fontId="23" fillId="2" borderId="0" xfId="30" applyFont="1" applyFill="1"/>
    <xf numFmtId="43" fontId="23" fillId="2" borderId="0" xfId="94" applyFont="1" applyFill="1" applyBorder="1" applyAlignment="1"/>
    <xf numFmtId="0" fontId="23" fillId="2" borderId="0" xfId="30" applyFont="1" applyFill="1" applyAlignment="1">
      <alignment vertical="center"/>
    </xf>
    <xf numFmtId="0" fontId="23" fillId="2" borderId="0" xfId="30" applyFont="1" applyFill="1" applyAlignment="1">
      <alignment horizontal="center" vertical="center"/>
    </xf>
    <xf numFmtId="43" fontId="94" fillId="2" borderId="0" xfId="94" applyFont="1" applyFill="1" applyBorder="1" applyAlignment="1">
      <alignment vertical="center" wrapText="1"/>
    </xf>
    <xf numFmtId="43" fontId="94" fillId="2" borderId="0" xfId="94" applyFont="1" applyFill="1" applyBorder="1" applyAlignment="1">
      <alignment horizontal="center" vertical="center"/>
    </xf>
    <xf numFmtId="0" fontId="94" fillId="2" borderId="0" xfId="30" applyFont="1" applyFill="1" applyAlignment="1">
      <alignment horizontal="center" vertical="center"/>
    </xf>
    <xf numFmtId="0" fontId="95" fillId="0" borderId="3" xfId="53" applyFont="1" applyBorder="1" applyAlignment="1">
      <alignment horizontal="center" vertical="center"/>
    </xf>
    <xf numFmtId="0" fontId="96" fillId="0" borderId="3" xfId="0" applyFont="1" applyBorder="1" applyAlignment="1">
      <alignment horizontal="center"/>
    </xf>
    <xf numFmtId="0" fontId="96" fillId="0" borderId="3" xfId="0" applyFont="1" applyBorder="1"/>
    <xf numFmtId="164" fontId="96" fillId="2" borderId="3" xfId="0" applyNumberFormat="1" applyFont="1" applyFill="1" applyBorder="1"/>
    <xf numFmtId="43" fontId="96" fillId="0" borderId="3" xfId="0" applyNumberFormat="1" applyFont="1" applyBorder="1"/>
    <xf numFmtId="164" fontId="96" fillId="0" borderId="3" xfId="0" applyNumberFormat="1" applyFont="1" applyBorder="1" applyAlignment="1">
      <alignment horizontal="center"/>
    </xf>
    <xf numFmtId="164" fontId="96" fillId="2" borderId="3" xfId="0" applyNumberFormat="1" applyFont="1" applyFill="1" applyBorder="1" applyAlignment="1">
      <alignment horizontal="center"/>
    </xf>
    <xf numFmtId="0" fontId="97" fillId="0" borderId="3" xfId="53" applyFont="1" applyBorder="1" applyAlignment="1">
      <alignment horizontal="left" vertical="center"/>
    </xf>
    <xf numFmtId="43" fontId="29" fillId="2" borderId="3" xfId="3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3" fontId="96" fillId="0" borderId="3" xfId="0" applyNumberFormat="1" applyFont="1" applyBorder="1" applyAlignment="1">
      <alignment horizontal="center"/>
    </xf>
    <xf numFmtId="43" fontId="94" fillId="2" borderId="3" xfId="2" applyFont="1" applyFill="1" applyBorder="1" applyAlignment="1" applyProtection="1">
      <alignment horizontal="center"/>
    </xf>
    <xf numFmtId="43" fontId="99" fillId="2" borderId="3" xfId="2" applyFont="1" applyFill="1" applyBorder="1" applyAlignment="1" applyProtection="1">
      <alignment horizontal="center"/>
    </xf>
    <xf numFmtId="43" fontId="35" fillId="3" borderId="7" xfId="2" applyFont="1" applyFill="1" applyBorder="1" applyAlignment="1" applyProtection="1"/>
    <xf numFmtId="0" fontId="100" fillId="14" borderId="3" xfId="130" applyFont="1" applyFill="1" applyBorder="1" applyAlignment="1">
      <alignment horizontal="center" vertical="center" wrapText="1"/>
    </xf>
    <xf numFmtId="0" fontId="100" fillId="14" borderId="3" xfId="130" applyFont="1" applyFill="1" applyBorder="1" applyAlignment="1">
      <alignment horizontal="center" vertical="center"/>
    </xf>
    <xf numFmtId="0" fontId="100" fillId="14" borderId="3" xfId="131" applyFont="1" applyFill="1" applyBorder="1" applyAlignment="1">
      <alignment horizontal="center" vertical="center" wrapText="1"/>
    </xf>
    <xf numFmtId="0" fontId="101" fillId="14" borderId="3" xfId="131" applyFont="1" applyFill="1" applyBorder="1" applyAlignment="1">
      <alignment horizontal="center" vertical="center" wrapText="1"/>
    </xf>
    <xf numFmtId="173" fontId="101" fillId="14" borderId="4" xfId="131" applyNumberFormat="1" applyFont="1" applyFill="1" applyBorder="1" applyAlignment="1">
      <alignment horizontal="center" vertical="center" wrapText="1"/>
    </xf>
    <xf numFmtId="0" fontId="101" fillId="14" borderId="4" xfId="131" applyFont="1" applyFill="1" applyBorder="1" applyAlignment="1">
      <alignment horizontal="center" vertical="center" wrapText="1"/>
    </xf>
    <xf numFmtId="1" fontId="101" fillId="14" borderId="4" xfId="131" applyNumberFormat="1" applyFont="1" applyFill="1" applyBorder="1" applyAlignment="1">
      <alignment horizontal="center" vertical="center" wrapText="1"/>
    </xf>
    <xf numFmtId="0" fontId="101" fillId="14" borderId="1" xfId="131" applyFont="1" applyFill="1" applyBorder="1" applyAlignment="1">
      <alignment horizontal="center" vertical="center" wrapText="1"/>
    </xf>
    <xf numFmtId="0" fontId="102" fillId="0" borderId="3" xfId="131" applyFont="1" applyBorder="1" applyAlignment="1">
      <alignment vertical="center"/>
    </xf>
    <xf numFmtId="0" fontId="102" fillId="0" borderId="0" xfId="132" applyFont="1"/>
    <xf numFmtId="0" fontId="102" fillId="2" borderId="3" xfId="131" applyFont="1" applyFill="1" applyBorder="1" applyAlignment="1">
      <alignment horizontal="center" vertical="center"/>
    </xf>
    <xf numFmtId="0" fontId="102" fillId="2" borderId="3" xfId="131" applyFont="1" applyFill="1" applyBorder="1" applyAlignment="1">
      <alignment horizontal="center"/>
    </xf>
    <xf numFmtId="0" fontId="102" fillId="0" borderId="3" xfId="131" applyFont="1" applyBorder="1" applyAlignment="1">
      <alignment horizontal="center" vertical="center" wrapText="1"/>
    </xf>
    <xf numFmtId="0" fontId="103" fillId="2" borderId="3" xfId="131" applyFont="1" applyFill="1" applyBorder="1" applyAlignment="1">
      <alignment horizontal="center"/>
    </xf>
    <xf numFmtId="14" fontId="103" fillId="0" borderId="3" xfId="131" applyNumberFormat="1" applyFont="1" applyBorder="1" applyAlignment="1">
      <alignment horizontal="center" vertical="center"/>
    </xf>
    <xf numFmtId="173" fontId="103" fillId="0" borderId="3" xfId="131" applyNumberFormat="1" applyFont="1" applyBorder="1" applyAlignment="1">
      <alignment horizontal="center" vertical="center"/>
    </xf>
    <xf numFmtId="21" fontId="103" fillId="0" borderId="3" xfId="131" applyNumberFormat="1" applyFont="1" applyBorder="1" applyAlignment="1">
      <alignment horizontal="center" vertical="center"/>
    </xf>
    <xf numFmtId="0" fontId="103" fillId="0" borderId="3" xfId="131" applyFont="1" applyBorder="1" applyAlignment="1">
      <alignment horizontal="center" vertical="center"/>
    </xf>
    <xf numFmtId="0" fontId="101" fillId="0" borderId="3" xfId="131" applyFont="1" applyBorder="1" applyAlignment="1">
      <alignment horizontal="center" vertical="center"/>
    </xf>
    <xf numFmtId="0" fontId="101" fillId="0" borderId="4" xfId="131" applyFont="1" applyBorder="1" applyAlignment="1">
      <alignment horizontal="center" vertical="center" wrapText="1"/>
    </xf>
    <xf numFmtId="0" fontId="101" fillId="0" borderId="3" xfId="131" applyFont="1" applyBorder="1" applyAlignment="1">
      <alignment horizontal="center" vertical="center" wrapText="1"/>
    </xf>
    <xf numFmtId="0" fontId="103" fillId="0" borderId="3" xfId="131" applyFont="1" applyBorder="1" applyAlignment="1">
      <alignment horizontal="center" vertical="center" wrapText="1"/>
    </xf>
    <xf numFmtId="0" fontId="103" fillId="0" borderId="1" xfId="131" applyFont="1" applyBorder="1" applyAlignment="1">
      <alignment horizontal="center" vertical="center" wrapText="1"/>
    </xf>
    <xf numFmtId="0" fontId="103" fillId="0" borderId="1" xfId="131" applyFont="1" applyBorder="1" applyAlignment="1">
      <alignment horizontal="center" vertical="center"/>
    </xf>
    <xf numFmtId="0" fontId="102" fillId="2" borderId="3" xfId="131" applyFont="1" applyFill="1" applyBorder="1" applyAlignment="1">
      <alignment vertical="center"/>
    </xf>
    <xf numFmtId="173" fontId="102" fillId="16" borderId="35" xfId="131" applyNumberFormat="1" applyFont="1" applyFill="1" applyBorder="1" applyAlignment="1">
      <alignment horizontal="center" vertical="center"/>
    </xf>
    <xf numFmtId="0" fontId="104" fillId="0" borderId="3" xfId="131" applyFont="1" applyBorder="1" applyAlignment="1">
      <alignment horizontal="center" vertical="center"/>
    </xf>
    <xf numFmtId="0" fontId="105" fillId="0" borderId="3" xfId="131" applyFont="1" applyBorder="1" applyAlignment="1">
      <alignment horizontal="center" vertical="center"/>
    </xf>
    <xf numFmtId="0" fontId="105" fillId="0" borderId="4" xfId="131" applyFont="1" applyBorder="1" applyAlignment="1">
      <alignment horizontal="center" vertical="center" wrapText="1"/>
    </xf>
    <xf numFmtId="0" fontId="105" fillId="0" borderId="3" xfId="131" applyFont="1" applyBorder="1" applyAlignment="1">
      <alignment horizontal="center" vertical="center" wrapText="1"/>
    </xf>
    <xf numFmtId="0" fontId="104" fillId="0" borderId="3" xfId="131" applyFont="1" applyBorder="1" applyAlignment="1">
      <alignment horizontal="center" vertical="center" wrapText="1"/>
    </xf>
    <xf numFmtId="0" fontId="104" fillId="0" borderId="1" xfId="131" applyFont="1" applyBorder="1" applyAlignment="1">
      <alignment horizontal="center" vertical="center" wrapText="1"/>
    </xf>
    <xf numFmtId="0" fontId="104" fillId="0" borderId="1" xfId="131" applyFont="1" applyBorder="1" applyAlignment="1">
      <alignment horizontal="center" vertical="center"/>
    </xf>
    <xf numFmtId="0" fontId="103" fillId="0" borderId="6" xfId="131" applyFont="1" applyBorder="1" applyAlignment="1">
      <alignment horizontal="center" vertical="center"/>
    </xf>
    <xf numFmtId="0" fontId="104" fillId="0" borderId="6" xfId="131" applyFont="1" applyBorder="1" applyAlignment="1">
      <alignment horizontal="center" vertical="center"/>
    </xf>
    <xf numFmtId="0" fontId="105" fillId="0" borderId="6" xfId="131" applyFont="1" applyBorder="1" applyAlignment="1">
      <alignment horizontal="center" vertical="center"/>
    </xf>
    <xf numFmtId="0" fontId="103" fillId="0" borderId="4" xfId="131" applyFont="1" applyBorder="1" applyAlignment="1">
      <alignment horizontal="center" vertical="center"/>
    </xf>
    <xf numFmtId="0" fontId="103" fillId="0" borderId="2" xfId="131" applyFont="1" applyBorder="1" applyAlignment="1">
      <alignment horizontal="center" vertical="center"/>
    </xf>
    <xf numFmtId="173" fontId="103" fillId="0" borderId="4" xfId="131" applyNumberFormat="1" applyFont="1" applyBorder="1" applyAlignment="1">
      <alignment horizontal="center" vertical="center"/>
    </xf>
    <xf numFmtId="0" fontId="101" fillId="0" borderId="4" xfId="131" applyFont="1" applyBorder="1" applyAlignment="1">
      <alignment horizontal="center" vertical="center"/>
    </xf>
    <xf numFmtId="0" fontId="103" fillId="0" borderId="3" xfId="130" applyFont="1" applyBorder="1" applyAlignment="1">
      <alignment horizontal="center" vertical="center"/>
    </xf>
    <xf numFmtId="173" fontId="103" fillId="0" borderId="6" xfId="131" applyNumberFormat="1" applyFont="1" applyBorder="1" applyAlignment="1">
      <alignment horizontal="center" vertical="center"/>
    </xf>
    <xf numFmtId="21" fontId="103" fillId="0" borderId="6" xfId="131" applyNumberFormat="1" applyFont="1" applyBorder="1" applyAlignment="1">
      <alignment horizontal="center" vertical="center"/>
    </xf>
    <xf numFmtId="0" fontId="101" fillId="0" borderId="6" xfId="131" applyFont="1" applyBorder="1" applyAlignment="1">
      <alignment horizontal="center" vertical="center"/>
    </xf>
    <xf numFmtId="0" fontId="103" fillId="0" borderId="6" xfId="130" applyFont="1" applyBorder="1" applyAlignment="1">
      <alignment horizontal="center" vertical="center"/>
    </xf>
    <xf numFmtId="0" fontId="102" fillId="0" borderId="3" xfId="130" applyFont="1" applyBorder="1" applyAlignment="1">
      <alignment horizontal="center" vertical="center"/>
    </xf>
    <xf numFmtId="164" fontId="105" fillId="13" borderId="3" xfId="134" applyFont="1" applyFill="1" applyBorder="1" applyAlignment="1">
      <alignment horizontal="center" vertical="center"/>
    </xf>
    <xf numFmtId="164" fontId="101" fillId="13" borderId="3" xfId="134" applyFont="1" applyFill="1" applyBorder="1" applyAlignment="1">
      <alignment horizontal="center" vertical="center"/>
    </xf>
    <xf numFmtId="173" fontId="101" fillId="2" borderId="3" xfId="134" applyNumberFormat="1" applyFont="1" applyFill="1" applyBorder="1" applyAlignment="1">
      <alignment horizontal="center" vertical="center"/>
    </xf>
    <xf numFmtId="173" fontId="101" fillId="13" borderId="3" xfId="134" applyNumberFormat="1" applyFont="1" applyFill="1" applyBorder="1" applyAlignment="1">
      <alignment horizontal="center" vertical="center"/>
    </xf>
    <xf numFmtId="14" fontId="102" fillId="0" borderId="3" xfId="131" applyNumberFormat="1" applyFont="1" applyBorder="1" applyAlignment="1">
      <alignment horizontal="center" vertical="center"/>
    </xf>
    <xf numFmtId="0" fontId="103" fillId="2" borderId="3" xfId="131" applyFont="1" applyFill="1" applyBorder="1" applyAlignment="1">
      <alignment horizontal="center" vertical="center"/>
    </xf>
    <xf numFmtId="0" fontId="102" fillId="0" borderId="3" xfId="131" applyFont="1" applyBorder="1" applyAlignment="1">
      <alignment horizontal="center" vertical="center"/>
    </xf>
    <xf numFmtId="0" fontId="100" fillId="14" borderId="3" xfId="132" applyFont="1" applyFill="1" applyBorder="1" applyAlignment="1">
      <alignment horizontal="center" vertical="center" wrapText="1"/>
    </xf>
    <xf numFmtId="0" fontId="101" fillId="14" borderId="3" xfId="132" applyFont="1" applyFill="1" applyBorder="1" applyAlignment="1">
      <alignment horizontal="center" vertical="center" wrapText="1"/>
    </xf>
    <xf numFmtId="173" fontId="101" fillId="14" borderId="4" xfId="132" applyNumberFormat="1" applyFont="1" applyFill="1" applyBorder="1" applyAlignment="1">
      <alignment horizontal="center" vertical="center" wrapText="1"/>
    </xf>
    <xf numFmtId="0" fontId="101" fillId="14" borderId="4" xfId="132" applyFont="1" applyFill="1" applyBorder="1" applyAlignment="1">
      <alignment horizontal="center" vertical="center" wrapText="1"/>
    </xf>
    <xf numFmtId="1" fontId="101" fillId="14" borderId="4" xfId="132" applyNumberFormat="1" applyFont="1" applyFill="1" applyBorder="1" applyAlignment="1">
      <alignment horizontal="center" vertical="center" wrapText="1"/>
    </xf>
    <xf numFmtId="0" fontId="101" fillId="14" borderId="1" xfId="132" applyFont="1" applyFill="1" applyBorder="1" applyAlignment="1">
      <alignment horizontal="center" vertical="center" wrapText="1"/>
    </xf>
    <xf numFmtId="0" fontId="102" fillId="0" borderId="3" xfId="132" applyFont="1" applyBorder="1" applyAlignment="1">
      <alignment vertical="center"/>
    </xf>
    <xf numFmtId="0" fontId="102" fillId="0" borderId="0" xfId="132" applyFont="1" applyAlignment="1">
      <alignment horizontal="center" vertical="center"/>
    </xf>
    <xf numFmtId="0" fontId="102" fillId="0" borderId="4" xfId="132" applyFont="1" applyBorder="1" applyAlignment="1">
      <alignment horizontal="center" vertical="center"/>
    </xf>
    <xf numFmtId="0" fontId="102" fillId="2" borderId="3" xfId="132" applyFont="1" applyFill="1" applyBorder="1" applyAlignment="1">
      <alignment horizontal="center" vertical="center"/>
    </xf>
    <xf numFmtId="0" fontId="103" fillId="2" borderId="3" xfId="132" applyFont="1" applyFill="1" applyBorder="1" applyAlignment="1">
      <alignment horizontal="center" vertical="center"/>
    </xf>
    <xf numFmtId="0" fontId="102" fillId="0" borderId="3" xfId="132" applyFont="1" applyBorder="1" applyAlignment="1">
      <alignment horizontal="center" vertical="center" wrapText="1"/>
    </xf>
    <xf numFmtId="0" fontId="103" fillId="2" borderId="3" xfId="132" applyFont="1" applyFill="1" applyBorder="1" applyAlignment="1">
      <alignment horizontal="center"/>
    </xf>
    <xf numFmtId="14" fontId="103" fillId="0" borderId="3" xfId="132" applyNumberFormat="1" applyFont="1" applyBorder="1" applyAlignment="1">
      <alignment horizontal="center" vertical="center"/>
    </xf>
    <xf numFmtId="21" fontId="103" fillId="0" borderId="3" xfId="132" applyNumberFormat="1" applyFont="1" applyBorder="1" applyAlignment="1">
      <alignment horizontal="center" vertical="center"/>
    </xf>
    <xf numFmtId="0" fontId="103" fillId="0" borderId="3" xfId="132" applyFont="1" applyBorder="1" applyAlignment="1">
      <alignment horizontal="center" vertical="center"/>
    </xf>
    <xf numFmtId="0" fontId="101" fillId="0" borderId="3" xfId="132" applyFont="1" applyBorder="1" applyAlignment="1">
      <alignment horizontal="center" vertical="center"/>
    </xf>
    <xf numFmtId="0" fontId="101" fillId="0" borderId="4" xfId="132" applyFont="1" applyBorder="1" applyAlignment="1">
      <alignment horizontal="center" vertical="center" wrapText="1"/>
    </xf>
    <xf numFmtId="0" fontId="101" fillId="0" borderId="3" xfId="132" applyFont="1" applyBorder="1" applyAlignment="1">
      <alignment horizontal="center" vertical="center" wrapText="1"/>
    </xf>
    <xf numFmtId="0" fontId="103" fillId="0" borderId="3" xfId="132" applyFont="1" applyBorder="1" applyAlignment="1">
      <alignment horizontal="center" vertical="center" wrapText="1"/>
    </xf>
    <xf numFmtId="0" fontId="103" fillId="0" borderId="1" xfId="132" applyFont="1" applyBorder="1" applyAlignment="1">
      <alignment horizontal="center" vertical="center" wrapText="1"/>
    </xf>
    <xf numFmtId="0" fontId="103" fillId="0" borderId="1" xfId="132" applyFont="1" applyBorder="1" applyAlignment="1">
      <alignment horizontal="center" vertical="center"/>
    </xf>
    <xf numFmtId="0" fontId="102" fillId="0" borderId="38" xfId="132" applyFont="1" applyBorder="1" applyAlignment="1">
      <alignment horizontal="center" vertical="center"/>
    </xf>
    <xf numFmtId="0" fontId="105" fillId="0" borderId="3" xfId="132" applyFont="1" applyBorder="1" applyAlignment="1">
      <alignment horizontal="center" vertical="center"/>
    </xf>
    <xf numFmtId="0" fontId="104" fillId="0" borderId="3" xfId="132" applyFont="1" applyBorder="1" applyAlignment="1">
      <alignment horizontal="center" vertical="center"/>
    </xf>
    <xf numFmtId="0" fontId="105" fillId="0" borderId="4" xfId="132" applyFont="1" applyBorder="1" applyAlignment="1">
      <alignment horizontal="center" vertical="center" wrapText="1"/>
    </xf>
    <xf numFmtId="0" fontId="105" fillId="0" borderId="3" xfId="132" applyFont="1" applyBorder="1" applyAlignment="1">
      <alignment horizontal="center" vertical="center" wrapText="1"/>
    </xf>
    <xf numFmtId="0" fontId="104" fillId="0" borderId="3" xfId="132" applyFont="1" applyBorder="1" applyAlignment="1">
      <alignment horizontal="center" vertical="center" wrapText="1"/>
    </xf>
    <xf numFmtId="0" fontId="104" fillId="0" borderId="1" xfId="132" applyFont="1" applyBorder="1" applyAlignment="1">
      <alignment horizontal="center" vertical="center" wrapText="1"/>
    </xf>
    <xf numFmtId="0" fontId="104" fillId="0" borderId="1" xfId="132" applyFont="1" applyBorder="1" applyAlignment="1">
      <alignment horizontal="center" vertical="center"/>
    </xf>
    <xf numFmtId="0" fontId="103" fillId="0" borderId="6" xfId="132" applyFont="1" applyBorder="1" applyAlignment="1">
      <alignment horizontal="center" vertical="center"/>
    </xf>
    <xf numFmtId="0" fontId="105" fillId="0" borderId="6" xfId="132" applyFont="1" applyBorder="1" applyAlignment="1">
      <alignment horizontal="center" vertical="center"/>
    </xf>
    <xf numFmtId="0" fontId="104" fillId="0" borderId="6" xfId="132" applyFont="1" applyBorder="1" applyAlignment="1">
      <alignment horizontal="center" vertical="center"/>
    </xf>
    <xf numFmtId="0" fontId="103" fillId="0" borderId="4" xfId="132" applyFont="1" applyBorder="1" applyAlignment="1">
      <alignment horizontal="center" vertical="center"/>
    </xf>
    <xf numFmtId="0" fontId="103" fillId="0" borderId="2" xfId="132" applyFont="1" applyBorder="1" applyAlignment="1">
      <alignment horizontal="center" vertical="center"/>
    </xf>
    <xf numFmtId="0" fontId="101" fillId="0" borderId="4" xfId="132" applyFont="1" applyBorder="1" applyAlignment="1">
      <alignment horizontal="center" vertical="center"/>
    </xf>
    <xf numFmtId="173" fontId="103" fillId="0" borderId="3" xfId="132" applyNumberFormat="1" applyFont="1" applyBorder="1" applyAlignment="1">
      <alignment horizontal="center" vertical="center"/>
    </xf>
    <xf numFmtId="173" fontId="103" fillId="0" borderId="6" xfId="132" applyNumberFormat="1" applyFont="1" applyBorder="1" applyAlignment="1">
      <alignment horizontal="center" vertical="center"/>
    </xf>
    <xf numFmtId="21" fontId="103" fillId="0" borderId="6" xfId="132" applyNumberFormat="1" applyFont="1" applyBorder="1" applyAlignment="1">
      <alignment horizontal="center" vertical="center"/>
    </xf>
    <xf numFmtId="0" fontId="101" fillId="0" borderId="6" xfId="132" applyFont="1" applyBorder="1" applyAlignment="1">
      <alignment horizontal="center" vertical="center"/>
    </xf>
    <xf numFmtId="0" fontId="102" fillId="0" borderId="6" xfId="132" applyFont="1" applyBorder="1" applyAlignment="1">
      <alignment horizontal="center" vertical="center"/>
    </xf>
    <xf numFmtId="164" fontId="105" fillId="13" borderId="3" xfId="135" applyFont="1" applyFill="1" applyBorder="1" applyAlignment="1">
      <alignment horizontal="center" vertical="center"/>
    </xf>
    <xf numFmtId="173" fontId="101" fillId="2" borderId="3" xfId="135" applyNumberFormat="1" applyFont="1" applyFill="1" applyBorder="1" applyAlignment="1">
      <alignment horizontal="center" vertical="center"/>
    </xf>
    <xf numFmtId="173" fontId="101" fillId="13" borderId="3" xfId="135" applyNumberFormat="1" applyFont="1" applyFill="1" applyBorder="1" applyAlignment="1">
      <alignment horizontal="center" vertical="center"/>
    </xf>
    <xf numFmtId="164" fontId="101" fillId="13" borderId="3" xfId="135" applyFont="1" applyFill="1" applyBorder="1" applyAlignment="1">
      <alignment horizontal="center" vertical="center"/>
    </xf>
    <xf numFmtId="173" fontId="102" fillId="0" borderId="3" xfId="131" applyNumberFormat="1" applyFont="1" applyBorder="1" applyAlignment="1">
      <alignment horizontal="center" vertical="center"/>
    </xf>
    <xf numFmtId="0" fontId="103" fillId="2" borderId="35" xfId="132" applyFont="1" applyFill="1" applyBorder="1" applyAlignment="1">
      <alignment horizontal="center"/>
    </xf>
    <xf numFmtId="0" fontId="103" fillId="2" borderId="37" xfId="132" applyFont="1" applyFill="1" applyBorder="1" applyAlignment="1">
      <alignment horizontal="center"/>
    </xf>
    <xf numFmtId="173" fontId="102" fillId="0" borderId="4" xfId="131" applyNumberFormat="1" applyFont="1" applyBorder="1" applyAlignment="1">
      <alignment horizontal="center" vertical="center"/>
    </xf>
    <xf numFmtId="173" fontId="103" fillId="16" borderId="35" xfId="131" applyNumberFormat="1" applyFont="1" applyFill="1" applyBorder="1" applyAlignment="1">
      <alignment horizontal="center" vertical="center"/>
    </xf>
    <xf numFmtId="0" fontId="102" fillId="2" borderId="3" xfId="132" applyFont="1" applyFill="1" applyBorder="1" applyAlignment="1">
      <alignment horizontal="center"/>
    </xf>
    <xf numFmtId="0" fontId="102" fillId="0" borderId="3" xfId="132" applyFont="1" applyBorder="1" applyAlignment="1">
      <alignment horizontal="center"/>
    </xf>
    <xf numFmtId="14" fontId="102" fillId="0" borderId="3" xfId="132" applyNumberFormat="1" applyFont="1" applyBorder="1" applyAlignment="1">
      <alignment horizontal="center" vertical="center"/>
    </xf>
    <xf numFmtId="14" fontId="103" fillId="0" borderId="4" xfId="132" applyNumberFormat="1" applyFont="1" applyBorder="1" applyAlignment="1">
      <alignment horizontal="center" vertical="center"/>
    </xf>
    <xf numFmtId="173" fontId="103" fillId="16" borderId="43" xfId="131" applyNumberFormat="1" applyFont="1" applyFill="1" applyBorder="1" applyAlignment="1">
      <alignment horizontal="center" vertical="center"/>
    </xf>
    <xf numFmtId="21" fontId="103" fillId="0" borderId="4" xfId="132" applyNumberFormat="1" applyFont="1" applyBorder="1" applyAlignment="1">
      <alignment horizontal="center" vertical="center"/>
    </xf>
    <xf numFmtId="173" fontId="103" fillId="16" borderId="3" xfId="131" applyNumberFormat="1" applyFont="1" applyFill="1" applyBorder="1" applyAlignment="1">
      <alignment horizontal="center" vertical="center"/>
    </xf>
    <xf numFmtId="173" fontId="102" fillId="16" borderId="40" xfId="131" applyNumberFormat="1" applyFont="1" applyFill="1" applyBorder="1" applyAlignment="1">
      <alignment horizontal="center" vertical="center"/>
    </xf>
    <xf numFmtId="173" fontId="103" fillId="3" borderId="3" xfId="131" applyNumberFormat="1" applyFont="1" applyFill="1" applyBorder="1" applyAlignment="1">
      <alignment horizontal="center" vertical="center"/>
    </xf>
    <xf numFmtId="164" fontId="101" fillId="13" borderId="1" xfId="135" applyFont="1" applyFill="1" applyBorder="1" applyAlignment="1">
      <alignment horizontal="center" vertical="center"/>
    </xf>
    <xf numFmtId="0" fontId="100" fillId="14" borderId="4" xfId="130" applyFont="1" applyFill="1" applyBorder="1" applyAlignment="1">
      <alignment horizontal="center" vertical="center"/>
    </xf>
    <xf numFmtId="0" fontId="100" fillId="14" borderId="3" xfId="136" applyFont="1" applyFill="1" applyBorder="1" applyAlignment="1">
      <alignment horizontal="center" vertical="center" wrapText="1"/>
    </xf>
    <xf numFmtId="0" fontId="101" fillId="14" borderId="3" xfId="136" applyFont="1" applyFill="1" applyBorder="1" applyAlignment="1">
      <alignment horizontal="center" vertical="center" wrapText="1"/>
    </xf>
    <xf numFmtId="173" fontId="101" fillId="14" borderId="4" xfId="136" applyNumberFormat="1" applyFont="1" applyFill="1" applyBorder="1" applyAlignment="1">
      <alignment horizontal="center" vertical="center" wrapText="1"/>
    </xf>
    <xf numFmtId="0" fontId="101" fillId="14" borderId="4" xfId="136" applyFont="1" applyFill="1" applyBorder="1" applyAlignment="1">
      <alignment horizontal="center" vertical="center" wrapText="1"/>
    </xf>
    <xf numFmtId="1" fontId="101" fillId="14" borderId="4" xfId="136" applyNumberFormat="1" applyFont="1" applyFill="1" applyBorder="1" applyAlignment="1">
      <alignment horizontal="center" vertical="center" wrapText="1"/>
    </xf>
    <xf numFmtId="0" fontId="101" fillId="14" borderId="1" xfId="136" applyFont="1" applyFill="1" applyBorder="1" applyAlignment="1">
      <alignment horizontal="center" vertical="center" wrapText="1"/>
    </xf>
    <xf numFmtId="0" fontId="102" fillId="0" borderId="3" xfId="136" applyFont="1" applyBorder="1" applyAlignment="1">
      <alignment vertical="center"/>
    </xf>
    <xf numFmtId="0" fontId="102" fillId="0" borderId="4" xfId="136" applyFont="1" applyBorder="1" applyAlignment="1">
      <alignment horizontal="center" vertical="center"/>
    </xf>
    <xf numFmtId="0" fontId="102" fillId="2" borderId="3" xfId="136" applyFont="1" applyFill="1" applyBorder="1" applyAlignment="1">
      <alignment horizontal="center" vertical="center"/>
    </xf>
    <xf numFmtId="0" fontId="102" fillId="0" borderId="1" xfId="136" applyFont="1" applyBorder="1" applyAlignment="1">
      <alignment horizontal="center" vertical="center"/>
    </xf>
    <xf numFmtId="0" fontId="102" fillId="0" borderId="3" xfId="136" applyFont="1" applyBorder="1" applyAlignment="1">
      <alignment horizontal="center" vertical="center" wrapText="1"/>
    </xf>
    <xf numFmtId="0" fontId="102" fillId="0" borderId="3" xfId="136" applyFont="1" applyBorder="1" applyAlignment="1">
      <alignment horizontal="center" vertical="center"/>
    </xf>
    <xf numFmtId="14" fontId="103" fillId="0" borderId="2" xfId="136" applyNumberFormat="1" applyFont="1" applyBorder="1" applyAlignment="1">
      <alignment horizontal="center" vertical="center"/>
    </xf>
    <xf numFmtId="14" fontId="103" fillId="0" borderId="3" xfId="136" applyNumberFormat="1" applyFont="1" applyBorder="1" applyAlignment="1">
      <alignment horizontal="center" vertical="center"/>
    </xf>
    <xf numFmtId="0" fontId="102" fillId="0" borderId="38" xfId="136" applyFont="1" applyBorder="1" applyAlignment="1">
      <alignment horizontal="center" vertical="center"/>
    </xf>
    <xf numFmtId="14" fontId="104" fillId="0" borderId="2" xfId="136" applyNumberFormat="1" applyFont="1" applyBorder="1" applyAlignment="1">
      <alignment horizontal="center" vertical="center"/>
    </xf>
    <xf numFmtId="0" fontId="100" fillId="0" borderId="3" xfId="136" applyFont="1" applyBorder="1" applyAlignment="1">
      <alignment horizontal="center" vertical="center"/>
    </xf>
    <xf numFmtId="0" fontId="102" fillId="0" borderId="6" xfId="136" applyFont="1" applyBorder="1" applyAlignment="1">
      <alignment horizontal="center" vertical="center"/>
    </xf>
    <xf numFmtId="0" fontId="102" fillId="2" borderId="1" xfId="136" applyFont="1" applyFill="1" applyBorder="1" applyAlignment="1">
      <alignment horizontal="center" vertical="center"/>
    </xf>
    <xf numFmtId="0" fontId="103" fillId="2" borderId="3" xfId="136" applyFont="1" applyFill="1" applyBorder="1" applyAlignment="1">
      <alignment horizontal="center"/>
    </xf>
    <xf numFmtId="164" fontId="105" fillId="13" borderId="2" xfId="137" applyFont="1" applyFill="1" applyBorder="1" applyAlignment="1">
      <alignment horizontal="center" vertical="center"/>
    </xf>
    <xf numFmtId="164" fontId="101" fillId="13" borderId="3" xfId="137" applyFont="1" applyFill="1" applyBorder="1" applyAlignment="1">
      <alignment horizontal="center" vertical="center"/>
    </xf>
    <xf numFmtId="173" fontId="101" fillId="2" borderId="3" xfId="137" applyNumberFormat="1" applyFont="1" applyFill="1" applyBorder="1" applyAlignment="1">
      <alignment horizontal="center" vertical="center"/>
    </xf>
    <xf numFmtId="173" fontId="104" fillId="0" borderId="3" xfId="131" applyNumberFormat="1" applyFont="1" applyBorder="1" applyAlignment="1">
      <alignment horizontal="center" vertical="center"/>
    </xf>
    <xf numFmtId="0" fontId="103" fillId="0" borderId="3" xfId="132" applyFont="1" applyBorder="1" applyAlignment="1">
      <alignment horizontal="center"/>
    </xf>
    <xf numFmtId="173" fontId="101" fillId="14" borderId="3" xfId="132" applyNumberFormat="1" applyFont="1" applyFill="1" applyBorder="1" applyAlignment="1">
      <alignment horizontal="center" vertical="center" wrapText="1"/>
    </xf>
    <xf numFmtId="1" fontId="101" fillId="14" borderId="3" xfId="132" applyNumberFormat="1" applyFont="1" applyFill="1" applyBorder="1" applyAlignment="1">
      <alignment horizontal="center" vertical="center" wrapText="1"/>
    </xf>
    <xf numFmtId="173" fontId="103" fillId="2" borderId="3" xfId="131" applyNumberFormat="1" applyFont="1" applyFill="1" applyBorder="1" applyAlignment="1">
      <alignment horizontal="center" vertical="center"/>
    </xf>
    <xf numFmtId="14" fontId="103" fillId="0" borderId="3" xfId="138" applyNumberFormat="1" applyFont="1" applyBorder="1" applyAlignment="1">
      <alignment horizontal="center" vertical="center"/>
    </xf>
    <xf numFmtId="0" fontId="104" fillId="0" borderId="3" xfId="136" applyFont="1" applyBorder="1" applyAlignment="1">
      <alignment horizontal="center" vertical="center"/>
    </xf>
    <xf numFmtId="21" fontId="104" fillId="0" borderId="3" xfId="132" applyNumberFormat="1" applyFont="1" applyBorder="1" applyAlignment="1">
      <alignment horizontal="center" vertical="center"/>
    </xf>
    <xf numFmtId="0" fontId="103" fillId="0" borderId="39" xfId="130" applyFont="1" applyBorder="1" applyAlignment="1">
      <alignment horizontal="center" vertical="center"/>
    </xf>
    <xf numFmtId="0" fontId="103" fillId="0" borderId="38" xfId="132" applyFont="1" applyBorder="1" applyAlignment="1">
      <alignment horizontal="center" vertical="center"/>
    </xf>
    <xf numFmtId="0" fontId="103" fillId="2" borderId="3" xfId="139" applyFont="1" applyFill="1" applyBorder="1" applyAlignment="1">
      <alignment horizontal="center"/>
    </xf>
    <xf numFmtId="0" fontId="102" fillId="2" borderId="3" xfId="139" applyFont="1" applyFill="1" applyBorder="1" applyAlignment="1">
      <alignment horizontal="center"/>
    </xf>
    <xf numFmtId="0" fontId="102" fillId="2" borderId="0" xfId="132" applyFont="1" applyFill="1" applyAlignment="1">
      <alignment horizontal="center" vertical="center"/>
    </xf>
    <xf numFmtId="173" fontId="101" fillId="2" borderId="6" xfId="135" applyNumberFormat="1" applyFont="1" applyFill="1" applyBorder="1" applyAlignment="1">
      <alignment horizontal="center" vertical="center"/>
    </xf>
    <xf numFmtId="173" fontId="101" fillId="13" borderId="6" xfId="135" applyNumberFormat="1" applyFont="1" applyFill="1" applyBorder="1" applyAlignment="1">
      <alignment horizontal="center" vertical="center"/>
    </xf>
    <xf numFmtId="164" fontId="101" fillId="13" borderId="6" xfId="135" applyFont="1" applyFill="1" applyBorder="1" applyAlignment="1">
      <alignment horizontal="center" vertical="center"/>
    </xf>
    <xf numFmtId="0" fontId="106" fillId="17" borderId="35" xfId="131" applyFont="1" applyFill="1" applyBorder="1" applyAlignment="1">
      <alignment horizontal="center" vertical="center"/>
    </xf>
    <xf numFmtId="173" fontId="104" fillId="16" borderId="35" xfId="131" applyNumberFormat="1" applyFont="1" applyFill="1" applyBorder="1" applyAlignment="1">
      <alignment horizontal="center" vertical="center"/>
    </xf>
    <xf numFmtId="0" fontId="100" fillId="14" borderId="3" xfId="140" applyFont="1" applyFill="1" applyBorder="1" applyAlignment="1">
      <alignment horizontal="center" vertical="center" wrapText="1"/>
    </xf>
    <xf numFmtId="0" fontId="100" fillId="14" borderId="3" xfId="140" applyFont="1" applyFill="1" applyBorder="1" applyAlignment="1">
      <alignment horizontal="center" vertical="center"/>
    </xf>
    <xf numFmtId="0" fontId="100" fillId="14" borderId="3" xfId="133" applyFont="1" applyFill="1" applyBorder="1" applyAlignment="1">
      <alignment horizontal="center" vertical="center" wrapText="1"/>
    </xf>
    <xf numFmtId="0" fontId="101" fillId="14" borderId="3" xfId="133" applyFont="1" applyFill="1" applyBorder="1" applyAlignment="1">
      <alignment horizontal="center" vertical="center" wrapText="1"/>
    </xf>
    <xf numFmtId="173" fontId="101" fillId="14" borderId="4" xfId="133" applyNumberFormat="1" applyFont="1" applyFill="1" applyBorder="1" applyAlignment="1">
      <alignment horizontal="center" vertical="center" wrapText="1"/>
    </xf>
    <xf numFmtId="0" fontId="101" fillId="14" borderId="4" xfId="133" applyFont="1" applyFill="1" applyBorder="1" applyAlignment="1">
      <alignment horizontal="center" vertical="center" wrapText="1"/>
    </xf>
    <xf numFmtId="1" fontId="101" fillId="14" borderId="4" xfId="133" applyNumberFormat="1" applyFont="1" applyFill="1" applyBorder="1" applyAlignment="1">
      <alignment horizontal="center" vertical="center" wrapText="1"/>
    </xf>
    <xf numFmtId="0" fontId="101" fillId="14" borderId="1" xfId="133" applyFont="1" applyFill="1" applyBorder="1" applyAlignment="1">
      <alignment horizontal="center" vertical="center" wrapText="1"/>
    </xf>
    <xf numFmtId="0" fontId="102" fillId="0" borderId="3" xfId="133" applyFont="1" applyBorder="1" applyAlignment="1">
      <alignment vertical="center"/>
    </xf>
    <xf numFmtId="0" fontId="102" fillId="0" borderId="0" xfId="133" applyFont="1" applyAlignment="1">
      <alignment horizontal="center" vertical="center"/>
    </xf>
    <xf numFmtId="0" fontId="102" fillId="0" borderId="4" xfId="133" applyFont="1" applyBorder="1" applyAlignment="1">
      <alignment horizontal="center" vertical="center"/>
    </xf>
    <xf numFmtId="0" fontId="102" fillId="2" borderId="3" xfId="133" applyFont="1" applyFill="1" applyBorder="1" applyAlignment="1">
      <alignment horizontal="center" vertical="center"/>
    </xf>
    <xf numFmtId="0" fontId="103" fillId="2" borderId="3" xfId="133" applyFont="1" applyFill="1" applyBorder="1" applyAlignment="1">
      <alignment horizontal="center" vertical="center"/>
    </xf>
    <xf numFmtId="0" fontId="102" fillId="0" borderId="3" xfId="133" applyFont="1" applyBorder="1" applyAlignment="1">
      <alignment horizontal="center" vertical="center" wrapText="1"/>
    </xf>
    <xf numFmtId="0" fontId="103" fillId="2" borderId="3" xfId="133" applyFont="1" applyFill="1" applyBorder="1" applyAlignment="1">
      <alignment horizontal="center"/>
    </xf>
    <xf numFmtId="14" fontId="103" fillId="0" borderId="3" xfId="133" applyNumberFormat="1" applyFont="1" applyBorder="1" applyAlignment="1">
      <alignment horizontal="center" vertical="center"/>
    </xf>
    <xf numFmtId="21" fontId="103" fillId="0" borderId="3" xfId="133" applyNumberFormat="1" applyFont="1" applyBorder="1" applyAlignment="1">
      <alignment horizontal="center" vertical="center"/>
    </xf>
    <xf numFmtId="0" fontId="103" fillId="0" borderId="3" xfId="133" applyFont="1" applyBorder="1" applyAlignment="1">
      <alignment horizontal="center" vertical="center"/>
    </xf>
    <xf numFmtId="0" fontId="101" fillId="0" borderId="3" xfId="133" applyFont="1" applyBorder="1" applyAlignment="1">
      <alignment horizontal="center" vertical="center"/>
    </xf>
    <xf numFmtId="0" fontId="101" fillId="0" borderId="4" xfId="133" applyFont="1" applyBorder="1" applyAlignment="1">
      <alignment horizontal="center" vertical="center" wrapText="1"/>
    </xf>
    <xf numFmtId="0" fontId="101" fillId="0" borderId="3" xfId="133" applyFont="1" applyBorder="1" applyAlignment="1">
      <alignment horizontal="center" vertical="center" wrapText="1"/>
    </xf>
    <xf numFmtId="0" fontId="103" fillId="0" borderId="3" xfId="133" applyFont="1" applyBorder="1" applyAlignment="1">
      <alignment horizontal="center" vertical="center" wrapText="1"/>
    </xf>
    <xf numFmtId="0" fontId="103" fillId="0" borderId="1" xfId="133" applyFont="1" applyBorder="1" applyAlignment="1">
      <alignment horizontal="center" vertical="center" wrapText="1"/>
    </xf>
    <xf numFmtId="0" fontId="103" fillId="0" borderId="1" xfId="133" applyFont="1" applyBorder="1" applyAlignment="1">
      <alignment horizontal="center" vertical="center"/>
    </xf>
    <xf numFmtId="0" fontId="102" fillId="0" borderId="38" xfId="133" applyFont="1" applyBorder="1" applyAlignment="1">
      <alignment horizontal="center" vertical="center"/>
    </xf>
    <xf numFmtId="0" fontId="102" fillId="2" borderId="4" xfId="133" applyFont="1" applyFill="1" applyBorder="1" applyAlignment="1">
      <alignment horizontal="center" vertical="center"/>
    </xf>
    <xf numFmtId="0" fontId="105" fillId="0" borderId="3" xfId="133" applyFont="1" applyBorder="1" applyAlignment="1">
      <alignment horizontal="center" vertical="center"/>
    </xf>
    <xf numFmtId="0" fontId="104" fillId="0" borderId="3" xfId="133" applyFont="1" applyBorder="1" applyAlignment="1">
      <alignment horizontal="center" vertical="center"/>
    </xf>
    <xf numFmtId="0" fontId="105" fillId="0" borderId="4" xfId="133" applyFont="1" applyBorder="1" applyAlignment="1">
      <alignment horizontal="center" vertical="center" wrapText="1"/>
    </xf>
    <xf numFmtId="0" fontId="105" fillId="0" borderId="3" xfId="133" applyFont="1" applyBorder="1" applyAlignment="1">
      <alignment horizontal="center" vertical="center" wrapText="1"/>
    </xf>
    <xf numFmtId="0" fontId="104" fillId="0" borderId="3" xfId="133" applyFont="1" applyBorder="1" applyAlignment="1">
      <alignment horizontal="center" vertical="center" wrapText="1"/>
    </xf>
    <xf numFmtId="0" fontId="104" fillId="0" borderId="1" xfId="133" applyFont="1" applyBorder="1" applyAlignment="1">
      <alignment horizontal="center" vertical="center" wrapText="1"/>
    </xf>
    <xf numFmtId="0" fontId="104" fillId="0" borderId="1" xfId="133" applyFont="1" applyBorder="1" applyAlignment="1">
      <alignment horizontal="center" vertical="center"/>
    </xf>
    <xf numFmtId="0" fontId="105" fillId="0" borderId="6" xfId="133" applyFont="1" applyBorder="1" applyAlignment="1">
      <alignment horizontal="center" vertical="center"/>
    </xf>
    <xf numFmtId="0" fontId="104" fillId="0" borderId="6" xfId="133" applyFont="1" applyBorder="1" applyAlignment="1">
      <alignment horizontal="center" vertical="center"/>
    </xf>
    <xf numFmtId="0" fontId="103" fillId="0" borderId="2" xfId="133" applyFont="1" applyBorder="1" applyAlignment="1">
      <alignment horizontal="center" vertical="center"/>
    </xf>
    <xf numFmtId="0" fontId="103" fillId="0" borderId="4" xfId="133" applyFont="1" applyBorder="1" applyAlignment="1">
      <alignment horizontal="center" vertical="center"/>
    </xf>
    <xf numFmtId="0" fontId="101" fillId="0" borderId="4" xfId="133" applyFont="1" applyBorder="1" applyAlignment="1">
      <alignment horizontal="center" vertical="center"/>
    </xf>
    <xf numFmtId="0" fontId="103" fillId="0" borderId="3" xfId="140" applyFont="1" applyBorder="1" applyAlignment="1">
      <alignment horizontal="center" vertical="center"/>
    </xf>
    <xf numFmtId="173" fontId="103" fillId="0" borderId="3" xfId="133" applyNumberFormat="1" applyFont="1" applyBorder="1" applyAlignment="1">
      <alignment horizontal="center" vertical="center"/>
    </xf>
    <xf numFmtId="173" fontId="103" fillId="0" borderId="6" xfId="133" applyNumberFormat="1" applyFont="1" applyBorder="1" applyAlignment="1">
      <alignment horizontal="center" vertical="center"/>
    </xf>
    <xf numFmtId="21" fontId="103" fillId="0" borderId="6" xfId="133" applyNumberFormat="1" applyFont="1" applyBorder="1" applyAlignment="1">
      <alignment horizontal="center" vertical="center"/>
    </xf>
    <xf numFmtId="0" fontId="103" fillId="0" borderId="6" xfId="133" applyFont="1" applyBorder="1" applyAlignment="1">
      <alignment horizontal="center" vertical="center"/>
    </xf>
    <xf numFmtId="0" fontId="101" fillId="0" borderId="6" xfId="133" applyFont="1" applyBorder="1" applyAlignment="1">
      <alignment horizontal="center" vertical="center"/>
    </xf>
    <xf numFmtId="0" fontId="103" fillId="0" borderId="6" xfId="140" applyFont="1" applyBorder="1" applyAlignment="1">
      <alignment horizontal="center" vertical="center"/>
    </xf>
    <xf numFmtId="0" fontId="102" fillId="0" borderId="6" xfId="133" applyFont="1" applyBorder="1" applyAlignment="1">
      <alignment horizontal="center" vertical="center"/>
    </xf>
    <xf numFmtId="0" fontId="102" fillId="0" borderId="3" xfId="140" applyFont="1" applyBorder="1" applyAlignment="1">
      <alignment horizontal="center" vertical="center"/>
    </xf>
    <xf numFmtId="164" fontId="105" fillId="13" borderId="3" xfId="141" applyFont="1" applyFill="1" applyBorder="1" applyAlignment="1">
      <alignment horizontal="center" vertical="center"/>
    </xf>
    <xf numFmtId="164" fontId="101" fillId="13" borderId="3" xfId="141" applyFont="1" applyFill="1" applyBorder="1" applyAlignment="1">
      <alignment horizontal="center" vertical="center"/>
    </xf>
    <xf numFmtId="173" fontId="101" fillId="2" borderId="3" xfId="141" applyNumberFormat="1" applyFont="1" applyFill="1" applyBorder="1" applyAlignment="1">
      <alignment horizontal="center" vertical="center"/>
    </xf>
    <xf numFmtId="173" fontId="101" fillId="13" borderId="3" xfId="141" applyNumberFormat="1" applyFont="1" applyFill="1" applyBorder="1" applyAlignment="1">
      <alignment horizontal="center" vertical="center"/>
    </xf>
    <xf numFmtId="0" fontId="102" fillId="2" borderId="3" xfId="133" applyFont="1" applyFill="1" applyBorder="1" applyAlignment="1">
      <alignment horizontal="center"/>
    </xf>
    <xf numFmtId="173" fontId="102" fillId="18" borderId="35" xfId="131" applyNumberFormat="1" applyFont="1" applyFill="1" applyBorder="1" applyAlignment="1">
      <alignment horizontal="center" vertical="center"/>
    </xf>
    <xf numFmtId="0" fontId="103" fillId="0" borderId="3" xfId="133" applyFont="1" applyBorder="1" applyAlignment="1">
      <alignment horizontal="center"/>
    </xf>
    <xf numFmtId="0" fontId="103" fillId="0" borderId="3" xfId="133" applyFont="1" applyBorder="1" applyAlignment="1">
      <alignment vertical="center"/>
    </xf>
    <xf numFmtId="14" fontId="104" fillId="0" borderId="3" xfId="133" applyNumberFormat="1" applyFont="1" applyBorder="1" applyAlignment="1">
      <alignment horizontal="center" vertical="center"/>
    </xf>
    <xf numFmtId="164" fontId="101" fillId="13" borderId="1" xfId="141" applyFont="1" applyFill="1" applyBorder="1" applyAlignment="1">
      <alignment horizontal="center" vertical="center"/>
    </xf>
    <xf numFmtId="0" fontId="100" fillId="14" borderId="4" xfId="140" applyFont="1" applyFill="1" applyBorder="1" applyAlignment="1">
      <alignment horizontal="center" vertical="center"/>
    </xf>
    <xf numFmtId="0" fontId="102" fillId="0" borderId="1" xfId="133" applyFont="1" applyBorder="1" applyAlignment="1">
      <alignment horizontal="center" vertical="center"/>
    </xf>
    <xf numFmtId="0" fontId="102" fillId="0" borderId="3" xfId="133" applyFont="1" applyBorder="1" applyAlignment="1">
      <alignment horizontal="center" vertical="center"/>
    </xf>
    <xf numFmtId="14" fontId="103" fillId="0" borderId="2" xfId="133" applyNumberFormat="1" applyFont="1" applyBorder="1" applyAlignment="1">
      <alignment horizontal="center" vertical="center"/>
    </xf>
    <xf numFmtId="14" fontId="103" fillId="0" borderId="3" xfId="142" applyNumberFormat="1" applyFont="1" applyBorder="1" applyAlignment="1">
      <alignment horizontal="center" vertical="center"/>
    </xf>
    <xf numFmtId="0" fontId="100" fillId="0" borderId="3" xfId="133" applyFont="1" applyBorder="1" applyAlignment="1">
      <alignment horizontal="center" vertical="center"/>
    </xf>
    <xf numFmtId="0" fontId="102" fillId="2" borderId="1" xfId="133" applyFont="1" applyFill="1" applyBorder="1" applyAlignment="1">
      <alignment horizontal="center" vertical="center"/>
    </xf>
    <xf numFmtId="164" fontId="105" fillId="13" borderId="2" xfId="141" applyFont="1" applyFill="1" applyBorder="1" applyAlignment="1">
      <alignment horizontal="center" vertical="center"/>
    </xf>
    <xf numFmtId="173" fontId="103" fillId="20" borderId="3" xfId="131" applyNumberFormat="1" applyFont="1" applyFill="1" applyBorder="1" applyAlignment="1">
      <alignment horizontal="center" vertical="center"/>
    </xf>
    <xf numFmtId="0" fontId="103" fillId="0" borderId="39" xfId="140" applyFont="1" applyBorder="1" applyAlignment="1">
      <alignment horizontal="center" vertical="center"/>
    </xf>
    <xf numFmtId="14" fontId="102" fillId="0" borderId="3" xfId="133" applyNumberFormat="1" applyFont="1" applyBorder="1" applyAlignment="1">
      <alignment horizontal="center" vertical="center"/>
    </xf>
    <xf numFmtId="0" fontId="103" fillId="2" borderId="4" xfId="133" applyFont="1" applyFill="1" applyBorder="1" applyAlignment="1">
      <alignment horizontal="center" vertical="center"/>
    </xf>
    <xf numFmtId="0" fontId="103" fillId="2" borderId="4" xfId="133" applyFont="1" applyFill="1" applyBorder="1" applyAlignment="1">
      <alignment horizontal="center"/>
    </xf>
    <xf numFmtId="0" fontId="102" fillId="0" borderId="3" xfId="133" applyFont="1" applyBorder="1" applyAlignment="1">
      <alignment horizontal="center"/>
    </xf>
    <xf numFmtId="0" fontId="106" fillId="16" borderId="35" xfId="131" applyFont="1" applyFill="1" applyBorder="1" applyAlignment="1">
      <alignment horizontal="center" vertical="center"/>
    </xf>
    <xf numFmtId="173" fontId="103" fillId="2" borderId="6" xfId="133" applyNumberFormat="1" applyFont="1" applyFill="1" applyBorder="1" applyAlignment="1">
      <alignment horizontal="center" vertical="center"/>
    </xf>
    <xf numFmtId="0" fontId="101" fillId="0" borderId="1" xfId="133" applyFont="1" applyBorder="1" applyAlignment="1">
      <alignment horizontal="center" vertical="center" wrapText="1"/>
    </xf>
    <xf numFmtId="0" fontId="103" fillId="2" borderId="35" xfId="133" applyFont="1" applyFill="1" applyBorder="1" applyAlignment="1">
      <alignment horizontal="center"/>
    </xf>
    <xf numFmtId="0" fontId="103" fillId="2" borderId="37" xfId="133" applyFont="1" applyFill="1" applyBorder="1" applyAlignment="1">
      <alignment horizontal="center"/>
    </xf>
    <xf numFmtId="0" fontId="103" fillId="2" borderId="3" xfId="133" applyFont="1" applyFill="1" applyBorder="1" applyAlignment="1">
      <alignment horizontal="center" vertical="top"/>
    </xf>
    <xf numFmtId="0" fontId="100" fillId="14" borderId="3" xfId="143" applyFont="1" applyFill="1" applyBorder="1" applyAlignment="1">
      <alignment horizontal="center" vertical="center" wrapText="1"/>
    </xf>
    <xf numFmtId="0" fontId="100" fillId="14" borderId="4" xfId="143" applyFont="1" applyFill="1" applyBorder="1" applyAlignment="1">
      <alignment horizontal="center" vertical="center"/>
    </xf>
    <xf numFmtId="0" fontId="100" fillId="14" borderId="3" xfId="142" applyFont="1" applyFill="1" applyBorder="1" applyAlignment="1">
      <alignment horizontal="center" vertical="center" wrapText="1"/>
    </xf>
    <xf numFmtId="0" fontId="101" fillId="14" borderId="3" xfId="142" applyFont="1" applyFill="1" applyBorder="1" applyAlignment="1">
      <alignment horizontal="center" vertical="center" wrapText="1"/>
    </xf>
    <xf numFmtId="173" fontId="101" fillId="14" borderId="4" xfId="142" applyNumberFormat="1" applyFont="1" applyFill="1" applyBorder="1" applyAlignment="1">
      <alignment horizontal="center" vertical="center" wrapText="1"/>
    </xf>
    <xf numFmtId="0" fontId="101" fillId="14" borderId="4" xfId="142" applyFont="1" applyFill="1" applyBorder="1" applyAlignment="1">
      <alignment horizontal="center" vertical="center" wrapText="1"/>
    </xf>
    <xf numFmtId="1" fontId="101" fillId="14" borderId="4" xfId="142" applyNumberFormat="1" applyFont="1" applyFill="1" applyBorder="1" applyAlignment="1">
      <alignment horizontal="center" vertical="center" wrapText="1"/>
    </xf>
    <xf numFmtId="0" fontId="101" fillId="14" borderId="1" xfId="142" applyFont="1" applyFill="1" applyBorder="1" applyAlignment="1">
      <alignment horizontal="center" vertical="center" wrapText="1"/>
    </xf>
    <xf numFmtId="0" fontId="102" fillId="0" borderId="3" xfId="142" applyFont="1" applyBorder="1" applyAlignment="1">
      <alignment vertical="center"/>
    </xf>
    <xf numFmtId="0" fontId="102" fillId="0" borderId="4" xfId="142" applyFont="1" applyBorder="1" applyAlignment="1">
      <alignment horizontal="center" vertical="center"/>
    </xf>
    <xf numFmtId="0" fontId="102" fillId="2" borderId="3" xfId="142" applyFont="1" applyFill="1" applyBorder="1" applyAlignment="1">
      <alignment horizontal="center" vertical="center"/>
    </xf>
    <xf numFmtId="0" fontId="102" fillId="0" borderId="1" xfId="142" applyFont="1" applyBorder="1" applyAlignment="1">
      <alignment horizontal="center" vertical="center"/>
    </xf>
    <xf numFmtId="0" fontId="102" fillId="0" borderId="3" xfId="142" applyFont="1" applyBorder="1" applyAlignment="1">
      <alignment horizontal="center" vertical="center" wrapText="1"/>
    </xf>
    <xf numFmtId="0" fontId="102" fillId="0" borderId="3" xfId="142" applyFont="1" applyBorder="1" applyAlignment="1">
      <alignment horizontal="center" vertical="center"/>
    </xf>
    <xf numFmtId="14" fontId="103" fillId="0" borderId="2" xfId="142" applyNumberFormat="1" applyFont="1" applyBorder="1" applyAlignment="1">
      <alignment horizontal="center" vertical="center"/>
    </xf>
    <xf numFmtId="0" fontId="102" fillId="0" borderId="38" xfId="142" applyFont="1" applyBorder="1" applyAlignment="1">
      <alignment horizontal="center" vertical="center"/>
    </xf>
    <xf numFmtId="21" fontId="104" fillId="0" borderId="3" xfId="133" applyNumberFormat="1" applyFont="1" applyBorder="1" applyAlignment="1">
      <alignment horizontal="center" vertical="center"/>
    </xf>
    <xf numFmtId="0" fontId="103" fillId="0" borderId="38" xfId="133" applyFont="1" applyBorder="1" applyAlignment="1">
      <alignment horizontal="center" vertical="center"/>
    </xf>
    <xf numFmtId="0" fontId="102" fillId="0" borderId="6" xfId="142" applyFont="1" applyBorder="1" applyAlignment="1">
      <alignment horizontal="center" vertical="center"/>
    </xf>
    <xf numFmtId="0" fontId="102" fillId="0" borderId="3" xfId="143" applyFont="1" applyBorder="1" applyAlignment="1">
      <alignment horizontal="center" vertical="center"/>
    </xf>
    <xf numFmtId="0" fontId="102" fillId="2" borderId="1" xfId="142" applyFont="1" applyFill="1" applyBorder="1" applyAlignment="1">
      <alignment horizontal="center" vertical="center"/>
    </xf>
    <xf numFmtId="0" fontId="103" fillId="2" borderId="3" xfId="142" applyFont="1" applyFill="1" applyBorder="1" applyAlignment="1">
      <alignment horizontal="center"/>
    </xf>
    <xf numFmtId="164" fontId="105" fillId="13" borderId="2" xfId="144" applyFont="1" applyFill="1" applyBorder="1" applyAlignment="1">
      <alignment horizontal="center" vertical="center"/>
    </xf>
    <xf numFmtId="20" fontId="103" fillId="0" borderId="3" xfId="133" applyNumberFormat="1" applyFont="1" applyBorder="1" applyAlignment="1">
      <alignment horizontal="center" vertical="center"/>
    </xf>
    <xf numFmtId="0" fontId="102" fillId="2" borderId="4" xfId="133" applyFont="1" applyFill="1" applyBorder="1" applyAlignment="1">
      <alignment horizontal="center"/>
    </xf>
    <xf numFmtId="21" fontId="102" fillId="0" borderId="3" xfId="133" applyNumberFormat="1" applyFont="1" applyBorder="1" applyAlignment="1">
      <alignment horizontal="center" vertical="center"/>
    </xf>
    <xf numFmtId="173" fontId="101" fillId="14" borderId="3" xfId="133" applyNumberFormat="1" applyFont="1" applyFill="1" applyBorder="1" applyAlignment="1">
      <alignment horizontal="center" vertical="center" wrapText="1"/>
    </xf>
    <xf numFmtId="1" fontId="101" fillId="14" borderId="3" xfId="133" applyNumberFormat="1" applyFont="1" applyFill="1" applyBorder="1" applyAlignment="1">
      <alignment horizontal="center" vertical="center" wrapText="1"/>
    </xf>
    <xf numFmtId="173" fontId="103" fillId="18" borderId="35" xfId="131" applyNumberFormat="1" applyFont="1" applyFill="1" applyBorder="1" applyAlignment="1">
      <alignment horizontal="center" vertical="center"/>
    </xf>
    <xf numFmtId="164" fontId="101" fillId="13" borderId="3" xfId="144" applyFont="1" applyFill="1" applyBorder="1" applyAlignment="1">
      <alignment horizontal="center" vertical="center"/>
    </xf>
    <xf numFmtId="0" fontId="100" fillId="19" borderId="35" xfId="133" applyFont="1" applyFill="1" applyBorder="1" applyAlignment="1">
      <alignment horizontal="center" vertical="center" wrapText="1"/>
    </xf>
    <xf numFmtId="0" fontId="100" fillId="19" borderId="35" xfId="133" applyFont="1" applyFill="1" applyBorder="1" applyAlignment="1">
      <alignment horizontal="center" vertical="center"/>
    </xf>
    <xf numFmtId="0" fontId="107" fillId="19" borderId="35" xfId="133" applyFont="1" applyFill="1" applyBorder="1" applyAlignment="1">
      <alignment horizontal="center" vertical="center" wrapText="1"/>
    </xf>
    <xf numFmtId="173" fontId="100" fillId="19" borderId="43" xfId="133" applyNumberFormat="1" applyFont="1" applyFill="1" applyBorder="1" applyAlignment="1">
      <alignment horizontal="center" vertical="center" wrapText="1"/>
    </xf>
    <xf numFmtId="0" fontId="100" fillId="19" borderId="43" xfId="133" applyFont="1" applyFill="1" applyBorder="1" applyAlignment="1">
      <alignment horizontal="center" vertical="center" wrapText="1"/>
    </xf>
    <xf numFmtId="1" fontId="108" fillId="19" borderId="43" xfId="133" applyNumberFormat="1" applyFont="1" applyFill="1" applyBorder="1" applyAlignment="1">
      <alignment horizontal="center" vertical="center" wrapText="1"/>
    </xf>
    <xf numFmtId="0" fontId="108" fillId="19" borderId="43" xfId="133" applyFont="1" applyFill="1" applyBorder="1" applyAlignment="1">
      <alignment horizontal="center" vertical="center" wrapText="1"/>
    </xf>
    <xf numFmtId="0" fontId="105" fillId="19" borderId="43" xfId="133" applyFont="1" applyFill="1" applyBorder="1" applyAlignment="1">
      <alignment horizontal="center" vertical="center" wrapText="1"/>
    </xf>
    <xf numFmtId="0" fontId="105" fillId="19" borderId="35" xfId="133" applyFont="1" applyFill="1" applyBorder="1" applyAlignment="1">
      <alignment horizontal="center" vertical="center" wrapText="1"/>
    </xf>
    <xf numFmtId="0" fontId="108" fillId="19" borderId="35" xfId="133" applyFont="1" applyFill="1" applyBorder="1" applyAlignment="1">
      <alignment horizontal="center" vertical="center" wrapText="1"/>
    </xf>
    <xf numFmtId="0" fontId="108" fillId="19" borderId="37" xfId="133" applyFont="1" applyFill="1" applyBorder="1" applyAlignment="1">
      <alignment horizontal="center" vertical="center" wrapText="1"/>
    </xf>
    <xf numFmtId="0" fontId="102" fillId="0" borderId="35" xfId="133" applyFont="1" applyBorder="1" applyAlignment="1">
      <alignment vertical="center"/>
    </xf>
    <xf numFmtId="0" fontId="102" fillId="0" borderId="0" xfId="133" applyFont="1"/>
    <xf numFmtId="0" fontId="102" fillId="16" borderId="35" xfId="133" quotePrefix="1" applyFont="1" applyFill="1" applyBorder="1" applyAlignment="1">
      <alignment horizontal="center" vertical="center"/>
    </xf>
    <xf numFmtId="0" fontId="102" fillId="16" borderId="35" xfId="133" applyFont="1" applyFill="1" applyBorder="1" applyAlignment="1">
      <alignment horizontal="center" vertical="center"/>
    </xf>
    <xf numFmtId="0" fontId="106" fillId="17" borderId="35" xfId="133" applyFont="1" applyFill="1" applyBorder="1" applyAlignment="1">
      <alignment horizontal="center" vertical="center"/>
    </xf>
    <xf numFmtId="0" fontId="102" fillId="0" borderId="35" xfId="133" applyFont="1" applyBorder="1" applyAlignment="1">
      <alignment horizontal="center" vertical="center"/>
    </xf>
    <xf numFmtId="172" fontId="106" fillId="0" borderId="35" xfId="133" applyNumberFormat="1" applyFont="1" applyBorder="1" applyAlignment="1">
      <alignment horizontal="center" vertical="center"/>
    </xf>
    <xf numFmtId="0" fontId="106" fillId="0" borderId="35" xfId="131" applyFont="1" applyBorder="1" applyAlignment="1">
      <alignment horizontal="center" vertical="center"/>
    </xf>
    <xf numFmtId="0" fontId="106" fillId="2" borderId="35" xfId="131" applyFont="1" applyFill="1" applyBorder="1" applyAlignment="1">
      <alignment horizontal="center" vertical="center"/>
    </xf>
    <xf numFmtId="0" fontId="104" fillId="16" borderId="35" xfId="133" applyFont="1" applyFill="1" applyBorder="1" applyAlignment="1">
      <alignment horizontal="center" vertical="center"/>
    </xf>
    <xf numFmtId="0" fontId="104" fillId="0" borderId="35" xfId="133" applyFont="1" applyBorder="1" applyAlignment="1">
      <alignment horizontal="center" vertical="center"/>
    </xf>
    <xf numFmtId="0" fontId="105" fillId="0" borderId="35" xfId="133" applyFont="1" applyBorder="1" applyAlignment="1">
      <alignment horizontal="center" vertical="center"/>
    </xf>
    <xf numFmtId="0" fontId="104" fillId="0" borderId="37" xfId="133" applyFont="1" applyBorder="1" applyAlignment="1">
      <alignment horizontal="center" vertical="center"/>
    </xf>
    <xf numFmtId="0" fontId="105" fillId="0" borderId="37" xfId="133" applyFont="1" applyBorder="1" applyAlignment="1">
      <alignment horizontal="center" vertical="center"/>
    </xf>
    <xf numFmtId="0" fontId="106" fillId="2" borderId="41" xfId="131" applyFont="1" applyFill="1" applyBorder="1" applyAlignment="1">
      <alignment horizontal="center" vertical="center"/>
    </xf>
    <xf numFmtId="0" fontId="102" fillId="16" borderId="41" xfId="133" applyFont="1" applyFill="1" applyBorder="1" applyAlignment="1">
      <alignment horizontal="center" vertical="center"/>
    </xf>
    <xf numFmtId="0" fontId="102" fillId="0" borderId="41" xfId="133" applyFont="1" applyBorder="1" applyAlignment="1">
      <alignment horizontal="center" vertical="center"/>
    </xf>
    <xf numFmtId="0" fontId="105" fillId="0" borderId="41" xfId="133" applyFont="1" applyBorder="1" applyAlignment="1">
      <alignment horizontal="center" vertical="center"/>
    </xf>
    <xf numFmtId="0" fontId="102" fillId="0" borderId="37" xfId="133" applyFont="1" applyBorder="1" applyAlignment="1">
      <alignment horizontal="center" vertical="center"/>
    </xf>
    <xf numFmtId="0" fontId="100" fillId="0" borderId="35" xfId="133" applyFont="1" applyBorder="1" applyAlignment="1">
      <alignment horizontal="center" vertical="center"/>
    </xf>
    <xf numFmtId="0" fontId="100" fillId="0" borderId="37" xfId="133" applyFont="1" applyBorder="1" applyAlignment="1">
      <alignment horizontal="center" vertical="center"/>
    </xf>
    <xf numFmtId="21" fontId="106" fillId="2" borderId="35" xfId="131" applyNumberFormat="1" applyFont="1" applyFill="1" applyBorder="1" applyAlignment="1">
      <alignment horizontal="center" vertical="center"/>
    </xf>
    <xf numFmtId="43" fontId="107" fillId="15" borderId="35" xfId="133" applyNumberFormat="1" applyFont="1" applyFill="1" applyBorder="1" applyAlignment="1">
      <alignment horizontal="center" vertical="center"/>
    </xf>
    <xf numFmtId="173" fontId="100" fillId="16" borderId="35" xfId="133" applyNumberFormat="1" applyFont="1" applyFill="1" applyBorder="1" applyAlignment="1">
      <alignment horizontal="center" vertical="center"/>
    </xf>
    <xf numFmtId="173" fontId="100" fillId="15" borderId="35" xfId="133" applyNumberFormat="1" applyFont="1" applyFill="1" applyBorder="1" applyAlignment="1">
      <alignment horizontal="center" vertical="center"/>
    </xf>
    <xf numFmtId="43" fontId="105" fillId="15" borderId="35" xfId="133" applyNumberFormat="1" applyFont="1" applyFill="1" applyBorder="1" applyAlignment="1">
      <alignment horizontal="center" vertical="center"/>
    </xf>
    <xf numFmtId="43" fontId="108" fillId="15" borderId="35" xfId="133" applyNumberFormat="1" applyFont="1" applyFill="1" applyBorder="1" applyAlignment="1">
      <alignment horizontal="center" vertical="center"/>
    </xf>
    <xf numFmtId="43" fontId="108" fillId="15" borderId="37" xfId="133" applyNumberFormat="1" applyFont="1" applyFill="1" applyBorder="1" applyAlignment="1">
      <alignment horizontal="center" vertical="center"/>
    </xf>
    <xf numFmtId="0" fontId="106" fillId="0" borderId="35" xfId="133" applyFont="1" applyBorder="1" applyAlignment="1">
      <alignment horizontal="center" vertical="center"/>
    </xf>
    <xf numFmtId="0" fontId="105" fillId="0" borderId="1" xfId="133" applyFont="1" applyBorder="1" applyAlignment="1">
      <alignment horizontal="center" vertical="center"/>
    </xf>
    <xf numFmtId="0" fontId="102" fillId="0" borderId="0" xfId="132" applyFont="1" applyAlignment="1">
      <alignment horizontal="center"/>
    </xf>
    <xf numFmtId="173" fontId="102" fillId="0" borderId="0" xfId="132" applyNumberFormat="1" applyFont="1"/>
    <xf numFmtId="0" fontId="104" fillId="2" borderId="6" xfId="132" applyFont="1" applyFill="1" applyBorder="1" applyAlignment="1">
      <alignment horizontal="center" vertical="center"/>
    </xf>
    <xf numFmtId="0" fontId="103" fillId="2" borderId="2" xfId="132" applyFont="1" applyFill="1" applyBorder="1" applyAlignment="1">
      <alignment horizontal="center" vertical="center"/>
    </xf>
    <xf numFmtId="0" fontId="103" fillId="2" borderId="4" xfId="132" applyFont="1" applyFill="1" applyBorder="1" applyAlignment="1">
      <alignment horizontal="center" vertical="center"/>
    </xf>
    <xf numFmtId="0" fontId="100" fillId="14" borderId="3" xfId="107" applyFont="1" applyFill="1" applyBorder="1" applyAlignment="1">
      <alignment horizontal="center" vertical="center" wrapText="1"/>
    </xf>
    <xf numFmtId="14" fontId="103" fillId="0" borderId="3" xfId="0" applyNumberFormat="1" applyFont="1" applyBorder="1" applyAlignment="1">
      <alignment horizontal="center" vertical="center"/>
    </xf>
    <xf numFmtId="14" fontId="104" fillId="0" borderId="3" xfId="0" applyNumberFormat="1" applyFont="1" applyBorder="1" applyAlignment="1">
      <alignment horizontal="center" vertical="center"/>
    </xf>
    <xf numFmtId="14" fontId="103" fillId="0" borderId="3" xfId="107" applyNumberFormat="1" applyFont="1" applyBorder="1" applyAlignment="1">
      <alignment horizontal="center" vertical="center"/>
    </xf>
    <xf numFmtId="164" fontId="105" fillId="13" borderId="3" xfId="106" applyFont="1" applyFill="1" applyBorder="1" applyAlignment="1">
      <alignment horizontal="center" vertical="center"/>
    </xf>
    <xf numFmtId="0" fontId="100" fillId="14" borderId="3" xfId="99" applyFont="1" applyFill="1" applyBorder="1" applyAlignment="1">
      <alignment horizontal="center" vertical="center" wrapText="1"/>
    </xf>
    <xf numFmtId="14" fontId="103" fillId="0" borderId="3" xfId="99" applyNumberFormat="1" applyFont="1" applyBorder="1" applyAlignment="1">
      <alignment horizontal="center" vertical="center"/>
    </xf>
    <xf numFmtId="164" fontId="105" fillId="13" borderId="3" xfId="101" applyFont="1" applyFill="1" applyBorder="1" applyAlignment="1">
      <alignment horizontal="center" vertical="center"/>
    </xf>
    <xf numFmtId="0" fontId="102" fillId="0" borderId="0" xfId="99" applyFont="1" applyAlignment="1">
      <alignment horizontal="center" vertical="center"/>
    </xf>
    <xf numFmtId="0" fontId="100" fillId="14" borderId="3" xfId="100" applyFont="1" applyFill="1" applyBorder="1" applyAlignment="1">
      <alignment horizontal="center" vertical="center" wrapText="1"/>
    </xf>
    <xf numFmtId="164" fontId="105" fillId="13" borderId="2" xfId="102" applyFont="1" applyFill="1" applyBorder="1" applyAlignment="1">
      <alignment horizontal="center" vertical="center"/>
    </xf>
    <xf numFmtId="0" fontId="100" fillId="14" borderId="3" xfId="108" applyFont="1" applyFill="1" applyBorder="1" applyAlignment="1">
      <alignment horizontal="center" vertical="center" wrapText="1"/>
    </xf>
    <xf numFmtId="14" fontId="103" fillId="0" borderId="3" xfId="108" applyNumberFormat="1" applyFont="1" applyBorder="1" applyAlignment="1">
      <alignment horizontal="center" vertical="center"/>
    </xf>
    <xf numFmtId="164" fontId="105" fillId="13" borderId="3" xfId="109" applyFont="1" applyFill="1" applyBorder="1" applyAlignment="1">
      <alignment horizontal="center" vertical="center"/>
    </xf>
    <xf numFmtId="164" fontId="105" fillId="13" borderId="2" xfId="109" applyFont="1" applyFill="1" applyBorder="1" applyAlignment="1">
      <alignment horizontal="center" vertical="center"/>
    </xf>
    <xf numFmtId="0" fontId="102" fillId="0" borderId="3" xfId="108" applyFont="1" applyBorder="1" applyAlignment="1">
      <alignment horizontal="center" vertical="center"/>
    </xf>
    <xf numFmtId="0" fontId="100" fillId="14" borderId="3" xfId="111" applyFont="1" applyFill="1" applyBorder="1" applyAlignment="1">
      <alignment horizontal="center" vertical="center" wrapText="1"/>
    </xf>
    <xf numFmtId="172" fontId="106" fillId="0" borderId="35" xfId="0" applyNumberFormat="1" applyFont="1" applyBorder="1" applyAlignment="1">
      <alignment horizontal="center" vertical="center"/>
    </xf>
    <xf numFmtId="172" fontId="104" fillId="0" borderId="35" xfId="0" applyNumberFormat="1" applyFont="1" applyBorder="1" applyAlignment="1">
      <alignment horizontal="center" vertical="center"/>
    </xf>
    <xf numFmtId="172" fontId="102" fillId="0" borderId="35" xfId="0" applyNumberFormat="1" applyFont="1" applyBorder="1" applyAlignment="1">
      <alignment horizontal="center" vertical="center"/>
    </xf>
    <xf numFmtId="0" fontId="107" fillId="19" borderId="35" xfId="108" applyFont="1" applyFill="1" applyBorder="1" applyAlignment="1">
      <alignment horizontal="center" vertical="center" wrapText="1"/>
    </xf>
    <xf numFmtId="43" fontId="107" fillId="15" borderId="35" xfId="108" applyNumberFormat="1" applyFont="1" applyFill="1" applyBorder="1" applyAlignment="1">
      <alignment horizontal="center" vertical="center"/>
    </xf>
    <xf numFmtId="0" fontId="102" fillId="0" borderId="0" xfId="99" applyFont="1"/>
    <xf numFmtId="0" fontId="65" fillId="0" borderId="0" xfId="0" applyFont="1" applyAlignment="1">
      <alignment horizontal="left"/>
    </xf>
    <xf numFmtId="0" fontId="62" fillId="2" borderId="0" xfId="59" applyFont="1" applyFill="1" applyAlignment="1">
      <alignment horizontal="center" wrapText="1"/>
    </xf>
    <xf numFmtId="0" fontId="62" fillId="2" borderId="0" xfId="59" applyFont="1" applyFill="1" applyAlignment="1">
      <alignment horizontal="right" wrapText="1"/>
    </xf>
    <xf numFmtId="43" fontId="62" fillId="2" borderId="0" xfId="59" applyNumberFormat="1" applyFont="1" applyFill="1" applyAlignment="1">
      <alignment horizontal="center"/>
    </xf>
    <xf numFmtId="0" fontId="63" fillId="2" borderId="0" xfId="59" applyFont="1" applyFill="1" applyAlignment="1">
      <alignment horizontal="center" vertical="center" wrapText="1"/>
    </xf>
    <xf numFmtId="43" fontId="62" fillId="2" borderId="17" xfId="59" applyNumberFormat="1" applyFont="1" applyFill="1" applyBorder="1" applyAlignment="1">
      <alignment horizontal="center"/>
    </xf>
    <xf numFmtId="43" fontId="67" fillId="2" borderId="0" xfId="59" applyNumberFormat="1" applyFont="1" applyFill="1" applyAlignment="1">
      <alignment horizontal="center"/>
    </xf>
    <xf numFmtId="0" fontId="75" fillId="6" borderId="0" xfId="59" applyFont="1" applyFill="1" applyAlignment="1">
      <alignment horizontal="center" vertical="justify"/>
    </xf>
    <xf numFmtId="43" fontId="77" fillId="6" borderId="0" xfId="59" applyNumberFormat="1" applyFont="1" applyFill="1" applyAlignment="1">
      <alignment horizontal="center" vertical="center"/>
    </xf>
    <xf numFmtId="0" fontId="78" fillId="2" borderId="0" xfId="59" applyFont="1" applyFill="1" applyAlignment="1">
      <alignment horizontal="center"/>
    </xf>
    <xf numFmtId="0" fontId="78" fillId="6" borderId="0" xfId="59" applyFont="1" applyFill="1" applyAlignment="1">
      <alignment horizontal="left"/>
    </xf>
    <xf numFmtId="0" fontId="63" fillId="2" borderId="0" xfId="59" applyFont="1" applyFill="1" applyAlignment="1">
      <alignment horizontal="center"/>
    </xf>
    <xf numFmtId="43" fontId="63" fillId="6" borderId="0" xfId="5" applyFont="1" applyFill="1" applyAlignment="1">
      <alignment horizontal="left"/>
    </xf>
    <xf numFmtId="0" fontId="78" fillId="6" borderId="0" xfId="59" applyFont="1" applyFill="1" applyAlignment="1">
      <alignment horizontal="center"/>
    </xf>
    <xf numFmtId="43" fontId="63" fillId="6" borderId="0" xfId="5" applyFont="1" applyFill="1" applyAlignment="1">
      <alignment horizontal="center"/>
    </xf>
    <xf numFmtId="0" fontId="62" fillId="2" borderId="0" xfId="59" applyFont="1" applyFill="1" applyAlignment="1">
      <alignment horizontal="center" vertical="center" wrapText="1"/>
    </xf>
    <xf numFmtId="0" fontId="85" fillId="2" borderId="0" xfId="28" applyFill="1" applyAlignment="1">
      <alignment horizontal="center"/>
    </xf>
    <xf numFmtId="0" fontId="55" fillId="2" borderId="0" xfId="59" applyFont="1" applyFill="1" applyAlignment="1">
      <alignment horizontal="left"/>
    </xf>
    <xf numFmtId="43" fontId="56" fillId="2" borderId="0" xfId="59" applyNumberFormat="1" applyFont="1" applyFill="1" applyAlignment="1">
      <alignment horizontal="left"/>
    </xf>
    <xf numFmtId="0" fontId="57" fillId="2" borderId="0" xfId="28" applyFont="1" applyFill="1" applyAlignment="1">
      <alignment horizontal="right"/>
    </xf>
    <xf numFmtId="0" fontId="90" fillId="0" borderId="0" xfId="0" applyFont="1" applyAlignment="1">
      <alignment horizontal="left" vertical="center"/>
    </xf>
    <xf numFmtId="0" fontId="12" fillId="2" borderId="0" xfId="28" applyFont="1" applyFill="1" applyAlignment="1">
      <alignment horizontal="center"/>
    </xf>
    <xf numFmtId="0" fontId="58" fillId="2" borderId="0" xfId="28" applyFont="1" applyFill="1" applyAlignment="1">
      <alignment horizontal="right"/>
    </xf>
    <xf numFmtId="166" fontId="42" fillId="2" borderId="0" xfId="43" applyFont="1" applyFill="1" applyAlignment="1">
      <alignment horizontal="center"/>
    </xf>
    <xf numFmtId="166" fontId="43" fillId="2" borderId="0" xfId="43" applyFont="1" applyFill="1" applyAlignment="1">
      <alignment horizontal="center"/>
    </xf>
    <xf numFmtId="14" fontId="41" fillId="2" borderId="8" xfId="43" applyNumberFormat="1" applyFont="1" applyFill="1" applyBorder="1" applyAlignment="1">
      <alignment horizontal="left" vertical="center" wrapText="1"/>
    </xf>
    <xf numFmtId="14" fontId="41" fillId="2" borderId="2" xfId="43" applyNumberFormat="1" applyFont="1" applyFill="1" applyBorder="1" applyAlignment="1">
      <alignment horizontal="left" vertical="center" wrapText="1"/>
    </xf>
    <xf numFmtId="168" fontId="41" fillId="2" borderId="8" xfId="43" applyNumberFormat="1" applyFont="1" applyFill="1" applyBorder="1" applyAlignment="1">
      <alignment horizontal="center" vertical="center"/>
    </xf>
    <xf numFmtId="168" fontId="41" fillId="2" borderId="2" xfId="43" applyNumberFormat="1" applyFont="1" applyFill="1" applyBorder="1" applyAlignment="1">
      <alignment horizontal="center" vertical="center"/>
    </xf>
    <xf numFmtId="166" fontId="41" fillId="2" borderId="8" xfId="43" applyFont="1" applyFill="1" applyBorder="1" applyAlignment="1">
      <alignment horizontal="left" vertical="center" wrapText="1"/>
    </xf>
    <xf numFmtId="166" fontId="46" fillId="2" borderId="2" xfId="43" applyFill="1" applyBorder="1" applyAlignment="1">
      <alignment horizontal="left" vertical="center" wrapText="1"/>
    </xf>
    <xf numFmtId="166" fontId="15" fillId="2" borderId="8" xfId="43" applyFont="1" applyFill="1" applyBorder="1" applyAlignment="1">
      <alignment horizontal="center" vertical="center"/>
    </xf>
    <xf numFmtId="166" fontId="15" fillId="2" borderId="2" xfId="43" applyFont="1" applyFill="1" applyBorder="1" applyAlignment="1">
      <alignment horizontal="center" vertical="center"/>
    </xf>
    <xf numFmtId="166" fontId="45" fillId="2" borderId="9" xfId="43" applyFont="1" applyFill="1" applyBorder="1" applyAlignment="1">
      <alignment horizontal="center"/>
    </xf>
    <xf numFmtId="166" fontId="45" fillId="2" borderId="10" xfId="43" applyFont="1" applyFill="1" applyBorder="1" applyAlignment="1">
      <alignment horizontal="center"/>
    </xf>
    <xf numFmtId="166" fontId="45" fillId="2" borderId="14" xfId="43" applyFont="1" applyFill="1" applyBorder="1" applyAlignment="1">
      <alignment horizontal="center"/>
    </xf>
    <xf numFmtId="166" fontId="41" fillId="2" borderId="11" xfId="43" applyFont="1" applyFill="1" applyBorder="1" applyAlignment="1">
      <alignment horizontal="center"/>
    </xf>
    <xf numFmtId="166" fontId="41" fillId="2" borderId="12" xfId="43" applyFont="1" applyFill="1" applyBorder="1" applyAlignment="1">
      <alignment horizontal="center"/>
    </xf>
    <xf numFmtId="166" fontId="47" fillId="2" borderId="11" xfId="43" applyFont="1" applyFill="1" applyBorder="1" applyAlignment="1">
      <alignment horizontal="left"/>
    </xf>
    <xf numFmtId="166" fontId="47" fillId="2" borderId="12" xfId="43" applyFont="1" applyFill="1" applyBorder="1" applyAlignment="1">
      <alignment horizontal="left"/>
    </xf>
    <xf numFmtId="43" fontId="41" fillId="2" borderId="11" xfId="1" applyFont="1" applyFill="1" applyBorder="1" applyAlignment="1">
      <alignment horizontal="center"/>
    </xf>
    <xf numFmtId="43" fontId="41" fillId="2" borderId="12" xfId="1" applyFont="1" applyFill="1" applyBorder="1" applyAlignment="1">
      <alignment horizontal="center"/>
    </xf>
    <xf numFmtId="0" fontId="50" fillId="2" borderId="12" xfId="43" applyNumberFormat="1" applyFont="1" applyFill="1" applyBorder="1" applyAlignment="1">
      <alignment horizontal="center"/>
    </xf>
    <xf numFmtId="43" fontId="15" fillId="0" borderId="11" xfId="1" applyFont="1" applyFill="1" applyBorder="1" applyAlignment="1">
      <alignment horizontal="center"/>
    </xf>
    <xf numFmtId="43" fontId="15" fillId="0" borderId="12" xfId="1" applyFont="1" applyFill="1" applyBorder="1" applyAlignment="1">
      <alignment horizontal="center"/>
    </xf>
    <xf numFmtId="43" fontId="51" fillId="0" borderId="11" xfId="1" applyFont="1" applyFill="1" applyBorder="1" applyAlignment="1">
      <alignment horizontal="center"/>
    </xf>
    <xf numFmtId="43" fontId="51" fillId="0" borderId="12" xfId="1" applyFont="1" applyFill="1" applyBorder="1" applyAlignment="1">
      <alignment horizontal="center"/>
    </xf>
    <xf numFmtId="43" fontId="48" fillId="0" borderId="11" xfId="1" applyFont="1" applyFill="1" applyBorder="1" applyAlignment="1">
      <alignment horizontal="center"/>
    </xf>
    <xf numFmtId="43" fontId="48" fillId="0" borderId="12" xfId="1" applyFont="1" applyFill="1" applyBorder="1" applyAlignment="1">
      <alignment horizontal="center"/>
    </xf>
    <xf numFmtId="166" fontId="41" fillId="2" borderId="0" xfId="43" applyFont="1" applyFill="1" applyAlignment="1">
      <alignment horizontal="center"/>
    </xf>
    <xf numFmtId="166" fontId="52" fillId="2" borderId="7" xfId="43" applyFont="1" applyFill="1" applyBorder="1" applyAlignment="1">
      <alignment horizontal="center"/>
    </xf>
    <xf numFmtId="166" fontId="52" fillId="2" borderId="0" xfId="43" applyFont="1" applyFill="1" applyAlignment="1">
      <alignment horizontal="center"/>
    </xf>
    <xf numFmtId="166" fontId="52" fillId="2" borderId="5" xfId="43" applyFont="1" applyFill="1" applyBorder="1" applyAlignment="1">
      <alignment horizontal="center"/>
    </xf>
    <xf numFmtId="166" fontId="41" fillId="2" borderId="5" xfId="43" applyFont="1" applyFill="1" applyBorder="1" applyAlignment="1">
      <alignment horizontal="center"/>
    </xf>
    <xf numFmtId="43" fontId="29" fillId="3" borderId="3" xfId="2" applyFont="1" applyFill="1" applyBorder="1" applyAlignment="1" applyProtection="1">
      <alignment horizontal="center" vertical="center" wrapText="1"/>
    </xf>
    <xf numFmtId="43" fontId="29" fillId="3" borderId="4" xfId="2" applyFont="1" applyFill="1" applyBorder="1" applyAlignment="1" applyProtection="1">
      <alignment horizontal="center" vertical="center" wrapText="1"/>
    </xf>
    <xf numFmtId="43" fontId="29" fillId="3" borderId="6" xfId="2" applyFont="1" applyFill="1" applyBorder="1" applyAlignment="1" applyProtection="1">
      <alignment horizontal="center" vertical="center" wrapText="1"/>
    </xf>
    <xf numFmtId="0" fontId="29" fillId="3" borderId="4" xfId="30" applyFont="1" applyFill="1" applyBorder="1" applyAlignment="1">
      <alignment horizontal="center" vertical="center"/>
    </xf>
    <xf numFmtId="0" fontId="29" fillId="3" borderId="6" xfId="30" applyFont="1" applyFill="1" applyBorder="1" applyAlignment="1">
      <alignment horizontal="center" vertical="center"/>
    </xf>
    <xf numFmtId="43" fontId="29" fillId="12" borderId="3" xfId="2" applyFont="1" applyFill="1" applyBorder="1" applyAlignment="1" applyProtection="1">
      <alignment horizontal="center" vertical="center" wrapText="1"/>
    </xf>
    <xf numFmtId="0" fontId="88" fillId="9" borderId="19" xfId="60" applyFont="1" applyFill="1" applyBorder="1" applyAlignment="1">
      <alignment horizontal="center" wrapText="1"/>
    </xf>
    <xf numFmtId="0" fontId="88" fillId="9" borderId="26" xfId="60" applyFont="1" applyFill="1" applyBorder="1" applyAlignment="1">
      <alignment horizontal="center" wrapText="1"/>
    </xf>
    <xf numFmtId="0" fontId="88" fillId="9" borderId="20" xfId="60" applyFont="1" applyFill="1" applyBorder="1" applyAlignment="1">
      <alignment horizontal="center" wrapText="1"/>
    </xf>
    <xf numFmtId="0" fontId="88" fillId="5" borderId="27" xfId="60" applyFont="1" applyFill="1" applyBorder="1" applyAlignment="1">
      <alignment horizontal="center" wrapText="1"/>
    </xf>
    <xf numFmtId="0" fontId="88" fillId="5" borderId="31" xfId="60" applyFont="1" applyFill="1" applyBorder="1" applyAlignment="1">
      <alignment horizontal="center" wrapText="1"/>
    </xf>
    <xf numFmtId="0" fontId="13" fillId="0" borderId="0" xfId="60" applyAlignment="1">
      <alignment horizontal="center"/>
    </xf>
    <xf numFmtId="0" fontId="13" fillId="0" borderId="18" xfId="60" applyBorder="1" applyAlignment="1">
      <alignment horizontal="center"/>
    </xf>
    <xf numFmtId="0" fontId="88" fillId="5" borderId="19" xfId="60" applyFont="1" applyFill="1" applyBorder="1" applyAlignment="1">
      <alignment horizontal="center" vertical="center" wrapText="1"/>
    </xf>
    <xf numFmtId="0" fontId="88" fillId="5" borderId="20" xfId="60" applyFont="1" applyFill="1" applyBorder="1" applyAlignment="1">
      <alignment horizontal="center" vertical="center" wrapText="1"/>
    </xf>
    <xf numFmtId="0" fontId="88" fillId="5" borderId="24" xfId="60" applyFont="1" applyFill="1" applyBorder="1" applyAlignment="1">
      <alignment horizontal="center" vertical="center" wrapText="1"/>
    </xf>
    <xf numFmtId="0" fontId="88" fillId="5" borderId="25" xfId="60" applyFont="1" applyFill="1" applyBorder="1" applyAlignment="1">
      <alignment horizontal="center" vertical="center" wrapText="1"/>
    </xf>
    <xf numFmtId="0" fontId="88" fillId="5" borderId="28" xfId="60" applyFont="1" applyFill="1" applyBorder="1" applyAlignment="1">
      <alignment horizontal="center" vertical="center" wrapText="1"/>
    </xf>
    <xf numFmtId="0" fontId="88" fillId="5" borderId="29" xfId="60" applyFont="1" applyFill="1" applyBorder="1" applyAlignment="1">
      <alignment horizontal="center" vertical="center" wrapText="1"/>
    </xf>
    <xf numFmtId="0" fontId="88" fillId="5" borderId="21" xfId="60" applyFont="1" applyFill="1" applyBorder="1" applyAlignment="1">
      <alignment horizontal="center" wrapText="1"/>
    </xf>
    <xf numFmtId="0" fontId="88" fillId="5" borderId="22" xfId="60" applyFont="1" applyFill="1" applyBorder="1" applyAlignment="1">
      <alignment horizontal="center" wrapText="1"/>
    </xf>
    <xf numFmtId="0" fontId="88" fillId="5" borderId="23" xfId="60" applyFont="1" applyFill="1" applyBorder="1" applyAlignment="1">
      <alignment horizontal="center" wrapText="1"/>
    </xf>
    <xf numFmtId="0" fontId="88" fillId="5" borderId="19" xfId="60" applyFont="1" applyFill="1" applyBorder="1" applyAlignment="1">
      <alignment horizontal="center"/>
    </xf>
    <xf numFmtId="0" fontId="88" fillId="5" borderId="28" xfId="60" applyFont="1" applyFill="1" applyBorder="1" applyAlignment="1">
      <alignment horizontal="center"/>
    </xf>
    <xf numFmtId="0" fontId="88" fillId="5" borderId="26" xfId="60" applyFont="1" applyFill="1" applyBorder="1" applyAlignment="1">
      <alignment horizontal="center" wrapText="1"/>
    </xf>
    <xf numFmtId="0" fontId="88" fillId="5" borderId="30" xfId="60" applyFont="1" applyFill="1" applyBorder="1" applyAlignment="1">
      <alignment horizontal="center" wrapText="1"/>
    </xf>
    <xf numFmtId="0" fontId="88" fillId="5" borderId="20" xfId="60" applyFont="1" applyFill="1" applyBorder="1" applyAlignment="1">
      <alignment horizontal="center" wrapText="1"/>
    </xf>
    <xf numFmtId="0" fontId="88" fillId="5" borderId="29" xfId="60" applyFont="1" applyFill="1" applyBorder="1" applyAlignment="1">
      <alignment horizontal="center" wrapText="1"/>
    </xf>
    <xf numFmtId="0" fontId="88" fillId="8" borderId="19" xfId="60" applyFont="1" applyFill="1" applyBorder="1" applyAlignment="1">
      <alignment horizontal="center" wrapText="1"/>
    </xf>
    <xf numFmtId="0" fontId="88" fillId="8" borderId="26" xfId="60" applyFont="1" applyFill="1" applyBorder="1" applyAlignment="1">
      <alignment horizontal="center" wrapText="1"/>
    </xf>
    <xf numFmtId="0" fontId="88" fillId="8" borderId="20" xfId="60" applyFont="1" applyFill="1" applyBorder="1" applyAlignment="1">
      <alignment horizontal="center" wrapText="1"/>
    </xf>
    <xf numFmtId="0" fontId="102" fillId="0" borderId="43" xfId="133" applyFont="1" applyBorder="1" applyAlignment="1">
      <alignment horizontal="center" vertical="center"/>
    </xf>
    <xf numFmtId="0" fontId="103" fillId="0" borderId="41" xfId="133" applyFont="1" applyBorder="1"/>
    <xf numFmtId="0" fontId="103" fillId="0" borderId="40" xfId="133" applyFont="1" applyBorder="1"/>
    <xf numFmtId="173" fontId="104" fillId="16" borderId="37" xfId="133" applyNumberFormat="1" applyFont="1" applyFill="1" applyBorder="1" applyAlignment="1">
      <alignment horizontal="center" vertical="center" wrapText="1"/>
    </xf>
    <xf numFmtId="173" fontId="104" fillId="0" borderId="42" xfId="133" applyNumberFormat="1" applyFont="1" applyBorder="1" applyAlignment="1">
      <alignment vertical="center"/>
    </xf>
    <xf numFmtId="0" fontId="102" fillId="0" borderId="4" xfId="133" applyFont="1" applyBorder="1" applyAlignment="1">
      <alignment horizontal="center" vertical="center"/>
    </xf>
    <xf numFmtId="0" fontId="102" fillId="0" borderId="38" xfId="133" applyFont="1" applyBorder="1" applyAlignment="1">
      <alignment horizontal="center" vertical="center"/>
    </xf>
    <xf numFmtId="0" fontId="102" fillId="0" borderId="6" xfId="133" applyFont="1" applyBorder="1" applyAlignment="1">
      <alignment horizontal="center" vertical="center"/>
    </xf>
    <xf numFmtId="173" fontId="104" fillId="0" borderId="46" xfId="131" applyNumberFormat="1" applyFont="1" applyBorder="1" applyAlignment="1">
      <alignment horizontal="center" vertical="center"/>
    </xf>
    <xf numFmtId="173" fontId="104" fillId="0" borderId="47" xfId="131" applyNumberFormat="1" applyFont="1" applyBorder="1" applyAlignment="1">
      <alignment horizontal="center" vertical="center"/>
    </xf>
    <xf numFmtId="173" fontId="104" fillId="16" borderId="44" xfId="131" applyNumberFormat="1" applyFont="1" applyFill="1" applyBorder="1" applyAlignment="1">
      <alignment horizontal="center" vertical="center"/>
    </xf>
    <xf numFmtId="173" fontId="104" fillId="16" borderId="45" xfId="131" applyNumberFormat="1" applyFont="1" applyFill="1" applyBorder="1" applyAlignment="1">
      <alignment horizontal="center" vertical="center"/>
    </xf>
    <xf numFmtId="173" fontId="104" fillId="16" borderId="37" xfId="131" applyNumberFormat="1" applyFont="1" applyFill="1" applyBorder="1" applyAlignment="1">
      <alignment horizontal="center" vertical="center" wrapText="1"/>
    </xf>
    <xf numFmtId="173" fontId="103" fillId="0" borderId="42" xfId="131" applyNumberFormat="1" applyFont="1" applyBorder="1" applyAlignment="1">
      <alignment vertical="center"/>
    </xf>
    <xf numFmtId="0" fontId="102" fillId="0" borderId="4" xfId="132" applyFont="1" applyBorder="1" applyAlignment="1">
      <alignment horizontal="center" vertical="center"/>
    </xf>
    <xf numFmtId="0" fontId="102" fillId="0" borderId="38" xfId="132" applyFont="1" applyBorder="1" applyAlignment="1">
      <alignment horizontal="center" vertical="center"/>
    </xf>
    <xf numFmtId="0" fontId="102" fillId="0" borderId="6" xfId="132" applyFont="1" applyBorder="1" applyAlignment="1">
      <alignment horizontal="center" vertical="center"/>
    </xf>
    <xf numFmtId="173" fontId="102" fillId="16" borderId="37" xfId="133" applyNumberFormat="1" applyFont="1" applyFill="1" applyBorder="1" applyAlignment="1">
      <alignment horizontal="center" vertical="center" wrapText="1"/>
    </xf>
    <xf numFmtId="173" fontId="102" fillId="0" borderId="42" xfId="133" applyNumberFormat="1" applyFont="1" applyBorder="1" applyAlignment="1">
      <alignment vertical="center"/>
    </xf>
    <xf numFmtId="0" fontId="102" fillId="0" borderId="4" xfId="131" applyFont="1" applyBorder="1" applyAlignment="1">
      <alignment horizontal="center" vertical="center"/>
    </xf>
    <xf numFmtId="0" fontId="102" fillId="0" borderId="38" xfId="131" applyFont="1" applyBorder="1" applyAlignment="1">
      <alignment horizontal="center" vertical="center"/>
    </xf>
    <xf numFmtId="0" fontId="102" fillId="0" borderId="6" xfId="131" applyFont="1" applyBorder="1" applyAlignment="1">
      <alignment horizontal="center" vertical="center"/>
    </xf>
    <xf numFmtId="43" fontId="99" fillId="0" borderId="0" xfId="1" applyFont="1"/>
    <xf numFmtId="43" fontId="99" fillId="2" borderId="0" xfId="1" applyFont="1" applyFill="1"/>
    <xf numFmtId="43" fontId="99" fillId="2" borderId="0" xfId="1" applyFont="1" applyFill="1" applyAlignment="1">
      <alignment horizontal="center" vertical="center"/>
    </xf>
    <xf numFmtId="43" fontId="99" fillId="0" borderId="0" xfId="1" applyFont="1" applyAlignment="1">
      <alignment vertical="center"/>
    </xf>
    <xf numFmtId="43" fontId="109" fillId="0" borderId="0" xfId="1" applyFont="1" applyAlignment="1">
      <alignment vertical="center"/>
    </xf>
    <xf numFmtId="43" fontId="99" fillId="0" borderId="0" xfId="1" applyFont="1" applyFill="1" applyAlignment="1" applyProtection="1"/>
  </cellXfs>
  <cellStyles count="145">
    <cellStyle name="Comma" xfId="1" builtinId="3"/>
    <cellStyle name="Comma 10" xfId="94" xr:uid="{00000000-0005-0000-0000-000001000000}"/>
    <cellStyle name="Comma 10 2" xfId="2" xr:uid="{00000000-0005-0000-0000-000002000000}"/>
    <cellStyle name="Comma 11" xfId="101" xr:uid="{00000000-0005-0000-0000-000003000000}"/>
    <cellStyle name="Comma 11 2" xfId="119" xr:uid="{00000000-0005-0000-0000-000004000000}"/>
    <cellStyle name="Comma 11 3" xfId="135" xr:uid="{610B6812-3C49-413D-A5A4-8948734F77E1}"/>
    <cellStyle name="Comma 12" xfId="109" xr:uid="{00000000-0005-0000-0000-000005000000}"/>
    <cellStyle name="Comma 12 2" xfId="126" xr:uid="{00000000-0005-0000-0000-000006000000}"/>
    <cellStyle name="Comma 12 3" xfId="141" xr:uid="{CCE62CE6-8CA2-4C63-8A4E-94DEED426233}"/>
    <cellStyle name="Comma 2" xfId="3" xr:uid="{00000000-0005-0000-0000-000007000000}"/>
    <cellStyle name="Comma 2 2" xfId="102" xr:uid="{00000000-0005-0000-0000-000008000000}"/>
    <cellStyle name="Comma 2 2 2" xfId="121" xr:uid="{00000000-0005-0000-0000-000009000000}"/>
    <cellStyle name="Comma 2 2 2 3" xfId="112" xr:uid="{00000000-0005-0000-0000-00000A000000}"/>
    <cellStyle name="Comma 2 2 2 3 2" xfId="129" xr:uid="{00000000-0005-0000-0000-00000B000000}"/>
    <cellStyle name="Comma 2 2 2 3 3" xfId="144" xr:uid="{769B65AA-7DD1-43BF-900C-B28195E8E831}"/>
    <cellStyle name="Comma 2 2 3" xfId="137" xr:uid="{2DD17B94-E081-473F-8E76-A0091B961AB5}"/>
    <cellStyle name="Comma 29" xfId="4" xr:uid="{00000000-0005-0000-0000-00000C000000}"/>
    <cellStyle name="Comma 29 10" xfId="5" xr:uid="{00000000-0005-0000-0000-00000D000000}"/>
    <cellStyle name="Comma 3" xfId="6" xr:uid="{00000000-0005-0000-0000-00000E000000}"/>
    <cellStyle name="Comma 39" xfId="7" xr:uid="{00000000-0005-0000-0000-00000F000000}"/>
    <cellStyle name="Comma 4" xfId="8" xr:uid="{00000000-0005-0000-0000-000010000000}"/>
    <cellStyle name="Comma 4 2" xfId="9" xr:uid="{00000000-0005-0000-0000-000011000000}"/>
    <cellStyle name="Comma 4 3" xfId="69" xr:uid="{00000000-0005-0000-0000-000012000000}"/>
    <cellStyle name="Comma 4 4" xfId="77" xr:uid="{00000000-0005-0000-0000-000013000000}"/>
    <cellStyle name="Comma 4 5" xfId="86" xr:uid="{00000000-0005-0000-0000-000014000000}"/>
    <cellStyle name="Comma 4 6" xfId="92" xr:uid="{00000000-0005-0000-0000-000015000000}"/>
    <cellStyle name="Comma 4 7" xfId="97" xr:uid="{00000000-0005-0000-0000-000016000000}"/>
    <cellStyle name="Comma 4 8" xfId="106" xr:uid="{00000000-0005-0000-0000-000017000000}"/>
    <cellStyle name="Comma 4 8 2" xfId="118" xr:uid="{00000000-0005-0000-0000-000018000000}"/>
    <cellStyle name="Comma 4 8 3" xfId="134" xr:uid="{D7E126A1-3EF8-4034-AC3C-2A66F878B4E6}"/>
    <cellStyle name="Comma 40" xfId="10" xr:uid="{00000000-0005-0000-0000-000019000000}"/>
    <cellStyle name="Comma 5" xfId="68" xr:uid="{00000000-0005-0000-0000-00001A000000}"/>
    <cellStyle name="Comma 6" xfId="76" xr:uid="{00000000-0005-0000-0000-00001B000000}"/>
    <cellStyle name="Comma 7" xfId="81" xr:uid="{00000000-0005-0000-0000-00001C000000}"/>
    <cellStyle name="Comma 8" xfId="85" xr:uid="{00000000-0005-0000-0000-00001D000000}"/>
    <cellStyle name="Comma 85 14" xfId="62" xr:uid="{00000000-0005-0000-0000-00001E000000}"/>
    <cellStyle name="Comma 9" xfId="89" xr:uid="{00000000-0005-0000-0000-00001F000000}"/>
    <cellStyle name="Normal" xfId="0" builtinId="0"/>
    <cellStyle name="Normal 10" xfId="11" xr:uid="{00000000-0005-0000-0000-000021000000}"/>
    <cellStyle name="Normal 10 2" xfId="72" xr:uid="{00000000-0005-0000-0000-000022000000}"/>
    <cellStyle name="Normal 10 2 2" xfId="114" xr:uid="{00000000-0005-0000-0000-000023000000}"/>
    <cellStyle name="Normal 10 2 3" xfId="63" xr:uid="{00000000-0005-0000-0000-000024000000}"/>
    <cellStyle name="Normal 10 3" xfId="107" xr:uid="{00000000-0005-0000-0000-000025000000}"/>
    <cellStyle name="Normal 10 3 2" xfId="116" xr:uid="{00000000-0005-0000-0000-000026000000}"/>
    <cellStyle name="Normal 10 3 3" xfId="131" xr:uid="{33882276-6BEA-47F4-AF5E-71CB854A9930}"/>
    <cellStyle name="Normal 11" xfId="12" xr:uid="{00000000-0005-0000-0000-000027000000}"/>
    <cellStyle name="Normal 11 2" xfId="74" xr:uid="{00000000-0005-0000-0000-000028000000}"/>
    <cellStyle name="Normal 11 3" xfId="105" xr:uid="{00000000-0005-0000-0000-000029000000}"/>
    <cellStyle name="Normal 11 3 2" xfId="123" xr:uid="{00000000-0005-0000-0000-00002A000000}"/>
    <cellStyle name="Normal 11 3 3" xfId="139" xr:uid="{3B1E00FB-A158-4524-A3F0-301FDAA23582}"/>
    <cellStyle name="Normal 12" xfId="60" xr:uid="{00000000-0005-0000-0000-00002B000000}"/>
    <cellStyle name="Normal 13" xfId="66" xr:uid="{00000000-0005-0000-0000-00002C000000}"/>
    <cellStyle name="Normal 14" xfId="99" xr:uid="{00000000-0005-0000-0000-00002D000000}"/>
    <cellStyle name="Normal 14 2" xfId="117" xr:uid="{00000000-0005-0000-0000-00002E000000}"/>
    <cellStyle name="Normal 14 3" xfId="132" xr:uid="{E33C9E59-9235-4A19-A4A2-19ED4DCDE59C}"/>
    <cellStyle name="Normal 15" xfId="108" xr:uid="{00000000-0005-0000-0000-00002F000000}"/>
    <cellStyle name="Normal 15 2" xfId="125" xr:uid="{00000000-0005-0000-0000-000030000000}"/>
    <cellStyle name="Normal 15 2 2" xfId="133" xr:uid="{4CE580B3-720F-4F50-994F-91C9323CA1C0}"/>
    <cellStyle name="Normal 2" xfId="13" xr:uid="{00000000-0005-0000-0000-000031000000}"/>
    <cellStyle name="Normal 2 2" xfId="14" xr:uid="{00000000-0005-0000-0000-000032000000}"/>
    <cellStyle name="Normal 2 2 2" xfId="15" xr:uid="{00000000-0005-0000-0000-000033000000}"/>
    <cellStyle name="Normal 2 2 2 2" xfId="16" xr:uid="{00000000-0005-0000-0000-000034000000}"/>
    <cellStyle name="Normal 2 2 2 3" xfId="70" xr:uid="{00000000-0005-0000-0000-000035000000}"/>
    <cellStyle name="Normal 2 2 2 4" xfId="65" xr:uid="{00000000-0005-0000-0000-000036000000}"/>
    <cellStyle name="Normal 2 2 2 4 2" xfId="71" xr:uid="{00000000-0005-0000-0000-000037000000}"/>
    <cellStyle name="Normal 2 2 2 4 3" xfId="79" xr:uid="{00000000-0005-0000-0000-000038000000}"/>
    <cellStyle name="Normal 2 2 2 4 4" xfId="83" xr:uid="{00000000-0005-0000-0000-000039000000}"/>
    <cellStyle name="Normal 2 2 2 4 5" xfId="88" xr:uid="{00000000-0005-0000-0000-00003A000000}"/>
    <cellStyle name="Normal 2 2 2 4 6" xfId="93" xr:uid="{00000000-0005-0000-0000-00003B000000}"/>
    <cellStyle name="Normal 2 2 2 4 7" xfId="98" xr:uid="{00000000-0005-0000-0000-00003C000000}"/>
    <cellStyle name="Normal 2 2 2 5" xfId="78" xr:uid="{00000000-0005-0000-0000-00003D000000}"/>
    <cellStyle name="Normal 2 2 2 6" xfId="82" xr:uid="{00000000-0005-0000-0000-00003E000000}"/>
    <cellStyle name="Normal 2 2 2 7" xfId="87" xr:uid="{00000000-0005-0000-0000-00003F000000}"/>
    <cellStyle name="Normal 2 2 2 8" xfId="91" xr:uid="{00000000-0005-0000-0000-000040000000}"/>
    <cellStyle name="Normal 2 2 2 9" xfId="96" xr:uid="{00000000-0005-0000-0000-000041000000}"/>
    <cellStyle name="Normal 2 3" xfId="17" xr:uid="{00000000-0005-0000-0000-000042000000}"/>
    <cellStyle name="Normal 2 4" xfId="18" xr:uid="{00000000-0005-0000-0000-000043000000}"/>
    <cellStyle name="Normal 220" xfId="19" xr:uid="{00000000-0005-0000-0000-000044000000}"/>
    <cellStyle name="Normal 220 2" xfId="20" xr:uid="{00000000-0005-0000-0000-000045000000}"/>
    <cellStyle name="Normal 220 3" xfId="21" xr:uid="{00000000-0005-0000-0000-000046000000}"/>
    <cellStyle name="Normal 220 4" xfId="22" xr:uid="{00000000-0005-0000-0000-000047000000}"/>
    <cellStyle name="Normal 226" xfId="23" xr:uid="{00000000-0005-0000-0000-000048000000}"/>
    <cellStyle name="Normal 226 2" xfId="24" xr:uid="{00000000-0005-0000-0000-000049000000}"/>
    <cellStyle name="Normal 226 2 2" xfId="25" xr:uid="{00000000-0005-0000-0000-00004A000000}"/>
    <cellStyle name="Normal 226 2 3" xfId="26" xr:uid="{00000000-0005-0000-0000-00004B000000}"/>
    <cellStyle name="Normal 226 2 4" xfId="27" xr:uid="{00000000-0005-0000-0000-00004C000000}"/>
    <cellStyle name="Normal 271" xfId="28" xr:uid="{00000000-0005-0000-0000-00004D000000}"/>
    <cellStyle name="Normal 3" xfId="29" xr:uid="{00000000-0005-0000-0000-00004E000000}"/>
    <cellStyle name="Normal 3 2" xfId="30" xr:uid="{00000000-0005-0000-0000-00004F000000}"/>
    <cellStyle name="Normal 3 3" xfId="31" xr:uid="{00000000-0005-0000-0000-000050000000}"/>
    <cellStyle name="Normal 3 3 2" xfId="104" xr:uid="{00000000-0005-0000-0000-000051000000}"/>
    <cellStyle name="Normal 3 3 2 2" xfId="122" xr:uid="{00000000-0005-0000-0000-000052000000}"/>
    <cellStyle name="Normal 3 3 2 3" xfId="138" xr:uid="{8264DCA0-7EC8-403A-8210-91FE8DF3F70E}"/>
    <cellStyle name="Normal 3 3 3" xfId="111" xr:uid="{00000000-0005-0000-0000-000053000000}"/>
    <cellStyle name="Normal 3 3 3 2" xfId="127" xr:uid="{00000000-0005-0000-0000-000054000000}"/>
    <cellStyle name="Normal 3 3 3 3" xfId="142" xr:uid="{97D44377-0848-4874-A186-91C228BB8D3F}"/>
    <cellStyle name="Normal 3 4" xfId="32" xr:uid="{00000000-0005-0000-0000-000055000000}"/>
    <cellStyle name="Normal 3 5" xfId="100" xr:uid="{00000000-0005-0000-0000-000056000000}"/>
    <cellStyle name="Normal 3 5 2" xfId="120" xr:uid="{00000000-0005-0000-0000-000057000000}"/>
    <cellStyle name="Normal 3 5 3" xfId="136" xr:uid="{7C2C91D0-1614-4DAC-BC5A-C61DE2F8826F}"/>
    <cellStyle name="Normal 4" xfId="33" xr:uid="{00000000-0005-0000-0000-000058000000}"/>
    <cellStyle name="Normal 4 2" xfId="34" xr:uid="{00000000-0005-0000-0000-000059000000}"/>
    <cellStyle name="Normal 4 3" xfId="35" xr:uid="{00000000-0005-0000-0000-00005A000000}"/>
    <cellStyle name="Normal 4 4" xfId="36" xr:uid="{00000000-0005-0000-0000-00005B000000}"/>
    <cellStyle name="Normal 4 5" xfId="37" xr:uid="{00000000-0005-0000-0000-00005C000000}"/>
    <cellStyle name="Normal 5" xfId="38" xr:uid="{00000000-0005-0000-0000-00005D000000}"/>
    <cellStyle name="Normal 5 2" xfId="39" xr:uid="{00000000-0005-0000-0000-00005E000000}"/>
    <cellStyle name="Normal 5 3" xfId="40" xr:uid="{00000000-0005-0000-0000-00005F000000}"/>
    <cellStyle name="Normal 5 4" xfId="41" xr:uid="{00000000-0005-0000-0000-000060000000}"/>
    <cellStyle name="Normal 5 5" xfId="42" xr:uid="{00000000-0005-0000-0000-000061000000}"/>
    <cellStyle name="Normal 5 6" xfId="43" xr:uid="{00000000-0005-0000-0000-000062000000}"/>
    <cellStyle name="Normal 6" xfId="44" xr:uid="{00000000-0005-0000-0000-000063000000}"/>
    <cellStyle name="Normal 6 2" xfId="45" xr:uid="{00000000-0005-0000-0000-000064000000}"/>
    <cellStyle name="Normal 6 3" xfId="46" xr:uid="{00000000-0005-0000-0000-000065000000}"/>
    <cellStyle name="Normal 6 4" xfId="47" xr:uid="{00000000-0005-0000-0000-000066000000}"/>
    <cellStyle name="Normal 60" xfId="48" xr:uid="{00000000-0005-0000-0000-000067000000}"/>
    <cellStyle name="Normal 7" xfId="49" xr:uid="{00000000-0005-0000-0000-000068000000}"/>
    <cellStyle name="Normal 7 2" xfId="50" xr:uid="{00000000-0005-0000-0000-000069000000}"/>
    <cellStyle name="Normal 7 3" xfId="51" xr:uid="{00000000-0005-0000-0000-00006A000000}"/>
    <cellStyle name="Normal 7 4" xfId="52" xr:uid="{00000000-0005-0000-0000-00006B000000}"/>
    <cellStyle name="Normal 8" xfId="53" xr:uid="{00000000-0005-0000-0000-00006C000000}"/>
    <cellStyle name="Normal 8 10" xfId="84" xr:uid="{00000000-0005-0000-0000-00006D000000}"/>
    <cellStyle name="Normal 8 11" xfId="90" xr:uid="{00000000-0005-0000-0000-00006E000000}"/>
    <cellStyle name="Normal 8 12" xfId="95" xr:uid="{00000000-0005-0000-0000-00006F000000}"/>
    <cellStyle name="Normal 8 13" xfId="110" xr:uid="{00000000-0005-0000-0000-000070000000}"/>
    <cellStyle name="Normal 8 13 2" xfId="124" xr:uid="{00000000-0005-0000-0000-000071000000}"/>
    <cellStyle name="Normal 8 13 3" xfId="140" xr:uid="{3DF94222-E326-4F00-96EC-2923F104F4AD}"/>
    <cellStyle name="Normal 8 2" xfId="54" xr:uid="{00000000-0005-0000-0000-000072000000}"/>
    <cellStyle name="Normal 8 2 2" xfId="103" xr:uid="{00000000-0005-0000-0000-000073000000}"/>
    <cellStyle name="Normal 8 2 2 2" xfId="115" xr:uid="{00000000-0005-0000-0000-000074000000}"/>
    <cellStyle name="Normal 8 2 2 3" xfId="64" xr:uid="{00000000-0005-0000-0000-000075000000}"/>
    <cellStyle name="Normal 8 2 2 4" xfId="130" xr:uid="{BAEBCC34-24D9-4768-AF9E-82067E3CCD86}"/>
    <cellStyle name="Normal 8 2 3" xfId="113" xr:uid="{00000000-0005-0000-0000-000076000000}"/>
    <cellStyle name="Normal 8 2 3 2" xfId="128" xr:uid="{00000000-0005-0000-0000-000077000000}"/>
    <cellStyle name="Normal 8 2 3 3" xfId="143" xr:uid="{9CCE6F29-E9A9-4CED-9F2C-5FA52B84CA8D}"/>
    <cellStyle name="Normal 8 3" xfId="55" xr:uid="{00000000-0005-0000-0000-000078000000}"/>
    <cellStyle name="Normal 8 4" xfId="56" xr:uid="{00000000-0005-0000-0000-000079000000}"/>
    <cellStyle name="Normal 8 5" xfId="57" xr:uid="{00000000-0005-0000-0000-00007A000000}"/>
    <cellStyle name="Normal 8 6" xfId="67" xr:uid="{00000000-0005-0000-0000-00007B000000}"/>
    <cellStyle name="Normal 8 7" xfId="73" xr:uid="{00000000-0005-0000-0000-00007C000000}"/>
    <cellStyle name="Normal 8 8" xfId="75" xr:uid="{00000000-0005-0000-0000-00007D000000}"/>
    <cellStyle name="Normal 8 9" xfId="80" xr:uid="{00000000-0005-0000-0000-00007E000000}"/>
    <cellStyle name="Normal 9" xfId="58" xr:uid="{00000000-0005-0000-0000-00007F000000}"/>
    <cellStyle name="Normal 9 2" xfId="61" xr:uid="{00000000-0005-0000-0000-000080000000}"/>
    <cellStyle name="Normal_==@summary billing of Laak APRIL 25-MAY 8, 2009" xfId="59" xr:uid="{00000000-0005-0000-0000-000081000000}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64851</xdr:colOff>
      <xdr:row>0</xdr:row>
      <xdr:rowOff>64850</xdr:rowOff>
    </xdr:from>
    <xdr:to>
      <xdr:col>4</xdr:col>
      <xdr:colOff>1400412</xdr:colOff>
      <xdr:row>3</xdr:row>
      <xdr:rowOff>382851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" y="64770"/>
          <a:ext cx="3354705" cy="917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een/Downloads/Final&#160;Manpower&#160;Report_GH&#160;NEW&#160;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een/Downloads/F3%20METAL%20STAMPING%20MAY%2026-JUNE%2010,%202026%20Rev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een/Downloads/F1%20MS%20MAY%2026-JUNE%2010,%202026%20Rev.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Chris%20Files\Furukawa,%20Chiyoda,%20HYS%20Billing%20Backup\HYS\3.%20Oct%2026-Nov%2010,%202025\DTR_Rev%202\BILLING%20Oct%2026-Nov%2010,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MELANIE/PAYROLL/5-20%20PAYROLL/HYS/JUNE%2026%20-%20JULY%2010,%202026/F3%20MS%20JUNE%2026-JULY%2010,%202026%20Rev.%20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E GH"/>
      <sheetName val="INACTIVE GH"/>
      <sheetName val="HR LEE &gt; Note"/>
    </sheetNames>
    <sheetDataSet>
      <sheetData sheetId="0">
        <row r="1"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C5">
            <v>0</v>
          </cell>
          <cell r="D5" t="str">
            <v>Active Goldenhand Manpower as of May 26, 2026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 t="str">
            <v>Old Emp #</v>
          </cell>
          <cell r="D7" t="str">
            <v>New Emp #</v>
          </cell>
          <cell r="E7" t="str">
            <v>Last Name</v>
          </cell>
          <cell r="F7" t="str">
            <v>First Name</v>
          </cell>
          <cell r="G7" t="str">
            <v>Middle Name</v>
          </cell>
          <cell r="H7" t="str">
            <v>Full Name</v>
          </cell>
          <cell r="I7" t="str">
            <v>BU</v>
          </cell>
          <cell r="J7" t="str">
            <v>Department</v>
          </cell>
          <cell r="K7" t="str">
            <v>Section</v>
          </cell>
          <cell r="L7" t="str">
            <v>F3 - Metal Stamping</v>
          </cell>
          <cell r="M7" t="str">
            <v>Job Level</v>
          </cell>
          <cell r="N7" t="str">
            <v>Position</v>
          </cell>
        </row>
        <row r="8">
          <cell r="C8">
            <v>3360</v>
          </cell>
          <cell r="D8" t="str">
            <v>GD250006</v>
          </cell>
          <cell r="E8" t="str">
            <v>PENOY</v>
          </cell>
          <cell r="F8" t="str">
            <v>KRISSHA CLAIRE</v>
          </cell>
          <cell r="G8" t="str">
            <v>NOVICIO</v>
          </cell>
          <cell r="H8" t="str">
            <v>PENOY, KRISSHA CLAIRE NOVICIO</v>
          </cell>
          <cell r="I8" t="str">
            <v>METAL STAMPING</v>
          </cell>
          <cell r="J8" t="str">
            <v>PRODUCTION</v>
          </cell>
          <cell r="K8" t="str">
            <v>CLEANING</v>
          </cell>
          <cell r="L8">
            <v>0</v>
          </cell>
          <cell r="M8" t="str">
            <v>Operator</v>
          </cell>
          <cell r="N8" t="str">
            <v>Operator 1</v>
          </cell>
        </row>
        <row r="9">
          <cell r="C9">
            <v>2043</v>
          </cell>
          <cell r="D9" t="str">
            <v>GD250012</v>
          </cell>
          <cell r="E9" t="str">
            <v>PAMORADA</v>
          </cell>
          <cell r="F9" t="str">
            <v>ROSE MARIE</v>
          </cell>
          <cell r="G9">
            <v>0</v>
          </cell>
          <cell r="H9" t="str">
            <v xml:space="preserve">PAMORADA, ROSE MARIE </v>
          </cell>
          <cell r="I9" t="str">
            <v>METAL STAMPING</v>
          </cell>
          <cell r="J9" t="str">
            <v>PRODUCTION</v>
          </cell>
          <cell r="K9" t="str">
            <v>STAMPING</v>
          </cell>
          <cell r="L9">
            <v>0</v>
          </cell>
          <cell r="M9" t="str">
            <v>Operator</v>
          </cell>
          <cell r="N9" t="str">
            <v>Operator 1</v>
          </cell>
        </row>
        <row r="10">
          <cell r="C10">
            <v>2058</v>
          </cell>
          <cell r="D10" t="str">
            <v>GD250013</v>
          </cell>
          <cell r="E10" t="str">
            <v>ZARA</v>
          </cell>
          <cell r="F10" t="str">
            <v>RAN JADE</v>
          </cell>
          <cell r="G10" t="str">
            <v>PARA</v>
          </cell>
          <cell r="H10" t="str">
            <v>ZARA, RAN JADE PARA</v>
          </cell>
          <cell r="I10" t="str">
            <v>METAL STAMPING</v>
          </cell>
          <cell r="J10" t="str">
            <v>PRODUCTION</v>
          </cell>
          <cell r="K10" t="str">
            <v>STAMPING</v>
          </cell>
          <cell r="L10">
            <v>0</v>
          </cell>
          <cell r="M10" t="str">
            <v>Operator</v>
          </cell>
          <cell r="N10" t="str">
            <v>Operator 1</v>
          </cell>
        </row>
        <row r="11">
          <cell r="C11">
            <v>3866</v>
          </cell>
          <cell r="D11" t="str">
            <v>GD250014</v>
          </cell>
          <cell r="E11" t="str">
            <v>REMENTILLA</v>
          </cell>
          <cell r="F11" t="str">
            <v>JANICE</v>
          </cell>
          <cell r="G11" t="str">
            <v>LUNAR</v>
          </cell>
          <cell r="H11" t="str">
            <v>REMENTILLA, JANICE LUNAR</v>
          </cell>
          <cell r="I11" t="str">
            <v>METAL STAMPING</v>
          </cell>
          <cell r="J11" t="str">
            <v>PRODUCTION</v>
          </cell>
          <cell r="K11" t="str">
            <v>STAMPING</v>
          </cell>
          <cell r="L11" t="str">
            <v>SERCOMM</v>
          </cell>
          <cell r="M11" t="str">
            <v>Operator</v>
          </cell>
          <cell r="N11" t="str">
            <v>Operator 1</v>
          </cell>
        </row>
        <row r="12">
          <cell r="C12">
            <v>5076</v>
          </cell>
          <cell r="D12" t="str">
            <v>GD250017</v>
          </cell>
          <cell r="E12" t="str">
            <v>ARAGDON</v>
          </cell>
          <cell r="F12" t="str">
            <v>EDMUN</v>
          </cell>
          <cell r="G12" t="str">
            <v>AGUILAR</v>
          </cell>
          <cell r="H12" t="str">
            <v>ARAGDON, EDMUN AGUILAR</v>
          </cell>
          <cell r="I12" t="str">
            <v>METAL STAMPING</v>
          </cell>
          <cell r="J12" t="str">
            <v>PRODUCTION</v>
          </cell>
          <cell r="K12" t="str">
            <v>WELDING</v>
          </cell>
          <cell r="L12" t="str">
            <v>GOSHI</v>
          </cell>
          <cell r="M12" t="str">
            <v>Operator</v>
          </cell>
          <cell r="N12" t="str">
            <v>Operator 1</v>
          </cell>
        </row>
        <row r="13">
          <cell r="C13">
            <v>5478</v>
          </cell>
          <cell r="D13" t="str">
            <v>GD250025</v>
          </cell>
          <cell r="E13" t="str">
            <v>TAGLE</v>
          </cell>
          <cell r="F13" t="str">
            <v>LANDLY</v>
          </cell>
          <cell r="G13" t="str">
            <v>ALVRICO</v>
          </cell>
          <cell r="H13" t="str">
            <v>TAGLE, LANDLY ALVRICO</v>
          </cell>
          <cell r="I13" t="str">
            <v>METAL STAMPING</v>
          </cell>
          <cell r="J13" t="str">
            <v>PRODUCTION</v>
          </cell>
          <cell r="K13" t="str">
            <v>CLEANING</v>
          </cell>
          <cell r="L13">
            <v>0</v>
          </cell>
          <cell r="M13" t="str">
            <v>Operator</v>
          </cell>
          <cell r="N13" t="str">
            <v>Operator 1</v>
          </cell>
        </row>
        <row r="14">
          <cell r="C14">
            <v>5437</v>
          </cell>
          <cell r="D14" t="str">
            <v>GD250027</v>
          </cell>
          <cell r="E14" t="str">
            <v>MORADA</v>
          </cell>
          <cell r="F14" t="str">
            <v>JONALYN</v>
          </cell>
          <cell r="G14" t="str">
            <v>GARDIOLA</v>
          </cell>
          <cell r="H14" t="str">
            <v>MORADA, JONALYN GARDIOLA</v>
          </cell>
          <cell r="I14" t="str">
            <v>METAL STAMPING</v>
          </cell>
          <cell r="J14" t="str">
            <v>PRODUCTION</v>
          </cell>
          <cell r="K14" t="str">
            <v>ASSEMBLY</v>
          </cell>
          <cell r="L14">
            <v>0</v>
          </cell>
          <cell r="M14" t="str">
            <v>Operator</v>
          </cell>
          <cell r="N14" t="str">
            <v>Operator 1</v>
          </cell>
        </row>
        <row r="15">
          <cell r="C15">
            <v>3839</v>
          </cell>
          <cell r="D15" t="str">
            <v>GD250026</v>
          </cell>
          <cell r="E15" t="str">
            <v>BAYANI</v>
          </cell>
          <cell r="F15" t="str">
            <v>ELLAH MAY</v>
          </cell>
          <cell r="G15" t="str">
            <v>ABLING</v>
          </cell>
          <cell r="H15" t="str">
            <v>BAYANI, ELLAH MAY ABLING</v>
          </cell>
          <cell r="I15" t="str">
            <v>METAL STAMPING</v>
          </cell>
          <cell r="J15" t="str">
            <v>PRODUCTION</v>
          </cell>
          <cell r="K15" t="str">
            <v>CLEANING</v>
          </cell>
          <cell r="L15">
            <v>0</v>
          </cell>
          <cell r="M15" t="str">
            <v>Operator</v>
          </cell>
          <cell r="N15" t="str">
            <v>Operator 1</v>
          </cell>
        </row>
        <row r="16">
          <cell r="C16">
            <v>3838</v>
          </cell>
          <cell r="D16" t="str">
            <v>GD250028</v>
          </cell>
          <cell r="E16" t="str">
            <v>VERGANIO</v>
          </cell>
          <cell r="F16" t="str">
            <v>LOVELY</v>
          </cell>
          <cell r="G16" t="str">
            <v>GLORIA</v>
          </cell>
          <cell r="H16" t="str">
            <v>VERGANIO, LOVELY GLORIA</v>
          </cell>
          <cell r="I16" t="str">
            <v>METAL STAMPING</v>
          </cell>
          <cell r="J16" t="str">
            <v>PRODUCTION</v>
          </cell>
          <cell r="K16" t="str">
            <v>CLEANING</v>
          </cell>
          <cell r="L16">
            <v>0</v>
          </cell>
          <cell r="M16" t="str">
            <v>Operator</v>
          </cell>
          <cell r="N16" t="str">
            <v>Operator 1</v>
          </cell>
        </row>
        <row r="17">
          <cell r="C17">
            <v>5585</v>
          </cell>
          <cell r="D17" t="str">
            <v>GD250031</v>
          </cell>
          <cell r="E17" t="str">
            <v>DE LEON</v>
          </cell>
          <cell r="F17" t="str">
            <v>JENNY</v>
          </cell>
          <cell r="G17" t="str">
            <v>SINODLAY</v>
          </cell>
          <cell r="H17" t="str">
            <v>DE LEON, JENNY SINODLAY</v>
          </cell>
          <cell r="I17" t="str">
            <v>METAL STAMPING</v>
          </cell>
          <cell r="J17" t="str">
            <v>PRODUCTION</v>
          </cell>
          <cell r="K17" t="str">
            <v>WELDING</v>
          </cell>
          <cell r="L17" t="str">
            <v>GOSHI</v>
          </cell>
          <cell r="M17" t="str">
            <v>Operator</v>
          </cell>
          <cell r="N17" t="str">
            <v>Operator 1</v>
          </cell>
        </row>
        <row r="18">
          <cell r="C18">
            <v>5046</v>
          </cell>
          <cell r="D18" t="str">
            <v>GD250033</v>
          </cell>
          <cell r="E18" t="str">
            <v>AZON</v>
          </cell>
          <cell r="F18" t="str">
            <v>SUNSHINE</v>
          </cell>
          <cell r="G18" t="str">
            <v>MARTINEZ</v>
          </cell>
          <cell r="H18" t="str">
            <v>AZON, SUNSHINE MARTINEZ</v>
          </cell>
          <cell r="I18" t="str">
            <v>METAL STAMPING</v>
          </cell>
          <cell r="J18" t="str">
            <v>PRODUCTION</v>
          </cell>
          <cell r="K18" t="str">
            <v>CLEANING</v>
          </cell>
          <cell r="L18">
            <v>0</v>
          </cell>
          <cell r="M18" t="str">
            <v>Operator</v>
          </cell>
          <cell r="N18" t="str">
            <v>Operator 1</v>
          </cell>
        </row>
        <row r="19">
          <cell r="C19">
            <v>5212</v>
          </cell>
          <cell r="D19" t="str">
            <v>GD250034</v>
          </cell>
          <cell r="E19" t="str">
            <v>PANAGA</v>
          </cell>
          <cell r="F19" t="str">
            <v>RIO LIZA</v>
          </cell>
          <cell r="G19" t="str">
            <v>SATUITO</v>
          </cell>
          <cell r="H19" t="str">
            <v>PANAGA, RIO LIZA SATUITO</v>
          </cell>
          <cell r="I19" t="str">
            <v>METAL STAMPING</v>
          </cell>
          <cell r="J19" t="str">
            <v>PRODUCTION</v>
          </cell>
          <cell r="K19" t="str">
            <v>STAMPING</v>
          </cell>
          <cell r="L19">
            <v>0</v>
          </cell>
          <cell r="M19" t="str">
            <v>Operator</v>
          </cell>
          <cell r="N19" t="str">
            <v>Operator 1</v>
          </cell>
        </row>
        <row r="20">
          <cell r="C20">
            <v>5600</v>
          </cell>
          <cell r="D20" t="str">
            <v>GD250035</v>
          </cell>
          <cell r="E20" t="str">
            <v>ABORDO</v>
          </cell>
          <cell r="F20" t="str">
            <v>JOHN CLARENCE</v>
          </cell>
          <cell r="G20" t="str">
            <v>ESPINA</v>
          </cell>
          <cell r="H20" t="str">
            <v>ABORDO, JOHN CLARENCE ESPINA</v>
          </cell>
          <cell r="I20" t="str">
            <v>METAL STAMPING</v>
          </cell>
          <cell r="J20" t="str">
            <v>PRODUCTION</v>
          </cell>
          <cell r="K20" t="str">
            <v>STAMPING</v>
          </cell>
          <cell r="L20">
            <v>0</v>
          </cell>
          <cell r="M20" t="str">
            <v>Operator</v>
          </cell>
          <cell r="N20" t="str">
            <v>Operator 1</v>
          </cell>
        </row>
        <row r="21">
          <cell r="C21">
            <v>5983</v>
          </cell>
          <cell r="D21" t="str">
            <v>GD250036</v>
          </cell>
          <cell r="E21" t="str">
            <v>DIMALIBOT</v>
          </cell>
          <cell r="F21" t="str">
            <v>CRISTINE</v>
          </cell>
          <cell r="G21" t="str">
            <v>BARRO</v>
          </cell>
          <cell r="H21" t="str">
            <v>DIMALIBOT, CRISTINE BARRO</v>
          </cell>
          <cell r="I21" t="str">
            <v>METAL STAMPING</v>
          </cell>
          <cell r="J21" t="str">
            <v>PRODUCTION</v>
          </cell>
          <cell r="K21" t="str">
            <v>STAMPING</v>
          </cell>
          <cell r="L21" t="str">
            <v>SERCOMM</v>
          </cell>
          <cell r="M21" t="str">
            <v>Operator</v>
          </cell>
          <cell r="N21" t="str">
            <v>Operator 1</v>
          </cell>
        </row>
        <row r="22">
          <cell r="C22">
            <v>5456</v>
          </cell>
          <cell r="D22" t="str">
            <v>GD250037</v>
          </cell>
          <cell r="E22" t="str">
            <v>GONZALVO</v>
          </cell>
          <cell r="F22" t="str">
            <v>MARIVIC</v>
          </cell>
          <cell r="G22" t="str">
            <v>GONZALVO</v>
          </cell>
          <cell r="H22" t="str">
            <v>GONZALVO, MARIVIC GONZALVO</v>
          </cell>
          <cell r="I22" t="str">
            <v>METAL STAMPING</v>
          </cell>
          <cell r="J22" t="str">
            <v>PRODUCTION</v>
          </cell>
          <cell r="K22" t="str">
            <v>CLEANING</v>
          </cell>
          <cell r="L22">
            <v>0</v>
          </cell>
          <cell r="M22" t="str">
            <v>Operator</v>
          </cell>
          <cell r="N22" t="str">
            <v>Operator 1</v>
          </cell>
        </row>
        <row r="23">
          <cell r="C23">
            <v>5989</v>
          </cell>
          <cell r="D23" t="str">
            <v>GD250039</v>
          </cell>
          <cell r="E23" t="str">
            <v>LEYNES</v>
          </cell>
          <cell r="F23" t="str">
            <v>ELENOR</v>
          </cell>
          <cell r="G23" t="str">
            <v>LONGYAPON</v>
          </cell>
          <cell r="H23" t="str">
            <v>LEYNES, ELENOR LONGYAPON</v>
          </cell>
          <cell r="I23" t="str">
            <v>METAL STAMPING</v>
          </cell>
          <cell r="J23" t="str">
            <v>PRODUCTION</v>
          </cell>
          <cell r="K23" t="str">
            <v>STAMPING</v>
          </cell>
          <cell r="L23">
            <v>0</v>
          </cell>
          <cell r="M23" t="str">
            <v>Operator</v>
          </cell>
          <cell r="N23" t="str">
            <v>Operator 1</v>
          </cell>
        </row>
        <row r="24">
          <cell r="C24">
            <v>4375</v>
          </cell>
          <cell r="D24" t="str">
            <v>GD250040</v>
          </cell>
          <cell r="E24" t="str">
            <v>SABATER</v>
          </cell>
          <cell r="F24" t="str">
            <v>MARICAR</v>
          </cell>
          <cell r="G24" t="str">
            <v>ARACOSTA</v>
          </cell>
          <cell r="H24" t="str">
            <v>SABATER, MARICAR ARACOSTA</v>
          </cell>
          <cell r="I24" t="str">
            <v>METAL STAMPING</v>
          </cell>
          <cell r="J24" t="str">
            <v>PRODUCTION</v>
          </cell>
          <cell r="K24" t="str">
            <v>CLEANING</v>
          </cell>
          <cell r="L24">
            <v>0</v>
          </cell>
          <cell r="M24" t="str">
            <v>Operator</v>
          </cell>
          <cell r="N24" t="str">
            <v>Operator 1</v>
          </cell>
        </row>
        <row r="25">
          <cell r="C25">
            <v>4327</v>
          </cell>
          <cell r="D25" t="str">
            <v>GD250042</v>
          </cell>
          <cell r="E25" t="str">
            <v>ADA</v>
          </cell>
          <cell r="F25" t="str">
            <v>JOEMER</v>
          </cell>
          <cell r="G25" t="str">
            <v>VERA</v>
          </cell>
          <cell r="H25" t="str">
            <v>ADA, JOEMER VERA</v>
          </cell>
          <cell r="I25" t="str">
            <v>METAL STAMPING</v>
          </cell>
          <cell r="J25" t="str">
            <v>PRODUCTION</v>
          </cell>
          <cell r="K25" t="str">
            <v>WELDING</v>
          </cell>
          <cell r="L25" t="str">
            <v>GOSHI</v>
          </cell>
          <cell r="M25" t="str">
            <v>Operator</v>
          </cell>
          <cell r="N25" t="str">
            <v>Operator 1</v>
          </cell>
        </row>
        <row r="26">
          <cell r="C26">
            <v>8092</v>
          </cell>
          <cell r="D26" t="str">
            <v>GD250046</v>
          </cell>
          <cell r="E26" t="str">
            <v>ESTOPA</v>
          </cell>
          <cell r="F26" t="str">
            <v>MARY ANN</v>
          </cell>
          <cell r="G26" t="str">
            <v>PAJO</v>
          </cell>
          <cell r="H26" t="str">
            <v>ESTOPA, MARY ANN PAJO</v>
          </cell>
          <cell r="I26" t="str">
            <v>METAL STAMPING</v>
          </cell>
          <cell r="J26" t="str">
            <v>ADMIN</v>
          </cell>
          <cell r="K26" t="str">
            <v>LEASEHOLD IMPROVEMENT</v>
          </cell>
          <cell r="L26">
            <v>0</v>
          </cell>
          <cell r="M26" t="str">
            <v>Utility</v>
          </cell>
          <cell r="N26" t="str">
            <v>Housekeeper</v>
          </cell>
        </row>
        <row r="27">
          <cell r="C27">
            <v>8064</v>
          </cell>
          <cell r="D27" t="str">
            <v>GD250048</v>
          </cell>
          <cell r="E27" t="str">
            <v>CAUDILLA</v>
          </cell>
          <cell r="F27" t="str">
            <v>ARLENE</v>
          </cell>
          <cell r="G27">
            <v>0</v>
          </cell>
          <cell r="H27" t="str">
            <v xml:space="preserve">CAUDILLA, ARLENE </v>
          </cell>
          <cell r="I27" t="str">
            <v>METAL STAMPING</v>
          </cell>
          <cell r="J27" t="str">
            <v>PRODUCTION</v>
          </cell>
          <cell r="K27" t="str">
            <v>STAMPING</v>
          </cell>
          <cell r="L27" t="str">
            <v>SERCOMM</v>
          </cell>
          <cell r="M27" t="str">
            <v>Operator</v>
          </cell>
          <cell r="N27" t="str">
            <v>Operator 1</v>
          </cell>
        </row>
        <row r="28">
          <cell r="C28">
            <v>8571</v>
          </cell>
          <cell r="D28" t="str">
            <v>GD250049</v>
          </cell>
          <cell r="E28" t="str">
            <v>SENOSIN</v>
          </cell>
          <cell r="F28" t="str">
            <v>SANDYLYN</v>
          </cell>
          <cell r="G28" t="str">
            <v>CORNELIO</v>
          </cell>
          <cell r="H28" t="str">
            <v>SENOSIN, SANDYLYN CORNELIO</v>
          </cell>
          <cell r="I28" t="str">
            <v>METAL STAMPING</v>
          </cell>
          <cell r="J28" t="str">
            <v>PRODUCTION</v>
          </cell>
          <cell r="K28" t="str">
            <v>WELDING</v>
          </cell>
          <cell r="L28" t="str">
            <v>GOSHI</v>
          </cell>
          <cell r="M28" t="str">
            <v>Operator</v>
          </cell>
          <cell r="N28" t="str">
            <v>Operator 1</v>
          </cell>
        </row>
        <row r="29">
          <cell r="C29">
            <v>8176</v>
          </cell>
          <cell r="D29" t="str">
            <v>GD250051</v>
          </cell>
          <cell r="E29" t="str">
            <v>OCLARINO</v>
          </cell>
          <cell r="F29" t="str">
            <v>EDENA</v>
          </cell>
          <cell r="G29" t="str">
            <v>SAN BUENAVENTURA</v>
          </cell>
          <cell r="H29" t="str">
            <v>OCLARINO, EDENA SAN BUENAVENTURA</v>
          </cell>
          <cell r="I29" t="str">
            <v>METAL STAMPING</v>
          </cell>
          <cell r="J29" t="str">
            <v>PRODUCTION</v>
          </cell>
          <cell r="K29" t="str">
            <v>STAMPING</v>
          </cell>
          <cell r="L29" t="str">
            <v>GOSHI</v>
          </cell>
          <cell r="M29" t="str">
            <v>Operator</v>
          </cell>
          <cell r="N29" t="str">
            <v>Operator 1</v>
          </cell>
        </row>
        <row r="30">
          <cell r="C30">
            <v>8163</v>
          </cell>
          <cell r="D30" t="str">
            <v>GD250053</v>
          </cell>
          <cell r="E30" t="str">
            <v>LAZONA</v>
          </cell>
          <cell r="F30" t="str">
            <v>NORIEL</v>
          </cell>
          <cell r="G30" t="str">
            <v>LODOR</v>
          </cell>
          <cell r="H30" t="str">
            <v>LAZONA, NORIEL LODOR</v>
          </cell>
          <cell r="I30" t="str">
            <v>METAL STAMPING</v>
          </cell>
          <cell r="J30" t="str">
            <v>PRODUCTION</v>
          </cell>
          <cell r="K30" t="str">
            <v>STAMPING</v>
          </cell>
          <cell r="L30">
            <v>0</v>
          </cell>
          <cell r="M30" t="str">
            <v>Operator</v>
          </cell>
          <cell r="N30" t="str">
            <v>Operator 1</v>
          </cell>
        </row>
        <row r="31">
          <cell r="C31">
            <v>8138</v>
          </cell>
          <cell r="D31" t="str">
            <v>GD250055</v>
          </cell>
          <cell r="E31" t="str">
            <v>MERCANO</v>
          </cell>
          <cell r="F31" t="str">
            <v>JERRY</v>
          </cell>
          <cell r="G31" t="str">
            <v>BUGAYONG</v>
          </cell>
          <cell r="H31" t="str">
            <v>MERCANO, JERRY BUGAYONG</v>
          </cell>
          <cell r="I31" t="str">
            <v>METAL STAMPING</v>
          </cell>
          <cell r="J31" t="str">
            <v>PRODUCTION</v>
          </cell>
          <cell r="K31" t="str">
            <v>STAMPING</v>
          </cell>
          <cell r="L31">
            <v>0</v>
          </cell>
          <cell r="M31" t="str">
            <v>Operator</v>
          </cell>
          <cell r="N31" t="str">
            <v>Operator 1</v>
          </cell>
        </row>
        <row r="32">
          <cell r="C32">
            <v>8926</v>
          </cell>
          <cell r="D32" t="str">
            <v>GD250057</v>
          </cell>
          <cell r="E32" t="str">
            <v>RABINO</v>
          </cell>
          <cell r="F32" t="str">
            <v>JOHN LAY</v>
          </cell>
          <cell r="G32" t="str">
            <v>SIGAAN</v>
          </cell>
          <cell r="H32" t="str">
            <v>RABINO, JOHN LAY SIGAAN</v>
          </cell>
          <cell r="I32" t="str">
            <v>METAL STAMPING</v>
          </cell>
          <cell r="J32" t="str">
            <v>PRODUCTION</v>
          </cell>
          <cell r="K32" t="str">
            <v>STAMPING</v>
          </cell>
          <cell r="L32">
            <v>0</v>
          </cell>
          <cell r="M32" t="str">
            <v>Operator</v>
          </cell>
          <cell r="N32" t="str">
            <v>Operator 1</v>
          </cell>
        </row>
        <row r="33">
          <cell r="C33">
            <v>8158</v>
          </cell>
          <cell r="D33" t="str">
            <v>GD250054</v>
          </cell>
          <cell r="E33" t="str">
            <v>MACALALAD</v>
          </cell>
          <cell r="F33" t="str">
            <v>MARY JOY</v>
          </cell>
          <cell r="G33" t="str">
            <v>FERRER</v>
          </cell>
          <cell r="H33" t="str">
            <v>MACALALAD, MARY JOY FERRER</v>
          </cell>
          <cell r="I33" t="str">
            <v>METAL STAMPING</v>
          </cell>
          <cell r="J33" t="str">
            <v>PRODUCTION</v>
          </cell>
          <cell r="K33" t="str">
            <v>CLEANING</v>
          </cell>
          <cell r="L33">
            <v>0</v>
          </cell>
          <cell r="M33" t="str">
            <v>Operator</v>
          </cell>
          <cell r="N33" t="str">
            <v>Operator 1</v>
          </cell>
        </row>
        <row r="34">
          <cell r="C34">
            <v>6382</v>
          </cell>
          <cell r="D34" t="str">
            <v>GD250060</v>
          </cell>
          <cell r="E34" t="str">
            <v>PORILLO</v>
          </cell>
          <cell r="F34" t="str">
            <v>MARGIE</v>
          </cell>
          <cell r="G34" t="str">
            <v>ATIENZA</v>
          </cell>
          <cell r="H34" t="str">
            <v>PORILLO, MARGIE ATIENZA</v>
          </cell>
          <cell r="I34" t="str">
            <v>METAL STAMPING</v>
          </cell>
          <cell r="J34" t="str">
            <v>PRODUCTION</v>
          </cell>
          <cell r="K34" t="str">
            <v>STAMPING</v>
          </cell>
          <cell r="L34">
            <v>0</v>
          </cell>
          <cell r="M34" t="str">
            <v>Operator</v>
          </cell>
          <cell r="N34" t="str">
            <v>Operator 1</v>
          </cell>
        </row>
        <row r="35">
          <cell r="C35">
            <v>6369</v>
          </cell>
          <cell r="D35" t="str">
            <v>GD250063</v>
          </cell>
          <cell r="E35" t="str">
            <v>MOLINA</v>
          </cell>
          <cell r="F35" t="str">
            <v>ROMAR</v>
          </cell>
          <cell r="G35" t="str">
            <v>BELLEN</v>
          </cell>
          <cell r="H35" t="str">
            <v>MOLINA, ROMAR BELLEN</v>
          </cell>
          <cell r="I35" t="str">
            <v>METAL STAMPING</v>
          </cell>
          <cell r="J35" t="str">
            <v>PRODUCTION</v>
          </cell>
          <cell r="K35" t="str">
            <v>STAMPING</v>
          </cell>
          <cell r="L35">
            <v>0</v>
          </cell>
          <cell r="M35" t="str">
            <v>Operator</v>
          </cell>
          <cell r="N35" t="str">
            <v>Operator 1</v>
          </cell>
        </row>
        <row r="36">
          <cell r="C36">
            <v>6257</v>
          </cell>
          <cell r="D36" t="str">
            <v>GD250061</v>
          </cell>
          <cell r="E36" t="str">
            <v>CAMA</v>
          </cell>
          <cell r="F36" t="str">
            <v>ALVIN</v>
          </cell>
          <cell r="G36" t="str">
            <v>MACAOYAM</v>
          </cell>
          <cell r="H36" t="str">
            <v>CAMA, ALVIN MACAOYAM</v>
          </cell>
          <cell r="I36" t="str">
            <v>METAL STAMPING</v>
          </cell>
          <cell r="J36" t="str">
            <v>PRODUCTION</v>
          </cell>
          <cell r="K36" t="str">
            <v>STAMPING</v>
          </cell>
          <cell r="L36">
            <v>0</v>
          </cell>
          <cell r="M36" t="str">
            <v>Operator</v>
          </cell>
          <cell r="N36" t="str">
            <v>Operator 1</v>
          </cell>
        </row>
        <row r="37">
          <cell r="C37">
            <v>6265</v>
          </cell>
          <cell r="D37" t="str">
            <v>GD250062</v>
          </cell>
          <cell r="E37" t="str">
            <v>LEGASPI</v>
          </cell>
          <cell r="F37" t="str">
            <v>JONA MAICAH</v>
          </cell>
          <cell r="G37" t="str">
            <v>TOLENTINO</v>
          </cell>
          <cell r="H37" t="str">
            <v>LEGASPI, JONA MAICAH TOLENTINO</v>
          </cell>
          <cell r="I37" t="str">
            <v>METAL STAMPING</v>
          </cell>
          <cell r="J37" t="str">
            <v>PRODUCTION</v>
          </cell>
          <cell r="K37" t="str">
            <v>CLEANING</v>
          </cell>
          <cell r="L37">
            <v>0</v>
          </cell>
          <cell r="M37" t="str">
            <v>Operator</v>
          </cell>
          <cell r="N37" t="str">
            <v>Operator 1</v>
          </cell>
        </row>
        <row r="38">
          <cell r="C38">
            <v>6354</v>
          </cell>
          <cell r="D38" t="str">
            <v>GD250069</v>
          </cell>
          <cell r="E38" t="str">
            <v>FORTE</v>
          </cell>
          <cell r="F38" t="str">
            <v>HARLENE MAE</v>
          </cell>
          <cell r="G38" t="str">
            <v>FRANDO</v>
          </cell>
          <cell r="H38" t="str">
            <v>FORTE, HARLENE MAE FRANDO</v>
          </cell>
          <cell r="I38" t="str">
            <v>METAL STAMPING</v>
          </cell>
          <cell r="J38" t="str">
            <v>PRODUCTION</v>
          </cell>
          <cell r="K38" t="str">
            <v>STAMPING</v>
          </cell>
          <cell r="L38" t="str">
            <v>SERCOMM</v>
          </cell>
          <cell r="M38" t="str">
            <v>Operator</v>
          </cell>
          <cell r="N38" t="str">
            <v>Operator 1</v>
          </cell>
        </row>
        <row r="39">
          <cell r="C39">
            <v>6317</v>
          </cell>
          <cell r="D39" t="str">
            <v>GD250070</v>
          </cell>
          <cell r="E39" t="str">
            <v>JAWAY</v>
          </cell>
          <cell r="F39" t="str">
            <v>JOSHUA</v>
          </cell>
          <cell r="G39" t="str">
            <v>SANGALANG</v>
          </cell>
          <cell r="H39" t="str">
            <v>JAWAY, JOSHUA SANGALANG</v>
          </cell>
          <cell r="I39" t="str">
            <v>METAL STAMPING</v>
          </cell>
          <cell r="J39" t="str">
            <v>PRODUCTION</v>
          </cell>
          <cell r="K39" t="str">
            <v>STAMPING</v>
          </cell>
          <cell r="L39" t="str">
            <v>GOSHI</v>
          </cell>
          <cell r="M39" t="str">
            <v>Operator</v>
          </cell>
          <cell r="N39" t="str">
            <v>Operator 1</v>
          </cell>
        </row>
        <row r="40">
          <cell r="C40">
            <v>6488</v>
          </cell>
          <cell r="D40" t="str">
            <v>GD250071</v>
          </cell>
          <cell r="E40" t="str">
            <v>OLANO</v>
          </cell>
          <cell r="F40" t="str">
            <v>LHEO</v>
          </cell>
          <cell r="G40" t="str">
            <v>TASICO</v>
          </cell>
          <cell r="H40" t="str">
            <v>OLANO, LHEO TASICO</v>
          </cell>
          <cell r="I40" t="str">
            <v>METAL STAMPING</v>
          </cell>
          <cell r="J40" t="str">
            <v>PRODUCTION</v>
          </cell>
          <cell r="K40" t="str">
            <v>STAMPING</v>
          </cell>
          <cell r="L40">
            <v>0</v>
          </cell>
          <cell r="M40" t="str">
            <v>Operator</v>
          </cell>
          <cell r="N40" t="str">
            <v>Operator 1</v>
          </cell>
        </row>
        <row r="41">
          <cell r="C41">
            <v>6244</v>
          </cell>
          <cell r="D41" t="str">
            <v>GD250073</v>
          </cell>
          <cell r="E41" t="str">
            <v>PAGCALIWANGAN</v>
          </cell>
          <cell r="F41" t="str">
            <v>JESSA</v>
          </cell>
          <cell r="G41" t="str">
            <v>LEYESA</v>
          </cell>
          <cell r="H41" t="str">
            <v>PAGCALIWANGAN, JESSA LEYESA</v>
          </cell>
          <cell r="I41" t="str">
            <v>METAL STAMPING</v>
          </cell>
          <cell r="J41" t="str">
            <v>PRODUCTION</v>
          </cell>
          <cell r="K41" t="str">
            <v>STAMPING</v>
          </cell>
          <cell r="L41" t="str">
            <v>SERCOMM</v>
          </cell>
          <cell r="M41" t="str">
            <v>Operator</v>
          </cell>
          <cell r="N41" t="str">
            <v>Operator 1</v>
          </cell>
        </row>
        <row r="42">
          <cell r="C42">
            <v>6508</v>
          </cell>
          <cell r="D42" t="str">
            <v>GD250076</v>
          </cell>
          <cell r="E42" t="str">
            <v>CUANAN</v>
          </cell>
          <cell r="F42" t="str">
            <v>SHELLA MAE</v>
          </cell>
          <cell r="G42" t="str">
            <v>GARNATAS</v>
          </cell>
          <cell r="H42" t="str">
            <v>CUANAN, SHELLA MAE GARNATAS</v>
          </cell>
          <cell r="I42" t="str">
            <v>METAL STAMPING</v>
          </cell>
          <cell r="J42" t="str">
            <v>PRODUCTION</v>
          </cell>
          <cell r="K42" t="str">
            <v>STAMPING</v>
          </cell>
          <cell r="L42">
            <v>0</v>
          </cell>
          <cell r="M42" t="str">
            <v>Operator</v>
          </cell>
          <cell r="N42" t="str">
            <v>Operator 1</v>
          </cell>
        </row>
        <row r="43">
          <cell r="C43">
            <v>6498</v>
          </cell>
          <cell r="D43" t="str">
            <v>GD250079</v>
          </cell>
          <cell r="E43" t="str">
            <v>LINGON</v>
          </cell>
          <cell r="F43" t="str">
            <v>JAY-AR</v>
          </cell>
          <cell r="G43" t="str">
            <v>SOSA</v>
          </cell>
          <cell r="H43" t="str">
            <v>LINGON, JAY-AR SOSA</v>
          </cell>
          <cell r="I43" t="str">
            <v>METAL STAMPING</v>
          </cell>
          <cell r="J43" t="str">
            <v>PRODUCTION</v>
          </cell>
          <cell r="K43" t="str">
            <v>ASSEMBLY</v>
          </cell>
          <cell r="L43">
            <v>0</v>
          </cell>
          <cell r="M43" t="str">
            <v>Operator</v>
          </cell>
          <cell r="N43" t="str">
            <v>Operator 1</v>
          </cell>
        </row>
        <row r="44">
          <cell r="C44">
            <v>6514</v>
          </cell>
          <cell r="D44" t="str">
            <v>GD250080</v>
          </cell>
          <cell r="E44" t="str">
            <v>SONEJA</v>
          </cell>
          <cell r="F44" t="str">
            <v>JUDYLYN</v>
          </cell>
          <cell r="G44" t="str">
            <v>MAGPANTAY</v>
          </cell>
          <cell r="H44" t="str">
            <v>SONEJA, JUDYLYN MAGPANTAY</v>
          </cell>
          <cell r="I44" t="str">
            <v>METAL STAMPING</v>
          </cell>
          <cell r="J44" t="str">
            <v>PRODUCTION</v>
          </cell>
          <cell r="K44" t="str">
            <v>CLEANING</v>
          </cell>
          <cell r="L44">
            <v>0</v>
          </cell>
          <cell r="M44" t="str">
            <v>Operator</v>
          </cell>
          <cell r="N44" t="str">
            <v>Operator 1</v>
          </cell>
        </row>
        <row r="45">
          <cell r="C45">
            <v>6517</v>
          </cell>
          <cell r="D45" t="str">
            <v>GD250081</v>
          </cell>
          <cell r="E45" t="str">
            <v>ZARA</v>
          </cell>
          <cell r="F45" t="str">
            <v>CECILIA</v>
          </cell>
          <cell r="G45" t="str">
            <v>GAYETA</v>
          </cell>
          <cell r="H45" t="str">
            <v>ZARA, CECILIA GAYETA</v>
          </cell>
          <cell r="I45" t="str">
            <v>METAL STAMPING</v>
          </cell>
          <cell r="J45" t="str">
            <v>PRODUCTION</v>
          </cell>
          <cell r="K45" t="str">
            <v>CLEANING</v>
          </cell>
          <cell r="L45">
            <v>0</v>
          </cell>
          <cell r="M45" t="str">
            <v>Operator</v>
          </cell>
          <cell r="N45" t="str">
            <v>Operator 1</v>
          </cell>
        </row>
        <row r="46">
          <cell r="C46">
            <v>7797</v>
          </cell>
          <cell r="D46" t="str">
            <v>GD250082</v>
          </cell>
          <cell r="E46" t="str">
            <v>DELOS SANTOS</v>
          </cell>
          <cell r="F46" t="str">
            <v>ROCKIE</v>
          </cell>
          <cell r="G46" t="str">
            <v>DELA CRUZ</v>
          </cell>
          <cell r="H46" t="str">
            <v>DELOS SANTOS, ROCKIE DELA CRUZ</v>
          </cell>
          <cell r="I46" t="str">
            <v>METAL STAMPING</v>
          </cell>
          <cell r="J46" t="str">
            <v>PRODUCTION</v>
          </cell>
          <cell r="K46" t="str">
            <v>STAMPING</v>
          </cell>
          <cell r="L46">
            <v>0</v>
          </cell>
          <cell r="M46" t="str">
            <v>Operator</v>
          </cell>
          <cell r="N46" t="str">
            <v>Operator 1</v>
          </cell>
        </row>
        <row r="47">
          <cell r="C47">
            <v>7788</v>
          </cell>
          <cell r="D47" t="str">
            <v>GD250083</v>
          </cell>
          <cell r="E47" t="str">
            <v>MOICO</v>
          </cell>
          <cell r="F47" t="str">
            <v>TROY ANDRE</v>
          </cell>
          <cell r="G47" t="str">
            <v>TOLENTINO</v>
          </cell>
          <cell r="H47" t="str">
            <v>MOICO, TROY ANDRE TOLENTINO</v>
          </cell>
          <cell r="I47" t="str">
            <v>METAL STAMPING</v>
          </cell>
          <cell r="J47" t="str">
            <v>PRODUCTION</v>
          </cell>
          <cell r="K47" t="str">
            <v>CLEANING</v>
          </cell>
          <cell r="L47">
            <v>0</v>
          </cell>
          <cell r="M47" t="str">
            <v>Operator</v>
          </cell>
          <cell r="N47" t="str">
            <v>Operator 1</v>
          </cell>
        </row>
        <row r="48">
          <cell r="C48">
            <v>7646</v>
          </cell>
          <cell r="D48" t="str">
            <v>GD250088</v>
          </cell>
          <cell r="E48" t="str">
            <v>DELOS REYES</v>
          </cell>
          <cell r="F48" t="str">
            <v>RENANTE</v>
          </cell>
          <cell r="G48" t="str">
            <v>PERNECITA</v>
          </cell>
          <cell r="H48" t="str">
            <v>DELOS REYES, RENANTE PERNECITA</v>
          </cell>
          <cell r="I48" t="str">
            <v>METAL STAMPING</v>
          </cell>
          <cell r="J48" t="str">
            <v>PRODUCTION</v>
          </cell>
          <cell r="K48" t="str">
            <v>ASSEMBLY</v>
          </cell>
          <cell r="L48" t="str">
            <v>SERCOMM</v>
          </cell>
          <cell r="M48" t="str">
            <v>Operator</v>
          </cell>
          <cell r="N48" t="str">
            <v>Operator 1</v>
          </cell>
        </row>
        <row r="49">
          <cell r="C49">
            <v>7708</v>
          </cell>
          <cell r="D49" t="str">
            <v>GD250089</v>
          </cell>
          <cell r="E49" t="str">
            <v>BELARMINO</v>
          </cell>
          <cell r="F49" t="str">
            <v>JADE</v>
          </cell>
          <cell r="G49" t="str">
            <v>ESPENIDA</v>
          </cell>
          <cell r="H49" t="str">
            <v>BELARMINO, JADE ESPENIDA</v>
          </cell>
          <cell r="I49" t="str">
            <v>METAL STAMPING</v>
          </cell>
          <cell r="J49" t="str">
            <v>PRODUCTION</v>
          </cell>
          <cell r="K49" t="str">
            <v>STAMPING</v>
          </cell>
          <cell r="L49" t="str">
            <v>SERCOMM</v>
          </cell>
          <cell r="M49" t="str">
            <v>Operator</v>
          </cell>
          <cell r="N49" t="str">
            <v>Operator 1</v>
          </cell>
        </row>
        <row r="50">
          <cell r="C50">
            <v>7910</v>
          </cell>
          <cell r="D50" t="str">
            <v>GD250095</v>
          </cell>
          <cell r="E50" t="str">
            <v>ABORDO</v>
          </cell>
          <cell r="F50" t="str">
            <v>JOHN FRANCIS</v>
          </cell>
          <cell r="G50" t="str">
            <v>ESPINA</v>
          </cell>
          <cell r="H50" t="str">
            <v>ABORDO, JOHN FRANCIS ESPINA</v>
          </cell>
          <cell r="I50" t="str">
            <v>METAL STAMPING</v>
          </cell>
          <cell r="J50" t="str">
            <v>PRODUCTION</v>
          </cell>
          <cell r="K50" t="str">
            <v>STAMPING</v>
          </cell>
          <cell r="L50">
            <v>0</v>
          </cell>
          <cell r="M50" t="str">
            <v>Operator</v>
          </cell>
          <cell r="N50" t="str">
            <v>Operator 1</v>
          </cell>
        </row>
        <row r="51">
          <cell r="C51">
            <v>6650</v>
          </cell>
          <cell r="D51" t="str">
            <v>GD250097</v>
          </cell>
          <cell r="E51" t="str">
            <v>ATIENZA</v>
          </cell>
          <cell r="F51" t="str">
            <v>JERICSON</v>
          </cell>
          <cell r="G51" t="str">
            <v>BONETE</v>
          </cell>
          <cell r="H51" t="str">
            <v>ATIENZA, JERICSON BONETE</v>
          </cell>
          <cell r="I51" t="str">
            <v>METAL STAMPING</v>
          </cell>
          <cell r="J51" t="str">
            <v>PRODUCTION</v>
          </cell>
          <cell r="K51" t="str">
            <v>STAMPING</v>
          </cell>
          <cell r="L51">
            <v>0</v>
          </cell>
          <cell r="M51" t="str">
            <v>Operator</v>
          </cell>
          <cell r="N51" t="str">
            <v>Operator 1</v>
          </cell>
        </row>
        <row r="52">
          <cell r="C52">
            <v>6712</v>
          </cell>
          <cell r="D52" t="str">
            <v>GD250098</v>
          </cell>
          <cell r="E52" t="str">
            <v>TOLENTINO</v>
          </cell>
          <cell r="F52" t="str">
            <v>KAREN</v>
          </cell>
          <cell r="G52" t="str">
            <v>GOOT</v>
          </cell>
          <cell r="H52" t="str">
            <v>TOLENTINO, KAREN GOOT</v>
          </cell>
          <cell r="I52" t="str">
            <v>METAL STAMPING</v>
          </cell>
          <cell r="J52" t="str">
            <v>PRODUCTION</v>
          </cell>
          <cell r="K52" t="str">
            <v>CLEANING</v>
          </cell>
          <cell r="L52">
            <v>0</v>
          </cell>
          <cell r="M52" t="str">
            <v>Operator</v>
          </cell>
          <cell r="N52" t="str">
            <v>Operator 1</v>
          </cell>
        </row>
        <row r="53">
          <cell r="C53">
            <v>6945</v>
          </cell>
          <cell r="D53" t="str">
            <v>GD250099</v>
          </cell>
          <cell r="E53" t="str">
            <v>BALDOZA</v>
          </cell>
          <cell r="F53" t="str">
            <v>MARY JOY</v>
          </cell>
          <cell r="G53" t="str">
            <v>ILAN</v>
          </cell>
          <cell r="H53" t="str">
            <v>BALDOZA, MARY JOY ILAN</v>
          </cell>
          <cell r="I53" t="str">
            <v>METAL STAMPING</v>
          </cell>
          <cell r="J53" t="str">
            <v>PRODUCTION</v>
          </cell>
          <cell r="K53" t="str">
            <v>ASSEMBLY</v>
          </cell>
          <cell r="L53">
            <v>0</v>
          </cell>
          <cell r="M53" t="str">
            <v>Operator</v>
          </cell>
          <cell r="N53" t="str">
            <v>Operator 1</v>
          </cell>
        </row>
        <row r="54">
          <cell r="C54">
            <v>6941</v>
          </cell>
          <cell r="D54" t="str">
            <v>GD250100</v>
          </cell>
          <cell r="E54" t="str">
            <v>BOLANIO</v>
          </cell>
          <cell r="F54" t="str">
            <v>GINA</v>
          </cell>
          <cell r="G54" t="str">
            <v>PANDACAN</v>
          </cell>
          <cell r="H54" t="str">
            <v>BOLANIO, GINA PANDACAN</v>
          </cell>
          <cell r="I54" t="str">
            <v>METAL STAMPING</v>
          </cell>
          <cell r="J54" t="str">
            <v>PRODUCTION</v>
          </cell>
          <cell r="K54" t="str">
            <v>CLEANING</v>
          </cell>
          <cell r="L54">
            <v>0</v>
          </cell>
          <cell r="M54" t="str">
            <v>Operator</v>
          </cell>
          <cell r="N54" t="str">
            <v>Operator 1</v>
          </cell>
        </row>
        <row r="55">
          <cell r="C55">
            <v>6808</v>
          </cell>
          <cell r="D55" t="str">
            <v>GD250101</v>
          </cell>
          <cell r="E55" t="str">
            <v>ARCILLA</v>
          </cell>
          <cell r="F55" t="str">
            <v>MICAELL</v>
          </cell>
          <cell r="G55" t="str">
            <v>MERILLO</v>
          </cell>
          <cell r="H55" t="str">
            <v>ARCILLA, MICAELL MERILLO</v>
          </cell>
          <cell r="I55" t="str">
            <v>METAL STAMPING</v>
          </cell>
          <cell r="J55" t="str">
            <v>PRODUCTION</v>
          </cell>
          <cell r="K55" t="str">
            <v>CLEANING</v>
          </cell>
          <cell r="L55">
            <v>0</v>
          </cell>
          <cell r="M55" t="str">
            <v>Operator</v>
          </cell>
          <cell r="N55" t="str">
            <v>Operator 1</v>
          </cell>
        </row>
        <row r="56">
          <cell r="C56">
            <v>7966</v>
          </cell>
          <cell r="D56" t="str">
            <v>GD250105</v>
          </cell>
          <cell r="E56" t="str">
            <v>PAVORITO</v>
          </cell>
          <cell r="F56" t="str">
            <v>KIMBERLY</v>
          </cell>
          <cell r="G56" t="str">
            <v>ESTRELLA</v>
          </cell>
          <cell r="H56" t="str">
            <v>PAVORITO, KIMBERLY ESTRELLA</v>
          </cell>
          <cell r="I56" t="str">
            <v>METAL STAMPING</v>
          </cell>
          <cell r="J56" t="str">
            <v>PRODUCTION</v>
          </cell>
          <cell r="K56" t="str">
            <v>CLEANING</v>
          </cell>
          <cell r="L56">
            <v>0</v>
          </cell>
          <cell r="M56" t="str">
            <v>Operator</v>
          </cell>
          <cell r="N56" t="str">
            <v>Operator 1</v>
          </cell>
        </row>
        <row r="57">
          <cell r="C57">
            <v>7968</v>
          </cell>
          <cell r="D57" t="str">
            <v>GD250107</v>
          </cell>
          <cell r="E57" t="str">
            <v>EVARISTO</v>
          </cell>
          <cell r="F57" t="str">
            <v>JESSSA MAE</v>
          </cell>
          <cell r="G57" t="str">
            <v>MALAZARTE</v>
          </cell>
          <cell r="H57" t="str">
            <v>EVARISTO, JESSSA MAE MALAZARTE</v>
          </cell>
          <cell r="I57" t="str">
            <v>METAL STAMPING</v>
          </cell>
          <cell r="J57" t="str">
            <v>PRODUCTION</v>
          </cell>
          <cell r="K57" t="str">
            <v>CLEANING</v>
          </cell>
          <cell r="L57">
            <v>0</v>
          </cell>
          <cell r="M57" t="str">
            <v>Operator</v>
          </cell>
          <cell r="N57" t="str">
            <v>Operator 1</v>
          </cell>
        </row>
        <row r="58">
          <cell r="C58">
            <v>7241</v>
          </cell>
          <cell r="D58" t="str">
            <v>GD250108</v>
          </cell>
          <cell r="E58" t="str">
            <v>GARCIA</v>
          </cell>
          <cell r="F58" t="str">
            <v>MARY JANE</v>
          </cell>
          <cell r="G58" t="str">
            <v>GONZALVO</v>
          </cell>
          <cell r="H58" t="str">
            <v>GARCIA, MARY JANE GONZALVO</v>
          </cell>
          <cell r="I58" t="str">
            <v>METAL STAMPING</v>
          </cell>
          <cell r="J58" t="str">
            <v>PRODUCTION</v>
          </cell>
          <cell r="K58" t="str">
            <v>CLEANING</v>
          </cell>
          <cell r="L58">
            <v>0</v>
          </cell>
          <cell r="M58" t="str">
            <v>Operator</v>
          </cell>
          <cell r="N58" t="str">
            <v>Operator 1</v>
          </cell>
        </row>
        <row r="59">
          <cell r="C59">
            <v>7244</v>
          </cell>
          <cell r="D59" t="str">
            <v>GD250110</v>
          </cell>
          <cell r="E59" t="str">
            <v>RAALI</v>
          </cell>
          <cell r="F59" t="str">
            <v>ANALIN</v>
          </cell>
          <cell r="G59" t="str">
            <v>AWAN</v>
          </cell>
          <cell r="H59" t="str">
            <v>RAALI, ANALIN AWAN</v>
          </cell>
          <cell r="I59" t="str">
            <v>METAL STAMPING</v>
          </cell>
          <cell r="J59" t="str">
            <v>PRODUCTION</v>
          </cell>
          <cell r="K59" t="str">
            <v>ASSEMBLY</v>
          </cell>
          <cell r="L59" t="str">
            <v>SERCOMM</v>
          </cell>
          <cell r="M59" t="str">
            <v>Operator</v>
          </cell>
          <cell r="N59" t="str">
            <v>Operator 1</v>
          </cell>
        </row>
        <row r="60">
          <cell r="C60">
            <v>7131</v>
          </cell>
          <cell r="D60" t="str">
            <v>GD250113</v>
          </cell>
          <cell r="E60" t="str">
            <v>CASICAS</v>
          </cell>
          <cell r="F60" t="str">
            <v>JOSIE MAE</v>
          </cell>
          <cell r="G60" t="str">
            <v>ESCABILLAS</v>
          </cell>
          <cell r="H60" t="str">
            <v>CASICAS, JOSIE MAE ESCABILLAS</v>
          </cell>
          <cell r="I60" t="str">
            <v>PLASTIC INJECTION</v>
          </cell>
          <cell r="J60" t="str">
            <v>PRODUCTION</v>
          </cell>
          <cell r="K60" t="str">
            <v>INJECTION MOLDING</v>
          </cell>
          <cell r="L60">
            <v>0</v>
          </cell>
          <cell r="M60" t="str">
            <v>Operator</v>
          </cell>
          <cell r="N60" t="str">
            <v>Operator 1</v>
          </cell>
        </row>
        <row r="61">
          <cell r="C61">
            <v>10424</v>
          </cell>
          <cell r="D61" t="str">
            <v>GD250117</v>
          </cell>
          <cell r="E61" t="str">
            <v>OCHEA</v>
          </cell>
          <cell r="F61" t="str">
            <v>ADELFA</v>
          </cell>
          <cell r="G61" t="str">
            <v>ABRIGO</v>
          </cell>
          <cell r="H61" t="str">
            <v>OCHEA, ADELFA ABRIGO</v>
          </cell>
          <cell r="I61" t="str">
            <v>METAL STAMPING</v>
          </cell>
          <cell r="J61" t="str">
            <v>PRODUCTION</v>
          </cell>
          <cell r="K61" t="str">
            <v>STAMPING</v>
          </cell>
          <cell r="L61" t="str">
            <v>SERCOMM</v>
          </cell>
          <cell r="M61" t="str">
            <v>Operator</v>
          </cell>
          <cell r="N61" t="str">
            <v>Operator 1</v>
          </cell>
        </row>
        <row r="62">
          <cell r="C62">
            <v>10876</v>
          </cell>
          <cell r="D62" t="str">
            <v>GD250691</v>
          </cell>
          <cell r="E62" t="str">
            <v>RAMOS</v>
          </cell>
          <cell r="F62" t="str">
            <v>MARIE RACHIELLE</v>
          </cell>
          <cell r="G62" t="str">
            <v>DUMO</v>
          </cell>
          <cell r="H62" t="str">
            <v>RAMOS, MARIE RACHIELLE DUMO</v>
          </cell>
          <cell r="I62" t="str">
            <v>METAL STAMPING</v>
          </cell>
          <cell r="J62" t="str">
            <v>PRODUCTION</v>
          </cell>
          <cell r="K62" t="str">
            <v>STAMPING</v>
          </cell>
          <cell r="L62" t="str">
            <v>SERCOMM</v>
          </cell>
          <cell r="M62" t="str">
            <v>Operator</v>
          </cell>
          <cell r="N62" t="str">
            <v>Operator 1</v>
          </cell>
        </row>
        <row r="63">
          <cell r="C63">
            <v>12551</v>
          </cell>
          <cell r="D63" t="str">
            <v>GD250132</v>
          </cell>
          <cell r="E63" t="str">
            <v>LINGCURAN</v>
          </cell>
          <cell r="F63" t="str">
            <v>RAYMUNDA</v>
          </cell>
          <cell r="G63" t="str">
            <v>MORRERA</v>
          </cell>
          <cell r="H63" t="str">
            <v>LINGCURAN, RAYMUNDA MORRERA</v>
          </cell>
          <cell r="I63" t="str">
            <v>METAL STAMPING</v>
          </cell>
          <cell r="J63" t="str">
            <v>PRODUCTION</v>
          </cell>
          <cell r="K63" t="str">
            <v>CLEANING</v>
          </cell>
          <cell r="L63">
            <v>0</v>
          </cell>
          <cell r="M63" t="str">
            <v>Operator</v>
          </cell>
          <cell r="N63" t="str">
            <v>Operator 1</v>
          </cell>
        </row>
        <row r="64">
          <cell r="C64">
            <v>12591</v>
          </cell>
          <cell r="D64" t="str">
            <v>GD250121</v>
          </cell>
          <cell r="E64" t="str">
            <v>CAPILI</v>
          </cell>
          <cell r="F64" t="str">
            <v>DEXTER</v>
          </cell>
          <cell r="G64" t="str">
            <v>MENDOZA</v>
          </cell>
          <cell r="H64" t="str">
            <v>CAPILI, DEXTER MENDOZA</v>
          </cell>
          <cell r="I64" t="str">
            <v>METAL STAMPING</v>
          </cell>
          <cell r="J64" t="str">
            <v>PRODUCTION</v>
          </cell>
          <cell r="K64" t="str">
            <v>STAMPING</v>
          </cell>
          <cell r="L64">
            <v>0</v>
          </cell>
          <cell r="M64" t="str">
            <v>Operator</v>
          </cell>
          <cell r="N64" t="str">
            <v>Operator 1</v>
          </cell>
        </row>
        <row r="65">
          <cell r="C65">
            <v>10994</v>
          </cell>
          <cell r="D65" t="str">
            <v>GD250124</v>
          </cell>
          <cell r="E65" t="str">
            <v>RECAÑA</v>
          </cell>
          <cell r="F65" t="str">
            <v>MAYLENE</v>
          </cell>
          <cell r="G65" t="str">
            <v>LABAY</v>
          </cell>
          <cell r="H65" t="str">
            <v>RECAÑA, MAYLENE LABAY</v>
          </cell>
          <cell r="I65" t="str">
            <v>METAL STAMPING</v>
          </cell>
          <cell r="J65" t="str">
            <v>PRODUCTION</v>
          </cell>
          <cell r="K65" t="str">
            <v>CLEANING</v>
          </cell>
          <cell r="L65">
            <v>0</v>
          </cell>
          <cell r="M65" t="str">
            <v>Operator</v>
          </cell>
          <cell r="N65" t="str">
            <v>Operator 1</v>
          </cell>
        </row>
        <row r="66">
          <cell r="C66">
            <v>12599</v>
          </cell>
          <cell r="D66" t="str">
            <v>GD250128</v>
          </cell>
          <cell r="E66" t="str">
            <v>VELASCO</v>
          </cell>
          <cell r="F66" t="str">
            <v>JAYLO</v>
          </cell>
          <cell r="G66" t="str">
            <v>SOQUEÑO</v>
          </cell>
          <cell r="H66" t="str">
            <v>VELASCO, JAYLO SOQUEÑO</v>
          </cell>
          <cell r="I66" t="str">
            <v>METAL STAMPING</v>
          </cell>
          <cell r="J66" t="str">
            <v>PRODUCTION</v>
          </cell>
          <cell r="K66" t="str">
            <v>ASSEMBLY</v>
          </cell>
          <cell r="L66">
            <v>0</v>
          </cell>
          <cell r="M66" t="str">
            <v>Operator</v>
          </cell>
          <cell r="N66" t="str">
            <v>Operator 1</v>
          </cell>
        </row>
        <row r="67">
          <cell r="C67">
            <v>12595</v>
          </cell>
          <cell r="D67" t="str">
            <v>GD250130</v>
          </cell>
          <cell r="E67" t="str">
            <v>GENABE</v>
          </cell>
          <cell r="F67" t="str">
            <v>JERIC</v>
          </cell>
          <cell r="G67" t="str">
            <v>VILLANUEVA</v>
          </cell>
          <cell r="H67" t="str">
            <v>GENABE, JERIC VILLANUEVA</v>
          </cell>
          <cell r="I67" t="str">
            <v>METAL STAMPING</v>
          </cell>
          <cell r="J67" t="str">
            <v>PRODUCTION</v>
          </cell>
          <cell r="K67" t="str">
            <v>STAMPING</v>
          </cell>
          <cell r="L67">
            <v>0</v>
          </cell>
          <cell r="M67" t="str">
            <v>Operator</v>
          </cell>
          <cell r="N67" t="str">
            <v>Operator 1</v>
          </cell>
        </row>
        <row r="68">
          <cell r="C68">
            <v>10399</v>
          </cell>
          <cell r="D68" t="str">
            <v>GD250131</v>
          </cell>
          <cell r="E68" t="str">
            <v>REFANO</v>
          </cell>
          <cell r="F68" t="str">
            <v>JUNDY</v>
          </cell>
          <cell r="G68" t="str">
            <v>MAQUIÑANA</v>
          </cell>
          <cell r="H68" t="str">
            <v>REFANO, JUNDY MAQUIÑANA</v>
          </cell>
          <cell r="I68" t="str">
            <v>METAL STAMPING</v>
          </cell>
          <cell r="J68" t="str">
            <v>PRODUCTION</v>
          </cell>
          <cell r="K68" t="str">
            <v>STAMPING</v>
          </cell>
          <cell r="L68">
            <v>0</v>
          </cell>
          <cell r="M68" t="str">
            <v>Operator</v>
          </cell>
          <cell r="N68" t="str">
            <v>Operator 1</v>
          </cell>
        </row>
        <row r="69">
          <cell r="C69">
            <v>10997</v>
          </cell>
          <cell r="D69" t="str">
            <v>GD250122</v>
          </cell>
          <cell r="E69" t="str">
            <v>NICOLAS</v>
          </cell>
          <cell r="F69" t="str">
            <v>JOEY</v>
          </cell>
          <cell r="G69" t="str">
            <v>CAMIGLA</v>
          </cell>
          <cell r="H69" t="str">
            <v>NICOLAS, JOEY CAMIGLA</v>
          </cell>
          <cell r="I69" t="str">
            <v>METAL STAMPING</v>
          </cell>
          <cell r="J69" t="str">
            <v>PRODUCTION</v>
          </cell>
          <cell r="K69" t="str">
            <v>STAMPING</v>
          </cell>
          <cell r="L69" t="str">
            <v>GOSHI</v>
          </cell>
          <cell r="M69" t="str">
            <v>Operator</v>
          </cell>
          <cell r="N69" t="str">
            <v>Operator 1</v>
          </cell>
        </row>
        <row r="70">
          <cell r="C70">
            <v>12460</v>
          </cell>
          <cell r="D70" t="str">
            <v>GD250123</v>
          </cell>
          <cell r="E70" t="str">
            <v>PAMPLONA</v>
          </cell>
          <cell r="F70" t="str">
            <v>HAZEL</v>
          </cell>
          <cell r="G70" t="str">
            <v>LOMERIO</v>
          </cell>
          <cell r="H70" t="str">
            <v>PAMPLONA, HAZEL LOMERIO</v>
          </cell>
          <cell r="I70" t="str">
            <v>METAL STAMPING</v>
          </cell>
          <cell r="J70" t="str">
            <v>PRODUCTION</v>
          </cell>
          <cell r="K70" t="str">
            <v>WELDING</v>
          </cell>
          <cell r="L70" t="str">
            <v>GOSHI</v>
          </cell>
          <cell r="M70" t="str">
            <v>Operator</v>
          </cell>
          <cell r="N70" t="str">
            <v>Operator 1</v>
          </cell>
        </row>
        <row r="71">
          <cell r="C71">
            <v>12471</v>
          </cell>
          <cell r="D71" t="str">
            <v>GD250125</v>
          </cell>
          <cell r="E71" t="str">
            <v>SOMERA</v>
          </cell>
          <cell r="F71" t="str">
            <v>PRIX JANSHIEN</v>
          </cell>
          <cell r="G71" t="str">
            <v>NAMURO</v>
          </cell>
          <cell r="H71" t="str">
            <v>SOMERA, PRIX JANSHIEN NAMURO</v>
          </cell>
          <cell r="I71" t="str">
            <v>METAL STAMPING</v>
          </cell>
          <cell r="J71" t="str">
            <v>PRODUCTION</v>
          </cell>
          <cell r="K71" t="str">
            <v>WELDING</v>
          </cell>
          <cell r="L71" t="str">
            <v>GOSHI</v>
          </cell>
          <cell r="M71" t="str">
            <v>Operator</v>
          </cell>
          <cell r="N71" t="str">
            <v>Operator 1</v>
          </cell>
        </row>
        <row r="72">
          <cell r="C72">
            <v>10364</v>
          </cell>
          <cell r="D72" t="str">
            <v>GD250137</v>
          </cell>
          <cell r="E72" t="str">
            <v>PERA</v>
          </cell>
          <cell r="F72" t="str">
            <v>ARNEL</v>
          </cell>
          <cell r="G72" t="str">
            <v>CAÑEGA</v>
          </cell>
          <cell r="H72" t="str">
            <v>PERA, ARNEL CAÑEGA</v>
          </cell>
          <cell r="I72" t="str">
            <v>METAL STAMPING</v>
          </cell>
          <cell r="J72" t="str">
            <v>PRODUCTION</v>
          </cell>
          <cell r="K72" t="str">
            <v>ASSEMBLY</v>
          </cell>
          <cell r="L72">
            <v>0</v>
          </cell>
          <cell r="M72" t="str">
            <v>Operator</v>
          </cell>
          <cell r="N72" t="str">
            <v>Operator 1</v>
          </cell>
        </row>
        <row r="73">
          <cell r="C73">
            <v>13668</v>
          </cell>
          <cell r="D73" t="str">
            <v>GD250138</v>
          </cell>
          <cell r="E73" t="str">
            <v>REMENTILLA</v>
          </cell>
          <cell r="F73" t="str">
            <v>MA. KRISTINA</v>
          </cell>
          <cell r="G73" t="str">
            <v>RIOVEROS</v>
          </cell>
          <cell r="H73" t="str">
            <v>REMENTILLA, MA. KRISTINA RIOVEROS</v>
          </cell>
          <cell r="I73" t="str">
            <v>METAL STAMPING</v>
          </cell>
          <cell r="J73" t="str">
            <v>PRODUCTION</v>
          </cell>
          <cell r="K73" t="str">
            <v>CLEANING</v>
          </cell>
          <cell r="L73">
            <v>0</v>
          </cell>
          <cell r="M73" t="str">
            <v>Operator</v>
          </cell>
          <cell r="N73" t="str">
            <v>Operator 1</v>
          </cell>
        </row>
        <row r="74">
          <cell r="C74">
            <v>13684</v>
          </cell>
          <cell r="D74" t="str">
            <v>GD250135</v>
          </cell>
          <cell r="E74" t="str">
            <v>DORONELA</v>
          </cell>
          <cell r="F74" t="str">
            <v>JIMUEL</v>
          </cell>
          <cell r="G74" t="str">
            <v>BELASON</v>
          </cell>
          <cell r="H74" t="str">
            <v>DORONELA, JIMUEL BELASON</v>
          </cell>
          <cell r="I74" t="str">
            <v>METAL STAMPING</v>
          </cell>
          <cell r="J74" t="str">
            <v>PRODUCTION</v>
          </cell>
          <cell r="K74" t="str">
            <v>WELDING</v>
          </cell>
          <cell r="L74" t="str">
            <v>GOSHI</v>
          </cell>
          <cell r="M74" t="str">
            <v>Operator</v>
          </cell>
          <cell r="N74" t="str">
            <v>Operator 1</v>
          </cell>
        </row>
        <row r="75">
          <cell r="C75">
            <v>10363</v>
          </cell>
          <cell r="D75" t="str">
            <v>GD250692</v>
          </cell>
          <cell r="E75" t="str">
            <v>FAJARDO</v>
          </cell>
          <cell r="F75" t="str">
            <v>ANALYN</v>
          </cell>
          <cell r="G75" t="str">
            <v>BOLIMA</v>
          </cell>
          <cell r="H75" t="str">
            <v>FAJARDO, ANALYN BOLIMA</v>
          </cell>
          <cell r="I75" t="str">
            <v>DIE CASTING/CNC</v>
          </cell>
          <cell r="J75" t="str">
            <v>PRODUCTION</v>
          </cell>
          <cell r="K75" t="str">
            <v>DIE CASTING</v>
          </cell>
          <cell r="L75">
            <v>0</v>
          </cell>
          <cell r="M75" t="str">
            <v>Operator</v>
          </cell>
          <cell r="N75" t="str">
            <v>Operator 1</v>
          </cell>
        </row>
        <row r="76">
          <cell r="C76">
            <v>13646</v>
          </cell>
          <cell r="D76" t="str">
            <v>GD250136</v>
          </cell>
          <cell r="E76" t="str">
            <v>GALLEGO</v>
          </cell>
          <cell r="F76" t="str">
            <v>ANNA JEAN</v>
          </cell>
          <cell r="G76" t="str">
            <v>GALLEGO</v>
          </cell>
          <cell r="H76" t="str">
            <v>GALLEGO, ANNA JEAN GALLEGO</v>
          </cell>
          <cell r="I76" t="str">
            <v>METAL STAMPING</v>
          </cell>
          <cell r="J76" t="str">
            <v>PRODUCTION</v>
          </cell>
          <cell r="K76" t="str">
            <v>STAMPING</v>
          </cell>
          <cell r="L76" t="str">
            <v>SERCOMM</v>
          </cell>
          <cell r="M76" t="str">
            <v>Operator</v>
          </cell>
          <cell r="N76" t="str">
            <v>Operator 1</v>
          </cell>
        </row>
        <row r="77">
          <cell r="C77">
            <v>11083</v>
          </cell>
          <cell r="D77" t="str">
            <v>GD250142</v>
          </cell>
          <cell r="E77" t="str">
            <v>MILANO</v>
          </cell>
          <cell r="F77" t="str">
            <v>ALEX</v>
          </cell>
          <cell r="G77" t="str">
            <v>LLEVA</v>
          </cell>
          <cell r="H77" t="str">
            <v>MILANO, ALEX LLEVA</v>
          </cell>
          <cell r="I77" t="str">
            <v>METAL STAMPING</v>
          </cell>
          <cell r="J77" t="str">
            <v>PRODUCTION</v>
          </cell>
          <cell r="K77" t="str">
            <v>TOOLING</v>
          </cell>
          <cell r="L77">
            <v>0</v>
          </cell>
          <cell r="M77" t="str">
            <v>Operator</v>
          </cell>
          <cell r="N77" t="str">
            <v>Operator 1</v>
          </cell>
        </row>
        <row r="78">
          <cell r="C78">
            <v>12110</v>
          </cell>
          <cell r="D78" t="str">
            <v>GD250143</v>
          </cell>
          <cell r="E78" t="str">
            <v>RABAJA</v>
          </cell>
          <cell r="F78" t="str">
            <v>JOCELYN</v>
          </cell>
          <cell r="G78" t="str">
            <v>DULAY</v>
          </cell>
          <cell r="H78" t="str">
            <v>RABAJA, JOCELYN DULAY</v>
          </cell>
          <cell r="I78" t="str">
            <v>METAL STAMPING</v>
          </cell>
          <cell r="J78" t="str">
            <v>PRODUCTION</v>
          </cell>
          <cell r="K78" t="str">
            <v>ASSEMBLY</v>
          </cell>
          <cell r="L78" t="str">
            <v>SERCOMM</v>
          </cell>
          <cell r="M78" t="str">
            <v>Operator</v>
          </cell>
          <cell r="N78" t="str">
            <v>Operator 1</v>
          </cell>
        </row>
        <row r="79">
          <cell r="C79">
            <v>12057</v>
          </cell>
          <cell r="D79" t="str">
            <v>GD250145</v>
          </cell>
          <cell r="E79" t="str">
            <v>DIMAILIG</v>
          </cell>
          <cell r="F79" t="str">
            <v>JAN MARK</v>
          </cell>
          <cell r="G79" t="str">
            <v>NOCHE</v>
          </cell>
          <cell r="H79" t="str">
            <v>DIMAILIG, JAN MARK NOCHE</v>
          </cell>
          <cell r="I79" t="str">
            <v>METAL STAMPING</v>
          </cell>
          <cell r="J79" t="str">
            <v>PRODUCTION</v>
          </cell>
          <cell r="K79" t="str">
            <v>STAMPING</v>
          </cell>
          <cell r="L79">
            <v>0</v>
          </cell>
          <cell r="M79" t="str">
            <v>Operator</v>
          </cell>
          <cell r="N79" t="str">
            <v>Operator 1</v>
          </cell>
        </row>
        <row r="80">
          <cell r="C80">
            <v>12164</v>
          </cell>
          <cell r="D80" t="str">
            <v>GD250147</v>
          </cell>
          <cell r="E80" t="str">
            <v>LANZADERAS</v>
          </cell>
          <cell r="F80" t="str">
            <v>CRISANTO</v>
          </cell>
          <cell r="G80" t="str">
            <v>VILLAGRACIA</v>
          </cell>
          <cell r="H80" t="str">
            <v>LANZADERAS, CRISANTO VILLAGRACIA</v>
          </cell>
          <cell r="I80" t="str">
            <v>METAL STAMPING</v>
          </cell>
          <cell r="J80" t="str">
            <v>PRODUCTION</v>
          </cell>
          <cell r="K80" t="str">
            <v>STAMPING</v>
          </cell>
          <cell r="L80" t="str">
            <v>GOSHI</v>
          </cell>
          <cell r="M80" t="str">
            <v>Operator</v>
          </cell>
          <cell r="N80" t="str">
            <v>Operator 1</v>
          </cell>
        </row>
        <row r="81">
          <cell r="C81">
            <v>12131</v>
          </cell>
          <cell r="D81" t="str">
            <v>GD250149</v>
          </cell>
          <cell r="E81" t="str">
            <v>ELAURZA</v>
          </cell>
          <cell r="F81" t="str">
            <v>RIZALDY</v>
          </cell>
          <cell r="G81" t="str">
            <v>GUINETA</v>
          </cell>
          <cell r="H81" t="str">
            <v>ELAURZA, RIZALDY GUINETA</v>
          </cell>
          <cell r="I81" t="str">
            <v>METAL STAMPING</v>
          </cell>
          <cell r="J81" t="str">
            <v>PRODUCTION</v>
          </cell>
          <cell r="K81" t="str">
            <v>TOOLING</v>
          </cell>
          <cell r="L81">
            <v>0</v>
          </cell>
          <cell r="M81" t="str">
            <v>Operator</v>
          </cell>
          <cell r="N81" t="str">
            <v>Operator 1</v>
          </cell>
        </row>
        <row r="82">
          <cell r="C82">
            <v>11952</v>
          </cell>
          <cell r="D82" t="str">
            <v>GD250153</v>
          </cell>
          <cell r="E82" t="str">
            <v>RAMIREZ</v>
          </cell>
          <cell r="F82" t="str">
            <v>JAY JAY</v>
          </cell>
          <cell r="G82" t="str">
            <v>RALLONZA</v>
          </cell>
          <cell r="H82" t="str">
            <v>RAMIREZ, JAY JAY RALLONZA</v>
          </cell>
          <cell r="I82" t="str">
            <v>METAL STAMPING</v>
          </cell>
          <cell r="J82" t="str">
            <v>PRODUCTION</v>
          </cell>
          <cell r="K82" t="str">
            <v>TOOLING</v>
          </cell>
          <cell r="L82">
            <v>0</v>
          </cell>
          <cell r="M82" t="str">
            <v>Operator</v>
          </cell>
          <cell r="N82" t="str">
            <v>Operator 1</v>
          </cell>
        </row>
        <row r="83">
          <cell r="C83">
            <v>11806</v>
          </cell>
          <cell r="D83" t="str">
            <v>GD250157</v>
          </cell>
          <cell r="E83" t="str">
            <v>MANCILLA</v>
          </cell>
          <cell r="F83" t="str">
            <v>JOHN RAFAEL</v>
          </cell>
          <cell r="G83" t="str">
            <v>TONGA</v>
          </cell>
          <cell r="H83" t="str">
            <v>MANCILLA, JOHN RAFAEL TONGA</v>
          </cell>
          <cell r="I83" t="str">
            <v>METAL STAMPING</v>
          </cell>
          <cell r="J83" t="str">
            <v>PRODUCTION</v>
          </cell>
          <cell r="K83" t="str">
            <v>STAMPING</v>
          </cell>
          <cell r="L83" t="str">
            <v>GOSHI</v>
          </cell>
          <cell r="M83" t="str">
            <v>Operator</v>
          </cell>
          <cell r="N83" t="str">
            <v>Operator 1</v>
          </cell>
        </row>
        <row r="84">
          <cell r="C84">
            <v>11990</v>
          </cell>
          <cell r="D84" t="str">
            <v>GD250158</v>
          </cell>
          <cell r="E84" t="str">
            <v>ROSARIO</v>
          </cell>
          <cell r="F84" t="str">
            <v>KENNETH</v>
          </cell>
          <cell r="G84" t="str">
            <v>CUIZON</v>
          </cell>
          <cell r="H84" t="str">
            <v>ROSARIO, KENNETH CUIZON</v>
          </cell>
          <cell r="I84" t="str">
            <v>METAL STAMPING</v>
          </cell>
          <cell r="J84" t="str">
            <v>WAREHOUSE</v>
          </cell>
          <cell r="K84">
            <v>0</v>
          </cell>
          <cell r="L84">
            <v>0</v>
          </cell>
          <cell r="M84" t="str">
            <v>Operator</v>
          </cell>
          <cell r="N84" t="str">
            <v>Warehouseman</v>
          </cell>
        </row>
        <row r="85">
          <cell r="C85">
            <v>11863</v>
          </cell>
          <cell r="D85" t="str">
            <v>GD250159</v>
          </cell>
          <cell r="E85" t="str">
            <v>CORTEZ</v>
          </cell>
          <cell r="F85" t="str">
            <v>ARMIN</v>
          </cell>
          <cell r="G85" t="str">
            <v>PADIS</v>
          </cell>
          <cell r="H85" t="str">
            <v>CORTEZ, ARMIN PADIS</v>
          </cell>
          <cell r="I85" t="str">
            <v>METAL STAMPING</v>
          </cell>
          <cell r="J85" t="str">
            <v>PRODUCTION</v>
          </cell>
          <cell r="K85" t="str">
            <v>STAMPING</v>
          </cell>
          <cell r="L85" t="str">
            <v>SERCOMM</v>
          </cell>
          <cell r="M85" t="str">
            <v>Operator</v>
          </cell>
          <cell r="N85" t="str">
            <v>Operator 1</v>
          </cell>
        </row>
        <row r="86">
          <cell r="C86">
            <v>11872</v>
          </cell>
          <cell r="D86" t="str">
            <v>GD250161</v>
          </cell>
          <cell r="E86" t="str">
            <v>HUGO</v>
          </cell>
          <cell r="F86" t="str">
            <v>MA. ELIZABETH</v>
          </cell>
          <cell r="G86" t="str">
            <v>LLAGA</v>
          </cell>
          <cell r="H86" t="str">
            <v>HUGO, MA. ELIZABETH LLAGA</v>
          </cell>
          <cell r="I86" t="str">
            <v>METAL STAMPING</v>
          </cell>
          <cell r="J86" t="str">
            <v>PRODUCTION</v>
          </cell>
          <cell r="K86" t="str">
            <v>ASSEMBLY</v>
          </cell>
          <cell r="L86" t="str">
            <v>SERCOMM</v>
          </cell>
          <cell r="M86" t="str">
            <v>Operator</v>
          </cell>
          <cell r="N86" t="str">
            <v>Operator 1</v>
          </cell>
        </row>
        <row r="87">
          <cell r="C87">
            <v>11865</v>
          </cell>
          <cell r="D87" t="str">
            <v>GD250162</v>
          </cell>
          <cell r="E87" t="str">
            <v>ROA</v>
          </cell>
          <cell r="F87" t="str">
            <v>JAYSON</v>
          </cell>
          <cell r="G87" t="str">
            <v>DELOS SANTOS</v>
          </cell>
          <cell r="H87" t="str">
            <v>ROA, JAYSON DELOS SANTOS</v>
          </cell>
          <cell r="I87" t="str">
            <v>METAL STAMPING</v>
          </cell>
          <cell r="J87" t="str">
            <v>PRODUCTION</v>
          </cell>
          <cell r="K87" t="str">
            <v>STAMPING</v>
          </cell>
          <cell r="L87">
            <v>0</v>
          </cell>
          <cell r="M87" t="str">
            <v>Operator</v>
          </cell>
          <cell r="N87" t="str">
            <v>Operator 1</v>
          </cell>
        </row>
        <row r="88">
          <cell r="C88">
            <v>11843</v>
          </cell>
          <cell r="D88" t="str">
            <v>GD250166</v>
          </cell>
          <cell r="E88" t="str">
            <v>GONZALES</v>
          </cell>
          <cell r="F88" t="str">
            <v>JOHN ANTHONY</v>
          </cell>
          <cell r="G88" t="str">
            <v>GUALVEZ</v>
          </cell>
          <cell r="H88" t="str">
            <v>GONZALES, JOHN ANTHONY GUALVEZ</v>
          </cell>
          <cell r="I88" t="str">
            <v>METAL STAMPING</v>
          </cell>
          <cell r="J88" t="str">
            <v>PRODUCTION</v>
          </cell>
          <cell r="K88" t="str">
            <v>STAMPING</v>
          </cell>
          <cell r="L88">
            <v>0</v>
          </cell>
          <cell r="M88" t="str">
            <v>Operator</v>
          </cell>
          <cell r="N88" t="str">
            <v>Operator 1</v>
          </cell>
        </row>
        <row r="89">
          <cell r="C89">
            <v>11842</v>
          </cell>
          <cell r="D89" t="str">
            <v>GD250167</v>
          </cell>
          <cell r="E89" t="str">
            <v>JUNIO</v>
          </cell>
          <cell r="F89" t="str">
            <v>JENESSA</v>
          </cell>
          <cell r="G89" t="str">
            <v>MIRAS</v>
          </cell>
          <cell r="H89" t="str">
            <v>JUNIO, JENESSA MIRAS</v>
          </cell>
          <cell r="I89" t="str">
            <v>METAL STAMPING</v>
          </cell>
          <cell r="J89" t="str">
            <v>PRODUCTION</v>
          </cell>
          <cell r="K89" t="str">
            <v>ASSEMBLY</v>
          </cell>
          <cell r="L89" t="str">
            <v>SERCOMM</v>
          </cell>
          <cell r="M89" t="str">
            <v>Operator</v>
          </cell>
          <cell r="N89" t="str">
            <v>Operator 1</v>
          </cell>
        </row>
        <row r="90">
          <cell r="C90">
            <v>11829</v>
          </cell>
          <cell r="D90" t="str">
            <v>GD250168</v>
          </cell>
          <cell r="E90" t="str">
            <v>MELITANTE</v>
          </cell>
          <cell r="F90" t="str">
            <v>MARICAR</v>
          </cell>
          <cell r="G90" t="str">
            <v>SUENO</v>
          </cell>
          <cell r="H90" t="str">
            <v>MELITANTE, MARICAR SUENO</v>
          </cell>
          <cell r="I90" t="str">
            <v>METAL STAMPING</v>
          </cell>
          <cell r="J90" t="str">
            <v>PRODUCTION</v>
          </cell>
          <cell r="K90" t="str">
            <v>ASSEMBLY</v>
          </cell>
          <cell r="L90" t="str">
            <v>SERCOMM</v>
          </cell>
          <cell r="M90" t="str">
            <v>Operator</v>
          </cell>
          <cell r="N90" t="str">
            <v>Operator 1</v>
          </cell>
        </row>
        <row r="91">
          <cell r="C91">
            <v>11834</v>
          </cell>
          <cell r="D91" t="str">
            <v>GD250169</v>
          </cell>
          <cell r="E91" t="str">
            <v>MASAPOL</v>
          </cell>
          <cell r="F91" t="str">
            <v>MARY JOY</v>
          </cell>
          <cell r="G91" t="str">
            <v>SANCHEZ</v>
          </cell>
          <cell r="H91" t="str">
            <v>MASAPOL, MARY JOY SANCHEZ</v>
          </cell>
          <cell r="I91" t="str">
            <v>METAL STAMPING</v>
          </cell>
          <cell r="J91" t="str">
            <v>PRODUCTION</v>
          </cell>
          <cell r="K91" t="str">
            <v>ASSEMBLY</v>
          </cell>
          <cell r="L91" t="str">
            <v>SERCOMM</v>
          </cell>
          <cell r="M91" t="str">
            <v>Operator</v>
          </cell>
          <cell r="N91" t="str">
            <v>Operator 1</v>
          </cell>
        </row>
        <row r="92">
          <cell r="C92">
            <v>11775</v>
          </cell>
          <cell r="D92" t="str">
            <v>GD250173</v>
          </cell>
          <cell r="E92" t="str">
            <v>HERRERA</v>
          </cell>
          <cell r="F92" t="str">
            <v>MARCELA</v>
          </cell>
          <cell r="G92" t="str">
            <v>BRAMIDAS</v>
          </cell>
          <cell r="H92" t="str">
            <v>HERRERA, MARCELA BRAMIDAS</v>
          </cell>
          <cell r="I92" t="str">
            <v>METAL STAMPING</v>
          </cell>
          <cell r="J92" t="str">
            <v>PRODUCTION</v>
          </cell>
          <cell r="K92" t="str">
            <v>ASSEMBLY</v>
          </cell>
          <cell r="L92" t="str">
            <v>SERCOMM</v>
          </cell>
          <cell r="M92" t="str">
            <v>Operator</v>
          </cell>
          <cell r="N92" t="str">
            <v>Operator 1</v>
          </cell>
        </row>
        <row r="93">
          <cell r="C93">
            <v>11742</v>
          </cell>
          <cell r="D93" t="str">
            <v>GD250174</v>
          </cell>
          <cell r="E93" t="str">
            <v>ORDENIZA</v>
          </cell>
          <cell r="F93" t="str">
            <v>LORNA</v>
          </cell>
          <cell r="G93" t="str">
            <v>SALAMANGGA</v>
          </cell>
          <cell r="H93" t="str">
            <v>ORDENIZA, LORNA SALAMANGGA</v>
          </cell>
          <cell r="I93" t="str">
            <v>METAL STAMPING</v>
          </cell>
          <cell r="J93" t="str">
            <v>PRODUCTION</v>
          </cell>
          <cell r="K93" t="str">
            <v>ASSEMBLY</v>
          </cell>
          <cell r="L93" t="str">
            <v>SERCOMM</v>
          </cell>
          <cell r="M93" t="str">
            <v>Operator</v>
          </cell>
          <cell r="N93" t="str">
            <v>Operator 1</v>
          </cell>
        </row>
        <row r="94">
          <cell r="C94">
            <v>11741</v>
          </cell>
          <cell r="D94" t="str">
            <v>GD250175</v>
          </cell>
          <cell r="E94" t="str">
            <v>TOLENTINO</v>
          </cell>
          <cell r="F94" t="str">
            <v>EVANGELINE</v>
          </cell>
          <cell r="G94" t="str">
            <v>DE SILVA</v>
          </cell>
          <cell r="H94" t="str">
            <v>TOLENTINO, EVANGELINE DE SILVA</v>
          </cell>
          <cell r="I94" t="str">
            <v>METAL STAMPING</v>
          </cell>
          <cell r="J94" t="str">
            <v>PRODUCTION</v>
          </cell>
          <cell r="K94" t="str">
            <v>ASSEMBLY</v>
          </cell>
          <cell r="L94" t="str">
            <v>SERCOMM</v>
          </cell>
          <cell r="M94" t="str">
            <v>Operator</v>
          </cell>
          <cell r="N94" t="str">
            <v>Operator 1</v>
          </cell>
        </row>
        <row r="95">
          <cell r="C95">
            <v>11698</v>
          </cell>
          <cell r="D95" t="str">
            <v>GD250178</v>
          </cell>
          <cell r="E95" t="str">
            <v>ETRATA</v>
          </cell>
          <cell r="F95" t="str">
            <v>LAWRENCE</v>
          </cell>
          <cell r="G95" t="str">
            <v>MOJILLO</v>
          </cell>
          <cell r="H95" t="str">
            <v>ETRATA, LAWRENCE MOJILLO</v>
          </cell>
          <cell r="I95" t="str">
            <v>METAL STAMPING</v>
          </cell>
          <cell r="J95" t="str">
            <v>PRODUCTION</v>
          </cell>
          <cell r="K95" t="str">
            <v>STAMPING</v>
          </cell>
          <cell r="L95">
            <v>0</v>
          </cell>
          <cell r="M95" t="str">
            <v>Operator</v>
          </cell>
          <cell r="N95" t="str">
            <v>Operator 1</v>
          </cell>
        </row>
        <row r="96">
          <cell r="C96">
            <v>12377</v>
          </cell>
          <cell r="D96" t="str">
            <v>GD250180</v>
          </cell>
          <cell r="E96" t="str">
            <v>MARALIT</v>
          </cell>
          <cell r="F96" t="str">
            <v>MONICA</v>
          </cell>
          <cell r="G96" t="str">
            <v>MAGADIA</v>
          </cell>
          <cell r="H96" t="str">
            <v>MARALIT, MONICA MAGADIA</v>
          </cell>
          <cell r="I96" t="str">
            <v>METAL STAMPING</v>
          </cell>
          <cell r="J96" t="str">
            <v>PRODUCTION</v>
          </cell>
          <cell r="K96" t="str">
            <v>STAMPING</v>
          </cell>
          <cell r="L96">
            <v>0</v>
          </cell>
          <cell r="M96" t="str">
            <v>Operator</v>
          </cell>
          <cell r="N96" t="str">
            <v>Operator 1</v>
          </cell>
        </row>
        <row r="97">
          <cell r="C97">
            <v>12375</v>
          </cell>
          <cell r="D97" t="str">
            <v>GD250181</v>
          </cell>
          <cell r="E97" t="str">
            <v>ESPINA</v>
          </cell>
          <cell r="F97" t="str">
            <v>DANIELLE ANN</v>
          </cell>
          <cell r="G97" t="str">
            <v>FORTU</v>
          </cell>
          <cell r="H97" t="str">
            <v>ESPINA, DANIELLE ANN FORTU</v>
          </cell>
          <cell r="I97" t="str">
            <v>METAL STAMPING</v>
          </cell>
          <cell r="J97" t="str">
            <v>PRODUCTION</v>
          </cell>
          <cell r="K97" t="str">
            <v>STAMPING</v>
          </cell>
          <cell r="L97">
            <v>0</v>
          </cell>
          <cell r="M97" t="str">
            <v>Operator</v>
          </cell>
          <cell r="N97" t="str">
            <v>Operator 1</v>
          </cell>
        </row>
        <row r="98">
          <cell r="C98">
            <v>12397</v>
          </cell>
          <cell r="D98" t="str">
            <v>GD250185</v>
          </cell>
          <cell r="E98" t="str">
            <v>CAPUNO</v>
          </cell>
          <cell r="F98" t="str">
            <v>JANARAH NICOLE</v>
          </cell>
          <cell r="G98" t="str">
            <v>ICAL</v>
          </cell>
          <cell r="H98" t="str">
            <v>CAPUNO, JANARAH NICOLE ICAL</v>
          </cell>
          <cell r="I98" t="str">
            <v>METAL STAMPING</v>
          </cell>
          <cell r="J98" t="str">
            <v>PRODUCTION</v>
          </cell>
          <cell r="K98" t="str">
            <v>ASSEMBLY</v>
          </cell>
          <cell r="L98" t="str">
            <v>SERCOMM</v>
          </cell>
          <cell r="M98" t="str">
            <v>Operator</v>
          </cell>
          <cell r="N98" t="str">
            <v>Operator 1</v>
          </cell>
        </row>
        <row r="99">
          <cell r="C99">
            <v>12303</v>
          </cell>
          <cell r="D99" t="str">
            <v>GD250187</v>
          </cell>
          <cell r="E99" t="str">
            <v>MACASINAG</v>
          </cell>
          <cell r="F99" t="str">
            <v>JOHN JOSHUA</v>
          </cell>
          <cell r="G99" t="str">
            <v>TOTANES</v>
          </cell>
          <cell r="H99" t="str">
            <v>MACASINAG, JOHN JOSHUA TOTANES</v>
          </cell>
          <cell r="I99" t="str">
            <v>METAL STAMPING</v>
          </cell>
          <cell r="J99" t="str">
            <v>PRODUCTION</v>
          </cell>
          <cell r="K99" t="str">
            <v>TOOLING</v>
          </cell>
          <cell r="L99">
            <v>0</v>
          </cell>
          <cell r="M99" t="str">
            <v>Operator</v>
          </cell>
          <cell r="N99" t="str">
            <v>Operator 1</v>
          </cell>
        </row>
        <row r="100">
          <cell r="C100">
            <v>14188</v>
          </cell>
          <cell r="D100" t="str">
            <v>GD250188</v>
          </cell>
          <cell r="E100" t="str">
            <v>UMALI</v>
          </cell>
          <cell r="F100" t="str">
            <v>JAY MERLYN</v>
          </cell>
          <cell r="G100" t="str">
            <v>POSO</v>
          </cell>
          <cell r="H100" t="str">
            <v>UMALI, JAY MERLYN POSO</v>
          </cell>
          <cell r="I100" t="str">
            <v>METAL STAMPING</v>
          </cell>
          <cell r="J100" t="str">
            <v>PRODUCTION</v>
          </cell>
          <cell r="K100" t="str">
            <v>CLEANING</v>
          </cell>
          <cell r="L100">
            <v>0</v>
          </cell>
          <cell r="M100" t="str">
            <v>Operator</v>
          </cell>
          <cell r="N100" t="str">
            <v>Operator 1</v>
          </cell>
        </row>
        <row r="101">
          <cell r="C101">
            <v>14173</v>
          </cell>
          <cell r="D101" t="str">
            <v>GD250195</v>
          </cell>
          <cell r="E101" t="str">
            <v>DESUYO</v>
          </cell>
          <cell r="F101" t="str">
            <v>DEITHER</v>
          </cell>
          <cell r="G101" t="str">
            <v>ABABAN</v>
          </cell>
          <cell r="H101" t="str">
            <v>DESUYO, DEITHER ABABAN</v>
          </cell>
          <cell r="I101" t="str">
            <v>METAL STAMPING</v>
          </cell>
          <cell r="J101" t="str">
            <v>PRODUCTION</v>
          </cell>
          <cell r="K101" t="str">
            <v>STAMPING</v>
          </cell>
          <cell r="L101">
            <v>0</v>
          </cell>
          <cell r="M101" t="str">
            <v>Operator</v>
          </cell>
          <cell r="N101" t="str">
            <v>Operator 1</v>
          </cell>
        </row>
        <row r="102">
          <cell r="C102">
            <v>14174</v>
          </cell>
          <cell r="D102" t="str">
            <v>GD250196</v>
          </cell>
          <cell r="E102" t="str">
            <v>CEDENO</v>
          </cell>
          <cell r="F102" t="str">
            <v>JOVAN</v>
          </cell>
          <cell r="G102" t="str">
            <v>OMNES</v>
          </cell>
          <cell r="H102" t="str">
            <v>CEDENO, JOVAN OMNES</v>
          </cell>
          <cell r="I102" t="str">
            <v>METAL STAMPING</v>
          </cell>
          <cell r="J102" t="str">
            <v>QUALITY</v>
          </cell>
          <cell r="K102" t="str">
            <v>QC</v>
          </cell>
          <cell r="L102">
            <v>0</v>
          </cell>
          <cell r="M102" t="str">
            <v>Operator</v>
          </cell>
          <cell r="N102" t="str">
            <v>Quality Inspector</v>
          </cell>
        </row>
        <row r="103">
          <cell r="C103">
            <v>14753</v>
          </cell>
          <cell r="D103" t="str">
            <v>GD250198</v>
          </cell>
          <cell r="E103" t="str">
            <v>TIMOSA</v>
          </cell>
          <cell r="F103" t="str">
            <v>ARLIZA</v>
          </cell>
          <cell r="G103" t="str">
            <v>NA</v>
          </cell>
          <cell r="H103" t="str">
            <v>TIMOSA, ARLIZA NA</v>
          </cell>
          <cell r="I103" t="str">
            <v>METAL STAMPING</v>
          </cell>
          <cell r="J103" t="str">
            <v>PRODUCTION</v>
          </cell>
          <cell r="K103" t="str">
            <v>STAMPING</v>
          </cell>
          <cell r="L103" t="str">
            <v>SERCOMM</v>
          </cell>
          <cell r="M103" t="str">
            <v>Operator</v>
          </cell>
          <cell r="N103" t="str">
            <v>Operator 1</v>
          </cell>
        </row>
        <row r="104">
          <cell r="C104">
            <v>14760</v>
          </cell>
          <cell r="D104" t="str">
            <v>GD250201</v>
          </cell>
          <cell r="E104" t="str">
            <v>BALBA</v>
          </cell>
          <cell r="F104" t="str">
            <v>CHRISTOPHER</v>
          </cell>
          <cell r="G104" t="str">
            <v>LALOMA</v>
          </cell>
          <cell r="H104" t="str">
            <v>BALBA, CHRISTOPHER LALOMA</v>
          </cell>
          <cell r="I104" t="str">
            <v>METAL STAMPING</v>
          </cell>
          <cell r="J104" t="str">
            <v>PRODUCTION</v>
          </cell>
          <cell r="K104" t="str">
            <v>WELDING</v>
          </cell>
          <cell r="L104" t="str">
            <v>GOSHI</v>
          </cell>
          <cell r="M104" t="str">
            <v>Operator</v>
          </cell>
          <cell r="N104" t="str">
            <v>Operator 1</v>
          </cell>
        </row>
        <row r="105">
          <cell r="C105">
            <v>14761</v>
          </cell>
          <cell r="D105" t="str">
            <v>GD250199</v>
          </cell>
          <cell r="E105" t="str">
            <v>ROBLES</v>
          </cell>
          <cell r="F105" t="str">
            <v>HAISEN JOY</v>
          </cell>
          <cell r="G105" t="str">
            <v>MANALO</v>
          </cell>
          <cell r="H105" t="str">
            <v>ROBLES, HAISEN JOY MANALO</v>
          </cell>
          <cell r="I105" t="str">
            <v>METAL STAMPING</v>
          </cell>
          <cell r="J105" t="str">
            <v>PRODUCTION</v>
          </cell>
          <cell r="K105" t="str">
            <v>CLEANING</v>
          </cell>
          <cell r="L105">
            <v>0</v>
          </cell>
          <cell r="M105" t="str">
            <v>Operator</v>
          </cell>
          <cell r="N105" t="str">
            <v>Operator 1</v>
          </cell>
        </row>
        <row r="106">
          <cell r="C106">
            <v>14694</v>
          </cell>
          <cell r="D106" t="str">
            <v>GD250203</v>
          </cell>
          <cell r="E106" t="str">
            <v>BAUTISTA</v>
          </cell>
          <cell r="F106" t="str">
            <v>PAULO</v>
          </cell>
          <cell r="G106" t="str">
            <v>CUSI</v>
          </cell>
          <cell r="H106" t="str">
            <v>BAUTISTA, PAULO CUSI</v>
          </cell>
          <cell r="I106" t="str">
            <v>METAL STAMPING</v>
          </cell>
          <cell r="J106" t="str">
            <v>PRODUCTION</v>
          </cell>
          <cell r="K106" t="str">
            <v>CLEANING</v>
          </cell>
          <cell r="L106">
            <v>0</v>
          </cell>
          <cell r="M106" t="str">
            <v>Operator</v>
          </cell>
          <cell r="N106" t="str">
            <v>Operator 1</v>
          </cell>
        </row>
        <row r="107">
          <cell r="C107">
            <v>14698</v>
          </cell>
          <cell r="D107" t="str">
            <v>GD250208</v>
          </cell>
          <cell r="E107" t="str">
            <v>CATANYAG</v>
          </cell>
          <cell r="F107" t="str">
            <v>JEFFREY</v>
          </cell>
          <cell r="G107" t="str">
            <v>MAMARIL</v>
          </cell>
          <cell r="H107" t="str">
            <v>CATANYAG, JEFFREY MAMARIL</v>
          </cell>
          <cell r="I107" t="str">
            <v>METAL STAMPING</v>
          </cell>
          <cell r="J107" t="str">
            <v>PRODUCTION</v>
          </cell>
          <cell r="K107" t="str">
            <v>CLEANING</v>
          </cell>
          <cell r="L107">
            <v>0</v>
          </cell>
          <cell r="M107" t="str">
            <v>Operator</v>
          </cell>
          <cell r="N107" t="str">
            <v>Operator 1</v>
          </cell>
        </row>
        <row r="108">
          <cell r="C108">
            <v>14627</v>
          </cell>
          <cell r="D108" t="str">
            <v>GD250210</v>
          </cell>
          <cell r="E108" t="str">
            <v>PERLAS</v>
          </cell>
          <cell r="F108" t="str">
            <v>BORIS</v>
          </cell>
          <cell r="G108" t="str">
            <v>SALAZAR</v>
          </cell>
          <cell r="H108" t="str">
            <v>PERLAS, BORIS SALAZAR</v>
          </cell>
          <cell r="I108" t="str">
            <v>METAL STAMPING</v>
          </cell>
          <cell r="J108" t="str">
            <v>PRODUCTION</v>
          </cell>
          <cell r="K108" t="str">
            <v>ASSEMBLY</v>
          </cell>
          <cell r="L108">
            <v>0</v>
          </cell>
          <cell r="M108" t="str">
            <v>Operator</v>
          </cell>
          <cell r="N108" t="str">
            <v>Operator 1</v>
          </cell>
        </row>
        <row r="109">
          <cell r="C109">
            <v>14630</v>
          </cell>
          <cell r="D109" t="str">
            <v>GD250214</v>
          </cell>
          <cell r="E109" t="str">
            <v>ANTONIO</v>
          </cell>
          <cell r="F109" t="str">
            <v>NOMER</v>
          </cell>
          <cell r="G109" t="str">
            <v>PALINO</v>
          </cell>
          <cell r="H109" t="str">
            <v>ANTONIO, NOMER PALINO</v>
          </cell>
          <cell r="I109" t="str">
            <v>METAL STAMPING</v>
          </cell>
          <cell r="J109" t="str">
            <v>PRODUCTION</v>
          </cell>
          <cell r="K109" t="str">
            <v>ASSEMBLY</v>
          </cell>
          <cell r="L109">
            <v>0</v>
          </cell>
          <cell r="M109" t="str">
            <v>Operator</v>
          </cell>
          <cell r="N109" t="str">
            <v>Operator 1</v>
          </cell>
        </row>
        <row r="110">
          <cell r="C110">
            <v>14631</v>
          </cell>
          <cell r="D110" t="str">
            <v>GD250211</v>
          </cell>
          <cell r="E110" t="str">
            <v>BERONIO</v>
          </cell>
          <cell r="F110" t="str">
            <v>JOSHUA</v>
          </cell>
          <cell r="G110" t="str">
            <v>BERINGUELA</v>
          </cell>
          <cell r="H110" t="str">
            <v>BERONIO, JOSHUA BERINGUELA</v>
          </cell>
          <cell r="I110" t="str">
            <v>METAL STAMPING</v>
          </cell>
          <cell r="J110" t="str">
            <v>PRODUCTION</v>
          </cell>
          <cell r="K110" t="str">
            <v>CLEANING</v>
          </cell>
          <cell r="L110">
            <v>0</v>
          </cell>
          <cell r="M110" t="str">
            <v>Operator</v>
          </cell>
          <cell r="N110" t="str">
            <v>Operator 1</v>
          </cell>
        </row>
        <row r="111">
          <cell r="C111">
            <v>13229</v>
          </cell>
          <cell r="D111" t="str">
            <v>GD250686</v>
          </cell>
          <cell r="E111" t="str">
            <v>EGUIA</v>
          </cell>
          <cell r="F111" t="str">
            <v>MA. NICOLE</v>
          </cell>
          <cell r="G111">
            <v>0</v>
          </cell>
          <cell r="H111" t="str">
            <v xml:space="preserve">EGUIA, MA. NICOLE </v>
          </cell>
          <cell r="I111" t="str">
            <v>METAL STAMPING</v>
          </cell>
          <cell r="J111" t="str">
            <v>PRODUCTION</v>
          </cell>
          <cell r="K111" t="str">
            <v>CLEANING</v>
          </cell>
          <cell r="L111">
            <v>0</v>
          </cell>
          <cell r="M111" t="str">
            <v>Operator</v>
          </cell>
          <cell r="N111" t="str">
            <v>Operator 1</v>
          </cell>
        </row>
        <row r="112">
          <cell r="C112">
            <v>13230</v>
          </cell>
          <cell r="D112" t="str">
            <v>GD250215</v>
          </cell>
          <cell r="E112" t="str">
            <v>CAY</v>
          </cell>
          <cell r="F112" t="str">
            <v>JOSHUA</v>
          </cell>
          <cell r="G112">
            <v>0</v>
          </cell>
          <cell r="H112" t="str">
            <v xml:space="preserve">CAY, JOSHUA </v>
          </cell>
          <cell r="I112" t="str">
            <v>METAL STAMPING</v>
          </cell>
          <cell r="J112" t="str">
            <v>PRODUCTION</v>
          </cell>
          <cell r="K112" t="str">
            <v>CLEANING</v>
          </cell>
          <cell r="L112">
            <v>0</v>
          </cell>
          <cell r="M112" t="str">
            <v>Operator</v>
          </cell>
          <cell r="N112" t="str">
            <v>Operator 1</v>
          </cell>
        </row>
        <row r="113">
          <cell r="C113">
            <v>13223</v>
          </cell>
          <cell r="D113" t="str">
            <v>GD250191</v>
          </cell>
          <cell r="E113" t="str">
            <v>BEQUILLO</v>
          </cell>
          <cell r="F113" t="str">
            <v>ANGELA</v>
          </cell>
          <cell r="G113" t="str">
            <v>NOVELA</v>
          </cell>
          <cell r="H113" t="str">
            <v>BEQUILLO, ANGELA NOVELA</v>
          </cell>
          <cell r="I113" t="str">
            <v>PLASTIC INJECTION</v>
          </cell>
          <cell r="J113" t="str">
            <v>PRODUCTION</v>
          </cell>
          <cell r="K113" t="str">
            <v>INJECTION MOLDING</v>
          </cell>
          <cell r="L113">
            <v>0</v>
          </cell>
          <cell r="M113" t="str">
            <v>Operator</v>
          </cell>
          <cell r="N113" t="str">
            <v>Operator 1</v>
          </cell>
        </row>
        <row r="114">
          <cell r="C114">
            <v>13312</v>
          </cell>
          <cell r="D114" t="str">
            <v>GD250216</v>
          </cell>
          <cell r="E114" t="str">
            <v>RIVERO</v>
          </cell>
          <cell r="F114" t="str">
            <v>RONALD</v>
          </cell>
          <cell r="G114" t="str">
            <v>STA. ANA</v>
          </cell>
          <cell r="H114" t="str">
            <v>RIVERO, RONALD STA. ANA</v>
          </cell>
          <cell r="I114" t="str">
            <v>METAL STAMPING</v>
          </cell>
          <cell r="J114" t="str">
            <v>PRODUCTION</v>
          </cell>
          <cell r="K114" t="str">
            <v>WELDING</v>
          </cell>
          <cell r="L114" t="str">
            <v>GOSHI</v>
          </cell>
          <cell r="M114" t="str">
            <v>Operator</v>
          </cell>
          <cell r="N114" t="str">
            <v>Operator 1</v>
          </cell>
        </row>
        <row r="115">
          <cell r="C115">
            <v>13236</v>
          </cell>
          <cell r="D115" t="str">
            <v>GD250217</v>
          </cell>
          <cell r="E115" t="str">
            <v>TABIOS</v>
          </cell>
          <cell r="F115" t="str">
            <v>ANGELITE</v>
          </cell>
          <cell r="G115" t="str">
            <v>BALICTAR</v>
          </cell>
          <cell r="H115" t="str">
            <v>TABIOS, ANGELITE BALICTAR</v>
          </cell>
          <cell r="I115" t="str">
            <v>METAL STAMPING</v>
          </cell>
          <cell r="J115" t="str">
            <v>PRODUCTION</v>
          </cell>
          <cell r="K115" t="str">
            <v>ASSEMBLY</v>
          </cell>
          <cell r="L115" t="str">
            <v>SERCOMM</v>
          </cell>
          <cell r="M115" t="str">
            <v>Operator</v>
          </cell>
          <cell r="N115" t="str">
            <v>Operator 1</v>
          </cell>
        </row>
        <row r="116">
          <cell r="C116">
            <v>13376</v>
          </cell>
          <cell r="D116" t="str">
            <v>GD250219</v>
          </cell>
          <cell r="E116" t="str">
            <v>JARINO</v>
          </cell>
          <cell r="F116" t="str">
            <v>JOMAR</v>
          </cell>
          <cell r="G116" t="str">
            <v>GAMAO</v>
          </cell>
          <cell r="H116" t="str">
            <v>JARINO, JOMAR GAMAO</v>
          </cell>
          <cell r="I116" t="str">
            <v>METAL STAMPING</v>
          </cell>
          <cell r="J116" t="str">
            <v>PRODUCTION</v>
          </cell>
          <cell r="K116" t="str">
            <v>CLEANING</v>
          </cell>
          <cell r="L116">
            <v>0</v>
          </cell>
          <cell r="M116" t="str">
            <v>Operator</v>
          </cell>
          <cell r="N116" t="str">
            <v>Operator 1</v>
          </cell>
        </row>
        <row r="117">
          <cell r="C117">
            <v>13397</v>
          </cell>
          <cell r="D117" t="str">
            <v>GD250224</v>
          </cell>
          <cell r="E117" t="str">
            <v>CATAMBAY</v>
          </cell>
          <cell r="F117" t="str">
            <v>ROLDAN</v>
          </cell>
          <cell r="G117" t="str">
            <v>ROCA</v>
          </cell>
          <cell r="H117" t="str">
            <v>CATAMBAY, ROLDAN ROCA</v>
          </cell>
          <cell r="I117" t="str">
            <v>METAL STAMPING</v>
          </cell>
          <cell r="J117" t="str">
            <v>WAREHOUSE</v>
          </cell>
          <cell r="K117">
            <v>0</v>
          </cell>
          <cell r="L117">
            <v>0</v>
          </cell>
          <cell r="M117" t="str">
            <v>Operator</v>
          </cell>
          <cell r="N117" t="str">
            <v>Warehouseman</v>
          </cell>
        </row>
        <row r="118">
          <cell r="C118">
            <v>13338</v>
          </cell>
          <cell r="D118" t="str">
            <v>GD250223</v>
          </cell>
          <cell r="E118" t="str">
            <v>CORTAS</v>
          </cell>
          <cell r="F118" t="str">
            <v>JOHN LLOYD</v>
          </cell>
          <cell r="G118" t="str">
            <v>GUNAY</v>
          </cell>
          <cell r="H118" t="str">
            <v>CORTAS, JOHN LLOYD GUNAY</v>
          </cell>
          <cell r="I118" t="str">
            <v>PLASTIC INJECTION</v>
          </cell>
          <cell r="J118" t="str">
            <v>PRODUCTION</v>
          </cell>
          <cell r="K118" t="str">
            <v>INJECTION MOLDING</v>
          </cell>
          <cell r="L118">
            <v>0</v>
          </cell>
          <cell r="M118" t="str">
            <v>Operator</v>
          </cell>
          <cell r="N118" t="str">
            <v>Operator 1</v>
          </cell>
        </row>
        <row r="119">
          <cell r="C119">
            <v>13337</v>
          </cell>
          <cell r="D119" t="str">
            <v>GD250225</v>
          </cell>
          <cell r="E119" t="str">
            <v>DUEÑAS</v>
          </cell>
          <cell r="F119" t="str">
            <v>MANNEX</v>
          </cell>
          <cell r="G119" t="str">
            <v>ALVENDIA</v>
          </cell>
          <cell r="H119" t="str">
            <v>DUEÑAS, MANNEX ALVENDIA</v>
          </cell>
          <cell r="I119" t="str">
            <v>METAL STAMPING</v>
          </cell>
          <cell r="J119" t="str">
            <v>PRODUCTION</v>
          </cell>
          <cell r="K119" t="str">
            <v>ASSEMBLY</v>
          </cell>
          <cell r="L119" t="str">
            <v>SERCOMM</v>
          </cell>
          <cell r="M119" t="str">
            <v>Operator</v>
          </cell>
          <cell r="N119" t="str">
            <v>Operator 1</v>
          </cell>
        </row>
        <row r="120">
          <cell r="C120">
            <v>14824</v>
          </cell>
          <cell r="D120" t="str">
            <v>GD250234</v>
          </cell>
          <cell r="E120" t="str">
            <v>PEREZ</v>
          </cell>
          <cell r="F120" t="str">
            <v>ROLLY</v>
          </cell>
          <cell r="G120" t="str">
            <v>MOTEL</v>
          </cell>
          <cell r="H120" t="str">
            <v>PEREZ, ROLLY MOTEL</v>
          </cell>
          <cell r="I120" t="str">
            <v>METAL STAMPING</v>
          </cell>
          <cell r="J120" t="str">
            <v>ADMIN</v>
          </cell>
          <cell r="K120" t="str">
            <v>LEASEHOLD IMPROVEMENT</v>
          </cell>
          <cell r="L120">
            <v>0</v>
          </cell>
          <cell r="M120" t="str">
            <v>Maintenace</v>
          </cell>
          <cell r="N120" t="str">
            <v>Facility Maintenace</v>
          </cell>
        </row>
        <row r="121">
          <cell r="C121">
            <v>14831</v>
          </cell>
          <cell r="D121" t="str">
            <v>GD250235</v>
          </cell>
          <cell r="E121" t="str">
            <v>GAMILLA</v>
          </cell>
          <cell r="F121" t="str">
            <v>KAREN NIÑA</v>
          </cell>
          <cell r="G121" t="str">
            <v>LAZARO</v>
          </cell>
          <cell r="H121" t="str">
            <v>GAMILLA, KAREN NIÑA LAZARO</v>
          </cell>
          <cell r="I121" t="str">
            <v>METAL STAMPING</v>
          </cell>
          <cell r="J121" t="str">
            <v>PRODUCTION</v>
          </cell>
          <cell r="K121" t="str">
            <v>WELDING</v>
          </cell>
          <cell r="L121" t="str">
            <v>GOSHI</v>
          </cell>
          <cell r="M121" t="str">
            <v>Operator</v>
          </cell>
          <cell r="N121" t="str">
            <v>Operator 1</v>
          </cell>
        </row>
        <row r="122">
          <cell r="C122">
            <v>14997</v>
          </cell>
          <cell r="D122" t="str">
            <v>GD250236</v>
          </cell>
          <cell r="E122" t="str">
            <v>LLANERA</v>
          </cell>
          <cell r="F122" t="str">
            <v>SHARENA</v>
          </cell>
          <cell r="G122" t="str">
            <v>SABALBORO</v>
          </cell>
          <cell r="H122" t="str">
            <v>LLANERA, SHARENA SABALBORO</v>
          </cell>
          <cell r="I122" t="str">
            <v>METAL STAMPING</v>
          </cell>
          <cell r="J122" t="str">
            <v>PRODUCTION</v>
          </cell>
          <cell r="K122" t="str">
            <v>CLEANING</v>
          </cell>
          <cell r="L122">
            <v>0</v>
          </cell>
          <cell r="M122" t="str">
            <v>Operator</v>
          </cell>
          <cell r="N122" t="str">
            <v>Operator 1</v>
          </cell>
        </row>
        <row r="123">
          <cell r="C123">
            <v>14835</v>
          </cell>
          <cell r="D123" t="str">
            <v>GD250237</v>
          </cell>
          <cell r="E123" t="str">
            <v>PAYOPAS</v>
          </cell>
          <cell r="F123" t="str">
            <v>KYLA MARIE</v>
          </cell>
          <cell r="G123" t="str">
            <v>SANICO</v>
          </cell>
          <cell r="H123" t="str">
            <v>PAYOPAS, KYLA MARIE SANICO</v>
          </cell>
          <cell r="I123" t="str">
            <v>METAL STAMPING</v>
          </cell>
          <cell r="J123" t="str">
            <v>PRODUCTION</v>
          </cell>
          <cell r="K123" t="str">
            <v>ASSEMBLY</v>
          </cell>
          <cell r="L123" t="str">
            <v>SERCOMM</v>
          </cell>
          <cell r="M123" t="str">
            <v>Operator</v>
          </cell>
          <cell r="N123" t="str">
            <v>Operator 1</v>
          </cell>
        </row>
        <row r="124">
          <cell r="C124">
            <v>14909</v>
          </cell>
          <cell r="D124" t="str">
            <v>GD250244</v>
          </cell>
          <cell r="E124" t="str">
            <v>MACARAIG</v>
          </cell>
          <cell r="F124" t="str">
            <v>JHUN MARK</v>
          </cell>
          <cell r="G124" t="str">
            <v>MADRIGAL</v>
          </cell>
          <cell r="H124" t="str">
            <v>MACARAIG, JHUN MARK MADRIGAL</v>
          </cell>
          <cell r="I124" t="str">
            <v>PLASTIC INJECTION</v>
          </cell>
          <cell r="J124" t="str">
            <v>PRODUCTION</v>
          </cell>
          <cell r="K124" t="str">
            <v>INJECTION MOLDING</v>
          </cell>
          <cell r="L124">
            <v>0</v>
          </cell>
          <cell r="M124" t="str">
            <v>Operator</v>
          </cell>
          <cell r="N124" t="str">
            <v>Operator 1</v>
          </cell>
        </row>
        <row r="125">
          <cell r="C125">
            <v>14915</v>
          </cell>
          <cell r="D125" t="str">
            <v>GD250241</v>
          </cell>
          <cell r="E125" t="str">
            <v>NATINGGA</v>
          </cell>
          <cell r="F125" t="str">
            <v>PRECIOUS</v>
          </cell>
          <cell r="G125" t="str">
            <v>GOTERA</v>
          </cell>
          <cell r="H125" t="str">
            <v>NATINGGA, PRECIOUS GOTERA</v>
          </cell>
          <cell r="I125" t="str">
            <v>METAL STAMPING</v>
          </cell>
          <cell r="J125" t="str">
            <v>PRODUCTION</v>
          </cell>
          <cell r="K125" t="str">
            <v>WELDING</v>
          </cell>
          <cell r="L125" t="str">
            <v>GOSHI</v>
          </cell>
          <cell r="M125" t="str">
            <v>Operator</v>
          </cell>
          <cell r="N125" t="str">
            <v>Operator 1</v>
          </cell>
        </row>
        <row r="126">
          <cell r="C126">
            <v>14447</v>
          </cell>
          <cell r="D126" t="str">
            <v>GD250247</v>
          </cell>
          <cell r="E126" t="str">
            <v>ARANDELA</v>
          </cell>
          <cell r="F126" t="str">
            <v>LOIDA</v>
          </cell>
          <cell r="G126" t="str">
            <v>SALUD</v>
          </cell>
          <cell r="H126" t="str">
            <v>ARANDELA, LOIDA SALUD</v>
          </cell>
          <cell r="I126" t="str">
            <v>METAL STAMPING</v>
          </cell>
          <cell r="J126" t="str">
            <v>ADMIN</v>
          </cell>
          <cell r="K126" t="str">
            <v>LEASEHOLD IMPROVEMENT</v>
          </cell>
          <cell r="L126">
            <v>0</v>
          </cell>
          <cell r="M126" t="str">
            <v>Utility</v>
          </cell>
          <cell r="N126" t="str">
            <v>Housekeeper</v>
          </cell>
        </row>
        <row r="127">
          <cell r="C127">
            <v>14448</v>
          </cell>
          <cell r="D127" t="str">
            <v>GD250248</v>
          </cell>
          <cell r="E127" t="str">
            <v>CALANGI</v>
          </cell>
          <cell r="F127" t="str">
            <v>CRIS JOHN</v>
          </cell>
          <cell r="G127" t="str">
            <v>ROLDAN</v>
          </cell>
          <cell r="H127" t="str">
            <v>CALANGI, CRIS JOHN ROLDAN</v>
          </cell>
          <cell r="I127" t="str">
            <v>METAL STAMPING</v>
          </cell>
          <cell r="J127" t="str">
            <v>ADMIN</v>
          </cell>
          <cell r="K127" t="str">
            <v>LEASEHOLD IMPROVEMENT</v>
          </cell>
          <cell r="L127">
            <v>0</v>
          </cell>
          <cell r="M127" t="str">
            <v>Maintenace</v>
          </cell>
          <cell r="N127" t="str">
            <v>Facility Maintenace</v>
          </cell>
        </row>
        <row r="128">
          <cell r="C128">
            <v>14479</v>
          </cell>
          <cell r="D128" t="str">
            <v>GD250252</v>
          </cell>
          <cell r="E128" t="str">
            <v>ALBAÑA</v>
          </cell>
          <cell r="F128" t="str">
            <v>ROSE MARIE</v>
          </cell>
          <cell r="G128" t="str">
            <v>ESTERNON</v>
          </cell>
          <cell r="H128" t="str">
            <v>ALBAÑA, ROSE MARIE ESTERNON</v>
          </cell>
          <cell r="I128" t="str">
            <v>METAL STAMPING</v>
          </cell>
          <cell r="J128" t="str">
            <v>PRODUCTION</v>
          </cell>
          <cell r="K128" t="str">
            <v>STAMPING</v>
          </cell>
          <cell r="L128" t="str">
            <v>SERCOMM</v>
          </cell>
          <cell r="M128" t="str">
            <v>Operator</v>
          </cell>
          <cell r="N128" t="str">
            <v>Operator 1</v>
          </cell>
        </row>
        <row r="129">
          <cell r="C129">
            <v>14473</v>
          </cell>
          <cell r="D129" t="str">
            <v>GD250254</v>
          </cell>
          <cell r="E129" t="str">
            <v>DE JESUS</v>
          </cell>
          <cell r="F129" t="str">
            <v>JOHN LORREN</v>
          </cell>
          <cell r="G129" t="str">
            <v>LIWANAG</v>
          </cell>
          <cell r="H129" t="str">
            <v>DE JESUS, JOHN LORREN LIWANAG</v>
          </cell>
          <cell r="I129" t="str">
            <v>METAL STAMPING</v>
          </cell>
          <cell r="J129" t="str">
            <v>PRODUCTION</v>
          </cell>
          <cell r="K129" t="str">
            <v>ASSEMBLY</v>
          </cell>
          <cell r="L129" t="str">
            <v>SERCOMM</v>
          </cell>
          <cell r="M129" t="str">
            <v>Operator</v>
          </cell>
          <cell r="N129" t="str">
            <v>Operator 1</v>
          </cell>
        </row>
        <row r="130">
          <cell r="C130">
            <v>14543</v>
          </cell>
          <cell r="D130" t="str">
            <v>GD250257</v>
          </cell>
          <cell r="E130" t="str">
            <v>AVILA</v>
          </cell>
          <cell r="F130" t="str">
            <v>JOANA NICOLE</v>
          </cell>
          <cell r="G130" t="str">
            <v>PENOL</v>
          </cell>
          <cell r="H130" t="str">
            <v>AVILA, JOANA NICOLE PENOL</v>
          </cell>
          <cell r="I130" t="str">
            <v>METAL STAMPING</v>
          </cell>
          <cell r="J130" t="str">
            <v>QUALITY</v>
          </cell>
          <cell r="K130" t="str">
            <v>QC</v>
          </cell>
          <cell r="L130">
            <v>0</v>
          </cell>
          <cell r="M130" t="str">
            <v>Operator</v>
          </cell>
          <cell r="N130" t="str">
            <v>Quality Inspector</v>
          </cell>
        </row>
        <row r="131">
          <cell r="C131">
            <v>14542</v>
          </cell>
          <cell r="D131" t="str">
            <v>GD250258</v>
          </cell>
          <cell r="E131" t="str">
            <v>YONGKOL</v>
          </cell>
          <cell r="F131" t="str">
            <v>PAULINE</v>
          </cell>
          <cell r="G131" t="str">
            <v>DE ROXAS</v>
          </cell>
          <cell r="H131" t="str">
            <v>YONGKOL, PAULINE DE ROXAS</v>
          </cell>
          <cell r="I131" t="str">
            <v>METAL STAMPING</v>
          </cell>
          <cell r="J131" t="str">
            <v>QUALITY</v>
          </cell>
          <cell r="K131" t="str">
            <v>QC</v>
          </cell>
          <cell r="L131">
            <v>0</v>
          </cell>
          <cell r="M131" t="str">
            <v>Operator</v>
          </cell>
          <cell r="N131" t="str">
            <v>Quality Inspector</v>
          </cell>
        </row>
        <row r="132">
          <cell r="C132">
            <v>14541</v>
          </cell>
          <cell r="D132" t="str">
            <v>GD250259</v>
          </cell>
          <cell r="E132" t="str">
            <v>GIDA</v>
          </cell>
          <cell r="F132" t="str">
            <v>CHRISTIAN</v>
          </cell>
          <cell r="G132" t="str">
            <v>LAURENTE</v>
          </cell>
          <cell r="H132" t="str">
            <v>GIDA, CHRISTIAN LAURENTE</v>
          </cell>
          <cell r="I132" t="str">
            <v>METAL STAMPING</v>
          </cell>
          <cell r="J132" t="str">
            <v>QUALITY</v>
          </cell>
          <cell r="K132" t="str">
            <v>QC</v>
          </cell>
          <cell r="L132">
            <v>0</v>
          </cell>
          <cell r="M132" t="str">
            <v>Operator</v>
          </cell>
          <cell r="N132" t="str">
            <v>Quality Inspector</v>
          </cell>
        </row>
        <row r="133">
          <cell r="C133">
            <v>14567</v>
          </cell>
          <cell r="D133" t="str">
            <v>GD250264</v>
          </cell>
          <cell r="E133" t="str">
            <v>HERNANDEZ</v>
          </cell>
          <cell r="F133" t="str">
            <v>MARCO</v>
          </cell>
          <cell r="G133" t="str">
            <v>FONTE</v>
          </cell>
          <cell r="H133" t="str">
            <v>HERNANDEZ, MARCO FONTE</v>
          </cell>
          <cell r="I133" t="str">
            <v>METAL STAMPING</v>
          </cell>
          <cell r="J133" t="str">
            <v>PRODUCTION</v>
          </cell>
          <cell r="K133" t="str">
            <v>STAMPING</v>
          </cell>
          <cell r="L133">
            <v>0</v>
          </cell>
          <cell r="M133" t="str">
            <v>Operator</v>
          </cell>
          <cell r="N133" t="str">
            <v>Operator 1</v>
          </cell>
        </row>
        <row r="134">
          <cell r="C134">
            <v>14568</v>
          </cell>
          <cell r="D134" t="str">
            <v>GD250265</v>
          </cell>
          <cell r="E134" t="str">
            <v>HERNANDEZ</v>
          </cell>
          <cell r="F134" t="str">
            <v>JAN MARK</v>
          </cell>
          <cell r="G134" t="str">
            <v>FONTE</v>
          </cell>
          <cell r="H134" t="str">
            <v>HERNANDEZ, JAN MARK FONTE</v>
          </cell>
          <cell r="I134" t="str">
            <v>METAL STAMPING</v>
          </cell>
          <cell r="J134" t="str">
            <v>PRODUCTION</v>
          </cell>
          <cell r="K134" t="str">
            <v>STAMPING</v>
          </cell>
          <cell r="L134">
            <v>0</v>
          </cell>
          <cell r="M134" t="str">
            <v>Operator</v>
          </cell>
          <cell r="N134" t="str">
            <v>Operator 1</v>
          </cell>
        </row>
        <row r="135">
          <cell r="C135">
            <v>14563</v>
          </cell>
          <cell r="D135" t="str">
            <v>GD250261</v>
          </cell>
          <cell r="E135" t="str">
            <v>SARALDE</v>
          </cell>
          <cell r="F135" t="str">
            <v>JOHN MARK</v>
          </cell>
          <cell r="G135" t="str">
            <v>ASALDO</v>
          </cell>
          <cell r="H135" t="str">
            <v>SARALDE, JOHN MARK ASALDO</v>
          </cell>
          <cell r="I135" t="str">
            <v>METAL STAMPING</v>
          </cell>
          <cell r="J135" t="str">
            <v>PRODUCTION</v>
          </cell>
          <cell r="K135" t="str">
            <v>CLEANING</v>
          </cell>
          <cell r="L135">
            <v>0</v>
          </cell>
          <cell r="M135" t="str">
            <v>Operator</v>
          </cell>
          <cell r="N135" t="str">
            <v>Operator 1</v>
          </cell>
        </row>
        <row r="136">
          <cell r="C136">
            <v>14565</v>
          </cell>
          <cell r="D136" t="str">
            <v>GD250266</v>
          </cell>
          <cell r="E136" t="str">
            <v>MAYUGA</v>
          </cell>
          <cell r="F136" t="str">
            <v>RYAN</v>
          </cell>
          <cell r="G136" t="str">
            <v>HACUMAN</v>
          </cell>
          <cell r="H136" t="str">
            <v>MAYUGA, RYAN HACUMAN</v>
          </cell>
          <cell r="I136" t="str">
            <v>METAL STAMPING</v>
          </cell>
          <cell r="J136" t="str">
            <v>PRODUCTION</v>
          </cell>
          <cell r="K136" t="str">
            <v>STAMPING</v>
          </cell>
          <cell r="L136">
            <v>0</v>
          </cell>
          <cell r="M136" t="str">
            <v>Operator</v>
          </cell>
          <cell r="N136" t="str">
            <v>Operator 1</v>
          </cell>
        </row>
        <row r="137">
          <cell r="C137">
            <v>12878</v>
          </cell>
          <cell r="D137" t="str">
            <v>GD250314</v>
          </cell>
          <cell r="E137" t="str">
            <v>BRIONES</v>
          </cell>
          <cell r="F137" t="str">
            <v>ANGELICA</v>
          </cell>
          <cell r="G137" t="str">
            <v>OLAVERIA</v>
          </cell>
          <cell r="H137" t="str">
            <v>BRIONES, ANGELICA OLAVERIA</v>
          </cell>
          <cell r="I137" t="str">
            <v>METAL STAMPING</v>
          </cell>
          <cell r="J137" t="str">
            <v>PRODUCTION</v>
          </cell>
          <cell r="K137" t="str">
            <v>STAMPING</v>
          </cell>
          <cell r="L137">
            <v>0</v>
          </cell>
          <cell r="M137" t="str">
            <v>Operator</v>
          </cell>
          <cell r="N137" t="str">
            <v>Operator 1</v>
          </cell>
        </row>
        <row r="138">
          <cell r="C138">
            <v>14218</v>
          </cell>
          <cell r="D138" t="str">
            <v>GD250387</v>
          </cell>
          <cell r="E138" t="str">
            <v>GUIANAN</v>
          </cell>
          <cell r="F138" t="str">
            <v>AIRA</v>
          </cell>
          <cell r="G138" t="str">
            <v>LLAGAN</v>
          </cell>
          <cell r="H138" t="str">
            <v>GUIANAN, AIRA LLAGAN</v>
          </cell>
          <cell r="I138" t="str">
            <v>METAL STAMPING</v>
          </cell>
          <cell r="J138" t="str">
            <v>PRODUCTION</v>
          </cell>
          <cell r="K138" t="str">
            <v>STAMPING</v>
          </cell>
          <cell r="L138">
            <v>0</v>
          </cell>
          <cell r="M138" t="str">
            <v>Operator</v>
          </cell>
          <cell r="N138" t="str">
            <v>Operator 1</v>
          </cell>
        </row>
        <row r="139">
          <cell r="C139">
            <v>12918</v>
          </cell>
          <cell r="D139" t="str">
            <v>GD250337</v>
          </cell>
          <cell r="E139" t="str">
            <v>CORTEZANO</v>
          </cell>
          <cell r="F139" t="str">
            <v>GRACE ANN</v>
          </cell>
          <cell r="G139" t="str">
            <v>MONTILLA</v>
          </cell>
          <cell r="H139" t="str">
            <v>CORTEZANO, GRACE ANN MONTILLA</v>
          </cell>
          <cell r="I139" t="str">
            <v>METAL STAMPING</v>
          </cell>
          <cell r="J139" t="str">
            <v>PRODUCTION</v>
          </cell>
          <cell r="K139" t="str">
            <v>STAMPING</v>
          </cell>
          <cell r="L139">
            <v>0</v>
          </cell>
          <cell r="M139" t="str">
            <v>Operator</v>
          </cell>
          <cell r="N139" t="str">
            <v>Operator 1</v>
          </cell>
        </row>
        <row r="140">
          <cell r="C140">
            <v>12802</v>
          </cell>
          <cell r="D140" t="str">
            <v>GD250274</v>
          </cell>
          <cell r="E140" t="str">
            <v>ABAÑES</v>
          </cell>
          <cell r="F140" t="str">
            <v>JAY-AR</v>
          </cell>
          <cell r="G140" t="str">
            <v>ACABADO</v>
          </cell>
          <cell r="H140" t="str">
            <v>ABAÑES, JAY-AR ACABADO</v>
          </cell>
          <cell r="I140" t="str">
            <v>METAL STAMPING</v>
          </cell>
          <cell r="J140" t="str">
            <v>PRODUCTION</v>
          </cell>
          <cell r="K140" t="str">
            <v>STAMPING</v>
          </cell>
          <cell r="L140">
            <v>0</v>
          </cell>
          <cell r="M140" t="str">
            <v>Operator</v>
          </cell>
          <cell r="N140" t="str">
            <v>Operator 1</v>
          </cell>
        </row>
        <row r="141">
          <cell r="C141">
            <v>10049</v>
          </cell>
          <cell r="D141" t="str">
            <v>GD250279</v>
          </cell>
          <cell r="E141" t="str">
            <v>ACLAN</v>
          </cell>
          <cell r="F141" t="str">
            <v>MAURIEN</v>
          </cell>
          <cell r="G141" t="str">
            <v>BALMES</v>
          </cell>
          <cell r="H141" t="str">
            <v>ACLAN, MAURIEN BALMES</v>
          </cell>
          <cell r="I141" t="str">
            <v>METAL STAMPING</v>
          </cell>
          <cell r="J141" t="str">
            <v>PRODUCTION</v>
          </cell>
          <cell r="K141" t="str">
            <v>CLEANING</v>
          </cell>
          <cell r="L141">
            <v>0</v>
          </cell>
          <cell r="M141" t="str">
            <v>Operator</v>
          </cell>
          <cell r="N141" t="str">
            <v>Operator 1</v>
          </cell>
        </row>
        <row r="142">
          <cell r="C142">
            <v>12811</v>
          </cell>
          <cell r="D142" t="str">
            <v>GD250281</v>
          </cell>
          <cell r="E142" t="str">
            <v>ADORNA</v>
          </cell>
          <cell r="F142" t="str">
            <v>JHON ERNIE</v>
          </cell>
          <cell r="G142" t="str">
            <v>BERCE</v>
          </cell>
          <cell r="H142" t="str">
            <v>ADORNA, JHON ERNIE BERCE</v>
          </cell>
          <cell r="I142" t="str">
            <v>METAL STAMPING</v>
          </cell>
          <cell r="J142" t="str">
            <v>PRODUCTION</v>
          </cell>
          <cell r="K142" t="str">
            <v>STAMPING</v>
          </cell>
          <cell r="L142">
            <v>0</v>
          </cell>
          <cell r="M142" t="str">
            <v>Operator</v>
          </cell>
          <cell r="N142" t="str">
            <v>Operator 1</v>
          </cell>
        </row>
        <row r="143">
          <cell r="C143">
            <v>12832</v>
          </cell>
          <cell r="D143" t="str">
            <v>GD250293</v>
          </cell>
          <cell r="E143" t="str">
            <v>ANDAYA</v>
          </cell>
          <cell r="F143" t="str">
            <v>WILFRED</v>
          </cell>
          <cell r="G143" t="str">
            <v>MANAO</v>
          </cell>
          <cell r="H143" t="str">
            <v>ANDAYA, WILFRED MANAO</v>
          </cell>
          <cell r="I143" t="str">
            <v>METAL STAMPING</v>
          </cell>
          <cell r="J143" t="str">
            <v>PRODUCTION</v>
          </cell>
          <cell r="K143" t="str">
            <v>STAMPING</v>
          </cell>
          <cell r="L143">
            <v>0</v>
          </cell>
          <cell r="M143" t="str">
            <v>Operator</v>
          </cell>
          <cell r="N143" t="str">
            <v>Operator 1</v>
          </cell>
        </row>
        <row r="144">
          <cell r="C144">
            <v>12833</v>
          </cell>
          <cell r="D144" t="str">
            <v>GD250294</v>
          </cell>
          <cell r="E144" t="str">
            <v>APARICIO</v>
          </cell>
          <cell r="F144" t="str">
            <v>PATRICK JHONS</v>
          </cell>
          <cell r="G144" t="str">
            <v>SALMAZAN</v>
          </cell>
          <cell r="H144" t="str">
            <v>APARICIO, PATRICK JHONS SALMAZAN</v>
          </cell>
          <cell r="I144" t="str">
            <v>METAL STAMPING</v>
          </cell>
          <cell r="J144" t="str">
            <v>PRODUCTION</v>
          </cell>
          <cell r="K144" t="str">
            <v>STAMPING</v>
          </cell>
          <cell r="L144">
            <v>0</v>
          </cell>
          <cell r="M144" t="str">
            <v>Operator</v>
          </cell>
          <cell r="N144" t="str">
            <v>Operator 1</v>
          </cell>
        </row>
        <row r="145">
          <cell r="C145">
            <v>12848</v>
          </cell>
          <cell r="D145" t="str">
            <v>GD250302</v>
          </cell>
          <cell r="E145" t="str">
            <v>ATILANO</v>
          </cell>
          <cell r="F145" t="str">
            <v>ALMERA</v>
          </cell>
          <cell r="G145" t="str">
            <v>DUBLIN</v>
          </cell>
          <cell r="H145" t="str">
            <v>ATILANO, ALMERA DUBLIN</v>
          </cell>
          <cell r="I145" t="str">
            <v>METAL STAMPING</v>
          </cell>
          <cell r="J145" t="str">
            <v>PRODUCTION</v>
          </cell>
          <cell r="K145" t="str">
            <v>CLEANING</v>
          </cell>
          <cell r="L145">
            <v>0</v>
          </cell>
          <cell r="M145" t="str">
            <v>Operator</v>
          </cell>
          <cell r="N145" t="str">
            <v>Operator 1</v>
          </cell>
        </row>
        <row r="146">
          <cell r="C146">
            <v>12884</v>
          </cell>
          <cell r="D146" t="str">
            <v>GD250318</v>
          </cell>
          <cell r="E146" t="str">
            <v>BUENCONSEJO</v>
          </cell>
          <cell r="F146" t="str">
            <v>JOHN CYREL</v>
          </cell>
          <cell r="G146" t="str">
            <v>CARPIO</v>
          </cell>
          <cell r="H146" t="str">
            <v>BUENCONSEJO, JOHN CYREL CARPIO</v>
          </cell>
          <cell r="I146" t="str">
            <v>METAL STAMPING</v>
          </cell>
          <cell r="J146" t="str">
            <v>PRODUCTION</v>
          </cell>
          <cell r="K146" t="str">
            <v>STAMPING</v>
          </cell>
          <cell r="L146">
            <v>0</v>
          </cell>
          <cell r="M146" t="str">
            <v>Operator</v>
          </cell>
          <cell r="N146" t="str">
            <v>Operator 1</v>
          </cell>
        </row>
        <row r="147">
          <cell r="C147">
            <v>12887</v>
          </cell>
          <cell r="D147" t="str">
            <v>GD250320</v>
          </cell>
          <cell r="E147" t="str">
            <v>CABATAY</v>
          </cell>
          <cell r="F147" t="str">
            <v>ROLAND</v>
          </cell>
          <cell r="G147" t="str">
            <v>EVANGELISTA</v>
          </cell>
          <cell r="H147" t="str">
            <v>CABATAY, ROLAND EVANGELISTA</v>
          </cell>
          <cell r="I147" t="str">
            <v>METAL STAMPING</v>
          </cell>
          <cell r="J147" t="str">
            <v>PRODUCTION</v>
          </cell>
          <cell r="K147" t="str">
            <v>STAMPING</v>
          </cell>
          <cell r="L147">
            <v>0</v>
          </cell>
          <cell r="M147" t="str">
            <v>Operator</v>
          </cell>
          <cell r="N147" t="str">
            <v>Operator 1</v>
          </cell>
        </row>
        <row r="148">
          <cell r="C148">
            <v>12889</v>
          </cell>
          <cell r="D148" t="str">
            <v>GD250322</v>
          </cell>
          <cell r="E148" t="str">
            <v>CAGUITLA</v>
          </cell>
          <cell r="F148" t="str">
            <v>KYZLE XIATZKY</v>
          </cell>
          <cell r="G148">
            <v>0</v>
          </cell>
          <cell r="H148" t="str">
            <v xml:space="preserve">CAGUITLA, KYZLE XIATZKY </v>
          </cell>
          <cell r="I148" t="str">
            <v>METAL STAMPING</v>
          </cell>
          <cell r="J148" t="str">
            <v>PRODUCTION</v>
          </cell>
          <cell r="K148" t="str">
            <v>STAMPING</v>
          </cell>
          <cell r="L148">
            <v>0</v>
          </cell>
          <cell r="M148" t="str">
            <v>Operator</v>
          </cell>
          <cell r="N148" t="str">
            <v>Operator 1</v>
          </cell>
        </row>
        <row r="149">
          <cell r="C149">
            <v>12892</v>
          </cell>
          <cell r="D149" t="str">
            <v>GD250323</v>
          </cell>
          <cell r="E149" t="str">
            <v>CAÑAMASO</v>
          </cell>
          <cell r="F149" t="str">
            <v>BRIAN</v>
          </cell>
          <cell r="G149" t="str">
            <v>BARDIÑAS</v>
          </cell>
          <cell r="H149" t="str">
            <v>CAÑAMASO, BRIAN BARDIÑAS</v>
          </cell>
          <cell r="I149" t="str">
            <v>METAL STAMPING</v>
          </cell>
          <cell r="J149" t="str">
            <v>PRODUCTION</v>
          </cell>
          <cell r="K149" t="str">
            <v>CLEANING</v>
          </cell>
          <cell r="L149">
            <v>0</v>
          </cell>
          <cell r="M149" t="str">
            <v>Operator</v>
          </cell>
          <cell r="N149" t="str">
            <v>Operator 1</v>
          </cell>
        </row>
        <row r="150">
          <cell r="C150">
            <v>12897</v>
          </cell>
          <cell r="D150" t="str">
            <v>GD250327</v>
          </cell>
          <cell r="E150" t="str">
            <v>CARINGAL</v>
          </cell>
          <cell r="F150" t="str">
            <v>EIZHELROSE</v>
          </cell>
          <cell r="G150" t="str">
            <v>RAMOS</v>
          </cell>
          <cell r="H150" t="str">
            <v>CARINGAL, EIZHELROSE RAMOS</v>
          </cell>
          <cell r="I150" t="str">
            <v>METAL STAMPING</v>
          </cell>
          <cell r="J150" t="str">
            <v>PRODUCTION</v>
          </cell>
          <cell r="K150" t="str">
            <v>ASSEMBLY</v>
          </cell>
          <cell r="L150">
            <v>0</v>
          </cell>
          <cell r="M150" t="str">
            <v>Operator</v>
          </cell>
          <cell r="N150" t="str">
            <v>Operator 1</v>
          </cell>
        </row>
        <row r="151">
          <cell r="C151">
            <v>12909</v>
          </cell>
          <cell r="D151" t="str">
            <v>GD250332</v>
          </cell>
          <cell r="E151" t="str">
            <v>CERDA</v>
          </cell>
          <cell r="F151" t="str">
            <v>JOSEPHINE</v>
          </cell>
          <cell r="G151" t="str">
            <v>TIRADOS</v>
          </cell>
          <cell r="H151" t="str">
            <v>CERDA, JOSEPHINE TIRADOS</v>
          </cell>
          <cell r="I151" t="str">
            <v>METAL STAMPING</v>
          </cell>
          <cell r="J151" t="str">
            <v>PRODUCTION</v>
          </cell>
          <cell r="K151" t="str">
            <v>STAMPING</v>
          </cell>
          <cell r="L151" t="str">
            <v>SERCOMM</v>
          </cell>
          <cell r="M151" t="str">
            <v>Operator</v>
          </cell>
          <cell r="N151" t="str">
            <v>Operator 1</v>
          </cell>
        </row>
        <row r="152">
          <cell r="C152">
            <v>12923</v>
          </cell>
          <cell r="D152" t="str">
            <v>GD250340</v>
          </cell>
          <cell r="E152" t="str">
            <v>CULTIVO</v>
          </cell>
          <cell r="F152" t="str">
            <v>NOEL</v>
          </cell>
          <cell r="G152" t="str">
            <v>GARPIN</v>
          </cell>
          <cell r="H152" t="str">
            <v>CULTIVO, NOEL GARPIN</v>
          </cell>
          <cell r="I152" t="str">
            <v>METAL STAMPING</v>
          </cell>
          <cell r="J152" t="str">
            <v>PRODUCTION</v>
          </cell>
          <cell r="K152" t="str">
            <v>STAMPING</v>
          </cell>
          <cell r="L152">
            <v>0</v>
          </cell>
          <cell r="M152" t="str">
            <v>Operator</v>
          </cell>
          <cell r="N152" t="str">
            <v>Operator 1</v>
          </cell>
        </row>
        <row r="153">
          <cell r="C153">
            <v>12924</v>
          </cell>
          <cell r="D153" t="str">
            <v>GD250341</v>
          </cell>
          <cell r="E153" t="str">
            <v>CUSTODIO</v>
          </cell>
          <cell r="F153" t="str">
            <v>CARLO</v>
          </cell>
          <cell r="G153" t="str">
            <v>DE LEON</v>
          </cell>
          <cell r="H153" t="str">
            <v>CUSTODIO, CARLO DE LEON</v>
          </cell>
          <cell r="I153" t="str">
            <v>METAL STAMPING</v>
          </cell>
          <cell r="J153" t="str">
            <v>PRODUCTION</v>
          </cell>
          <cell r="K153" t="str">
            <v>STAMPING</v>
          </cell>
          <cell r="L153">
            <v>0</v>
          </cell>
          <cell r="M153" t="str">
            <v>Operator</v>
          </cell>
          <cell r="N153" t="str">
            <v>Operator 1</v>
          </cell>
        </row>
        <row r="154">
          <cell r="C154">
            <v>12932</v>
          </cell>
          <cell r="D154" t="str">
            <v>GD250347</v>
          </cell>
          <cell r="E154" t="str">
            <v>DE LEON</v>
          </cell>
          <cell r="F154" t="str">
            <v>CHRISTINE JOY</v>
          </cell>
          <cell r="G154" t="str">
            <v>CORALDE</v>
          </cell>
          <cell r="H154" t="str">
            <v>DE LEON, CHRISTINE JOY CORALDE</v>
          </cell>
          <cell r="I154" t="str">
            <v>METAL STAMPING</v>
          </cell>
          <cell r="J154" t="str">
            <v>PRODUCTION</v>
          </cell>
          <cell r="K154" t="str">
            <v>ASSEMBLY</v>
          </cell>
          <cell r="L154">
            <v>0</v>
          </cell>
          <cell r="M154" t="str">
            <v>Operator</v>
          </cell>
          <cell r="N154" t="str">
            <v>Operator 1</v>
          </cell>
        </row>
        <row r="155">
          <cell r="C155">
            <v>12936</v>
          </cell>
          <cell r="D155" t="str">
            <v>GD250350</v>
          </cell>
          <cell r="E155" t="str">
            <v>DE SILVA</v>
          </cell>
          <cell r="F155" t="str">
            <v>JERALD</v>
          </cell>
          <cell r="G155" t="str">
            <v>RAS</v>
          </cell>
          <cell r="H155" t="str">
            <v>DE SILVA, JERALD RAS</v>
          </cell>
          <cell r="I155" t="str">
            <v>METAL STAMPING</v>
          </cell>
          <cell r="J155" t="str">
            <v>PRODUCTION</v>
          </cell>
          <cell r="K155" t="str">
            <v>STAMPING</v>
          </cell>
          <cell r="L155">
            <v>0</v>
          </cell>
          <cell r="M155" t="str">
            <v>Operator</v>
          </cell>
          <cell r="N155" t="str">
            <v>Operator 1</v>
          </cell>
        </row>
        <row r="156">
          <cell r="C156">
            <v>12939</v>
          </cell>
          <cell r="D156" t="str">
            <v>GD250352</v>
          </cell>
          <cell r="E156" t="str">
            <v>DE TORRES</v>
          </cell>
          <cell r="F156" t="str">
            <v>JONALYN</v>
          </cell>
          <cell r="G156" t="str">
            <v>CARINO</v>
          </cell>
          <cell r="H156" t="str">
            <v>DE TORRES, JONALYN CARINO</v>
          </cell>
          <cell r="I156" t="str">
            <v>METAL STAMPING</v>
          </cell>
          <cell r="J156" t="str">
            <v>PRODUCTION</v>
          </cell>
          <cell r="K156" t="str">
            <v>STAMPING</v>
          </cell>
          <cell r="L156">
            <v>0</v>
          </cell>
          <cell r="M156" t="str">
            <v>Operator</v>
          </cell>
          <cell r="N156" t="str">
            <v>Operator 1</v>
          </cell>
        </row>
        <row r="157">
          <cell r="C157">
            <v>12940</v>
          </cell>
          <cell r="D157" t="str">
            <v>GD250353</v>
          </cell>
          <cell r="E157" t="str">
            <v>DE TORRES</v>
          </cell>
          <cell r="F157" t="str">
            <v>JOROSS</v>
          </cell>
          <cell r="G157" t="str">
            <v>CARINO</v>
          </cell>
          <cell r="H157" t="str">
            <v>DE TORRES, JOROSS CARINO</v>
          </cell>
          <cell r="I157" t="str">
            <v>METAL STAMPING</v>
          </cell>
          <cell r="J157" t="str">
            <v>PRODUCTION</v>
          </cell>
          <cell r="K157" t="str">
            <v>STAMPING</v>
          </cell>
          <cell r="L157">
            <v>0</v>
          </cell>
          <cell r="M157" t="str">
            <v>Operator</v>
          </cell>
          <cell r="N157" t="str">
            <v>Operator 1</v>
          </cell>
        </row>
        <row r="158">
          <cell r="C158">
            <v>12951</v>
          </cell>
          <cell r="D158" t="str">
            <v>GD250357</v>
          </cell>
          <cell r="E158" t="str">
            <v>DELEN</v>
          </cell>
          <cell r="F158" t="str">
            <v>JUVELYN</v>
          </cell>
          <cell r="G158" t="str">
            <v>DE TORRES</v>
          </cell>
          <cell r="H158" t="str">
            <v>DELEN, JUVELYN DE TORRES</v>
          </cell>
          <cell r="I158" t="str">
            <v>METAL STAMPING</v>
          </cell>
          <cell r="J158" t="str">
            <v>PRODUCTION</v>
          </cell>
          <cell r="K158" t="str">
            <v>STAMPING</v>
          </cell>
          <cell r="L158">
            <v>0</v>
          </cell>
          <cell r="M158" t="str">
            <v>Operator</v>
          </cell>
          <cell r="N158" t="str">
            <v>Operator 1</v>
          </cell>
        </row>
        <row r="159">
          <cell r="C159">
            <v>12953</v>
          </cell>
          <cell r="D159" t="str">
            <v>GD250358</v>
          </cell>
          <cell r="E159" t="str">
            <v>DELGADO</v>
          </cell>
          <cell r="F159" t="str">
            <v>ROMUEL</v>
          </cell>
          <cell r="G159" t="str">
            <v>MAGBIRAY</v>
          </cell>
          <cell r="H159" t="str">
            <v>DELGADO, ROMUEL MAGBIRAY</v>
          </cell>
          <cell r="I159" t="str">
            <v>METAL STAMPING</v>
          </cell>
          <cell r="J159" t="str">
            <v>PRODUCTION</v>
          </cell>
          <cell r="K159" t="str">
            <v>STAMPING</v>
          </cell>
          <cell r="L159">
            <v>0</v>
          </cell>
          <cell r="M159" t="str">
            <v>Operator</v>
          </cell>
          <cell r="N159" t="str">
            <v>Operator 1</v>
          </cell>
        </row>
        <row r="160">
          <cell r="C160">
            <v>12963</v>
          </cell>
          <cell r="D160" t="str">
            <v>GD250362</v>
          </cell>
          <cell r="E160" t="str">
            <v>DIMASUPIL</v>
          </cell>
          <cell r="F160" t="str">
            <v>BRENDALYN</v>
          </cell>
          <cell r="G160" t="str">
            <v>VILLALUZ</v>
          </cell>
          <cell r="H160" t="str">
            <v>DIMASUPIL, BRENDALYN VILLALUZ</v>
          </cell>
          <cell r="I160" t="str">
            <v>METAL STAMPING</v>
          </cell>
          <cell r="J160" t="str">
            <v>PRODUCTION</v>
          </cell>
          <cell r="K160" t="str">
            <v>STAMPING</v>
          </cell>
          <cell r="L160">
            <v>0</v>
          </cell>
          <cell r="M160" t="str">
            <v>Operator</v>
          </cell>
          <cell r="N160" t="str">
            <v>Operator 1</v>
          </cell>
        </row>
        <row r="161">
          <cell r="C161">
            <v>12964</v>
          </cell>
          <cell r="D161" t="str">
            <v>GD250363</v>
          </cell>
          <cell r="E161" t="str">
            <v>DIMAUNAHAN</v>
          </cell>
          <cell r="F161" t="str">
            <v>DANICA</v>
          </cell>
          <cell r="G161" t="str">
            <v>MONTALLANA</v>
          </cell>
          <cell r="H161" t="str">
            <v>DIMAUNAHAN, DANICA MONTALLANA</v>
          </cell>
          <cell r="I161" t="str">
            <v>METAL STAMPING</v>
          </cell>
          <cell r="J161" t="str">
            <v>PRODUCTION</v>
          </cell>
          <cell r="K161" t="str">
            <v>ASSEMBLY</v>
          </cell>
          <cell r="L161">
            <v>0</v>
          </cell>
          <cell r="M161" t="str">
            <v>Operator</v>
          </cell>
          <cell r="N161" t="str">
            <v>Operator 1</v>
          </cell>
        </row>
        <row r="162">
          <cell r="C162">
            <v>12978</v>
          </cell>
          <cell r="D162" t="str">
            <v>GD250368</v>
          </cell>
          <cell r="E162" t="str">
            <v>ESPIRITU</v>
          </cell>
          <cell r="F162" t="str">
            <v>ALVIN</v>
          </cell>
          <cell r="G162" t="str">
            <v>LUCERO</v>
          </cell>
          <cell r="H162" t="str">
            <v>ESPIRITU, ALVIN LUCERO</v>
          </cell>
          <cell r="I162" t="str">
            <v>METAL STAMPING</v>
          </cell>
          <cell r="J162" t="str">
            <v>PRODUCTION</v>
          </cell>
          <cell r="K162" t="str">
            <v>STAMPING</v>
          </cell>
          <cell r="L162">
            <v>0</v>
          </cell>
          <cell r="M162" t="str">
            <v>Operator</v>
          </cell>
          <cell r="N162" t="str">
            <v>Operator 1</v>
          </cell>
        </row>
        <row r="163">
          <cell r="C163">
            <v>12996</v>
          </cell>
          <cell r="D163" t="str">
            <v>GD250376</v>
          </cell>
          <cell r="E163" t="str">
            <v>GARCIA</v>
          </cell>
          <cell r="F163" t="str">
            <v>GRACE</v>
          </cell>
          <cell r="G163" t="str">
            <v>CUEVAS</v>
          </cell>
          <cell r="H163" t="str">
            <v>GARCIA, GRACE CUEVAS</v>
          </cell>
          <cell r="I163" t="str">
            <v>METAL STAMPING</v>
          </cell>
          <cell r="J163" t="str">
            <v>PRODUCTION</v>
          </cell>
          <cell r="K163" t="str">
            <v>ASSEMBLY</v>
          </cell>
          <cell r="L163">
            <v>0</v>
          </cell>
          <cell r="M163" t="str">
            <v>Operator</v>
          </cell>
          <cell r="N163" t="str">
            <v>Operator 1</v>
          </cell>
        </row>
        <row r="164">
          <cell r="C164">
            <v>14201</v>
          </cell>
          <cell r="D164" t="str">
            <v>GD250379</v>
          </cell>
          <cell r="E164" t="str">
            <v>GARCIA</v>
          </cell>
          <cell r="F164" t="str">
            <v>MARLON</v>
          </cell>
          <cell r="G164" t="str">
            <v>DELLOSA</v>
          </cell>
          <cell r="H164" t="str">
            <v>GARCIA, MARLON DELLOSA</v>
          </cell>
          <cell r="I164" t="str">
            <v>METAL STAMPING</v>
          </cell>
          <cell r="J164" t="str">
            <v>PRODUCTION</v>
          </cell>
          <cell r="K164" t="str">
            <v>STAMPING</v>
          </cell>
          <cell r="L164">
            <v>0</v>
          </cell>
          <cell r="M164" t="str">
            <v>Operator</v>
          </cell>
          <cell r="N164" t="str">
            <v>Operator 1</v>
          </cell>
        </row>
        <row r="165">
          <cell r="C165">
            <v>14232</v>
          </cell>
          <cell r="D165" t="str">
            <v>GD250398</v>
          </cell>
          <cell r="E165" t="str">
            <v>JAVIER</v>
          </cell>
          <cell r="F165" t="str">
            <v>SARAH</v>
          </cell>
          <cell r="G165" t="str">
            <v>ESPINOSA</v>
          </cell>
          <cell r="H165" t="str">
            <v>JAVIER, SARAH ESPINOSA</v>
          </cell>
          <cell r="I165" t="str">
            <v>METAL STAMPING</v>
          </cell>
          <cell r="J165" t="str">
            <v>PRODUCTION</v>
          </cell>
          <cell r="K165" t="str">
            <v>STAMPING</v>
          </cell>
          <cell r="L165">
            <v>0</v>
          </cell>
          <cell r="M165" t="str">
            <v>Operator</v>
          </cell>
          <cell r="N165" t="str">
            <v>Operator 1</v>
          </cell>
        </row>
        <row r="166">
          <cell r="C166">
            <v>14239</v>
          </cell>
          <cell r="D166" t="str">
            <v>GD250400</v>
          </cell>
          <cell r="E166" t="str">
            <v>LADIA</v>
          </cell>
          <cell r="F166" t="str">
            <v>ABEGAIL</v>
          </cell>
          <cell r="G166" t="str">
            <v>CANDELARIA</v>
          </cell>
          <cell r="H166" t="str">
            <v>LADIA, ABEGAIL CANDELARIA</v>
          </cell>
          <cell r="I166" t="str">
            <v>METAL STAMPING</v>
          </cell>
          <cell r="J166" t="str">
            <v>PRODUCTION</v>
          </cell>
          <cell r="K166" t="str">
            <v>CLEANING</v>
          </cell>
          <cell r="L166">
            <v>0</v>
          </cell>
          <cell r="M166" t="str">
            <v>Operator</v>
          </cell>
          <cell r="N166" t="str">
            <v>Operator 1</v>
          </cell>
        </row>
        <row r="167">
          <cell r="C167">
            <v>14246</v>
          </cell>
          <cell r="D167" t="str">
            <v>GD250403</v>
          </cell>
          <cell r="E167" t="str">
            <v>LAUREL</v>
          </cell>
          <cell r="F167" t="str">
            <v>CHRISTIAN ANGEL</v>
          </cell>
          <cell r="G167" t="str">
            <v>BENDOY</v>
          </cell>
          <cell r="H167" t="str">
            <v>LAUREL, CHRISTIAN ANGEL BENDOY</v>
          </cell>
          <cell r="I167" t="str">
            <v>METAL STAMPING</v>
          </cell>
          <cell r="J167" t="str">
            <v>PRODUCTION</v>
          </cell>
          <cell r="K167" t="str">
            <v>CLEANING</v>
          </cell>
          <cell r="L167">
            <v>0</v>
          </cell>
          <cell r="M167" t="str">
            <v>Operator</v>
          </cell>
          <cell r="N167" t="str">
            <v>Operator 1</v>
          </cell>
        </row>
        <row r="168">
          <cell r="C168">
            <v>14247</v>
          </cell>
          <cell r="D168" t="str">
            <v>GD250404</v>
          </cell>
          <cell r="E168" t="str">
            <v>LAVEGA</v>
          </cell>
          <cell r="F168" t="str">
            <v>GINO PAUL</v>
          </cell>
          <cell r="G168" t="str">
            <v>COMPETENTE</v>
          </cell>
          <cell r="H168" t="str">
            <v>LAVEGA, GINO PAUL COMPETENTE</v>
          </cell>
          <cell r="I168" t="str">
            <v>METAL STAMPING</v>
          </cell>
          <cell r="J168" t="str">
            <v>PRODUCTION</v>
          </cell>
          <cell r="K168" t="str">
            <v>STAMPING</v>
          </cell>
          <cell r="L168">
            <v>0</v>
          </cell>
          <cell r="M168" t="str">
            <v>Operator</v>
          </cell>
          <cell r="N168" t="str">
            <v>Operator 1</v>
          </cell>
        </row>
        <row r="169">
          <cell r="C169">
            <v>14256</v>
          </cell>
          <cell r="D169" t="str">
            <v>GD250408</v>
          </cell>
          <cell r="E169" t="str">
            <v>LLANZA</v>
          </cell>
          <cell r="F169" t="str">
            <v>WENDELL</v>
          </cell>
          <cell r="G169">
            <v>0</v>
          </cell>
          <cell r="H169" t="str">
            <v xml:space="preserve">LLANZA, WENDELL </v>
          </cell>
          <cell r="I169" t="str">
            <v>METAL STAMPING</v>
          </cell>
          <cell r="J169" t="str">
            <v>PRODUCTION</v>
          </cell>
          <cell r="K169" t="str">
            <v>STAMPING</v>
          </cell>
          <cell r="L169">
            <v>0</v>
          </cell>
          <cell r="M169" t="str">
            <v>Operator</v>
          </cell>
          <cell r="N169" t="str">
            <v>Operator 1</v>
          </cell>
        </row>
        <row r="170">
          <cell r="C170">
            <v>14296</v>
          </cell>
          <cell r="D170" t="str">
            <v>GD250430</v>
          </cell>
          <cell r="E170" t="str">
            <v>MARQUEZ</v>
          </cell>
          <cell r="F170" t="str">
            <v>JERALD</v>
          </cell>
          <cell r="G170" t="str">
            <v>LUAY</v>
          </cell>
          <cell r="H170" t="str">
            <v>MARQUEZ, JERALD LUAY</v>
          </cell>
          <cell r="I170" t="str">
            <v>METAL STAMPING</v>
          </cell>
          <cell r="J170" t="str">
            <v>PRODUCTION</v>
          </cell>
          <cell r="K170" t="str">
            <v>STAMPING</v>
          </cell>
          <cell r="L170">
            <v>0</v>
          </cell>
          <cell r="M170" t="str">
            <v>Operator</v>
          </cell>
          <cell r="N170" t="str">
            <v>Operator 1</v>
          </cell>
        </row>
        <row r="171">
          <cell r="C171">
            <v>14298</v>
          </cell>
          <cell r="D171" t="str">
            <v>GD250431</v>
          </cell>
          <cell r="E171" t="str">
            <v>MARQUINEZ</v>
          </cell>
          <cell r="F171" t="str">
            <v>KIMBERLIE</v>
          </cell>
          <cell r="G171" t="str">
            <v>GARCIA</v>
          </cell>
          <cell r="H171" t="str">
            <v>MARQUINEZ, KIMBERLIE GARCIA</v>
          </cell>
          <cell r="I171" t="str">
            <v>METAL STAMPING</v>
          </cell>
          <cell r="J171" t="str">
            <v>PRODUCTION</v>
          </cell>
          <cell r="K171" t="str">
            <v>ASSEMBLY</v>
          </cell>
          <cell r="L171">
            <v>0</v>
          </cell>
          <cell r="M171" t="str">
            <v>Operator</v>
          </cell>
          <cell r="N171" t="str">
            <v>Operator 1</v>
          </cell>
        </row>
        <row r="172">
          <cell r="C172">
            <v>14307</v>
          </cell>
          <cell r="D172" t="str">
            <v>GD250436</v>
          </cell>
          <cell r="E172" t="str">
            <v>MIRALLES</v>
          </cell>
          <cell r="F172" t="str">
            <v>HYRO</v>
          </cell>
          <cell r="G172" t="str">
            <v>DELOS SANTOS</v>
          </cell>
          <cell r="H172" t="str">
            <v>MIRALLES, HYRO DELOS SANTOS</v>
          </cell>
          <cell r="I172" t="str">
            <v>METAL STAMPING</v>
          </cell>
          <cell r="J172" t="str">
            <v>PRODUCTION</v>
          </cell>
          <cell r="K172" t="str">
            <v>STAMPING</v>
          </cell>
          <cell r="L172">
            <v>0</v>
          </cell>
          <cell r="M172" t="str">
            <v>Operator</v>
          </cell>
          <cell r="N172" t="str">
            <v>Operator 1</v>
          </cell>
        </row>
        <row r="173">
          <cell r="C173">
            <v>14332</v>
          </cell>
          <cell r="D173" t="str">
            <v>GD250445</v>
          </cell>
          <cell r="E173" t="str">
            <v>OLAN</v>
          </cell>
          <cell r="F173" t="str">
            <v>JAY</v>
          </cell>
          <cell r="G173" t="str">
            <v>BANAYAWON</v>
          </cell>
          <cell r="H173" t="str">
            <v>OLAN, JAY BANAYAWON</v>
          </cell>
          <cell r="I173" t="str">
            <v>METAL STAMPING</v>
          </cell>
          <cell r="J173" t="str">
            <v>PRODUCTION</v>
          </cell>
          <cell r="K173" t="str">
            <v>ASSEMBLY</v>
          </cell>
          <cell r="L173">
            <v>0</v>
          </cell>
          <cell r="M173" t="str">
            <v>Operator</v>
          </cell>
          <cell r="N173" t="str">
            <v>Operator 1</v>
          </cell>
        </row>
        <row r="174">
          <cell r="C174">
            <v>14379</v>
          </cell>
          <cell r="D174" t="str">
            <v>GD250468</v>
          </cell>
          <cell r="E174" t="str">
            <v>RESABA</v>
          </cell>
          <cell r="F174" t="str">
            <v>ANGELICA</v>
          </cell>
          <cell r="G174" t="str">
            <v>ROBLES</v>
          </cell>
          <cell r="H174" t="str">
            <v>RESABA, ANGELICA ROBLES</v>
          </cell>
          <cell r="I174" t="str">
            <v>METAL STAMPING</v>
          </cell>
          <cell r="J174" t="str">
            <v>PRODUCTION</v>
          </cell>
          <cell r="K174" t="str">
            <v>STAMPING</v>
          </cell>
          <cell r="L174">
            <v>0</v>
          </cell>
          <cell r="M174" t="str">
            <v>Operator</v>
          </cell>
          <cell r="N174" t="str">
            <v>Operator 1</v>
          </cell>
        </row>
        <row r="175">
          <cell r="C175">
            <v>10039</v>
          </cell>
          <cell r="D175" t="str">
            <v>GD250485</v>
          </cell>
          <cell r="E175" t="str">
            <v>TAN</v>
          </cell>
          <cell r="F175" t="str">
            <v>PRECIOUS</v>
          </cell>
          <cell r="G175" t="str">
            <v>DETERALA</v>
          </cell>
          <cell r="H175" t="str">
            <v>TAN, PRECIOUS DETERALA</v>
          </cell>
          <cell r="I175" t="str">
            <v>METAL STAMPING</v>
          </cell>
          <cell r="J175" t="str">
            <v>PRODUCTION</v>
          </cell>
          <cell r="K175" t="str">
            <v>CLEANING</v>
          </cell>
          <cell r="L175">
            <v>0</v>
          </cell>
          <cell r="M175" t="str">
            <v>Operator</v>
          </cell>
          <cell r="N175" t="str">
            <v>Operator 1</v>
          </cell>
        </row>
        <row r="176">
          <cell r="C176">
            <v>10034</v>
          </cell>
          <cell r="D176" t="str">
            <v>GD250494</v>
          </cell>
          <cell r="E176" t="str">
            <v>VELARDE</v>
          </cell>
          <cell r="F176" t="str">
            <v>ARLENE</v>
          </cell>
          <cell r="G176" t="str">
            <v>FALCOTELO</v>
          </cell>
          <cell r="H176" t="str">
            <v>VELARDE, ARLENE FALCOTELO</v>
          </cell>
          <cell r="I176" t="str">
            <v>METAL STAMPING</v>
          </cell>
          <cell r="J176" t="str">
            <v>PRODUCTION</v>
          </cell>
          <cell r="K176" t="str">
            <v>ASSEMBLY</v>
          </cell>
          <cell r="L176">
            <v>0</v>
          </cell>
          <cell r="M176" t="str">
            <v>Operator</v>
          </cell>
          <cell r="N176" t="str">
            <v>Operator 1</v>
          </cell>
        </row>
        <row r="177">
          <cell r="C177">
            <v>10037</v>
          </cell>
          <cell r="D177" t="str">
            <v>GD250495</v>
          </cell>
          <cell r="E177" t="str">
            <v>VERDADERO</v>
          </cell>
          <cell r="F177" t="str">
            <v>LEO</v>
          </cell>
          <cell r="G177" t="str">
            <v>MANALO</v>
          </cell>
          <cell r="H177" t="str">
            <v>VERDADERO, LEO MANALO</v>
          </cell>
          <cell r="I177" t="str">
            <v>METAL STAMPING</v>
          </cell>
          <cell r="J177" t="str">
            <v>PRODUCTION</v>
          </cell>
          <cell r="K177" t="str">
            <v>STAMPING</v>
          </cell>
          <cell r="L177">
            <v>0</v>
          </cell>
          <cell r="M177" t="str">
            <v>Operator</v>
          </cell>
          <cell r="N177" t="str">
            <v>Operator 1</v>
          </cell>
        </row>
        <row r="178">
          <cell r="C178">
            <v>14555</v>
          </cell>
          <cell r="D178" t="str">
            <v>GD250270</v>
          </cell>
          <cell r="E178" t="str">
            <v>SALUMBIDES</v>
          </cell>
          <cell r="F178" t="str">
            <v>LUIGI</v>
          </cell>
          <cell r="G178" t="str">
            <v>LAZO</v>
          </cell>
          <cell r="H178" t="str">
            <v>SALUMBIDES, LUIGI LAZO</v>
          </cell>
          <cell r="I178" t="str">
            <v>METAL STAMPING</v>
          </cell>
          <cell r="J178" t="str">
            <v>PRODUCTION</v>
          </cell>
          <cell r="K178" t="str">
            <v>WELDING</v>
          </cell>
          <cell r="L178" t="str">
            <v>GOSHI</v>
          </cell>
          <cell r="M178" t="str">
            <v>Operator</v>
          </cell>
          <cell r="N178" t="str">
            <v>Operator 1</v>
          </cell>
        </row>
        <row r="179">
          <cell r="C179">
            <v>14556</v>
          </cell>
          <cell r="D179" t="str">
            <v>GD250271</v>
          </cell>
          <cell r="E179" t="str">
            <v>MENDOZA</v>
          </cell>
          <cell r="F179" t="str">
            <v>JAYSON</v>
          </cell>
          <cell r="G179" t="str">
            <v>CASTILLO</v>
          </cell>
          <cell r="H179" t="str">
            <v>MENDOZA, JAYSON CASTILLO</v>
          </cell>
          <cell r="I179" t="str">
            <v>METAL STAMPING</v>
          </cell>
          <cell r="J179" t="str">
            <v>PRODUCTION</v>
          </cell>
          <cell r="K179" t="str">
            <v>CLEANING</v>
          </cell>
          <cell r="L179">
            <v>0</v>
          </cell>
          <cell r="M179" t="str">
            <v>Operator</v>
          </cell>
          <cell r="N179" t="str">
            <v>Operator 1</v>
          </cell>
        </row>
        <row r="180">
          <cell r="C180">
            <v>12807</v>
          </cell>
          <cell r="D180" t="str">
            <v>GD250277</v>
          </cell>
          <cell r="E180" t="str">
            <v>ACERON</v>
          </cell>
          <cell r="F180" t="str">
            <v>MARK LOUIEL GRAY</v>
          </cell>
          <cell r="G180" t="str">
            <v>GUERWELA</v>
          </cell>
          <cell r="H180" t="str">
            <v>ACERON, MARK LOUIEL GRAY GUERWELA</v>
          </cell>
          <cell r="I180" t="str">
            <v>METAL STAMPING</v>
          </cell>
          <cell r="J180" t="str">
            <v>PRODUCTION</v>
          </cell>
          <cell r="K180" t="str">
            <v>CLEANING</v>
          </cell>
          <cell r="L180">
            <v>0</v>
          </cell>
          <cell r="M180" t="str">
            <v>Operator</v>
          </cell>
          <cell r="N180" t="str">
            <v>Operator 1</v>
          </cell>
        </row>
        <row r="181">
          <cell r="C181">
            <v>12808</v>
          </cell>
          <cell r="D181" t="str">
            <v>GD250278</v>
          </cell>
          <cell r="E181" t="str">
            <v>ACLAN</v>
          </cell>
          <cell r="F181" t="str">
            <v>MARVIN</v>
          </cell>
          <cell r="G181" t="str">
            <v>BALMES</v>
          </cell>
          <cell r="H181" t="str">
            <v>ACLAN, MARVIN BALMES</v>
          </cell>
          <cell r="I181" t="str">
            <v>METAL STAMPING</v>
          </cell>
          <cell r="J181" t="str">
            <v>PRODUCTION</v>
          </cell>
          <cell r="K181" t="str">
            <v>WELDING</v>
          </cell>
          <cell r="L181" t="str">
            <v>GOSHI</v>
          </cell>
          <cell r="M181" t="str">
            <v>Operator</v>
          </cell>
          <cell r="N181" t="str">
            <v>Operator 1</v>
          </cell>
        </row>
        <row r="182">
          <cell r="C182">
            <v>12810</v>
          </cell>
          <cell r="D182" t="str">
            <v>GD250280</v>
          </cell>
          <cell r="E182" t="str">
            <v>ACOSTA</v>
          </cell>
          <cell r="F182" t="str">
            <v>ALEXIS</v>
          </cell>
          <cell r="G182" t="str">
            <v>DORONGON</v>
          </cell>
          <cell r="H182" t="str">
            <v>ACOSTA, ALEXIS DORONGON</v>
          </cell>
          <cell r="I182" t="str">
            <v>METAL STAMPING</v>
          </cell>
          <cell r="J182" t="str">
            <v>PRODUCTION</v>
          </cell>
          <cell r="K182" t="str">
            <v>STAMPING</v>
          </cell>
          <cell r="L182" t="str">
            <v>SERCOMM</v>
          </cell>
          <cell r="M182" t="str">
            <v>Operator</v>
          </cell>
          <cell r="N182" t="str">
            <v>Operator 1</v>
          </cell>
        </row>
        <row r="183">
          <cell r="C183">
            <v>12816</v>
          </cell>
          <cell r="D183" t="str">
            <v>GD250285</v>
          </cell>
          <cell r="E183" t="str">
            <v>AGUILERA</v>
          </cell>
          <cell r="F183" t="str">
            <v>BABY ROSE</v>
          </cell>
          <cell r="G183" t="str">
            <v>LACBAY</v>
          </cell>
          <cell r="H183" t="str">
            <v>AGUILERA, BABY ROSE LACBAY</v>
          </cell>
          <cell r="I183" t="str">
            <v>METAL STAMPING</v>
          </cell>
          <cell r="J183" t="str">
            <v>PRODUCTION</v>
          </cell>
          <cell r="K183" t="str">
            <v>ASSEMBLY</v>
          </cell>
          <cell r="L183" t="str">
            <v>SERCOMM</v>
          </cell>
          <cell r="M183" t="str">
            <v>Operator</v>
          </cell>
          <cell r="N183" t="str">
            <v>Operator 1</v>
          </cell>
        </row>
        <row r="184">
          <cell r="C184">
            <v>12830</v>
          </cell>
          <cell r="D184" t="str">
            <v>GD250292</v>
          </cell>
          <cell r="E184" t="str">
            <v>AMPON</v>
          </cell>
          <cell r="F184" t="str">
            <v>JERROLD MARK</v>
          </cell>
          <cell r="G184" t="str">
            <v>ANDAY</v>
          </cell>
          <cell r="H184" t="str">
            <v>AMPON, JERROLD MARK ANDAY</v>
          </cell>
          <cell r="I184" t="str">
            <v>METAL STAMPING</v>
          </cell>
          <cell r="J184" t="str">
            <v>PRODUCTION</v>
          </cell>
          <cell r="K184" t="str">
            <v>WELDING</v>
          </cell>
          <cell r="L184" t="str">
            <v>GOSHI</v>
          </cell>
          <cell r="M184" t="str">
            <v>Operator</v>
          </cell>
          <cell r="N184" t="str">
            <v>Operator 1</v>
          </cell>
        </row>
        <row r="185">
          <cell r="C185">
            <v>10033</v>
          </cell>
          <cell r="D185" t="str">
            <v>GD250305</v>
          </cell>
          <cell r="E185" t="str">
            <v>BALBIN</v>
          </cell>
          <cell r="F185" t="str">
            <v>PRENCESA</v>
          </cell>
          <cell r="G185" t="str">
            <v>ESPINILI</v>
          </cell>
          <cell r="H185" t="str">
            <v>BALBIN, PRENCESA ESPINILI</v>
          </cell>
          <cell r="I185" t="str">
            <v>METAL STAMPING</v>
          </cell>
          <cell r="J185" t="str">
            <v>PRODUCTION</v>
          </cell>
          <cell r="K185" t="str">
            <v>CLEANING</v>
          </cell>
          <cell r="L185">
            <v>0</v>
          </cell>
          <cell r="M185" t="str">
            <v>Operator</v>
          </cell>
          <cell r="N185" t="str">
            <v>Operator 1</v>
          </cell>
        </row>
        <row r="186">
          <cell r="C186">
            <v>12859</v>
          </cell>
          <cell r="D186" t="str">
            <v>GD250308</v>
          </cell>
          <cell r="E186" t="str">
            <v>BASCUGUIN</v>
          </cell>
          <cell r="F186" t="str">
            <v>BENEDICK</v>
          </cell>
          <cell r="G186" t="str">
            <v>TEANO</v>
          </cell>
          <cell r="H186" t="str">
            <v>BASCUGUIN, BENEDICK TEANO</v>
          </cell>
          <cell r="I186" t="str">
            <v>METAL STAMPING</v>
          </cell>
          <cell r="J186" t="str">
            <v>QUALITY</v>
          </cell>
          <cell r="K186" t="str">
            <v>QC</v>
          </cell>
          <cell r="L186">
            <v>0</v>
          </cell>
          <cell r="M186" t="str">
            <v>Operator</v>
          </cell>
          <cell r="N186" t="str">
            <v>Quality Inspector</v>
          </cell>
        </row>
        <row r="187">
          <cell r="C187">
            <v>12870</v>
          </cell>
          <cell r="D187" t="str">
            <v>GD250311</v>
          </cell>
          <cell r="E187" t="str">
            <v>BLANCO</v>
          </cell>
          <cell r="F187" t="str">
            <v>AIREEN</v>
          </cell>
          <cell r="G187" t="str">
            <v>BAMBASE</v>
          </cell>
          <cell r="H187" t="str">
            <v>BLANCO, AIREEN BAMBASE</v>
          </cell>
          <cell r="I187" t="str">
            <v>METAL STAMPING</v>
          </cell>
          <cell r="J187" t="str">
            <v>PRODUCTION</v>
          </cell>
          <cell r="K187" t="str">
            <v>STAMPING</v>
          </cell>
          <cell r="L187" t="str">
            <v>SERCOMM</v>
          </cell>
          <cell r="M187" t="str">
            <v>Operator</v>
          </cell>
          <cell r="N187" t="str">
            <v>Operator 1</v>
          </cell>
        </row>
        <row r="188">
          <cell r="C188">
            <v>12883</v>
          </cell>
          <cell r="D188" t="str">
            <v>GD250317</v>
          </cell>
          <cell r="E188" t="str">
            <v>BUBAN</v>
          </cell>
          <cell r="F188" t="str">
            <v>ROCHELLE</v>
          </cell>
          <cell r="G188" t="str">
            <v>ANDES</v>
          </cell>
          <cell r="H188" t="str">
            <v>BUBAN, ROCHELLE ANDES</v>
          </cell>
          <cell r="I188" t="str">
            <v>METAL STAMPING</v>
          </cell>
          <cell r="J188" t="str">
            <v>PRODUCTION</v>
          </cell>
          <cell r="K188" t="str">
            <v>CLEANING</v>
          </cell>
          <cell r="L188">
            <v>0</v>
          </cell>
          <cell r="M188" t="str">
            <v>Operator</v>
          </cell>
          <cell r="N188" t="str">
            <v>Operator 1</v>
          </cell>
        </row>
        <row r="189">
          <cell r="C189">
            <v>12901</v>
          </cell>
          <cell r="D189" t="str">
            <v>GD250267</v>
          </cell>
          <cell r="E189" t="str">
            <v>CASTA</v>
          </cell>
          <cell r="F189" t="str">
            <v>JHEREME</v>
          </cell>
          <cell r="G189" t="str">
            <v>RIVERA</v>
          </cell>
          <cell r="H189" t="str">
            <v>CASTA, JHEREME RIVERA</v>
          </cell>
          <cell r="I189" t="str">
            <v>PLASTIC INJECTION</v>
          </cell>
          <cell r="J189" t="str">
            <v>PRODUCTION</v>
          </cell>
          <cell r="K189" t="str">
            <v>INJECTION MOLDING</v>
          </cell>
          <cell r="L189">
            <v>0</v>
          </cell>
          <cell r="M189" t="str">
            <v>Operator</v>
          </cell>
          <cell r="N189" t="str">
            <v>Operator 1</v>
          </cell>
        </row>
        <row r="190">
          <cell r="C190">
            <v>12927</v>
          </cell>
          <cell r="D190" t="str">
            <v>GD250343</v>
          </cell>
          <cell r="E190" t="str">
            <v>DAGLI</v>
          </cell>
          <cell r="F190" t="str">
            <v>RENZ JEMRICK</v>
          </cell>
          <cell r="G190" t="str">
            <v>ZARA</v>
          </cell>
          <cell r="H190" t="str">
            <v>DAGLI, RENZ JEMRICK ZARA</v>
          </cell>
          <cell r="I190" t="str">
            <v>METAL STAMPING</v>
          </cell>
          <cell r="J190" t="str">
            <v>PRODUCTION</v>
          </cell>
          <cell r="K190" t="str">
            <v>WELDING</v>
          </cell>
          <cell r="L190" t="str">
            <v>GOSHI</v>
          </cell>
          <cell r="M190" t="str">
            <v>Operator</v>
          </cell>
          <cell r="N190" t="str">
            <v>Operator 1</v>
          </cell>
        </row>
        <row r="191">
          <cell r="C191">
            <v>12928</v>
          </cell>
          <cell r="D191" t="str">
            <v>GD250344</v>
          </cell>
          <cell r="E191" t="str">
            <v>DASAL</v>
          </cell>
          <cell r="F191" t="str">
            <v>JAYSON</v>
          </cell>
          <cell r="G191" t="str">
            <v>SALAZAR</v>
          </cell>
          <cell r="H191" t="str">
            <v>DASAL, JAYSON SALAZAR</v>
          </cell>
          <cell r="I191" t="str">
            <v>METAL STAMPING</v>
          </cell>
          <cell r="J191" t="str">
            <v>QUALITY</v>
          </cell>
          <cell r="K191" t="str">
            <v>QC</v>
          </cell>
          <cell r="L191">
            <v>0</v>
          </cell>
          <cell r="M191" t="str">
            <v>Operator</v>
          </cell>
          <cell r="N191" t="str">
            <v>Quality Inspector</v>
          </cell>
        </row>
        <row r="192">
          <cell r="C192">
            <v>12947</v>
          </cell>
          <cell r="D192" t="str">
            <v>GD250355</v>
          </cell>
          <cell r="E192" t="str">
            <v>DELA CRUZ</v>
          </cell>
          <cell r="F192" t="str">
            <v>RHEENA JEAN</v>
          </cell>
          <cell r="G192" t="str">
            <v>SOLANO</v>
          </cell>
          <cell r="H192" t="str">
            <v>DELA CRUZ, RHEENA JEAN SOLANO</v>
          </cell>
          <cell r="I192" t="str">
            <v>METAL STAMPING</v>
          </cell>
          <cell r="J192" t="str">
            <v>PRODUCTION</v>
          </cell>
          <cell r="K192" t="str">
            <v>CLEANING</v>
          </cell>
          <cell r="L192">
            <v>0</v>
          </cell>
          <cell r="M192" t="str">
            <v>Operator</v>
          </cell>
          <cell r="N192" t="str">
            <v>Operator 1</v>
          </cell>
        </row>
        <row r="193">
          <cell r="C193">
            <v>12956</v>
          </cell>
          <cell r="D193" t="str">
            <v>GD250359</v>
          </cell>
          <cell r="E193" t="str">
            <v>DESALISA</v>
          </cell>
          <cell r="F193" t="str">
            <v>MARK JAY</v>
          </cell>
          <cell r="G193" t="str">
            <v>ALMAIDA</v>
          </cell>
          <cell r="H193" t="str">
            <v>DESALISA, MARK JAY ALMAIDA</v>
          </cell>
          <cell r="I193" t="str">
            <v>METAL STAMPING</v>
          </cell>
          <cell r="J193" t="str">
            <v>PRODUCTION</v>
          </cell>
          <cell r="K193" t="str">
            <v>STAMPING</v>
          </cell>
          <cell r="L193" t="str">
            <v>GOSHI</v>
          </cell>
          <cell r="M193" t="str">
            <v>Operator</v>
          </cell>
          <cell r="N193" t="str">
            <v>Operator 1</v>
          </cell>
        </row>
        <row r="194">
          <cell r="C194">
            <v>12961</v>
          </cell>
          <cell r="D194" t="str">
            <v>GD250361</v>
          </cell>
          <cell r="E194" t="str">
            <v>DIGNO</v>
          </cell>
          <cell r="F194" t="str">
            <v>ARA ASHLEY</v>
          </cell>
          <cell r="G194" t="str">
            <v>BELEN</v>
          </cell>
          <cell r="H194" t="str">
            <v>DIGNO, ARA ASHLEY BELEN</v>
          </cell>
          <cell r="I194" t="str">
            <v>METAL STAMPING</v>
          </cell>
          <cell r="J194" t="str">
            <v>PRODUCTION</v>
          </cell>
          <cell r="K194" t="str">
            <v>CLEANING</v>
          </cell>
          <cell r="L194">
            <v>0</v>
          </cell>
          <cell r="M194" t="str">
            <v>Operator</v>
          </cell>
          <cell r="N194" t="str">
            <v>Operator 1</v>
          </cell>
        </row>
        <row r="195">
          <cell r="C195">
            <v>12966</v>
          </cell>
          <cell r="D195" t="str">
            <v>GD250365</v>
          </cell>
          <cell r="E195" t="str">
            <v>DIONEDA</v>
          </cell>
          <cell r="F195" t="str">
            <v>RUELLA JOYCE</v>
          </cell>
          <cell r="G195" t="str">
            <v>MAGPANTAY</v>
          </cell>
          <cell r="H195" t="str">
            <v>DIONEDA, RUELLA JOYCE MAGPANTAY</v>
          </cell>
          <cell r="I195" t="str">
            <v>METAL STAMPING</v>
          </cell>
          <cell r="J195" t="str">
            <v>PRODUCTION</v>
          </cell>
          <cell r="K195" t="str">
            <v>CLEANING</v>
          </cell>
          <cell r="L195">
            <v>0</v>
          </cell>
          <cell r="M195" t="str">
            <v>Operator</v>
          </cell>
          <cell r="N195" t="str">
            <v>Operator 1</v>
          </cell>
        </row>
        <row r="196">
          <cell r="C196">
            <v>12967</v>
          </cell>
          <cell r="D196" t="str">
            <v>GD250366</v>
          </cell>
          <cell r="E196" t="str">
            <v>DOMETITA</v>
          </cell>
          <cell r="F196" t="str">
            <v>JENY</v>
          </cell>
          <cell r="G196" t="str">
            <v>MIRARAN</v>
          </cell>
          <cell r="H196" t="str">
            <v>DOMETITA, JENY MIRARAN</v>
          </cell>
          <cell r="I196" t="str">
            <v>METAL STAMPING</v>
          </cell>
          <cell r="J196" t="str">
            <v>PRODUCTION</v>
          </cell>
          <cell r="K196" t="str">
            <v>CLEANING</v>
          </cell>
          <cell r="L196">
            <v>0</v>
          </cell>
          <cell r="M196" t="str">
            <v>Operator</v>
          </cell>
          <cell r="N196" t="str">
            <v>Operator 1</v>
          </cell>
        </row>
        <row r="197">
          <cell r="C197">
            <v>12979</v>
          </cell>
          <cell r="D197" t="str">
            <v>GD250369</v>
          </cell>
          <cell r="E197" t="str">
            <v>ESPIRITU</v>
          </cell>
          <cell r="F197" t="str">
            <v>JHON BORRIS</v>
          </cell>
          <cell r="G197" t="str">
            <v>ATIENZA</v>
          </cell>
          <cell r="H197" t="str">
            <v>ESPIRITU, JHON BORRIS ATIENZA</v>
          </cell>
          <cell r="I197" t="str">
            <v>NCT</v>
          </cell>
          <cell r="J197" t="str">
            <v>PRODUCTION</v>
          </cell>
          <cell r="K197" t="str">
            <v>DEBURR</v>
          </cell>
          <cell r="L197">
            <v>0</v>
          </cell>
          <cell r="M197" t="str">
            <v>Operator</v>
          </cell>
          <cell r="N197" t="str">
            <v>Operator 1</v>
          </cell>
        </row>
        <row r="198">
          <cell r="C198">
            <v>12981</v>
          </cell>
          <cell r="D198" t="str">
            <v>GD250637</v>
          </cell>
          <cell r="E198" t="str">
            <v>EVANGELISTA</v>
          </cell>
          <cell r="F198" t="str">
            <v>GLENDA</v>
          </cell>
          <cell r="G198" t="str">
            <v>MINGO</v>
          </cell>
          <cell r="H198" t="str">
            <v>EVANGELISTA, GLENDA MINGO</v>
          </cell>
          <cell r="I198" t="str">
            <v>DIE CASTING/CNC</v>
          </cell>
          <cell r="J198" t="str">
            <v>PRODUCTION</v>
          </cell>
          <cell r="K198" t="str">
            <v>DIE CASTING</v>
          </cell>
          <cell r="L198">
            <v>0</v>
          </cell>
          <cell r="M198" t="str">
            <v>Operator</v>
          </cell>
          <cell r="N198" t="str">
            <v>Operator 1</v>
          </cell>
        </row>
        <row r="199">
          <cell r="C199">
            <v>12984</v>
          </cell>
          <cell r="D199" t="str">
            <v>GD250371</v>
          </cell>
          <cell r="E199" t="str">
            <v>FLAVIANO</v>
          </cell>
          <cell r="F199" t="str">
            <v>JESSICA</v>
          </cell>
          <cell r="G199" t="str">
            <v>LACBAY</v>
          </cell>
          <cell r="H199" t="str">
            <v>FLAVIANO, JESSICA LACBAY</v>
          </cell>
          <cell r="I199" t="str">
            <v>METAL STAMPING</v>
          </cell>
          <cell r="J199" t="str">
            <v>PRODUCTION</v>
          </cell>
          <cell r="K199" t="str">
            <v>CLEANING</v>
          </cell>
          <cell r="L199">
            <v>0</v>
          </cell>
          <cell r="M199" t="str">
            <v>Operator</v>
          </cell>
          <cell r="N199" t="str">
            <v>Operator 1</v>
          </cell>
        </row>
        <row r="200">
          <cell r="C200">
            <v>12985</v>
          </cell>
          <cell r="D200" t="str">
            <v>GD250372</v>
          </cell>
          <cell r="E200" t="str">
            <v>FLORES</v>
          </cell>
          <cell r="F200" t="str">
            <v>JAYSON</v>
          </cell>
          <cell r="G200" t="str">
            <v>CAÑONEO</v>
          </cell>
          <cell r="H200" t="str">
            <v>FLORES, JAYSON CAÑONEO</v>
          </cell>
          <cell r="I200" t="str">
            <v>METAL STAMPING</v>
          </cell>
          <cell r="J200" t="str">
            <v>PRODUCTION</v>
          </cell>
          <cell r="K200" t="str">
            <v>STAMPING</v>
          </cell>
          <cell r="L200" t="str">
            <v>SERCOMM</v>
          </cell>
          <cell r="M200" t="str">
            <v>Operator</v>
          </cell>
          <cell r="N200" t="str">
            <v>Operator 1</v>
          </cell>
        </row>
        <row r="201">
          <cell r="C201">
            <v>14207</v>
          </cell>
          <cell r="D201" t="str">
            <v>GD250381</v>
          </cell>
          <cell r="E201" t="str">
            <v>GLOR</v>
          </cell>
          <cell r="F201" t="str">
            <v>RON RON</v>
          </cell>
          <cell r="G201" t="str">
            <v>ROBLES</v>
          </cell>
          <cell r="H201" t="str">
            <v>GLOR, RON RON ROBLES</v>
          </cell>
          <cell r="I201" t="str">
            <v>METAL STAMPING</v>
          </cell>
          <cell r="J201" t="str">
            <v>QUALITY</v>
          </cell>
          <cell r="K201" t="str">
            <v>QC</v>
          </cell>
          <cell r="L201">
            <v>0</v>
          </cell>
          <cell r="M201" t="str">
            <v>Operator</v>
          </cell>
          <cell r="N201" t="str">
            <v>Quality Inspector</v>
          </cell>
        </row>
        <row r="202">
          <cell r="C202">
            <v>14211</v>
          </cell>
          <cell r="D202" t="str">
            <v>GD250383</v>
          </cell>
          <cell r="E202" t="str">
            <v>GORDO</v>
          </cell>
          <cell r="F202" t="str">
            <v>MA.LEONA</v>
          </cell>
          <cell r="G202" t="str">
            <v>TUSCANO</v>
          </cell>
          <cell r="H202" t="str">
            <v>GORDO, MA.LEONA TUSCANO</v>
          </cell>
          <cell r="I202" t="str">
            <v>METAL STAMPING</v>
          </cell>
          <cell r="J202" t="str">
            <v>PRODUCTION</v>
          </cell>
          <cell r="K202" t="str">
            <v>STAMPING</v>
          </cell>
          <cell r="L202">
            <v>0</v>
          </cell>
          <cell r="M202" t="str">
            <v>Operator</v>
          </cell>
          <cell r="N202" t="str">
            <v>Operator 1</v>
          </cell>
        </row>
        <row r="203">
          <cell r="C203">
            <v>14215</v>
          </cell>
          <cell r="D203" t="str">
            <v>GD250385</v>
          </cell>
          <cell r="E203" t="str">
            <v>GRUTA</v>
          </cell>
          <cell r="F203" t="str">
            <v>CRISTOPHER</v>
          </cell>
          <cell r="G203" t="str">
            <v>OCQULA</v>
          </cell>
          <cell r="H203" t="str">
            <v>GRUTA, CRISTOPHER OCQULA</v>
          </cell>
          <cell r="I203" t="str">
            <v>METAL STAMPING</v>
          </cell>
          <cell r="J203" t="str">
            <v>PRODUCTION</v>
          </cell>
          <cell r="K203" t="str">
            <v>STAMPING</v>
          </cell>
          <cell r="L203">
            <v>0</v>
          </cell>
          <cell r="M203" t="str">
            <v>Operator</v>
          </cell>
          <cell r="N203" t="str">
            <v>Operator 1</v>
          </cell>
        </row>
        <row r="204">
          <cell r="C204">
            <v>14233</v>
          </cell>
          <cell r="D204" t="str">
            <v>GD250399</v>
          </cell>
          <cell r="E204" t="str">
            <v>JAZMIN</v>
          </cell>
          <cell r="F204" t="str">
            <v>GERALYN</v>
          </cell>
          <cell r="G204" t="str">
            <v>BERMAS</v>
          </cell>
          <cell r="H204" t="str">
            <v>JAZMIN, GERALYN BERMAS</v>
          </cell>
          <cell r="I204" t="str">
            <v>METAL STAMPING</v>
          </cell>
          <cell r="J204" t="str">
            <v>PRODUCTION</v>
          </cell>
          <cell r="K204" t="str">
            <v>STAMPING</v>
          </cell>
          <cell r="L204" t="str">
            <v>SERCOMM</v>
          </cell>
          <cell r="M204" t="str">
            <v>Operator</v>
          </cell>
          <cell r="N204" t="str">
            <v>Operator 1</v>
          </cell>
        </row>
        <row r="205">
          <cell r="C205">
            <v>14251</v>
          </cell>
          <cell r="D205" t="str">
            <v>GD250405</v>
          </cell>
          <cell r="E205" t="str">
            <v>LEGASPI</v>
          </cell>
          <cell r="F205" t="str">
            <v>KRISTINE JOY</v>
          </cell>
          <cell r="G205" t="str">
            <v>ALHAMBRA</v>
          </cell>
          <cell r="H205" t="str">
            <v>LEGASPI, KRISTINE JOY ALHAMBRA</v>
          </cell>
          <cell r="I205" t="str">
            <v>METAL STAMPING</v>
          </cell>
          <cell r="J205" t="str">
            <v>PRODUCTION</v>
          </cell>
          <cell r="K205" t="str">
            <v>CLEANING</v>
          </cell>
          <cell r="L205">
            <v>0</v>
          </cell>
          <cell r="M205" t="str">
            <v>Operator</v>
          </cell>
          <cell r="N205" t="str">
            <v>Operator 1</v>
          </cell>
        </row>
        <row r="206">
          <cell r="C206">
            <v>14267</v>
          </cell>
          <cell r="D206" t="str">
            <v>GD250412</v>
          </cell>
          <cell r="E206" t="str">
            <v>LUCING</v>
          </cell>
          <cell r="F206" t="str">
            <v>ANALIZA</v>
          </cell>
          <cell r="G206" t="str">
            <v>AGUILAR</v>
          </cell>
          <cell r="H206" t="str">
            <v>LUCING, ANALIZA AGUILAR</v>
          </cell>
          <cell r="I206" t="str">
            <v>METAL STAMPING</v>
          </cell>
          <cell r="J206" t="str">
            <v>PRODUCTION</v>
          </cell>
          <cell r="K206" t="str">
            <v>STAMPING</v>
          </cell>
          <cell r="L206" t="str">
            <v>SERCOMM</v>
          </cell>
          <cell r="M206" t="str">
            <v>Operator</v>
          </cell>
          <cell r="N206" t="str">
            <v>Operator 1</v>
          </cell>
        </row>
        <row r="207">
          <cell r="C207">
            <v>14270</v>
          </cell>
          <cell r="D207" t="str">
            <v>GD250414</v>
          </cell>
          <cell r="E207" t="str">
            <v>MACATANGAY</v>
          </cell>
          <cell r="F207" t="str">
            <v>HONEY JANE</v>
          </cell>
          <cell r="G207" t="str">
            <v>CAHAYON</v>
          </cell>
          <cell r="H207" t="str">
            <v>MACATANGAY, HONEY JANE CAHAYON</v>
          </cell>
          <cell r="I207" t="str">
            <v>METAL STAMPING</v>
          </cell>
          <cell r="J207" t="str">
            <v>PRODUCTION</v>
          </cell>
          <cell r="K207" t="str">
            <v>CLEANING</v>
          </cell>
          <cell r="L207">
            <v>0</v>
          </cell>
          <cell r="M207" t="str">
            <v>Operator</v>
          </cell>
          <cell r="N207" t="str">
            <v>Operator 1</v>
          </cell>
        </row>
        <row r="208">
          <cell r="C208">
            <v>14273</v>
          </cell>
          <cell r="D208" t="str">
            <v>GD250416</v>
          </cell>
          <cell r="E208" t="str">
            <v>MAGPANTAY</v>
          </cell>
          <cell r="F208" t="str">
            <v>MYDELYN</v>
          </cell>
          <cell r="G208" t="str">
            <v>PASIA</v>
          </cell>
          <cell r="H208" t="str">
            <v>MAGPANTAY, MYDELYN PASIA</v>
          </cell>
          <cell r="I208" t="str">
            <v>METAL STAMPING</v>
          </cell>
          <cell r="J208" t="str">
            <v>PRODUCTION</v>
          </cell>
          <cell r="K208" t="str">
            <v>CLEANING</v>
          </cell>
          <cell r="L208">
            <v>0</v>
          </cell>
          <cell r="M208" t="str">
            <v>Operator</v>
          </cell>
          <cell r="N208" t="str">
            <v>Operator 1</v>
          </cell>
        </row>
        <row r="209">
          <cell r="C209">
            <v>14275</v>
          </cell>
          <cell r="D209" t="str">
            <v>GD250417</v>
          </cell>
          <cell r="E209" t="str">
            <v>MAGPAO</v>
          </cell>
          <cell r="F209" t="str">
            <v>JOVEN</v>
          </cell>
          <cell r="G209" t="str">
            <v>DINOLAN</v>
          </cell>
          <cell r="H209" t="str">
            <v>MAGPAO, JOVEN DINOLAN</v>
          </cell>
          <cell r="I209" t="str">
            <v>METAL STAMPING</v>
          </cell>
          <cell r="J209" t="str">
            <v>PRODUCTION</v>
          </cell>
          <cell r="K209" t="str">
            <v>WELDING</v>
          </cell>
          <cell r="L209" t="str">
            <v>GOSHI</v>
          </cell>
          <cell r="M209" t="str">
            <v>Operator</v>
          </cell>
          <cell r="N209" t="str">
            <v>Operator 1</v>
          </cell>
        </row>
        <row r="210">
          <cell r="C210">
            <v>14284</v>
          </cell>
          <cell r="D210" t="str">
            <v>GD250423</v>
          </cell>
          <cell r="E210" t="str">
            <v>MANALO</v>
          </cell>
          <cell r="F210" t="str">
            <v>JACKQUILINE</v>
          </cell>
          <cell r="G210" t="str">
            <v>CAMO</v>
          </cell>
          <cell r="H210" t="str">
            <v>MANALO, JACKQUILINE CAMO</v>
          </cell>
          <cell r="I210" t="str">
            <v>METAL STAMPING</v>
          </cell>
          <cell r="J210" t="str">
            <v>PRODUCTION</v>
          </cell>
          <cell r="K210" t="str">
            <v>CLEANING</v>
          </cell>
          <cell r="L210">
            <v>0</v>
          </cell>
          <cell r="M210" t="str">
            <v>Operator</v>
          </cell>
          <cell r="N210" t="str">
            <v>Operator 1</v>
          </cell>
        </row>
        <row r="211">
          <cell r="C211">
            <v>14285</v>
          </cell>
          <cell r="D211" t="str">
            <v>GD250424</v>
          </cell>
          <cell r="E211" t="str">
            <v>MANALO</v>
          </cell>
          <cell r="F211" t="str">
            <v>JOHN LESTER</v>
          </cell>
          <cell r="G211" t="str">
            <v>ROMERO</v>
          </cell>
          <cell r="H211" t="str">
            <v>MANALO, JOHN LESTER ROMERO</v>
          </cell>
          <cell r="I211" t="str">
            <v>METAL STAMPING</v>
          </cell>
          <cell r="J211" t="str">
            <v>PRODUCTION</v>
          </cell>
          <cell r="K211" t="str">
            <v>WELDING</v>
          </cell>
          <cell r="L211" t="str">
            <v>GOSHI</v>
          </cell>
          <cell r="M211" t="str">
            <v>Operator</v>
          </cell>
          <cell r="N211" t="str">
            <v>Operator 1</v>
          </cell>
        </row>
        <row r="212">
          <cell r="C212">
            <v>30016</v>
          </cell>
          <cell r="D212" t="str">
            <v>GD250426</v>
          </cell>
          <cell r="E212" t="str">
            <v>MANZANO</v>
          </cell>
          <cell r="F212" t="str">
            <v>MARIBEL</v>
          </cell>
          <cell r="G212" t="str">
            <v>VALERIO</v>
          </cell>
          <cell r="H212" t="str">
            <v>MANZANO, MARIBEL VALERIO</v>
          </cell>
          <cell r="I212" t="str">
            <v>NCT</v>
          </cell>
          <cell r="J212" t="str">
            <v>PRODUCTION</v>
          </cell>
          <cell r="K212" t="str">
            <v>DEBURR</v>
          </cell>
          <cell r="L212">
            <v>0</v>
          </cell>
          <cell r="M212" t="str">
            <v>Operator</v>
          </cell>
          <cell r="N212" t="str">
            <v>Operator 1</v>
          </cell>
        </row>
        <row r="213">
          <cell r="C213">
            <v>14291</v>
          </cell>
          <cell r="D213" t="str">
            <v>GD250428</v>
          </cell>
          <cell r="E213" t="str">
            <v>MAQUINIANA</v>
          </cell>
          <cell r="F213" t="str">
            <v>REYMAR</v>
          </cell>
          <cell r="G213" t="str">
            <v>BIO</v>
          </cell>
          <cell r="H213" t="str">
            <v>MAQUINIANA, REYMAR BIO</v>
          </cell>
          <cell r="I213" t="str">
            <v>METAL STAMPING</v>
          </cell>
          <cell r="J213" t="str">
            <v>PRODUCTION</v>
          </cell>
          <cell r="K213" t="str">
            <v>STAMPING</v>
          </cell>
          <cell r="L213" t="str">
            <v>SERCOMM</v>
          </cell>
          <cell r="M213" t="str">
            <v>Operator</v>
          </cell>
          <cell r="N213" t="str">
            <v>Operator 1</v>
          </cell>
        </row>
        <row r="214">
          <cell r="C214">
            <v>14326</v>
          </cell>
          <cell r="D214" t="str">
            <v>GD250439</v>
          </cell>
          <cell r="E214" t="str">
            <v>NAZARITA</v>
          </cell>
          <cell r="F214" t="str">
            <v>CHERRY MAE</v>
          </cell>
          <cell r="G214" t="str">
            <v>BADINAS</v>
          </cell>
          <cell r="H214" t="str">
            <v>NAZARITA, CHERRY MAE BADINAS</v>
          </cell>
          <cell r="I214" t="str">
            <v>METAL STAMPING</v>
          </cell>
          <cell r="J214" t="str">
            <v>PRODUCTION</v>
          </cell>
          <cell r="K214" t="str">
            <v>STAMPING</v>
          </cell>
          <cell r="L214" t="str">
            <v>SERCOMM</v>
          </cell>
          <cell r="M214" t="str">
            <v>Operator</v>
          </cell>
          <cell r="N214" t="str">
            <v>Operator 1</v>
          </cell>
        </row>
        <row r="215">
          <cell r="C215">
            <v>14328</v>
          </cell>
          <cell r="D215" t="str">
            <v>GD250441</v>
          </cell>
          <cell r="E215" t="str">
            <v>NIALLA</v>
          </cell>
          <cell r="F215" t="str">
            <v>JENNY MAE</v>
          </cell>
          <cell r="G215" t="str">
            <v>BRAVO</v>
          </cell>
          <cell r="H215" t="str">
            <v>NIALLA, JENNY MAE BRAVO</v>
          </cell>
          <cell r="I215" t="str">
            <v>METAL STAMPING</v>
          </cell>
          <cell r="J215" t="str">
            <v>PRODUCTION</v>
          </cell>
          <cell r="K215" t="str">
            <v>STAMPING</v>
          </cell>
          <cell r="L215" t="str">
            <v>SERCOMM</v>
          </cell>
          <cell r="M215" t="str">
            <v>Operator</v>
          </cell>
          <cell r="N215" t="str">
            <v>Operator 1</v>
          </cell>
        </row>
        <row r="216">
          <cell r="C216">
            <v>14331</v>
          </cell>
          <cell r="D216" t="str">
            <v>GD250444</v>
          </cell>
          <cell r="E216" t="str">
            <v>OBILES</v>
          </cell>
          <cell r="F216" t="str">
            <v>RYAN</v>
          </cell>
          <cell r="G216" t="str">
            <v>TATO</v>
          </cell>
          <cell r="H216" t="str">
            <v>OBILES, RYAN TATO</v>
          </cell>
          <cell r="I216" t="str">
            <v>METAL STAMPING</v>
          </cell>
          <cell r="J216" t="str">
            <v>WAREHOUSE</v>
          </cell>
          <cell r="K216">
            <v>0</v>
          </cell>
          <cell r="L216">
            <v>0</v>
          </cell>
          <cell r="M216" t="str">
            <v>Operator</v>
          </cell>
          <cell r="N216" t="str">
            <v>Warehouseman</v>
          </cell>
        </row>
        <row r="217">
          <cell r="C217">
            <v>30019</v>
          </cell>
          <cell r="D217" t="str">
            <v>GD250452</v>
          </cell>
          <cell r="E217" t="str">
            <v>PANTA</v>
          </cell>
          <cell r="F217" t="str">
            <v>JERICK</v>
          </cell>
          <cell r="G217">
            <v>0</v>
          </cell>
          <cell r="H217" t="str">
            <v xml:space="preserve">PANTA, JERICK </v>
          </cell>
          <cell r="I217" t="str">
            <v>METAL STAMPING</v>
          </cell>
          <cell r="J217" t="str">
            <v>PRODUCTION</v>
          </cell>
          <cell r="K217" t="str">
            <v>WELDING</v>
          </cell>
          <cell r="L217" t="str">
            <v>GOSHI</v>
          </cell>
          <cell r="M217" t="str">
            <v>Operator</v>
          </cell>
          <cell r="N217" t="str">
            <v>Operator 1</v>
          </cell>
        </row>
        <row r="218">
          <cell r="C218">
            <v>14357</v>
          </cell>
          <cell r="D218" t="str">
            <v>GD250455</v>
          </cell>
          <cell r="E218" t="str">
            <v>PAZ</v>
          </cell>
          <cell r="F218" t="str">
            <v>ROCHELLE</v>
          </cell>
          <cell r="G218" t="str">
            <v>PEREZ</v>
          </cell>
          <cell r="H218" t="str">
            <v>PAZ, ROCHELLE PEREZ</v>
          </cell>
          <cell r="I218" t="str">
            <v>METAL STAMPING</v>
          </cell>
          <cell r="J218" t="str">
            <v>PRODUCTION</v>
          </cell>
          <cell r="K218" t="str">
            <v>ASSEMBLY</v>
          </cell>
          <cell r="L218" t="str">
            <v>SERCOMM</v>
          </cell>
          <cell r="M218" t="str">
            <v>Operator</v>
          </cell>
          <cell r="N218" t="str">
            <v>Operator 1</v>
          </cell>
        </row>
        <row r="219">
          <cell r="C219">
            <v>14370</v>
          </cell>
          <cell r="D219" t="str">
            <v>GD250460</v>
          </cell>
          <cell r="E219" t="str">
            <v>RAMOS</v>
          </cell>
          <cell r="F219" t="str">
            <v>JAIRO</v>
          </cell>
          <cell r="G219" t="str">
            <v>FABELLAR</v>
          </cell>
          <cell r="H219" t="str">
            <v>RAMOS, JAIRO FABELLAR</v>
          </cell>
          <cell r="I219" t="str">
            <v>METAL STAMPING</v>
          </cell>
          <cell r="J219" t="str">
            <v>PRODUCTION</v>
          </cell>
          <cell r="K219" t="str">
            <v>ASSEMBLY</v>
          </cell>
          <cell r="L219" t="str">
            <v>SERCOMM</v>
          </cell>
          <cell r="M219" t="str">
            <v>Operator</v>
          </cell>
          <cell r="N219" t="str">
            <v>Operator 1</v>
          </cell>
        </row>
        <row r="220">
          <cell r="C220">
            <v>14372</v>
          </cell>
          <cell r="D220" t="str">
            <v>GD250462</v>
          </cell>
          <cell r="E220" t="str">
            <v>RAVADAVIA</v>
          </cell>
          <cell r="F220" t="str">
            <v>JONALYN</v>
          </cell>
          <cell r="G220" t="str">
            <v>PALOYO</v>
          </cell>
          <cell r="H220" t="str">
            <v>RAVADAVIA, JONALYN PALOYO</v>
          </cell>
          <cell r="I220" t="str">
            <v>METAL STAMPING</v>
          </cell>
          <cell r="J220" t="str">
            <v>PRODUCTION</v>
          </cell>
          <cell r="K220" t="str">
            <v>STAMPING</v>
          </cell>
          <cell r="L220" t="str">
            <v>SERCOMM</v>
          </cell>
          <cell r="M220" t="str">
            <v>Operator</v>
          </cell>
          <cell r="N220" t="str">
            <v>Operator 1</v>
          </cell>
        </row>
        <row r="221">
          <cell r="C221">
            <v>14373</v>
          </cell>
          <cell r="D221" t="str">
            <v>GD250463</v>
          </cell>
          <cell r="E221" t="str">
            <v>RAYOS</v>
          </cell>
          <cell r="F221" t="str">
            <v>BRYAN JAMES</v>
          </cell>
          <cell r="G221" t="str">
            <v>MANALO</v>
          </cell>
          <cell r="H221" t="str">
            <v>RAYOS, BRYAN JAMES MANALO</v>
          </cell>
          <cell r="I221" t="str">
            <v>METAL STAMPING</v>
          </cell>
          <cell r="J221" t="str">
            <v>WAREHOUSE</v>
          </cell>
          <cell r="K221">
            <v>0</v>
          </cell>
          <cell r="L221">
            <v>0</v>
          </cell>
          <cell r="M221" t="str">
            <v>Operator</v>
          </cell>
          <cell r="N221" t="str">
            <v>Warehouseman</v>
          </cell>
        </row>
        <row r="222">
          <cell r="C222">
            <v>14375</v>
          </cell>
          <cell r="D222" t="str">
            <v>GD250464</v>
          </cell>
          <cell r="E222" t="str">
            <v>REGALADO</v>
          </cell>
          <cell r="F222" t="str">
            <v>LUDGER BLADY</v>
          </cell>
          <cell r="G222" t="str">
            <v>CANLAS</v>
          </cell>
          <cell r="H222" t="str">
            <v>REGALADO, LUDGER BLADY CANLAS</v>
          </cell>
          <cell r="I222" t="str">
            <v>METAL STAMPING</v>
          </cell>
          <cell r="J222" t="str">
            <v>PRODUCTION</v>
          </cell>
          <cell r="K222" t="str">
            <v>TOOLING</v>
          </cell>
          <cell r="L222">
            <v>0</v>
          </cell>
          <cell r="M222" t="str">
            <v>Operator</v>
          </cell>
          <cell r="N222" t="str">
            <v>Operator 1</v>
          </cell>
        </row>
        <row r="223">
          <cell r="C223">
            <v>14386</v>
          </cell>
          <cell r="D223" t="str">
            <v>GD250471</v>
          </cell>
          <cell r="E223" t="str">
            <v>ROBLES</v>
          </cell>
          <cell r="F223" t="str">
            <v>HENLY MAE</v>
          </cell>
          <cell r="G223" t="str">
            <v>MANALO</v>
          </cell>
          <cell r="H223" t="str">
            <v>ROBLES, HENLY MAE MANALO</v>
          </cell>
          <cell r="I223" t="str">
            <v>METAL STAMPING</v>
          </cell>
          <cell r="J223" t="str">
            <v>PRODUCTION</v>
          </cell>
          <cell r="K223" t="str">
            <v>CLEANING</v>
          </cell>
          <cell r="L223">
            <v>0</v>
          </cell>
          <cell r="M223" t="str">
            <v>Operator</v>
          </cell>
          <cell r="N223" t="str">
            <v>Operator 1</v>
          </cell>
        </row>
        <row r="224">
          <cell r="C224">
            <v>14396</v>
          </cell>
          <cell r="D224" t="str">
            <v>GD250474</v>
          </cell>
          <cell r="E224" t="str">
            <v>SAPALLO</v>
          </cell>
          <cell r="F224" t="str">
            <v>MARJORIE</v>
          </cell>
          <cell r="G224" t="str">
            <v>RAMIREZ</v>
          </cell>
          <cell r="H224" t="str">
            <v>SAPALLO, MARJORIE RAMIREZ</v>
          </cell>
          <cell r="I224" t="str">
            <v>METAL STAMPING</v>
          </cell>
          <cell r="J224" t="str">
            <v>PRODUCTION</v>
          </cell>
          <cell r="K224" t="str">
            <v>ASSEMBLY</v>
          </cell>
          <cell r="L224" t="str">
            <v>SERCOMM</v>
          </cell>
          <cell r="M224" t="str">
            <v>Operator</v>
          </cell>
          <cell r="N224" t="str">
            <v>Operator 1</v>
          </cell>
        </row>
        <row r="225">
          <cell r="C225">
            <v>12840</v>
          </cell>
          <cell r="D225" t="str">
            <v>GD250478</v>
          </cell>
          <cell r="E225" t="str">
            <v>SENOLAY</v>
          </cell>
          <cell r="F225" t="str">
            <v>CEDRIC</v>
          </cell>
          <cell r="G225" t="str">
            <v>DASAL</v>
          </cell>
          <cell r="H225" t="str">
            <v>SENOLAY, CEDRIC DASAL</v>
          </cell>
          <cell r="I225" t="str">
            <v>METAL STAMPING</v>
          </cell>
          <cell r="J225" t="str">
            <v>QUALITY</v>
          </cell>
          <cell r="K225" t="str">
            <v>QC</v>
          </cell>
          <cell r="L225">
            <v>0</v>
          </cell>
          <cell r="M225" t="str">
            <v>Operator</v>
          </cell>
          <cell r="N225" t="str">
            <v>Quality Inspector</v>
          </cell>
        </row>
        <row r="226">
          <cell r="C226">
            <v>10041</v>
          </cell>
          <cell r="D226" t="str">
            <v>GD250484</v>
          </cell>
          <cell r="E226" t="str">
            <v>TACLA</v>
          </cell>
          <cell r="F226" t="str">
            <v>JERICO</v>
          </cell>
          <cell r="G226" t="str">
            <v>ENDAYA</v>
          </cell>
          <cell r="H226" t="str">
            <v>TACLA, JERICO ENDAYA</v>
          </cell>
          <cell r="I226" t="str">
            <v>METAL STAMPING</v>
          </cell>
          <cell r="J226" t="str">
            <v>PRODUCTION</v>
          </cell>
          <cell r="K226" t="str">
            <v>CLEANING</v>
          </cell>
          <cell r="L226">
            <v>0</v>
          </cell>
          <cell r="M226" t="str">
            <v>Operator</v>
          </cell>
          <cell r="N226" t="str">
            <v>Operator 1</v>
          </cell>
        </row>
        <row r="227">
          <cell r="C227">
            <v>7502</v>
          </cell>
          <cell r="D227" t="str">
            <v>GD250489</v>
          </cell>
          <cell r="E227" t="str">
            <v>UGABAN</v>
          </cell>
          <cell r="F227" t="str">
            <v>DANGIE</v>
          </cell>
          <cell r="G227" t="str">
            <v>NIALLA</v>
          </cell>
          <cell r="H227" t="str">
            <v>UGABAN, DANGIE NIALLA</v>
          </cell>
          <cell r="I227" t="str">
            <v>METAL STAMPING</v>
          </cell>
          <cell r="J227" t="str">
            <v>PRODUCTION</v>
          </cell>
          <cell r="K227" t="str">
            <v>STAMPING</v>
          </cell>
          <cell r="L227" t="str">
            <v>SERCOMM</v>
          </cell>
          <cell r="M227" t="str">
            <v>Operator</v>
          </cell>
          <cell r="N227" t="str">
            <v>Operator 1</v>
          </cell>
        </row>
        <row r="228">
          <cell r="C228">
            <v>7505</v>
          </cell>
          <cell r="D228" t="str">
            <v>GD250491</v>
          </cell>
          <cell r="E228" t="str">
            <v>VALE</v>
          </cell>
          <cell r="F228" t="str">
            <v>CHRISTINE ANN</v>
          </cell>
          <cell r="G228">
            <v>0</v>
          </cell>
          <cell r="H228" t="str">
            <v xml:space="preserve">VALE, CHRISTINE ANN </v>
          </cell>
          <cell r="I228" t="str">
            <v>METAL STAMPING</v>
          </cell>
          <cell r="J228" t="str">
            <v>PRODUCTION</v>
          </cell>
          <cell r="K228" t="str">
            <v>ASSEMBLY</v>
          </cell>
          <cell r="L228" t="str">
            <v>SERCOMM</v>
          </cell>
          <cell r="M228" t="str">
            <v>Operator</v>
          </cell>
          <cell r="N228" t="str">
            <v>Operator 1</v>
          </cell>
        </row>
        <row r="229">
          <cell r="C229">
            <v>7500</v>
          </cell>
          <cell r="D229" t="str">
            <v>GD250493</v>
          </cell>
          <cell r="E229" t="str">
            <v>VEGA</v>
          </cell>
          <cell r="F229" t="str">
            <v>JOYCEL</v>
          </cell>
          <cell r="G229" t="str">
            <v>CARTUJANO</v>
          </cell>
          <cell r="H229" t="str">
            <v>VEGA, JOYCEL CARTUJANO</v>
          </cell>
          <cell r="I229" t="str">
            <v>METAL STAMPING</v>
          </cell>
          <cell r="J229" t="str">
            <v>PRODUCTION</v>
          </cell>
          <cell r="K229" t="str">
            <v>CLEANING</v>
          </cell>
          <cell r="L229">
            <v>0</v>
          </cell>
          <cell r="M229" t="str">
            <v>Operator</v>
          </cell>
          <cell r="N229" t="str">
            <v>Operator 1</v>
          </cell>
        </row>
        <row r="230">
          <cell r="C230">
            <v>7512</v>
          </cell>
          <cell r="D230" t="str">
            <v>GD250500</v>
          </cell>
          <cell r="E230" t="str">
            <v>WAEL</v>
          </cell>
          <cell r="F230" t="str">
            <v>CLARAINE</v>
          </cell>
          <cell r="G230" t="str">
            <v>PINEDA</v>
          </cell>
          <cell r="H230" t="str">
            <v>WAEL, CLARAINE PINEDA</v>
          </cell>
          <cell r="I230" t="str">
            <v>METAL STAMPING</v>
          </cell>
          <cell r="J230" t="str">
            <v>QUALITY</v>
          </cell>
          <cell r="K230" t="str">
            <v>QC</v>
          </cell>
          <cell r="L230">
            <v>0</v>
          </cell>
          <cell r="M230" t="str">
            <v>Operator</v>
          </cell>
          <cell r="N230" t="str">
            <v>Quality Inspector</v>
          </cell>
        </row>
        <row r="231">
          <cell r="C231">
            <v>12915</v>
          </cell>
          <cell r="D231" t="str">
            <v>GD250335</v>
          </cell>
          <cell r="E231" t="str">
            <v>COLINARES</v>
          </cell>
          <cell r="F231" t="str">
            <v>LOUIEJE</v>
          </cell>
          <cell r="G231" t="str">
            <v>BANCOLMO</v>
          </cell>
          <cell r="H231" t="str">
            <v>COLINARES, LOUIEJE BANCOLMO</v>
          </cell>
          <cell r="I231" t="str">
            <v>METAL STAMPING</v>
          </cell>
          <cell r="J231" t="str">
            <v>ADMIN</v>
          </cell>
          <cell r="K231" t="str">
            <v>LOGISTICS</v>
          </cell>
          <cell r="L231">
            <v>0</v>
          </cell>
          <cell r="M231" t="str">
            <v>Helper</v>
          </cell>
          <cell r="N231" t="str">
            <v>Helper</v>
          </cell>
        </row>
        <row r="232">
          <cell r="C232">
            <v>14288</v>
          </cell>
          <cell r="D232" t="str">
            <v>GD250425</v>
          </cell>
          <cell r="E232" t="str">
            <v>MANGARIALES</v>
          </cell>
          <cell r="F232" t="str">
            <v>GERARDO</v>
          </cell>
          <cell r="G232" t="str">
            <v>CAMPOS</v>
          </cell>
          <cell r="H232" t="str">
            <v>MANGARIALES, GERARDO CAMPOS</v>
          </cell>
          <cell r="I232" t="str">
            <v>METAL STAMPING</v>
          </cell>
          <cell r="J232" t="str">
            <v>ADMIN</v>
          </cell>
          <cell r="K232" t="str">
            <v>LOGISTICS</v>
          </cell>
          <cell r="L232">
            <v>0</v>
          </cell>
          <cell r="M232" t="str">
            <v>Helper</v>
          </cell>
          <cell r="N232" t="str">
            <v>Helper</v>
          </cell>
        </row>
        <row r="233">
          <cell r="C233">
            <v>14383</v>
          </cell>
          <cell r="D233" t="str">
            <v>GD250469</v>
          </cell>
          <cell r="E233" t="str">
            <v>RICAFRENTE</v>
          </cell>
          <cell r="F233" t="str">
            <v>ALDION</v>
          </cell>
          <cell r="G233" t="str">
            <v>VALERIO</v>
          </cell>
          <cell r="H233" t="str">
            <v>RICAFRENTE, ALDION VALERIO</v>
          </cell>
          <cell r="I233" t="str">
            <v>METAL STAMPING</v>
          </cell>
          <cell r="J233" t="str">
            <v>ADMIN</v>
          </cell>
          <cell r="K233" t="str">
            <v>LOGISTICS</v>
          </cell>
          <cell r="L233">
            <v>0</v>
          </cell>
          <cell r="M233" t="str">
            <v>Helper</v>
          </cell>
          <cell r="N233" t="str">
            <v>Helper</v>
          </cell>
        </row>
        <row r="234">
          <cell r="C234">
            <v>12882</v>
          </cell>
          <cell r="D234" t="str">
            <v>GD250316</v>
          </cell>
          <cell r="E234" t="str">
            <v>BUAL</v>
          </cell>
          <cell r="F234" t="str">
            <v>MARICAR</v>
          </cell>
          <cell r="G234" t="str">
            <v>DELA ROSA</v>
          </cell>
          <cell r="H234" t="str">
            <v>BUAL, MARICAR DELA ROSA</v>
          </cell>
          <cell r="I234" t="str">
            <v>METAL STAMPING</v>
          </cell>
          <cell r="J234" t="str">
            <v>PRODUCTION</v>
          </cell>
          <cell r="K234" t="str">
            <v>CLEANING</v>
          </cell>
          <cell r="L234">
            <v>0</v>
          </cell>
          <cell r="M234" t="str">
            <v>Operator</v>
          </cell>
          <cell r="N234" t="str">
            <v>Operator 1</v>
          </cell>
        </row>
        <row r="235">
          <cell r="C235">
            <v>14360</v>
          </cell>
          <cell r="D235" t="str">
            <v>GD250456</v>
          </cell>
          <cell r="E235" t="str">
            <v>PLAMBERHIN</v>
          </cell>
          <cell r="F235" t="str">
            <v>MARIA ROSE</v>
          </cell>
          <cell r="G235" t="str">
            <v>ABAO</v>
          </cell>
          <cell r="H235" t="str">
            <v>PLAMBERHIN, MARIA ROSE ABAO</v>
          </cell>
          <cell r="I235" t="str">
            <v>METAL STAMPING</v>
          </cell>
          <cell r="J235" t="str">
            <v>PRODUCTION</v>
          </cell>
          <cell r="K235" t="str">
            <v>CLEANING</v>
          </cell>
          <cell r="L235">
            <v>0</v>
          </cell>
          <cell r="M235" t="str">
            <v>Operator</v>
          </cell>
          <cell r="N235" t="str">
            <v>Operator 1</v>
          </cell>
        </row>
        <row r="236">
          <cell r="C236">
            <v>14283</v>
          </cell>
          <cell r="D236" t="str">
            <v>GD250422</v>
          </cell>
          <cell r="E236" t="str">
            <v>MANALO</v>
          </cell>
          <cell r="F236" t="str">
            <v>CHARRYVELL</v>
          </cell>
          <cell r="G236" t="str">
            <v>MADRONIO</v>
          </cell>
          <cell r="H236" t="str">
            <v>MANALO, CHARRYVELL MADRONIO</v>
          </cell>
          <cell r="I236" t="str">
            <v>METAL STAMPING</v>
          </cell>
          <cell r="J236" t="str">
            <v>QUALITY</v>
          </cell>
          <cell r="K236" t="str">
            <v>QC</v>
          </cell>
          <cell r="L236">
            <v>0</v>
          </cell>
          <cell r="M236" t="str">
            <v>Operator</v>
          </cell>
          <cell r="N236" t="str">
            <v>Quality Inspector</v>
          </cell>
        </row>
        <row r="237">
          <cell r="C237">
            <v>30358</v>
          </cell>
          <cell r="D237" t="str">
            <v>GD250504</v>
          </cell>
          <cell r="E237" t="str">
            <v>MACADATAR</v>
          </cell>
          <cell r="F237" t="str">
            <v>NASHZIR</v>
          </cell>
          <cell r="G237" t="str">
            <v>NARVAEZ</v>
          </cell>
          <cell r="H237" t="str">
            <v>MACADATAR, NASHZIR NARVAEZ</v>
          </cell>
          <cell r="I237" t="str">
            <v>METAL STAMPING</v>
          </cell>
          <cell r="J237" t="str">
            <v>PRODUCTION</v>
          </cell>
          <cell r="K237" t="str">
            <v>STAMPING</v>
          </cell>
          <cell r="L237">
            <v>0</v>
          </cell>
          <cell r="M237" t="str">
            <v>Operator</v>
          </cell>
          <cell r="N237" t="str">
            <v>Operator 1</v>
          </cell>
        </row>
        <row r="238">
          <cell r="C238">
            <v>30356</v>
          </cell>
          <cell r="D238" t="str">
            <v>GD250503</v>
          </cell>
          <cell r="E238" t="str">
            <v>MELGAR</v>
          </cell>
          <cell r="F238" t="str">
            <v>BILLY REY</v>
          </cell>
          <cell r="G238" t="str">
            <v>WATIWAT</v>
          </cell>
          <cell r="H238" t="str">
            <v>MELGAR, BILLY REY WATIWAT</v>
          </cell>
          <cell r="I238" t="str">
            <v>METAL STAMPING</v>
          </cell>
          <cell r="J238" t="str">
            <v>PRODUCTION</v>
          </cell>
          <cell r="K238" t="str">
            <v>STAMPING</v>
          </cell>
          <cell r="L238" t="str">
            <v>GOSHI</v>
          </cell>
          <cell r="M238" t="str">
            <v>Operator</v>
          </cell>
          <cell r="N238" t="str">
            <v>Operator 1</v>
          </cell>
        </row>
        <row r="239">
          <cell r="C239">
            <v>30248</v>
          </cell>
          <cell r="D239" t="str">
            <v>GD250506</v>
          </cell>
          <cell r="E239" t="str">
            <v>AMAT</v>
          </cell>
          <cell r="F239" t="str">
            <v>JERICK</v>
          </cell>
          <cell r="G239" t="str">
            <v>PITA</v>
          </cell>
          <cell r="H239" t="str">
            <v>AMAT, JERICK PITA</v>
          </cell>
          <cell r="I239" t="str">
            <v>METAL STAMPING</v>
          </cell>
          <cell r="J239" t="str">
            <v>PRODUCTION</v>
          </cell>
          <cell r="K239" t="str">
            <v>STAMPING</v>
          </cell>
          <cell r="L239">
            <v>0</v>
          </cell>
          <cell r="M239" t="str">
            <v>Operator</v>
          </cell>
          <cell r="N239" t="str">
            <v>Operator 1</v>
          </cell>
        </row>
        <row r="240">
          <cell r="C240">
            <v>30246</v>
          </cell>
          <cell r="D240" t="str">
            <v>GD250508</v>
          </cell>
          <cell r="E240" t="str">
            <v>MAGALONA</v>
          </cell>
          <cell r="F240" t="str">
            <v>JUN-ROSE</v>
          </cell>
          <cell r="G240" t="str">
            <v>PARAN</v>
          </cell>
          <cell r="H240" t="str">
            <v>MAGALONA, JUN-ROSE PARAN</v>
          </cell>
          <cell r="I240" t="str">
            <v>METAL STAMPING</v>
          </cell>
          <cell r="J240" t="str">
            <v>PRODUCTION</v>
          </cell>
          <cell r="K240" t="str">
            <v>ASSEMBLY</v>
          </cell>
          <cell r="L240" t="str">
            <v>SERCOMM</v>
          </cell>
          <cell r="M240" t="str">
            <v>Operator</v>
          </cell>
          <cell r="N240" t="str">
            <v>Operator 1</v>
          </cell>
        </row>
        <row r="241">
          <cell r="C241">
            <v>30377</v>
          </cell>
          <cell r="D241" t="str">
            <v>GD250133</v>
          </cell>
          <cell r="E241" t="str">
            <v>ILAGAN</v>
          </cell>
          <cell r="F241" t="str">
            <v>MARY JANE</v>
          </cell>
          <cell r="G241" t="str">
            <v>HERNANDEZ</v>
          </cell>
          <cell r="H241" t="str">
            <v>ILAGAN, MARY JANE HERNANDEZ</v>
          </cell>
          <cell r="I241" t="str">
            <v>PLASTIC INJECTION</v>
          </cell>
          <cell r="J241" t="str">
            <v>PRODUCTION</v>
          </cell>
          <cell r="K241" t="str">
            <v>INJECTION MOLDING</v>
          </cell>
          <cell r="L241">
            <v>0</v>
          </cell>
          <cell r="M241" t="str">
            <v>Operator</v>
          </cell>
          <cell r="N241" t="str">
            <v>Operator 1</v>
          </cell>
        </row>
        <row r="242">
          <cell r="C242">
            <v>30219</v>
          </cell>
          <cell r="D242" t="str">
            <v>GD250514</v>
          </cell>
          <cell r="E242" t="str">
            <v>GONZALES</v>
          </cell>
          <cell r="F242" t="str">
            <v>REDD</v>
          </cell>
          <cell r="G242" t="str">
            <v>GUALVEZ</v>
          </cell>
          <cell r="H242" t="str">
            <v>GONZALES, REDD GUALVEZ</v>
          </cell>
          <cell r="I242" t="str">
            <v>METAL STAMPING</v>
          </cell>
          <cell r="J242" t="str">
            <v>PRODUCTION</v>
          </cell>
          <cell r="K242" t="str">
            <v>STAMPING</v>
          </cell>
          <cell r="L242">
            <v>0</v>
          </cell>
          <cell r="M242" t="str">
            <v>Operator</v>
          </cell>
          <cell r="N242" t="str">
            <v>Operator 1</v>
          </cell>
        </row>
        <row r="243">
          <cell r="C243">
            <v>30217</v>
          </cell>
          <cell r="D243" t="str">
            <v>GD250513</v>
          </cell>
          <cell r="E243" t="str">
            <v>GUERRERO</v>
          </cell>
          <cell r="F243" t="str">
            <v>ROBERT</v>
          </cell>
          <cell r="G243" t="str">
            <v>BORJA</v>
          </cell>
          <cell r="H243" t="str">
            <v>GUERRERO, ROBERT BORJA</v>
          </cell>
          <cell r="I243" t="str">
            <v>METAL STAMPING</v>
          </cell>
          <cell r="J243" t="str">
            <v>PRODUCTION</v>
          </cell>
          <cell r="K243" t="str">
            <v>STAMPING</v>
          </cell>
          <cell r="L243">
            <v>0</v>
          </cell>
          <cell r="M243" t="str">
            <v>Operator</v>
          </cell>
          <cell r="N243" t="str">
            <v>Operator 1</v>
          </cell>
        </row>
        <row r="244">
          <cell r="C244">
            <v>30256</v>
          </cell>
          <cell r="D244" t="str">
            <v>GD250518</v>
          </cell>
          <cell r="E244" t="str">
            <v>CAMA</v>
          </cell>
          <cell r="F244" t="str">
            <v>LALAINE</v>
          </cell>
          <cell r="G244" t="str">
            <v>LAGUNDAY</v>
          </cell>
          <cell r="H244" t="str">
            <v>CAMA, LALAINE LAGUNDAY</v>
          </cell>
          <cell r="I244" t="str">
            <v>METAL STAMPING</v>
          </cell>
          <cell r="J244" t="str">
            <v>PRODUCTION</v>
          </cell>
          <cell r="K244" t="str">
            <v>STAMPING</v>
          </cell>
          <cell r="L244">
            <v>0</v>
          </cell>
          <cell r="M244" t="str">
            <v>Operator</v>
          </cell>
          <cell r="N244" t="str">
            <v>Operator 1</v>
          </cell>
        </row>
        <row r="245">
          <cell r="C245">
            <v>30252</v>
          </cell>
          <cell r="D245" t="str">
            <v>GD250517</v>
          </cell>
          <cell r="E245" t="str">
            <v>ABANICA</v>
          </cell>
          <cell r="F245" t="str">
            <v>JHERICA</v>
          </cell>
          <cell r="G245" t="str">
            <v>ALARCON</v>
          </cell>
          <cell r="H245" t="str">
            <v>ABANICA, JHERICA ALARCON</v>
          </cell>
          <cell r="I245" t="str">
            <v>METAL STAMPING</v>
          </cell>
          <cell r="J245" t="str">
            <v>PRODUCTION</v>
          </cell>
          <cell r="K245" t="str">
            <v>CLEANING</v>
          </cell>
          <cell r="L245">
            <v>0</v>
          </cell>
          <cell r="M245" t="str">
            <v>Operator</v>
          </cell>
          <cell r="N245" t="str">
            <v>Operator 1</v>
          </cell>
        </row>
        <row r="246">
          <cell r="C246">
            <v>30254</v>
          </cell>
          <cell r="D246" t="str">
            <v>GD250519</v>
          </cell>
          <cell r="E246" t="str">
            <v>FLORES</v>
          </cell>
          <cell r="F246" t="str">
            <v>JOEY</v>
          </cell>
          <cell r="G246" t="str">
            <v>BRASULA</v>
          </cell>
          <cell r="H246" t="str">
            <v>FLORES, JOEY BRASULA</v>
          </cell>
          <cell r="I246" t="str">
            <v>METAL STAMPING</v>
          </cell>
          <cell r="J246" t="str">
            <v>PRODUCTION</v>
          </cell>
          <cell r="K246" t="str">
            <v>STAMPING</v>
          </cell>
          <cell r="L246" t="str">
            <v>GOSHI</v>
          </cell>
          <cell r="M246" t="str">
            <v>Operator</v>
          </cell>
          <cell r="N246" t="str">
            <v>Operator 1</v>
          </cell>
        </row>
        <row r="247">
          <cell r="C247">
            <v>30206</v>
          </cell>
          <cell r="D247" t="str">
            <v>GD250526</v>
          </cell>
          <cell r="E247" t="str">
            <v>BALBACAL</v>
          </cell>
          <cell r="F247" t="str">
            <v>DENVER</v>
          </cell>
          <cell r="G247" t="str">
            <v>MATURAN</v>
          </cell>
          <cell r="H247" t="str">
            <v>BALBACAL, DENVER MATURAN</v>
          </cell>
          <cell r="I247" t="str">
            <v>METAL STAMPING</v>
          </cell>
          <cell r="J247" t="str">
            <v>PRODUCTION</v>
          </cell>
          <cell r="K247" t="str">
            <v>STAMPING</v>
          </cell>
          <cell r="L247">
            <v>0</v>
          </cell>
          <cell r="M247" t="str">
            <v>Operator</v>
          </cell>
          <cell r="N247" t="str">
            <v>Operator 1</v>
          </cell>
        </row>
        <row r="248">
          <cell r="C248">
            <v>30222</v>
          </cell>
          <cell r="D248" t="str">
            <v>GD250559</v>
          </cell>
          <cell r="E248" t="str">
            <v>VILLANUEVA</v>
          </cell>
          <cell r="F248" t="str">
            <v>ALJON</v>
          </cell>
          <cell r="G248" t="str">
            <v>NA</v>
          </cell>
          <cell r="H248" t="str">
            <v>VILLANUEVA, ALJON NA</v>
          </cell>
          <cell r="I248" t="str">
            <v>METAL STAMPING</v>
          </cell>
          <cell r="J248" t="str">
            <v>PRODUCTION</v>
          </cell>
          <cell r="K248" t="str">
            <v>STAMPING</v>
          </cell>
          <cell r="L248">
            <v>0</v>
          </cell>
          <cell r="M248" t="str">
            <v>Operator</v>
          </cell>
          <cell r="N248" t="str">
            <v>Operator 1</v>
          </cell>
        </row>
        <row r="249">
          <cell r="C249">
            <v>30213</v>
          </cell>
          <cell r="D249" t="str">
            <v>GD250520</v>
          </cell>
          <cell r="E249" t="str">
            <v>DELOS SANTOS</v>
          </cell>
          <cell r="F249" t="str">
            <v>GREG</v>
          </cell>
          <cell r="G249" t="str">
            <v>CREDO</v>
          </cell>
          <cell r="H249" t="str">
            <v>DELOS SANTOS, GREG CREDO</v>
          </cell>
          <cell r="I249" t="str">
            <v>PLASTIC INJECTION</v>
          </cell>
          <cell r="J249" t="str">
            <v>QUALITY</v>
          </cell>
          <cell r="K249">
            <v>0</v>
          </cell>
          <cell r="L249">
            <v>0</v>
          </cell>
          <cell r="M249" t="str">
            <v>Operator</v>
          </cell>
          <cell r="N249" t="str">
            <v>Quality Inspector</v>
          </cell>
        </row>
        <row r="250">
          <cell r="C250">
            <v>30261</v>
          </cell>
          <cell r="D250" t="str">
            <v>GD250522</v>
          </cell>
          <cell r="E250" t="str">
            <v>DADO</v>
          </cell>
          <cell r="F250" t="str">
            <v>JEROME</v>
          </cell>
          <cell r="G250" t="str">
            <v>ROMERO</v>
          </cell>
          <cell r="H250" t="str">
            <v>DADO, JEROME ROMERO</v>
          </cell>
          <cell r="I250" t="str">
            <v>METAL STAMPING</v>
          </cell>
          <cell r="J250" t="str">
            <v>PRODUCTION</v>
          </cell>
          <cell r="K250" t="str">
            <v>STAMPING</v>
          </cell>
          <cell r="L250" t="str">
            <v>GOSHI</v>
          </cell>
          <cell r="M250" t="str">
            <v>Operator</v>
          </cell>
          <cell r="N250" t="str">
            <v>Operator 1</v>
          </cell>
        </row>
        <row r="251">
          <cell r="C251">
            <v>30223</v>
          </cell>
          <cell r="D251" t="str">
            <v>GD250524</v>
          </cell>
          <cell r="E251" t="str">
            <v>MAUR</v>
          </cell>
          <cell r="F251" t="str">
            <v>EDWIN</v>
          </cell>
          <cell r="G251" t="str">
            <v>BORJAL</v>
          </cell>
          <cell r="H251" t="str">
            <v>MAUR, EDWIN BORJAL</v>
          </cell>
          <cell r="I251" t="str">
            <v>METAL STAMPING</v>
          </cell>
          <cell r="J251" t="str">
            <v>WAREHOUSE</v>
          </cell>
          <cell r="K251">
            <v>0</v>
          </cell>
          <cell r="L251">
            <v>0</v>
          </cell>
          <cell r="M251" t="str">
            <v>Operator</v>
          </cell>
          <cell r="N251" t="str">
            <v>Warehouseman</v>
          </cell>
        </row>
        <row r="252">
          <cell r="C252">
            <v>30339</v>
          </cell>
          <cell r="D252" t="str">
            <v>GD250525</v>
          </cell>
          <cell r="E252" t="str">
            <v>BAUTISTA</v>
          </cell>
          <cell r="F252" t="str">
            <v>RODEL</v>
          </cell>
          <cell r="G252" t="str">
            <v>CARERA</v>
          </cell>
          <cell r="H252" t="str">
            <v>BAUTISTA, RODEL CARERA</v>
          </cell>
          <cell r="I252" t="str">
            <v>METAL STAMPING</v>
          </cell>
          <cell r="J252" t="str">
            <v>PRODUCTION</v>
          </cell>
          <cell r="K252" t="str">
            <v>CLEANING</v>
          </cell>
          <cell r="L252">
            <v>0</v>
          </cell>
          <cell r="M252" t="str">
            <v>Operator</v>
          </cell>
          <cell r="N252" t="str">
            <v>Operator 1</v>
          </cell>
        </row>
        <row r="253">
          <cell r="C253">
            <v>30303</v>
          </cell>
          <cell r="D253" t="str">
            <v>GD250578</v>
          </cell>
          <cell r="E253" t="str">
            <v>MORALES</v>
          </cell>
          <cell r="F253" t="str">
            <v>JONATHAN</v>
          </cell>
          <cell r="G253">
            <v>0</v>
          </cell>
          <cell r="H253" t="str">
            <v xml:space="preserve">MORALES, JONATHAN </v>
          </cell>
          <cell r="I253" t="str">
            <v>PLASTIC INJECTION</v>
          </cell>
          <cell r="J253" t="str">
            <v>PRODUCTION</v>
          </cell>
          <cell r="K253" t="str">
            <v>INJECTION MOLDING</v>
          </cell>
          <cell r="L253">
            <v>0</v>
          </cell>
          <cell r="M253" t="str">
            <v>Operator</v>
          </cell>
          <cell r="N253" t="str">
            <v>Operator 1</v>
          </cell>
        </row>
        <row r="254">
          <cell r="C254">
            <v>30292</v>
          </cell>
          <cell r="D254" t="str">
            <v>GD250527</v>
          </cell>
          <cell r="E254" t="str">
            <v>PASCUA</v>
          </cell>
          <cell r="F254" t="str">
            <v>RECHELLE</v>
          </cell>
          <cell r="G254" t="str">
            <v>MACALALAY</v>
          </cell>
          <cell r="H254" t="str">
            <v>PASCUA, RECHELLE MACALALAY</v>
          </cell>
          <cell r="I254" t="str">
            <v>METAL STAMPING</v>
          </cell>
          <cell r="J254" t="str">
            <v>PRODUCTION</v>
          </cell>
          <cell r="K254" t="str">
            <v>ASSEMBLY</v>
          </cell>
          <cell r="L254" t="str">
            <v>SERCOMM</v>
          </cell>
          <cell r="M254" t="str">
            <v>Operator</v>
          </cell>
          <cell r="N254" t="str">
            <v>Operator 1</v>
          </cell>
        </row>
        <row r="255">
          <cell r="C255">
            <v>30296</v>
          </cell>
          <cell r="D255" t="str">
            <v>GD250529</v>
          </cell>
          <cell r="E255" t="str">
            <v>DONATO</v>
          </cell>
          <cell r="F255" t="str">
            <v>MARIA CHRISTINA</v>
          </cell>
          <cell r="G255" t="str">
            <v>PAYUMO</v>
          </cell>
          <cell r="H255" t="str">
            <v>DONATO, MARIA CHRISTINA PAYUMO</v>
          </cell>
          <cell r="I255" t="str">
            <v>METAL STAMPING</v>
          </cell>
          <cell r="J255" t="str">
            <v>PRODUCTION</v>
          </cell>
          <cell r="K255" t="str">
            <v>ASSEMBLY</v>
          </cell>
          <cell r="L255" t="str">
            <v>SERCOMM</v>
          </cell>
          <cell r="M255" t="str">
            <v>Operator</v>
          </cell>
          <cell r="N255" t="str">
            <v>Operator 1</v>
          </cell>
        </row>
        <row r="256">
          <cell r="C256">
            <v>30293</v>
          </cell>
          <cell r="D256" t="str">
            <v>GD250531</v>
          </cell>
          <cell r="E256" t="str">
            <v>CONZAGA</v>
          </cell>
          <cell r="F256" t="str">
            <v>ANNA FE</v>
          </cell>
          <cell r="G256" t="str">
            <v>ACOPIO</v>
          </cell>
          <cell r="H256" t="str">
            <v>CONZAGA, ANNA FE ACOPIO</v>
          </cell>
          <cell r="I256" t="str">
            <v>METAL STAMPING</v>
          </cell>
          <cell r="J256" t="str">
            <v>PRODUCTION</v>
          </cell>
          <cell r="K256" t="str">
            <v>ASSEMBLY</v>
          </cell>
          <cell r="L256" t="str">
            <v>SERCOMM</v>
          </cell>
          <cell r="M256" t="str">
            <v>Operator</v>
          </cell>
          <cell r="N256" t="str">
            <v>Operator 1</v>
          </cell>
        </row>
        <row r="257">
          <cell r="C257">
            <v>30332</v>
          </cell>
          <cell r="D257" t="str">
            <v>GD250532</v>
          </cell>
          <cell r="E257" t="str">
            <v>ACAYIN</v>
          </cell>
          <cell r="F257" t="str">
            <v>JERRICK</v>
          </cell>
          <cell r="G257" t="str">
            <v>BUTIAL</v>
          </cell>
          <cell r="H257" t="str">
            <v>ACAYIN, JERRICK BUTIAL</v>
          </cell>
          <cell r="I257" t="str">
            <v>METAL STAMPING</v>
          </cell>
          <cell r="J257" t="str">
            <v>PRODUCTION</v>
          </cell>
          <cell r="K257" t="str">
            <v>STAMPING</v>
          </cell>
          <cell r="L257" t="str">
            <v>SERCOMM</v>
          </cell>
          <cell r="M257" t="str">
            <v>Operator</v>
          </cell>
          <cell r="N257" t="str">
            <v>Operator 1</v>
          </cell>
        </row>
        <row r="258">
          <cell r="C258">
            <v>30305</v>
          </cell>
          <cell r="D258" t="str">
            <v>GD250579</v>
          </cell>
          <cell r="E258" t="str">
            <v>ROMERO</v>
          </cell>
          <cell r="F258" t="str">
            <v>JAY LORD</v>
          </cell>
          <cell r="G258" t="str">
            <v>ALEJADO</v>
          </cell>
          <cell r="H258" t="str">
            <v>ROMERO, JAY LORD ALEJADO</v>
          </cell>
          <cell r="I258" t="str">
            <v>PLASTIC INJECTION</v>
          </cell>
          <cell r="J258" t="str">
            <v>PRODUCTION</v>
          </cell>
          <cell r="K258" t="str">
            <v>INJECTION MOLDING</v>
          </cell>
          <cell r="L258">
            <v>0</v>
          </cell>
          <cell r="M258" t="str">
            <v>Operator</v>
          </cell>
          <cell r="N258" t="str">
            <v>Operator 1</v>
          </cell>
        </row>
        <row r="259">
          <cell r="C259">
            <v>30791</v>
          </cell>
          <cell r="D259" t="str">
            <v>GD250569</v>
          </cell>
          <cell r="E259" t="str">
            <v>ACEBO</v>
          </cell>
          <cell r="F259" t="str">
            <v>JOHN MARK</v>
          </cell>
          <cell r="G259" t="str">
            <v>MADRIAGA</v>
          </cell>
          <cell r="H259" t="str">
            <v>ACEBO, JOHN MARK MADRIAGA</v>
          </cell>
          <cell r="I259" t="str">
            <v>METAL STAMPING</v>
          </cell>
          <cell r="J259" t="str">
            <v>PRODUCTION</v>
          </cell>
          <cell r="K259" t="str">
            <v>STAMPING</v>
          </cell>
          <cell r="L259">
            <v>0</v>
          </cell>
          <cell r="M259" t="str">
            <v>Operator</v>
          </cell>
          <cell r="N259" t="str">
            <v>Operator 1</v>
          </cell>
        </row>
        <row r="260">
          <cell r="C260">
            <v>30790</v>
          </cell>
          <cell r="D260" t="str">
            <v>GD250534</v>
          </cell>
          <cell r="E260" t="str">
            <v>COMISO</v>
          </cell>
          <cell r="F260" t="str">
            <v>JHANINE</v>
          </cell>
          <cell r="G260" t="str">
            <v>ALVAREZ</v>
          </cell>
          <cell r="H260" t="str">
            <v>COMISO, JHANINE ALVAREZ</v>
          </cell>
          <cell r="I260" t="str">
            <v>METAL STAMPING</v>
          </cell>
          <cell r="J260" t="str">
            <v>PRODUCTION</v>
          </cell>
          <cell r="K260" t="str">
            <v>CLEANING</v>
          </cell>
          <cell r="L260">
            <v>0</v>
          </cell>
          <cell r="M260" t="str">
            <v>Operator</v>
          </cell>
          <cell r="N260" t="str">
            <v>Operator 1</v>
          </cell>
        </row>
        <row r="261">
          <cell r="C261">
            <v>30773</v>
          </cell>
          <cell r="D261" t="str">
            <v>GD250542</v>
          </cell>
          <cell r="E261" t="str">
            <v>MARPIGA</v>
          </cell>
          <cell r="F261" t="str">
            <v>CATHYREN JOY</v>
          </cell>
          <cell r="G261" t="str">
            <v>ODINA</v>
          </cell>
          <cell r="H261" t="str">
            <v>MARPIGA, CATHYREN JOY ODINA</v>
          </cell>
          <cell r="I261" t="str">
            <v>METAL STAMPING</v>
          </cell>
          <cell r="J261" t="str">
            <v>PRODUCTION</v>
          </cell>
          <cell r="K261" t="str">
            <v>CLEANING</v>
          </cell>
          <cell r="L261">
            <v>0</v>
          </cell>
          <cell r="M261" t="str">
            <v>Operator</v>
          </cell>
          <cell r="N261" t="str">
            <v>Operator 1</v>
          </cell>
        </row>
        <row r="262">
          <cell r="C262">
            <v>30774</v>
          </cell>
          <cell r="D262" t="str">
            <v>GD250543</v>
          </cell>
          <cell r="E262" t="str">
            <v>MONTEALTO</v>
          </cell>
          <cell r="F262" t="str">
            <v>JORDAN</v>
          </cell>
          <cell r="G262" t="str">
            <v>VILLAR</v>
          </cell>
          <cell r="H262" t="str">
            <v>MONTEALTO, JORDAN VILLAR</v>
          </cell>
          <cell r="I262" t="str">
            <v>METAL STAMPING</v>
          </cell>
          <cell r="J262" t="str">
            <v>PRODUCTION</v>
          </cell>
          <cell r="K262" t="str">
            <v>CLEANING</v>
          </cell>
          <cell r="L262">
            <v>0</v>
          </cell>
          <cell r="M262" t="str">
            <v>Operator</v>
          </cell>
          <cell r="N262" t="str">
            <v>Operator 1</v>
          </cell>
        </row>
        <row r="263">
          <cell r="C263">
            <v>30766</v>
          </cell>
          <cell r="D263" t="str">
            <v>GD250540</v>
          </cell>
          <cell r="E263" t="str">
            <v>EGUIA</v>
          </cell>
          <cell r="F263" t="str">
            <v>MARY GRACE</v>
          </cell>
          <cell r="G263" t="str">
            <v>DEOMAMPO</v>
          </cell>
          <cell r="H263" t="str">
            <v>EGUIA, MARY GRACE DEOMAMPO</v>
          </cell>
          <cell r="I263" t="str">
            <v>METAL STAMPING</v>
          </cell>
          <cell r="J263" t="str">
            <v>PRODUCTION</v>
          </cell>
          <cell r="K263" t="str">
            <v>STAMPING</v>
          </cell>
          <cell r="L263" t="str">
            <v>SERCOMM</v>
          </cell>
          <cell r="M263" t="str">
            <v>Operator</v>
          </cell>
          <cell r="N263" t="str">
            <v>Operator 1</v>
          </cell>
        </row>
        <row r="264">
          <cell r="C264">
            <v>30630</v>
          </cell>
          <cell r="D264" t="str">
            <v>GD250555</v>
          </cell>
          <cell r="E264" t="str">
            <v>CONSTANTE</v>
          </cell>
          <cell r="F264" t="str">
            <v>CHARMAINE</v>
          </cell>
          <cell r="G264" t="str">
            <v>QUIJANO</v>
          </cell>
          <cell r="H264" t="str">
            <v>CONSTANTE, CHARMAINE QUIJANO</v>
          </cell>
          <cell r="I264" t="str">
            <v>METAL STAMPING</v>
          </cell>
          <cell r="J264" t="str">
            <v>PRODUCTION</v>
          </cell>
          <cell r="K264" t="str">
            <v>CLEANING</v>
          </cell>
          <cell r="L264">
            <v>0</v>
          </cell>
          <cell r="M264" t="str">
            <v>Operator</v>
          </cell>
          <cell r="N264" t="str">
            <v>Operator 1</v>
          </cell>
        </row>
        <row r="265">
          <cell r="C265">
            <v>30626</v>
          </cell>
          <cell r="D265" t="str">
            <v>GD250565</v>
          </cell>
          <cell r="E265" t="str">
            <v>DE ASIS</v>
          </cell>
          <cell r="F265" t="str">
            <v>JOHN PAUL</v>
          </cell>
          <cell r="G265" t="str">
            <v>MARCIANO</v>
          </cell>
          <cell r="H265" t="str">
            <v>DE ASIS, JOHN PAUL MARCIANO</v>
          </cell>
          <cell r="I265" t="str">
            <v>METAL STAMPING</v>
          </cell>
          <cell r="J265" t="str">
            <v>PRODUCTION</v>
          </cell>
          <cell r="K265" t="str">
            <v>STAMPING</v>
          </cell>
          <cell r="L265">
            <v>0</v>
          </cell>
          <cell r="M265" t="str">
            <v>Operator</v>
          </cell>
          <cell r="N265" t="str">
            <v>Operator 1</v>
          </cell>
        </row>
        <row r="266">
          <cell r="C266">
            <v>30608</v>
          </cell>
          <cell r="D266" t="str">
            <v>GD250568</v>
          </cell>
          <cell r="E266" t="str">
            <v>CORTEZANO</v>
          </cell>
          <cell r="F266" t="str">
            <v>AUSTINE JAY</v>
          </cell>
          <cell r="G266" t="str">
            <v>MONTILLA</v>
          </cell>
          <cell r="H266" t="str">
            <v>CORTEZANO, AUSTINE JAY MONTILLA</v>
          </cell>
          <cell r="I266" t="str">
            <v>METAL STAMPING</v>
          </cell>
          <cell r="J266" t="str">
            <v>PRODUCTION</v>
          </cell>
          <cell r="K266" t="str">
            <v>TOOLING</v>
          </cell>
          <cell r="L266">
            <v>0</v>
          </cell>
          <cell r="M266" t="str">
            <v>Operator</v>
          </cell>
          <cell r="N266" t="str">
            <v>Operator 1</v>
          </cell>
        </row>
        <row r="267">
          <cell r="C267">
            <v>30604</v>
          </cell>
          <cell r="D267" t="str">
            <v>GD250586</v>
          </cell>
          <cell r="E267" t="str">
            <v>MARIANO</v>
          </cell>
          <cell r="F267" t="str">
            <v>IAN ALDIE</v>
          </cell>
          <cell r="G267" t="str">
            <v>GUEVARRA</v>
          </cell>
          <cell r="H267" t="str">
            <v>MARIANO, IAN ALDIE GUEVARRA</v>
          </cell>
          <cell r="I267" t="str">
            <v>NCT</v>
          </cell>
          <cell r="J267" t="str">
            <v>SECONDARY PROCESS</v>
          </cell>
          <cell r="K267" t="str">
            <v>BENDING</v>
          </cell>
          <cell r="L267">
            <v>0</v>
          </cell>
          <cell r="M267" t="str">
            <v>Operator</v>
          </cell>
          <cell r="N267" t="str">
            <v>Operator 1</v>
          </cell>
        </row>
        <row r="268">
          <cell r="C268">
            <v>30726</v>
          </cell>
          <cell r="D268" t="str">
            <v>GD250546</v>
          </cell>
          <cell r="E268" t="str">
            <v>EMBOY</v>
          </cell>
          <cell r="F268" t="str">
            <v>JOVER</v>
          </cell>
          <cell r="G268" t="str">
            <v>PERERA</v>
          </cell>
          <cell r="H268" t="str">
            <v>EMBOY, JOVER PERERA</v>
          </cell>
          <cell r="I268" t="str">
            <v>METAL STAMPING</v>
          </cell>
          <cell r="J268" t="str">
            <v>PRODUCTION</v>
          </cell>
          <cell r="K268" t="str">
            <v>STAMPING</v>
          </cell>
          <cell r="L268">
            <v>0</v>
          </cell>
          <cell r="M268" t="str">
            <v>Operator</v>
          </cell>
          <cell r="N268" t="str">
            <v>Operator 1</v>
          </cell>
        </row>
        <row r="269">
          <cell r="C269">
            <v>30680</v>
          </cell>
          <cell r="D269" t="str">
            <v>GD250547</v>
          </cell>
          <cell r="E269" t="str">
            <v>PAMADA</v>
          </cell>
          <cell r="F269" t="str">
            <v>JAMES</v>
          </cell>
          <cell r="G269" t="str">
            <v>BENAVIDEZ</v>
          </cell>
          <cell r="H269" t="str">
            <v>PAMADA, JAMES BENAVIDEZ</v>
          </cell>
          <cell r="I269" t="str">
            <v>METAL STAMPING</v>
          </cell>
          <cell r="J269" t="str">
            <v>PRODUCTION</v>
          </cell>
          <cell r="K269" t="str">
            <v>STAMPING</v>
          </cell>
          <cell r="L269" t="str">
            <v>GOSHI</v>
          </cell>
          <cell r="M269" t="str">
            <v>Operator</v>
          </cell>
          <cell r="N269" t="str">
            <v>Operator 1</v>
          </cell>
        </row>
        <row r="270">
          <cell r="C270">
            <v>30678</v>
          </cell>
          <cell r="D270" t="str">
            <v>GD250590</v>
          </cell>
          <cell r="E270" t="str">
            <v>NIDEA</v>
          </cell>
          <cell r="F270" t="str">
            <v>EDGARDO</v>
          </cell>
          <cell r="G270" t="str">
            <v>DAYANDANTE</v>
          </cell>
          <cell r="H270" t="str">
            <v>NIDEA, EDGARDO DAYANDANTE</v>
          </cell>
          <cell r="I270" t="str">
            <v>NCT</v>
          </cell>
          <cell r="J270" t="str">
            <v>PRODUCTION</v>
          </cell>
          <cell r="K270" t="str">
            <v>DEBURR</v>
          </cell>
          <cell r="L270">
            <v>0</v>
          </cell>
          <cell r="M270" t="str">
            <v>Operator</v>
          </cell>
          <cell r="N270" t="str">
            <v>Operator 1</v>
          </cell>
        </row>
        <row r="271">
          <cell r="C271">
            <v>30679</v>
          </cell>
          <cell r="D271" t="str">
            <v>GD250548</v>
          </cell>
          <cell r="E271" t="str">
            <v>BARDON</v>
          </cell>
          <cell r="F271" t="str">
            <v>NORLY</v>
          </cell>
          <cell r="G271" t="str">
            <v>VILLACRUEL</v>
          </cell>
          <cell r="H271" t="str">
            <v>BARDON, NORLY VILLACRUEL</v>
          </cell>
          <cell r="I271" t="str">
            <v>METAL STAMPING</v>
          </cell>
          <cell r="J271" t="str">
            <v>PRODUCTION</v>
          </cell>
          <cell r="K271" t="str">
            <v>STAMPING</v>
          </cell>
          <cell r="L271" t="str">
            <v>GOSHI</v>
          </cell>
          <cell r="M271" t="str">
            <v>Operator</v>
          </cell>
          <cell r="N271" t="str">
            <v>Operator 1</v>
          </cell>
        </row>
        <row r="272">
          <cell r="C272">
            <v>30682</v>
          </cell>
          <cell r="D272" t="str">
            <v>GD250549</v>
          </cell>
          <cell r="E272" t="str">
            <v>VARGAS</v>
          </cell>
          <cell r="F272" t="str">
            <v>JEANN GRACE</v>
          </cell>
          <cell r="G272" t="str">
            <v>IDEA</v>
          </cell>
          <cell r="H272" t="str">
            <v>VARGAS, JEANN GRACE IDEA</v>
          </cell>
          <cell r="I272" t="str">
            <v>METAL STAMPING</v>
          </cell>
          <cell r="J272" t="str">
            <v>PRODUCTION</v>
          </cell>
          <cell r="K272" t="str">
            <v>ASSEMBLY</v>
          </cell>
          <cell r="L272" t="str">
            <v>SERCOMM</v>
          </cell>
          <cell r="M272" t="str">
            <v>Operator</v>
          </cell>
          <cell r="N272" t="str">
            <v>Operator 1</v>
          </cell>
        </row>
        <row r="273">
          <cell r="C273">
            <v>30612</v>
          </cell>
          <cell r="D273" t="str">
            <v>GD250593</v>
          </cell>
          <cell r="E273" t="str">
            <v>DIPASUPIL</v>
          </cell>
          <cell r="F273" t="str">
            <v>JOSHUA</v>
          </cell>
          <cell r="G273" t="str">
            <v>GARCIA</v>
          </cell>
          <cell r="H273" t="str">
            <v>DIPASUPIL, JOSHUA GARCIA</v>
          </cell>
          <cell r="I273" t="str">
            <v>METAL STAMPING</v>
          </cell>
          <cell r="J273" t="str">
            <v>PRODUCTION</v>
          </cell>
          <cell r="K273" t="str">
            <v>STAMPING</v>
          </cell>
          <cell r="L273" t="str">
            <v>SERCOMM</v>
          </cell>
          <cell r="M273" t="str">
            <v>Operator</v>
          </cell>
          <cell r="N273" t="str">
            <v>Operator 1</v>
          </cell>
        </row>
        <row r="274">
          <cell r="C274">
            <v>30611</v>
          </cell>
          <cell r="D274" t="str">
            <v>GD250554</v>
          </cell>
          <cell r="E274" t="str">
            <v>PISUENA</v>
          </cell>
          <cell r="F274" t="str">
            <v>JAE ANN</v>
          </cell>
          <cell r="G274" t="str">
            <v>ESPIRITU</v>
          </cell>
          <cell r="H274" t="str">
            <v>PISUENA, JAE ANN ESPIRITU</v>
          </cell>
          <cell r="I274" t="str">
            <v>METAL STAMPING</v>
          </cell>
          <cell r="J274" t="str">
            <v>PRODUCTION</v>
          </cell>
          <cell r="K274" t="str">
            <v>STAMPING</v>
          </cell>
          <cell r="L274" t="str">
            <v>SERCOMM</v>
          </cell>
          <cell r="M274" t="str">
            <v>Operator</v>
          </cell>
          <cell r="N274" t="str">
            <v>Operator 1</v>
          </cell>
        </row>
        <row r="275">
          <cell r="C275">
            <v>1006</v>
          </cell>
          <cell r="D275" t="str">
            <v>GD250638</v>
          </cell>
          <cell r="E275" t="str">
            <v>CRISTOBAL</v>
          </cell>
          <cell r="F275" t="str">
            <v>CRISTINE JOY</v>
          </cell>
          <cell r="G275" t="str">
            <v>DELA LUNA</v>
          </cell>
          <cell r="H275" t="str">
            <v>CRISTOBAL, CRISTINE JOY DELA LUNA</v>
          </cell>
          <cell r="I275" t="str">
            <v>DIE CASTING/CNC</v>
          </cell>
          <cell r="J275" t="str">
            <v>PRODUCTION</v>
          </cell>
          <cell r="K275" t="str">
            <v>DIE CASTING</v>
          </cell>
          <cell r="L275">
            <v>0</v>
          </cell>
          <cell r="M275" t="str">
            <v>Operator</v>
          </cell>
          <cell r="N275" t="str">
            <v>Operator 1</v>
          </cell>
        </row>
        <row r="276">
          <cell r="C276">
            <v>30198</v>
          </cell>
          <cell r="D276" t="str">
            <v>GD250596</v>
          </cell>
          <cell r="E276" t="str">
            <v>ABASOLO</v>
          </cell>
          <cell r="F276" t="str">
            <v>JOERGE</v>
          </cell>
          <cell r="G276" t="str">
            <v>ARNAIZ</v>
          </cell>
          <cell r="H276" t="str">
            <v>ABASOLO, JOERGE ARNAIZ</v>
          </cell>
          <cell r="I276" t="str">
            <v>DIE CASTING/CNC</v>
          </cell>
          <cell r="J276" t="str">
            <v>PRODUCTION</v>
          </cell>
          <cell r="K276" t="str">
            <v>DIE CASTING</v>
          </cell>
          <cell r="L276">
            <v>0</v>
          </cell>
          <cell r="M276" t="str">
            <v>Operator</v>
          </cell>
          <cell r="N276" t="str">
            <v>Operator 1</v>
          </cell>
        </row>
        <row r="277">
          <cell r="C277">
            <v>30183</v>
          </cell>
          <cell r="D277" t="str">
            <v>GD250560</v>
          </cell>
          <cell r="E277" t="str">
            <v>PORTILLO</v>
          </cell>
          <cell r="F277" t="str">
            <v>JOHN MARK</v>
          </cell>
          <cell r="G277" t="str">
            <v>ALPAS</v>
          </cell>
          <cell r="H277" t="str">
            <v>PORTILLO, JOHN MARK ALPAS</v>
          </cell>
          <cell r="I277" t="str">
            <v>METAL STAMPING</v>
          </cell>
          <cell r="J277" t="str">
            <v>PRODUCTION</v>
          </cell>
          <cell r="K277" t="str">
            <v>STAMPING</v>
          </cell>
          <cell r="L277">
            <v>0</v>
          </cell>
          <cell r="M277" t="str">
            <v>Operator</v>
          </cell>
          <cell r="N277" t="str">
            <v>Operator 1</v>
          </cell>
        </row>
        <row r="278">
          <cell r="C278">
            <v>30179</v>
          </cell>
          <cell r="D278" t="str">
            <v>GD250561</v>
          </cell>
          <cell r="E278" t="str">
            <v>TAMAYO</v>
          </cell>
          <cell r="F278" t="str">
            <v>RONNEL</v>
          </cell>
          <cell r="G278" t="str">
            <v>ADELANTAR</v>
          </cell>
          <cell r="H278" t="str">
            <v>TAMAYO, RONNEL ADELANTAR</v>
          </cell>
          <cell r="I278" t="str">
            <v>METAL STAMPING</v>
          </cell>
          <cell r="J278" t="str">
            <v>PRODUCTION</v>
          </cell>
          <cell r="K278" t="str">
            <v>STAMPING</v>
          </cell>
          <cell r="L278">
            <v>0</v>
          </cell>
          <cell r="M278" t="str">
            <v>Operator</v>
          </cell>
          <cell r="N278" t="str">
            <v>Operator 1</v>
          </cell>
        </row>
        <row r="279">
          <cell r="C279">
            <v>30180</v>
          </cell>
          <cell r="D279" t="str">
            <v>GD250562</v>
          </cell>
          <cell r="E279" t="str">
            <v>MARASIGAN</v>
          </cell>
          <cell r="F279" t="str">
            <v>ADRIAN</v>
          </cell>
          <cell r="G279" t="str">
            <v>DE LEON</v>
          </cell>
          <cell r="H279" t="str">
            <v>MARASIGAN, ADRIAN DE LEON</v>
          </cell>
          <cell r="I279" t="str">
            <v>METAL STAMPING</v>
          </cell>
          <cell r="J279" t="str">
            <v>PRODUCTION</v>
          </cell>
          <cell r="K279" t="str">
            <v>CLEANING</v>
          </cell>
          <cell r="L279">
            <v>0</v>
          </cell>
          <cell r="M279" t="str">
            <v>Operator</v>
          </cell>
          <cell r="N279" t="str">
            <v>Operator 1</v>
          </cell>
        </row>
        <row r="280">
          <cell r="C280">
            <v>30161</v>
          </cell>
          <cell r="D280" t="str">
            <v>GD250563</v>
          </cell>
          <cell r="E280" t="str">
            <v>SUPLITO</v>
          </cell>
          <cell r="F280" t="str">
            <v>IAN DAVE</v>
          </cell>
          <cell r="G280" t="str">
            <v>BEDONIA</v>
          </cell>
          <cell r="H280" t="str">
            <v>SUPLITO, IAN DAVE BEDONIA</v>
          </cell>
          <cell r="I280" t="str">
            <v>METAL STAMPING</v>
          </cell>
          <cell r="J280" t="str">
            <v>WAREHOUSE</v>
          </cell>
          <cell r="K280">
            <v>0</v>
          </cell>
          <cell r="L280">
            <v>0</v>
          </cell>
          <cell r="M280" t="str">
            <v>Operator</v>
          </cell>
          <cell r="N280" t="str">
            <v>Warehouseman</v>
          </cell>
        </row>
        <row r="281">
          <cell r="C281">
            <v>30786</v>
          </cell>
          <cell r="D281" t="str">
            <v>GD2502505</v>
          </cell>
          <cell r="E281" t="str">
            <v>CASING</v>
          </cell>
          <cell r="F281" t="str">
            <v>JULIANNA</v>
          </cell>
          <cell r="G281" t="str">
            <v>ENOPIA</v>
          </cell>
          <cell r="H281" t="str">
            <v>CASING, JULIANNA ENOPIA</v>
          </cell>
          <cell r="I281" t="str">
            <v>PLASTIC INJECTION</v>
          </cell>
          <cell r="J281" t="str">
            <v>PRODUCTION</v>
          </cell>
          <cell r="K281" t="str">
            <v>INJECTION MOLDING</v>
          </cell>
          <cell r="L281">
            <v>0</v>
          </cell>
          <cell r="M281" t="str">
            <v>Operator</v>
          </cell>
          <cell r="N281" t="str">
            <v>Operator 1</v>
          </cell>
        </row>
        <row r="282">
          <cell r="C282">
            <v>30813</v>
          </cell>
          <cell r="D282" t="str">
            <v>GD250608</v>
          </cell>
          <cell r="E282" t="str">
            <v>TRAMBULO</v>
          </cell>
          <cell r="F282" t="str">
            <v>RAIZA MAE</v>
          </cell>
          <cell r="G282" t="str">
            <v>MENDOZA</v>
          </cell>
          <cell r="H282" t="str">
            <v>TRAMBULO, RAIZA MAE MENDOZA</v>
          </cell>
          <cell r="I282" t="str">
            <v>PLASTIC INJECTION</v>
          </cell>
          <cell r="J282" t="str">
            <v>QUALITY</v>
          </cell>
          <cell r="K282">
            <v>0</v>
          </cell>
          <cell r="L282">
            <v>0</v>
          </cell>
          <cell r="M282" t="str">
            <v>Operator</v>
          </cell>
          <cell r="N282" t="str">
            <v>Quality Inspector</v>
          </cell>
        </row>
        <row r="283">
          <cell r="C283">
            <v>30996</v>
          </cell>
          <cell r="D283" t="str">
            <v>GD250619</v>
          </cell>
          <cell r="E283" t="str">
            <v>MANJARES</v>
          </cell>
          <cell r="F283" t="str">
            <v>LAILA</v>
          </cell>
          <cell r="G283" t="str">
            <v>CAROSA</v>
          </cell>
          <cell r="H283" t="str">
            <v>MANJARES, LAILA CAROSA</v>
          </cell>
          <cell r="I283" t="str">
            <v>NCT</v>
          </cell>
          <cell r="J283" t="str">
            <v>SECONDARY PROCESS</v>
          </cell>
          <cell r="K283" t="str">
            <v>TAPPING</v>
          </cell>
          <cell r="L283">
            <v>0</v>
          </cell>
          <cell r="M283" t="str">
            <v>Operator</v>
          </cell>
          <cell r="N283" t="str">
            <v>Operator 1</v>
          </cell>
        </row>
        <row r="284">
          <cell r="C284">
            <v>30853</v>
          </cell>
          <cell r="D284" t="str">
            <v>GD250620</v>
          </cell>
          <cell r="E284" t="str">
            <v>GONZALES</v>
          </cell>
          <cell r="F284" t="str">
            <v>CANDY</v>
          </cell>
          <cell r="G284" t="str">
            <v>VILLAPANDO</v>
          </cell>
          <cell r="H284" t="str">
            <v>GONZALES, CANDY VILLAPANDO</v>
          </cell>
          <cell r="I284" t="str">
            <v>DIE CASTING/CNC</v>
          </cell>
          <cell r="J284" t="str">
            <v>PRODUCTION</v>
          </cell>
          <cell r="K284" t="str">
            <v>DIE CASTING</v>
          </cell>
          <cell r="L284">
            <v>0</v>
          </cell>
          <cell r="M284" t="str">
            <v>Operator</v>
          </cell>
          <cell r="N284" t="str">
            <v>Operator 1</v>
          </cell>
        </row>
        <row r="285">
          <cell r="C285">
            <v>30855</v>
          </cell>
          <cell r="D285" t="str">
            <v>GD250618</v>
          </cell>
          <cell r="E285" t="str">
            <v>PELIGLORIO</v>
          </cell>
          <cell r="F285" t="str">
            <v>JOHN REY</v>
          </cell>
          <cell r="G285" t="str">
            <v>VIBAR</v>
          </cell>
          <cell r="H285" t="str">
            <v>PELIGLORIO, JOHN REY VIBAR</v>
          </cell>
          <cell r="I285" t="str">
            <v>PLASTIC INJECTION</v>
          </cell>
          <cell r="J285" t="str">
            <v>PRODUCTION</v>
          </cell>
          <cell r="K285" t="str">
            <v>INJECTION MOLDING</v>
          </cell>
          <cell r="L285">
            <v>0</v>
          </cell>
          <cell r="M285" t="str">
            <v>Operator</v>
          </cell>
          <cell r="N285" t="str">
            <v>Operator 1</v>
          </cell>
        </row>
        <row r="286">
          <cell r="C286">
            <v>30977</v>
          </cell>
          <cell r="D286" t="str">
            <v>GD250624</v>
          </cell>
          <cell r="E286" t="str">
            <v>BANTAL</v>
          </cell>
          <cell r="F286" t="str">
            <v>MARLIE</v>
          </cell>
          <cell r="G286" t="str">
            <v>DACUNO</v>
          </cell>
          <cell r="H286" t="str">
            <v>BANTAL, MARLIE DACUNO</v>
          </cell>
          <cell r="I286" t="str">
            <v>PLASTIC INJECTION</v>
          </cell>
          <cell r="J286" t="str">
            <v>PRODUCTION</v>
          </cell>
          <cell r="K286" t="str">
            <v>INJECTION MOLDING</v>
          </cell>
          <cell r="L286">
            <v>0</v>
          </cell>
          <cell r="M286" t="str">
            <v>Operator</v>
          </cell>
          <cell r="N286" t="str">
            <v>Operator 1</v>
          </cell>
        </row>
        <row r="287">
          <cell r="C287">
            <v>30168</v>
          </cell>
          <cell r="D287" t="str">
            <v>GD250617</v>
          </cell>
          <cell r="E287" t="str">
            <v>LAURIAGA</v>
          </cell>
          <cell r="F287" t="str">
            <v>ALLYN JOY</v>
          </cell>
          <cell r="G287" t="str">
            <v>MAÑAGO</v>
          </cell>
          <cell r="H287" t="str">
            <v>LAURIAGA, ALLYN JOY MAÑAGO</v>
          </cell>
          <cell r="I287" t="str">
            <v>PLASTIC INJECTION</v>
          </cell>
          <cell r="J287" t="str">
            <v>PRODUCTION</v>
          </cell>
          <cell r="K287" t="str">
            <v>INJECTION MOLDING</v>
          </cell>
          <cell r="L287">
            <v>0</v>
          </cell>
          <cell r="M287" t="str">
            <v>Operator</v>
          </cell>
          <cell r="N287" t="str">
            <v>Operator 1</v>
          </cell>
        </row>
        <row r="288">
          <cell r="C288">
            <v>30413</v>
          </cell>
          <cell r="D288" t="str">
            <v>GD250635</v>
          </cell>
          <cell r="E288" t="str">
            <v>ALBERCA</v>
          </cell>
          <cell r="F288" t="str">
            <v>CHARMAINE GRACE</v>
          </cell>
          <cell r="G288" t="str">
            <v>QUIAMBAO</v>
          </cell>
          <cell r="H288" t="str">
            <v>ALBERCA, CHARMAINE GRACE QUIAMBAO</v>
          </cell>
          <cell r="I288" t="str">
            <v>PLASTIC INJECTION</v>
          </cell>
          <cell r="J288" t="str">
            <v>PRODUCTION</v>
          </cell>
          <cell r="K288" t="str">
            <v>INJECTION MOLDING</v>
          </cell>
          <cell r="L288">
            <v>0</v>
          </cell>
          <cell r="M288" t="str">
            <v>Operator</v>
          </cell>
          <cell r="N288" t="str">
            <v>Operator 1</v>
          </cell>
        </row>
        <row r="289">
          <cell r="C289">
            <v>30438</v>
          </cell>
          <cell r="D289" t="str">
            <v>GD250644</v>
          </cell>
          <cell r="E289" t="str">
            <v>SOÑER</v>
          </cell>
          <cell r="F289" t="str">
            <v>MARJORIE</v>
          </cell>
          <cell r="G289" t="str">
            <v>GONZAGA</v>
          </cell>
          <cell r="H289" t="str">
            <v>SOÑER, MARJORIE GONZAGA</v>
          </cell>
          <cell r="I289" t="str">
            <v>DIE CASTING/CNC</v>
          </cell>
          <cell r="J289" t="str">
            <v>PRODUCTION</v>
          </cell>
          <cell r="K289" t="str">
            <v>DIE CASTING</v>
          </cell>
          <cell r="L289">
            <v>0</v>
          </cell>
          <cell r="M289" t="str">
            <v>Operator</v>
          </cell>
          <cell r="N289" t="str">
            <v>Operator 1</v>
          </cell>
        </row>
        <row r="290">
          <cell r="C290">
            <v>30546</v>
          </cell>
          <cell r="D290" t="str">
            <v>GD250648</v>
          </cell>
          <cell r="E290" t="str">
            <v>AGUSTIN</v>
          </cell>
          <cell r="F290" t="str">
            <v>CLARISSA</v>
          </cell>
          <cell r="G290" t="str">
            <v>ESCARILLA</v>
          </cell>
          <cell r="H290" t="str">
            <v>AGUSTIN, CLARISSA ESCARILLA</v>
          </cell>
          <cell r="I290" t="str">
            <v>DIE CASTING/CNC</v>
          </cell>
          <cell r="J290" t="str">
            <v>PRODUCTION</v>
          </cell>
          <cell r="K290" t="str">
            <v>DIE CASTING</v>
          </cell>
          <cell r="L290">
            <v>0</v>
          </cell>
          <cell r="M290" t="str">
            <v>Operator</v>
          </cell>
          <cell r="N290" t="str">
            <v>Operator 1</v>
          </cell>
        </row>
        <row r="291">
          <cell r="C291">
            <v>30547</v>
          </cell>
          <cell r="D291" t="str">
            <v>GD250690</v>
          </cell>
          <cell r="E291" t="str">
            <v>POLIPOG</v>
          </cell>
          <cell r="F291" t="str">
            <v>JOSEFINA</v>
          </cell>
          <cell r="G291" t="str">
            <v>BAGA</v>
          </cell>
          <cell r="H291" t="str">
            <v>POLIPOG, JOSEFINA BAGA</v>
          </cell>
          <cell r="I291" t="str">
            <v>METAL STAMPING</v>
          </cell>
          <cell r="J291" t="str">
            <v>ADMIN</v>
          </cell>
          <cell r="K291" t="str">
            <v>LEASEHOLD IMPROVEMENT</v>
          </cell>
          <cell r="L291">
            <v>0</v>
          </cell>
          <cell r="M291" t="str">
            <v>Cook</v>
          </cell>
          <cell r="N291" t="str">
            <v>Cook</v>
          </cell>
        </row>
        <row r="292">
          <cell r="C292">
            <v>30468</v>
          </cell>
          <cell r="D292" t="str">
            <v>GD250642</v>
          </cell>
          <cell r="E292" t="str">
            <v>SIBUCO</v>
          </cell>
          <cell r="F292" t="str">
            <v>HAROLD JAY</v>
          </cell>
          <cell r="G292" t="str">
            <v>RAGAY</v>
          </cell>
          <cell r="H292" t="str">
            <v>SIBUCO, HAROLD JAY RAGAY</v>
          </cell>
          <cell r="I292" t="str">
            <v>PLASTIC INJECTION</v>
          </cell>
          <cell r="J292" t="str">
            <v>PRODUCTION</v>
          </cell>
          <cell r="K292" t="str">
            <v>INJECTION MOLDING</v>
          </cell>
          <cell r="L292">
            <v>0</v>
          </cell>
          <cell r="M292" t="str">
            <v>Operator</v>
          </cell>
          <cell r="N292" t="str">
            <v>Operator 1</v>
          </cell>
        </row>
        <row r="293">
          <cell r="C293">
            <v>30560</v>
          </cell>
          <cell r="D293" t="str">
            <v>GD250675</v>
          </cell>
          <cell r="E293" t="str">
            <v>REYES</v>
          </cell>
          <cell r="F293" t="str">
            <v>MIKE ANGELO</v>
          </cell>
          <cell r="G293" t="str">
            <v>PITARGUE</v>
          </cell>
          <cell r="H293" t="str">
            <v>REYES, MIKE ANGELO PITARGUE</v>
          </cell>
          <cell r="I293" t="str">
            <v>PLASTIC INJECTION</v>
          </cell>
          <cell r="J293" t="str">
            <v>PRODUCTION</v>
          </cell>
          <cell r="K293" t="str">
            <v>INJECTION MOLDING</v>
          </cell>
          <cell r="L293">
            <v>0</v>
          </cell>
          <cell r="M293" t="str">
            <v>Operator</v>
          </cell>
          <cell r="N293" t="str">
            <v>Operator 1</v>
          </cell>
        </row>
        <row r="294">
          <cell r="C294">
            <v>30561</v>
          </cell>
          <cell r="D294" t="str">
            <v>GD250674</v>
          </cell>
          <cell r="E294" t="str">
            <v>CAMACHO</v>
          </cell>
          <cell r="F294" t="str">
            <v>WHENSHELL</v>
          </cell>
          <cell r="G294" t="str">
            <v>REYES</v>
          </cell>
          <cell r="H294" t="str">
            <v>CAMACHO, WHENSHELL REYES</v>
          </cell>
          <cell r="I294" t="str">
            <v>PLASTIC INJECTION</v>
          </cell>
          <cell r="J294" t="str">
            <v>PRODUCTION</v>
          </cell>
          <cell r="K294" t="str">
            <v>INJECTION MOLDING</v>
          </cell>
          <cell r="L294">
            <v>0</v>
          </cell>
          <cell r="M294" t="str">
            <v>Operator</v>
          </cell>
          <cell r="N294" t="str">
            <v>Operator 1</v>
          </cell>
        </row>
        <row r="295">
          <cell r="C295">
            <v>30566</v>
          </cell>
          <cell r="D295" t="str">
            <v>GD250655</v>
          </cell>
          <cell r="E295" t="str">
            <v>CACERES</v>
          </cell>
          <cell r="F295" t="str">
            <v>ANGELO</v>
          </cell>
          <cell r="G295" t="str">
            <v>QUINTILLAN</v>
          </cell>
          <cell r="H295" t="str">
            <v>CACERES, ANGELO QUINTILLAN</v>
          </cell>
          <cell r="I295" t="str">
            <v>PLASTIC INJECTION</v>
          </cell>
          <cell r="J295" t="str">
            <v>PRODUCTION</v>
          </cell>
          <cell r="K295" t="str">
            <v>INJECTION MOLDING</v>
          </cell>
          <cell r="L295">
            <v>0</v>
          </cell>
          <cell r="M295" t="str">
            <v>Operator</v>
          </cell>
          <cell r="N295" t="str">
            <v>Operator 1</v>
          </cell>
        </row>
        <row r="296">
          <cell r="C296">
            <v>11567</v>
          </cell>
          <cell r="D296" t="str">
            <v>GD250661</v>
          </cell>
          <cell r="E296" t="str">
            <v>BANTANG</v>
          </cell>
          <cell r="F296" t="str">
            <v>SARAH</v>
          </cell>
          <cell r="G296" t="str">
            <v>LARA</v>
          </cell>
          <cell r="H296" t="str">
            <v>BANTANG, SARAH LARA</v>
          </cell>
          <cell r="I296" t="str">
            <v>PLASTIC INJECTION</v>
          </cell>
          <cell r="J296" t="str">
            <v>PRODUCTION</v>
          </cell>
          <cell r="K296" t="str">
            <v>INJECTION MOLDING</v>
          </cell>
          <cell r="L296">
            <v>0</v>
          </cell>
          <cell r="M296" t="str">
            <v>Operator</v>
          </cell>
          <cell r="N296" t="str">
            <v>Operator 1</v>
          </cell>
        </row>
        <row r="297">
          <cell r="C297">
            <v>30578</v>
          </cell>
          <cell r="D297" t="str">
            <v>GD250667</v>
          </cell>
          <cell r="E297" t="str">
            <v>ARTOCILLO</v>
          </cell>
          <cell r="F297" t="str">
            <v>SUNSHINE</v>
          </cell>
          <cell r="G297" t="str">
            <v>VALENCIA</v>
          </cell>
          <cell r="H297" t="str">
            <v>ARTOCILLO, SUNSHINE VALENCIA</v>
          </cell>
          <cell r="I297" t="str">
            <v>PLASTIC INJECTION</v>
          </cell>
          <cell r="J297" t="str">
            <v>PRODUCTION</v>
          </cell>
          <cell r="K297" t="str">
            <v>INJECTION MOLDING</v>
          </cell>
          <cell r="L297">
            <v>0</v>
          </cell>
          <cell r="M297" t="str">
            <v>Operator</v>
          </cell>
          <cell r="N297" t="str">
            <v>Operator 1</v>
          </cell>
        </row>
        <row r="298">
          <cell r="C298">
            <v>11517</v>
          </cell>
          <cell r="D298" t="str">
            <v>GD250673</v>
          </cell>
          <cell r="E298" t="str">
            <v>AGUIPO</v>
          </cell>
          <cell r="F298" t="str">
            <v>MIKE</v>
          </cell>
          <cell r="G298" t="str">
            <v>OLIVA</v>
          </cell>
          <cell r="H298" t="str">
            <v>AGUIPO, MIKE OLIVA</v>
          </cell>
          <cell r="I298" t="str">
            <v>METAL STAMPING</v>
          </cell>
          <cell r="J298" t="str">
            <v>ADMIN</v>
          </cell>
          <cell r="K298" t="str">
            <v>LEASEHOLD IMPROVEMENT</v>
          </cell>
          <cell r="L298">
            <v>0</v>
          </cell>
          <cell r="M298" t="str">
            <v>Maintenace</v>
          </cell>
          <cell r="N298" t="str">
            <v>Facility Maintenace</v>
          </cell>
        </row>
        <row r="299">
          <cell r="C299">
            <v>11424</v>
          </cell>
          <cell r="D299" t="str">
            <v>GD250684</v>
          </cell>
          <cell r="E299" t="str">
            <v>BANGAHON</v>
          </cell>
          <cell r="F299" t="str">
            <v>ELMER</v>
          </cell>
          <cell r="G299" t="str">
            <v>ATIENZA</v>
          </cell>
          <cell r="H299" t="str">
            <v>BANGAHON, ELMER ATIENZA</v>
          </cell>
          <cell r="I299" t="str">
            <v>METAL STAMPING</v>
          </cell>
          <cell r="J299" t="str">
            <v>ADMIN</v>
          </cell>
          <cell r="K299" t="str">
            <v>LEASEHOLD IMPROVEMENT</v>
          </cell>
          <cell r="L299">
            <v>0</v>
          </cell>
          <cell r="M299" t="str">
            <v>Maintenace</v>
          </cell>
          <cell r="N299" t="str">
            <v>Facility Maintenace</v>
          </cell>
        </row>
        <row r="300">
          <cell r="C300">
            <v>11562</v>
          </cell>
          <cell r="D300" t="str">
            <v>GD250679</v>
          </cell>
          <cell r="E300" t="str">
            <v>SAPATERO</v>
          </cell>
          <cell r="F300" t="str">
            <v>SHARWIN</v>
          </cell>
          <cell r="G300" t="str">
            <v>MAGPANTAY</v>
          </cell>
          <cell r="H300" t="str">
            <v>SAPATERO, SHARWIN MAGPANTAY</v>
          </cell>
          <cell r="I300" t="str">
            <v>METAL STAMPING</v>
          </cell>
          <cell r="J300" t="str">
            <v>ADMIN</v>
          </cell>
          <cell r="K300" t="str">
            <v>LEASEHOLD IMPROVEMENT</v>
          </cell>
          <cell r="L300">
            <v>0</v>
          </cell>
          <cell r="M300" t="str">
            <v>Maintenace</v>
          </cell>
          <cell r="N300" t="str">
            <v>Facility Maintenace</v>
          </cell>
        </row>
        <row r="301">
          <cell r="C301">
            <v>11508</v>
          </cell>
          <cell r="D301" t="str">
            <v>GD250693</v>
          </cell>
          <cell r="E301" t="str">
            <v>PAISON</v>
          </cell>
          <cell r="F301" t="str">
            <v>BABYDEL</v>
          </cell>
          <cell r="G301" t="str">
            <v>GRUEZO</v>
          </cell>
          <cell r="H301" t="str">
            <v>PAISON, BABYDEL GRUEZO</v>
          </cell>
          <cell r="I301" t="str">
            <v>DIE CASTING/CNC</v>
          </cell>
          <cell r="J301" t="str">
            <v>PRODUCTION</v>
          </cell>
          <cell r="K301" t="str">
            <v>DIE CASTING</v>
          </cell>
          <cell r="L301">
            <v>0</v>
          </cell>
          <cell r="M301" t="str">
            <v>Operator</v>
          </cell>
          <cell r="N301" t="str">
            <v>Operator 1</v>
          </cell>
        </row>
        <row r="302">
          <cell r="C302">
            <v>11510</v>
          </cell>
          <cell r="D302" t="str">
            <v>GD250683</v>
          </cell>
          <cell r="E302" t="str">
            <v>PABILONIA</v>
          </cell>
          <cell r="F302" t="str">
            <v>JULIANA</v>
          </cell>
          <cell r="G302" t="str">
            <v>RAQUEL</v>
          </cell>
          <cell r="H302" t="str">
            <v>PABILONIA, JULIANA RAQUEL</v>
          </cell>
          <cell r="I302" t="str">
            <v>DIE CASTING/CNC</v>
          </cell>
          <cell r="J302" t="str">
            <v>QUALITY</v>
          </cell>
          <cell r="K302">
            <v>0</v>
          </cell>
          <cell r="L302">
            <v>0</v>
          </cell>
          <cell r="M302" t="str">
            <v>Operator</v>
          </cell>
          <cell r="N302" t="str">
            <v>Quality Inspector</v>
          </cell>
        </row>
        <row r="303">
          <cell r="C303">
            <v>11434</v>
          </cell>
          <cell r="D303" t="str">
            <v>GD250680</v>
          </cell>
          <cell r="E303" t="str">
            <v>BACHAIN</v>
          </cell>
          <cell r="F303" t="str">
            <v>IVY</v>
          </cell>
          <cell r="G303" t="str">
            <v>BALINGKIT</v>
          </cell>
          <cell r="H303" t="str">
            <v>BACHAIN, IVY BALINGKIT</v>
          </cell>
          <cell r="I303" t="str">
            <v>NCT</v>
          </cell>
          <cell r="J303" t="str">
            <v>SECONDARY PROCESS</v>
          </cell>
          <cell r="K303" t="str">
            <v>PACKAGE</v>
          </cell>
          <cell r="L303">
            <v>0</v>
          </cell>
          <cell r="M303" t="str">
            <v>Operator</v>
          </cell>
          <cell r="N303" t="str">
            <v>Operator 1</v>
          </cell>
        </row>
        <row r="304">
          <cell r="C304">
            <v>11440</v>
          </cell>
          <cell r="D304" t="str">
            <v>GD250685</v>
          </cell>
          <cell r="E304" t="str">
            <v>UNLAYAO</v>
          </cell>
          <cell r="F304" t="str">
            <v>ROJANIE</v>
          </cell>
          <cell r="G304" t="str">
            <v>EBRADA</v>
          </cell>
          <cell r="H304" t="str">
            <v>UNLAYAO, ROJANIE EBRADA</v>
          </cell>
          <cell r="I304" t="str">
            <v>DIE CASTING/CNC</v>
          </cell>
          <cell r="J304" t="str">
            <v>PRODUCTION</v>
          </cell>
          <cell r="K304" t="str">
            <v>DIE CASTING</v>
          </cell>
          <cell r="L304">
            <v>0</v>
          </cell>
          <cell r="M304" t="str">
            <v>Operator</v>
          </cell>
          <cell r="N304" t="str">
            <v>Operator 1</v>
          </cell>
        </row>
        <row r="305">
          <cell r="C305">
            <v>11441</v>
          </cell>
          <cell r="D305" t="str">
            <v>GD250695</v>
          </cell>
          <cell r="E305" t="str">
            <v>ROZILL</v>
          </cell>
          <cell r="F305" t="str">
            <v>MA. ANN ISABELL</v>
          </cell>
          <cell r="G305">
            <v>0</v>
          </cell>
          <cell r="H305" t="str">
            <v xml:space="preserve">ROZILL, MA. ANN ISABELL </v>
          </cell>
          <cell r="I305" t="str">
            <v>DIE CASTING/CNC</v>
          </cell>
          <cell r="J305" t="str">
            <v>PRODUCTION</v>
          </cell>
          <cell r="K305" t="str">
            <v>DIE CASTING</v>
          </cell>
          <cell r="L305">
            <v>0</v>
          </cell>
          <cell r="M305" t="str">
            <v>Operator</v>
          </cell>
          <cell r="N305" t="str">
            <v>Operator 1</v>
          </cell>
        </row>
        <row r="306">
          <cell r="C306">
            <v>0</v>
          </cell>
          <cell r="D306" t="str">
            <v>GD260696</v>
          </cell>
          <cell r="E306" t="str">
            <v>BOLANDO</v>
          </cell>
          <cell r="F306" t="str">
            <v>ARGENTINA</v>
          </cell>
          <cell r="G306" t="str">
            <v>MANZO</v>
          </cell>
          <cell r="H306" t="str">
            <v>BOLANDO, ARGENTINA MANZO</v>
          </cell>
          <cell r="I306" t="str">
            <v>METAL STAMPING</v>
          </cell>
          <cell r="J306" t="str">
            <v>PRODUCTION</v>
          </cell>
          <cell r="K306" t="str">
            <v>CLEANING</v>
          </cell>
          <cell r="L306">
            <v>0</v>
          </cell>
          <cell r="M306" t="str">
            <v>Operator</v>
          </cell>
          <cell r="N306" t="str">
            <v>Operator 1</v>
          </cell>
        </row>
        <row r="307">
          <cell r="C307">
            <v>0</v>
          </cell>
          <cell r="D307" t="str">
            <v>GD260697</v>
          </cell>
          <cell r="E307" t="str">
            <v>VENTULIRO</v>
          </cell>
          <cell r="F307" t="str">
            <v>AMALIA</v>
          </cell>
          <cell r="G307" t="str">
            <v>LUSPE</v>
          </cell>
          <cell r="H307" t="str">
            <v>VENTULIRO, AMALIA LUSPE</v>
          </cell>
          <cell r="I307" t="str">
            <v>METAL STAMPING</v>
          </cell>
          <cell r="J307" t="str">
            <v>PRODUCTION</v>
          </cell>
          <cell r="K307" t="str">
            <v>CLEANING</v>
          </cell>
          <cell r="L307">
            <v>0</v>
          </cell>
          <cell r="M307" t="str">
            <v>Operator</v>
          </cell>
          <cell r="N307" t="str">
            <v>Operator 1</v>
          </cell>
        </row>
        <row r="308">
          <cell r="C308">
            <v>32436</v>
          </cell>
          <cell r="D308" t="str">
            <v>GD260698</v>
          </cell>
          <cell r="E308" t="str">
            <v>BAJAMONDE</v>
          </cell>
          <cell r="F308" t="str">
            <v>MARLON</v>
          </cell>
          <cell r="G308">
            <v>0</v>
          </cell>
          <cell r="H308" t="str">
            <v xml:space="preserve">BAJAMONDE, MARLON </v>
          </cell>
          <cell r="I308" t="str">
            <v>METAL STAMPING</v>
          </cell>
          <cell r="J308" t="str">
            <v>PRODUCTION</v>
          </cell>
          <cell r="K308" t="str">
            <v>WELDING</v>
          </cell>
          <cell r="L308" t="str">
            <v>GOSHI</v>
          </cell>
          <cell r="M308" t="str">
            <v>Operator</v>
          </cell>
          <cell r="N308" t="str">
            <v>Operator 1</v>
          </cell>
        </row>
        <row r="309">
          <cell r="C309">
            <v>32515</v>
          </cell>
          <cell r="D309" t="str">
            <v>GD260699</v>
          </cell>
          <cell r="E309" t="str">
            <v>MORETE</v>
          </cell>
          <cell r="F309" t="str">
            <v>JOHN DOMINIC</v>
          </cell>
          <cell r="G309">
            <v>0</v>
          </cell>
          <cell r="H309" t="str">
            <v xml:space="preserve">MORETE, JOHN DOMINIC </v>
          </cell>
          <cell r="I309" t="str">
            <v>METAL STAMPING</v>
          </cell>
          <cell r="J309" t="str">
            <v>PRODUCTION</v>
          </cell>
          <cell r="K309" t="str">
            <v>WELDING</v>
          </cell>
          <cell r="L309" t="str">
            <v>GOSHI</v>
          </cell>
          <cell r="M309" t="str">
            <v>Operator</v>
          </cell>
          <cell r="N309" t="str">
            <v>Operator 1</v>
          </cell>
        </row>
        <row r="310">
          <cell r="C310">
            <v>32498</v>
          </cell>
          <cell r="D310" t="str">
            <v>GD260701</v>
          </cell>
          <cell r="E310" t="str">
            <v>DEZA</v>
          </cell>
          <cell r="F310" t="str">
            <v>SHAE ANNE</v>
          </cell>
          <cell r="G310" t="str">
            <v>GARROL</v>
          </cell>
          <cell r="H310" t="str">
            <v>DEZA, SHAE ANNE GARROL</v>
          </cell>
          <cell r="I310" t="str">
            <v>METAL STAMPING</v>
          </cell>
          <cell r="J310" t="str">
            <v>PRODUCTION</v>
          </cell>
          <cell r="K310" t="str">
            <v>ASSEMBLY</v>
          </cell>
          <cell r="L310" t="str">
            <v>SERCOMM</v>
          </cell>
          <cell r="M310" t="str">
            <v>Operator</v>
          </cell>
          <cell r="N310" t="str">
            <v>Operator 1</v>
          </cell>
        </row>
        <row r="311">
          <cell r="C311">
            <v>32460</v>
          </cell>
          <cell r="D311" t="str">
            <v>GD260702</v>
          </cell>
          <cell r="E311" t="str">
            <v>PRADO</v>
          </cell>
          <cell r="F311" t="str">
            <v>MARY GRACE</v>
          </cell>
          <cell r="G311" t="str">
            <v>MONCADA</v>
          </cell>
          <cell r="H311" t="str">
            <v>PRADO, MARY GRACE MONCADA</v>
          </cell>
          <cell r="I311" t="str">
            <v>METAL STAMPING</v>
          </cell>
          <cell r="J311" t="str">
            <v>PRODUCTION</v>
          </cell>
          <cell r="K311" t="str">
            <v>ASSEMBLY</v>
          </cell>
          <cell r="L311" t="str">
            <v>SERCOMM</v>
          </cell>
          <cell r="M311" t="str">
            <v>Operator</v>
          </cell>
          <cell r="N311" t="str">
            <v>Operator 1</v>
          </cell>
        </row>
        <row r="312">
          <cell r="C312">
            <v>32488</v>
          </cell>
          <cell r="D312" t="str">
            <v>GD260703</v>
          </cell>
          <cell r="E312" t="str">
            <v>MANLONGAT</v>
          </cell>
          <cell r="F312" t="str">
            <v>AMYLITA</v>
          </cell>
          <cell r="G312" t="str">
            <v>JAMILLA</v>
          </cell>
          <cell r="H312" t="str">
            <v>MANLONGAT, AMYLITA JAMILLA</v>
          </cell>
          <cell r="I312" t="str">
            <v>METAL STAMPING</v>
          </cell>
          <cell r="J312" t="str">
            <v>PRODUCTION</v>
          </cell>
          <cell r="K312" t="str">
            <v>ASSEMBLY</v>
          </cell>
          <cell r="L312" t="str">
            <v>SERCOMM</v>
          </cell>
          <cell r="M312" t="str">
            <v>Operator</v>
          </cell>
          <cell r="N312" t="str">
            <v>Operator 1</v>
          </cell>
        </row>
        <row r="313">
          <cell r="C313">
            <v>32458</v>
          </cell>
          <cell r="D313" t="str">
            <v>GD260704</v>
          </cell>
          <cell r="E313" t="str">
            <v>PUNZALAN</v>
          </cell>
          <cell r="F313" t="str">
            <v>ANGELICA</v>
          </cell>
          <cell r="G313" t="str">
            <v>DALISAY</v>
          </cell>
          <cell r="H313" t="str">
            <v>PUNZALAN, ANGELICA DALISAY</v>
          </cell>
          <cell r="I313" t="str">
            <v>METAL STAMPING</v>
          </cell>
          <cell r="J313" t="str">
            <v>PRODUCTION</v>
          </cell>
          <cell r="K313" t="str">
            <v>ASSEMBLY</v>
          </cell>
          <cell r="L313" t="str">
            <v>SERCOMM</v>
          </cell>
          <cell r="M313" t="str">
            <v>Operator</v>
          </cell>
          <cell r="N313" t="str">
            <v>Operator 1</v>
          </cell>
        </row>
        <row r="314">
          <cell r="C314">
            <v>32494</v>
          </cell>
          <cell r="D314" t="str">
            <v>GD260705</v>
          </cell>
          <cell r="E314" t="str">
            <v>ORTIZ</v>
          </cell>
          <cell r="F314" t="str">
            <v>NEOMIE</v>
          </cell>
          <cell r="G314" t="str">
            <v>ORIJUELA</v>
          </cell>
          <cell r="H314" t="str">
            <v>ORTIZ, NEOMIE ORIJUELA</v>
          </cell>
          <cell r="I314" t="str">
            <v>METAL STAMPING</v>
          </cell>
          <cell r="J314" t="str">
            <v>PRODUCTION</v>
          </cell>
          <cell r="K314" t="str">
            <v>ASSEMBLY</v>
          </cell>
          <cell r="L314" t="str">
            <v>SERCOMM</v>
          </cell>
          <cell r="M314" t="str">
            <v>Operator</v>
          </cell>
          <cell r="N314" t="str">
            <v>Operator 1</v>
          </cell>
        </row>
        <row r="315">
          <cell r="C315">
            <v>32557</v>
          </cell>
          <cell r="D315" t="str">
            <v>GD260706</v>
          </cell>
          <cell r="E315" t="str">
            <v>DECULAWAN</v>
          </cell>
          <cell r="F315" t="str">
            <v>MARLON</v>
          </cell>
          <cell r="G315" t="str">
            <v>DELIMA</v>
          </cell>
          <cell r="H315" t="str">
            <v>DECULAWAN, MARLON DELIMA</v>
          </cell>
          <cell r="I315" t="str">
            <v>METAL STAMPING</v>
          </cell>
          <cell r="J315" t="str">
            <v>PRODUCTION</v>
          </cell>
          <cell r="K315" t="str">
            <v>STAMPING</v>
          </cell>
          <cell r="L315" t="str">
            <v>GOSHI</v>
          </cell>
          <cell r="M315" t="str">
            <v>Operator</v>
          </cell>
          <cell r="N315" t="str">
            <v>Operator 1</v>
          </cell>
        </row>
        <row r="316">
          <cell r="C316">
            <v>32504</v>
          </cell>
          <cell r="D316" t="str">
            <v>GD260707</v>
          </cell>
          <cell r="E316" t="str">
            <v>LUMBAYO</v>
          </cell>
          <cell r="F316" t="str">
            <v>JEXON</v>
          </cell>
          <cell r="G316" t="str">
            <v>ATONG</v>
          </cell>
          <cell r="H316" t="str">
            <v>LUMBAYO, JEXON ATONG</v>
          </cell>
          <cell r="I316" t="str">
            <v>METAL STAMPING</v>
          </cell>
          <cell r="J316" t="str">
            <v>PRODUCTION</v>
          </cell>
          <cell r="K316" t="str">
            <v>STAMPING</v>
          </cell>
          <cell r="L316" t="str">
            <v>GOSHI</v>
          </cell>
          <cell r="M316" t="str">
            <v>Operator</v>
          </cell>
          <cell r="N316" t="str">
            <v>Operator 1</v>
          </cell>
        </row>
        <row r="317">
          <cell r="C317">
            <v>32505</v>
          </cell>
          <cell r="D317" t="str">
            <v>GD260710</v>
          </cell>
          <cell r="E317" t="str">
            <v>MANITO</v>
          </cell>
          <cell r="F317" t="str">
            <v>ARJAY</v>
          </cell>
          <cell r="G317" t="str">
            <v>VILLAN</v>
          </cell>
          <cell r="H317" t="str">
            <v>MANITO, ARJAY VILLAN</v>
          </cell>
          <cell r="I317" t="str">
            <v>METAL STAMPING</v>
          </cell>
          <cell r="J317" t="str">
            <v>PRODUCTION</v>
          </cell>
          <cell r="K317" t="str">
            <v>STAMPING</v>
          </cell>
          <cell r="L317">
            <v>0</v>
          </cell>
          <cell r="M317" t="str">
            <v>Operator</v>
          </cell>
          <cell r="N317" t="str">
            <v>Operator 1</v>
          </cell>
        </row>
        <row r="318">
          <cell r="C318">
            <v>32499</v>
          </cell>
          <cell r="D318" t="str">
            <v>GD260711</v>
          </cell>
          <cell r="E318" t="str">
            <v>RIVERA</v>
          </cell>
          <cell r="F318" t="str">
            <v>RAZEL</v>
          </cell>
          <cell r="G318" t="str">
            <v>LIGUTAN</v>
          </cell>
          <cell r="H318" t="str">
            <v>RIVERA, RAZEL LIGUTAN</v>
          </cell>
          <cell r="I318" t="str">
            <v>METAL STAMPING</v>
          </cell>
          <cell r="J318" t="str">
            <v>PRODUCTION</v>
          </cell>
          <cell r="K318" t="str">
            <v>STAMPING</v>
          </cell>
          <cell r="L318">
            <v>0</v>
          </cell>
          <cell r="M318" t="str">
            <v>Operator</v>
          </cell>
          <cell r="N318" t="str">
            <v>Operator 1</v>
          </cell>
        </row>
        <row r="319">
          <cell r="C319">
            <v>32502</v>
          </cell>
          <cell r="D319" t="str">
            <v>GD260712</v>
          </cell>
          <cell r="E319" t="str">
            <v>CASTAÑEDA</v>
          </cell>
          <cell r="F319" t="str">
            <v>MARINETH</v>
          </cell>
          <cell r="G319" t="str">
            <v>SARCIA</v>
          </cell>
          <cell r="H319" t="str">
            <v>CASTAÑEDA, MARINETH SARCIA</v>
          </cell>
          <cell r="I319" t="str">
            <v>METAL STAMPING</v>
          </cell>
          <cell r="J319" t="str">
            <v>PRODUCTION</v>
          </cell>
          <cell r="K319" t="str">
            <v>STAMPING</v>
          </cell>
          <cell r="L319">
            <v>0</v>
          </cell>
          <cell r="M319" t="str">
            <v>Operator</v>
          </cell>
          <cell r="N319" t="str">
            <v>Operator 1</v>
          </cell>
        </row>
        <row r="320">
          <cell r="C320">
            <v>32500</v>
          </cell>
          <cell r="D320" t="str">
            <v>GD260713</v>
          </cell>
          <cell r="E320" t="str">
            <v>ODO</v>
          </cell>
          <cell r="F320" t="str">
            <v>LOVELY ROSE</v>
          </cell>
          <cell r="G320" t="str">
            <v>MONTANO</v>
          </cell>
          <cell r="H320" t="str">
            <v>ODO, LOVELY ROSE MONTANO</v>
          </cell>
          <cell r="I320" t="str">
            <v>METAL STAMPING</v>
          </cell>
          <cell r="J320" t="str">
            <v>PRODUCTION</v>
          </cell>
          <cell r="K320" t="str">
            <v>STAMPING</v>
          </cell>
          <cell r="L320">
            <v>0</v>
          </cell>
          <cell r="M320" t="str">
            <v>Operator</v>
          </cell>
          <cell r="N320" t="str">
            <v>Operator 1</v>
          </cell>
        </row>
        <row r="321">
          <cell r="C321">
            <v>32497</v>
          </cell>
          <cell r="D321" t="str">
            <v>GD260714</v>
          </cell>
          <cell r="E321" t="str">
            <v>LATONERO</v>
          </cell>
          <cell r="F321" t="str">
            <v>JANINE</v>
          </cell>
          <cell r="G321" t="str">
            <v>LITA</v>
          </cell>
          <cell r="H321" t="str">
            <v>LATONERO, JANINE LITA</v>
          </cell>
          <cell r="I321" t="str">
            <v>METAL STAMPING</v>
          </cell>
          <cell r="J321" t="str">
            <v>PRODUCTION</v>
          </cell>
          <cell r="K321" t="str">
            <v>STAMPING</v>
          </cell>
          <cell r="L321">
            <v>0</v>
          </cell>
          <cell r="M321" t="str">
            <v>Operator</v>
          </cell>
          <cell r="N321" t="str">
            <v>Operator 1</v>
          </cell>
        </row>
        <row r="322">
          <cell r="C322">
            <v>32435</v>
          </cell>
          <cell r="D322" t="str">
            <v>GD260715</v>
          </cell>
          <cell r="E322" t="str">
            <v>EGUIA</v>
          </cell>
          <cell r="F322" t="str">
            <v>JULLY ANN</v>
          </cell>
          <cell r="G322" t="str">
            <v>IMPE</v>
          </cell>
          <cell r="H322" t="str">
            <v>EGUIA, JULLY ANN IMPE</v>
          </cell>
          <cell r="I322" t="str">
            <v>METAL STAMPING</v>
          </cell>
          <cell r="J322" t="str">
            <v>PRODUCTION</v>
          </cell>
          <cell r="K322" t="str">
            <v>STAMPING</v>
          </cell>
          <cell r="L322">
            <v>0</v>
          </cell>
          <cell r="M322" t="str">
            <v>Operator</v>
          </cell>
          <cell r="N322" t="str">
            <v>Operator 1</v>
          </cell>
        </row>
        <row r="323">
          <cell r="C323">
            <v>32582</v>
          </cell>
          <cell r="D323" t="str">
            <v>GD260716</v>
          </cell>
          <cell r="E323" t="str">
            <v>GOBIS JR.</v>
          </cell>
          <cell r="F323" t="str">
            <v>FREDDIE</v>
          </cell>
          <cell r="G323" t="str">
            <v>BARCE</v>
          </cell>
          <cell r="H323" t="str">
            <v>GOBIS JR., FREDDIE BARCE</v>
          </cell>
          <cell r="I323" t="str">
            <v>METAL STAMPING</v>
          </cell>
          <cell r="J323" t="str">
            <v>PRODUCTION</v>
          </cell>
          <cell r="K323" t="str">
            <v>STAMPING</v>
          </cell>
          <cell r="L323">
            <v>0</v>
          </cell>
          <cell r="M323" t="str">
            <v>Operator</v>
          </cell>
          <cell r="N323" t="str">
            <v>Operator 1</v>
          </cell>
        </row>
        <row r="324">
          <cell r="C324">
            <v>32506</v>
          </cell>
          <cell r="D324" t="str">
            <v>GD260717</v>
          </cell>
          <cell r="E324" t="str">
            <v>PARAN</v>
          </cell>
          <cell r="F324" t="str">
            <v>JOSEPHINE</v>
          </cell>
          <cell r="G324" t="str">
            <v>BUTON</v>
          </cell>
          <cell r="H324" t="str">
            <v>PARAN, JOSEPHINE BUTON</v>
          </cell>
          <cell r="I324" t="str">
            <v>METAL STAMPING</v>
          </cell>
          <cell r="J324" t="str">
            <v>PRODUCTION</v>
          </cell>
          <cell r="K324" t="str">
            <v>STAMPING</v>
          </cell>
          <cell r="L324">
            <v>0</v>
          </cell>
          <cell r="M324" t="str">
            <v>Operator</v>
          </cell>
          <cell r="N324" t="str">
            <v>Operator 1</v>
          </cell>
        </row>
        <row r="325">
          <cell r="C325">
            <v>32503</v>
          </cell>
          <cell r="D325" t="str">
            <v>GD260718</v>
          </cell>
          <cell r="E325" t="str">
            <v>BANGUITO</v>
          </cell>
          <cell r="F325" t="str">
            <v>SHYRA MAY</v>
          </cell>
          <cell r="G325">
            <v>0</v>
          </cell>
          <cell r="H325" t="str">
            <v xml:space="preserve">BANGUITO, SHYRA MAY </v>
          </cell>
          <cell r="I325" t="str">
            <v>METAL STAMPING</v>
          </cell>
          <cell r="J325" t="str">
            <v>PRODUCTION</v>
          </cell>
          <cell r="K325" t="str">
            <v>STAMPING</v>
          </cell>
          <cell r="L325">
            <v>0</v>
          </cell>
          <cell r="M325" t="str">
            <v>Operator</v>
          </cell>
          <cell r="N325" t="str">
            <v>Operator 1</v>
          </cell>
        </row>
        <row r="326">
          <cell r="C326">
            <v>37393</v>
          </cell>
          <cell r="D326" t="str">
            <v>GD260719</v>
          </cell>
          <cell r="E326" t="str">
            <v>JIMENEZ</v>
          </cell>
          <cell r="F326" t="str">
            <v>JAYSON</v>
          </cell>
          <cell r="G326" t="str">
            <v>MAGNATA</v>
          </cell>
          <cell r="H326" t="str">
            <v>JIMENEZ, JAYSON MAGNATA</v>
          </cell>
          <cell r="I326" t="str">
            <v>METAL STAMPING</v>
          </cell>
          <cell r="J326" t="str">
            <v>WAREHOUSE</v>
          </cell>
          <cell r="K326">
            <v>0</v>
          </cell>
          <cell r="L326">
            <v>0</v>
          </cell>
          <cell r="M326" t="str">
            <v>Operator</v>
          </cell>
          <cell r="N326" t="str">
            <v>Warehouseman</v>
          </cell>
        </row>
        <row r="327">
          <cell r="C327">
            <v>32397</v>
          </cell>
          <cell r="D327" t="str">
            <v>GD260721</v>
          </cell>
          <cell r="E327" t="str">
            <v>MASANGKAY</v>
          </cell>
          <cell r="F327" t="str">
            <v>JHON PAUL</v>
          </cell>
          <cell r="G327" t="str">
            <v>GALICIA</v>
          </cell>
          <cell r="H327" t="str">
            <v>MASANGKAY, JHON PAUL GALICIA</v>
          </cell>
          <cell r="I327" t="str">
            <v>METAL STAMPING</v>
          </cell>
          <cell r="J327" t="str">
            <v>WAREHOUSE</v>
          </cell>
          <cell r="K327">
            <v>0</v>
          </cell>
          <cell r="L327">
            <v>0</v>
          </cell>
          <cell r="M327" t="str">
            <v>Operator</v>
          </cell>
          <cell r="N327" t="str">
            <v>Warehouseman</v>
          </cell>
        </row>
        <row r="328">
          <cell r="C328">
            <v>32395</v>
          </cell>
          <cell r="D328" t="str">
            <v>GD260723</v>
          </cell>
          <cell r="E328" t="str">
            <v>SANCHEZ</v>
          </cell>
          <cell r="F328" t="str">
            <v>EMIL JOHN</v>
          </cell>
          <cell r="G328" t="str">
            <v>CAPIN</v>
          </cell>
          <cell r="H328" t="str">
            <v>SANCHEZ, EMIL JOHN CAPIN</v>
          </cell>
          <cell r="I328" t="str">
            <v>METAL STAMPING</v>
          </cell>
          <cell r="J328" t="str">
            <v>WAREHOUSE</v>
          </cell>
          <cell r="K328">
            <v>0</v>
          </cell>
          <cell r="L328">
            <v>0</v>
          </cell>
          <cell r="M328" t="str">
            <v>Operator</v>
          </cell>
          <cell r="N328" t="str">
            <v>Warehouseman</v>
          </cell>
        </row>
        <row r="329">
          <cell r="C329">
            <v>32441</v>
          </cell>
          <cell r="D329" t="str">
            <v>GD260725</v>
          </cell>
          <cell r="E329" t="str">
            <v>RODRIGUEZ</v>
          </cell>
          <cell r="F329" t="str">
            <v>JOHN REVEN</v>
          </cell>
          <cell r="G329" t="str">
            <v>FETALCORIN</v>
          </cell>
          <cell r="H329" t="str">
            <v>RODRIGUEZ, JOHN REVEN FETALCORIN</v>
          </cell>
          <cell r="I329" t="str">
            <v>METAL STAMPING</v>
          </cell>
          <cell r="J329" t="str">
            <v>WAREHOUSE</v>
          </cell>
          <cell r="K329">
            <v>0</v>
          </cell>
          <cell r="L329">
            <v>0</v>
          </cell>
          <cell r="M329" t="str">
            <v>Operator</v>
          </cell>
          <cell r="N329" t="str">
            <v>Warehouseman</v>
          </cell>
        </row>
        <row r="330">
          <cell r="C330">
            <v>32442</v>
          </cell>
          <cell r="D330" t="str">
            <v>GD260726</v>
          </cell>
          <cell r="E330" t="str">
            <v>ROLDAN</v>
          </cell>
          <cell r="F330" t="str">
            <v>RAMUEL JOBETH</v>
          </cell>
          <cell r="G330" t="str">
            <v>MERCADO</v>
          </cell>
          <cell r="H330" t="str">
            <v>ROLDAN, RAMUEL JOBETH MERCADO</v>
          </cell>
          <cell r="I330" t="str">
            <v>METAL STAMPING</v>
          </cell>
          <cell r="J330" t="str">
            <v>WAREHOUSE</v>
          </cell>
          <cell r="K330">
            <v>0</v>
          </cell>
          <cell r="L330">
            <v>0</v>
          </cell>
          <cell r="M330" t="str">
            <v>Operator</v>
          </cell>
          <cell r="N330" t="str">
            <v>Warehouseman</v>
          </cell>
        </row>
        <row r="331">
          <cell r="C331">
            <v>32249</v>
          </cell>
          <cell r="D331" t="str">
            <v>GD260727</v>
          </cell>
          <cell r="E331" t="str">
            <v>NIÑO</v>
          </cell>
          <cell r="F331" t="str">
            <v>JHON MARCK</v>
          </cell>
          <cell r="G331" t="str">
            <v>MADRIDANO</v>
          </cell>
          <cell r="H331" t="str">
            <v>NIÑO, JHON MARCK MADRIDANO</v>
          </cell>
          <cell r="I331" t="str">
            <v>METAL STAMPING</v>
          </cell>
          <cell r="J331" t="str">
            <v>PRODUCTION</v>
          </cell>
          <cell r="K331" t="str">
            <v>STAMPING</v>
          </cell>
          <cell r="L331">
            <v>0</v>
          </cell>
          <cell r="M331" t="str">
            <v>Operator</v>
          </cell>
          <cell r="N331" t="str">
            <v>Operator 1</v>
          </cell>
        </row>
        <row r="332">
          <cell r="C332">
            <v>32245</v>
          </cell>
          <cell r="D332" t="str">
            <v>GD260729</v>
          </cell>
          <cell r="E332" t="str">
            <v>VEGA</v>
          </cell>
          <cell r="F332" t="str">
            <v>NASH JAE</v>
          </cell>
          <cell r="G332" t="str">
            <v>OLIVOS</v>
          </cell>
          <cell r="H332" t="str">
            <v>VEGA, NASH JAE OLIVOS</v>
          </cell>
          <cell r="I332" t="str">
            <v>METAL STAMPING</v>
          </cell>
          <cell r="J332" t="str">
            <v>PRODUCTION</v>
          </cell>
          <cell r="K332" t="str">
            <v>STAMPING</v>
          </cell>
          <cell r="L332">
            <v>0</v>
          </cell>
          <cell r="M332" t="str">
            <v>Operator</v>
          </cell>
          <cell r="N332" t="str">
            <v>Operator 1</v>
          </cell>
        </row>
        <row r="333">
          <cell r="C333">
            <v>32248</v>
          </cell>
          <cell r="D333" t="str">
            <v>GD260731</v>
          </cell>
          <cell r="E333" t="str">
            <v>RICAMATA</v>
          </cell>
          <cell r="F333" t="str">
            <v>MARK JUN</v>
          </cell>
          <cell r="G333" t="str">
            <v>SAGUID</v>
          </cell>
          <cell r="H333" t="str">
            <v>RICAMATA, MARK JUN SAGUID</v>
          </cell>
          <cell r="I333" t="str">
            <v>METAL STAMPING</v>
          </cell>
          <cell r="J333" t="str">
            <v>PRODUCTION</v>
          </cell>
          <cell r="K333" t="str">
            <v>STAMPING</v>
          </cell>
          <cell r="L333">
            <v>0</v>
          </cell>
          <cell r="M333" t="str">
            <v>Operator</v>
          </cell>
          <cell r="N333" t="str">
            <v>Operator 1</v>
          </cell>
        </row>
        <row r="334">
          <cell r="C334">
            <v>32246</v>
          </cell>
          <cell r="D334" t="str">
            <v>GD260732</v>
          </cell>
          <cell r="E334" t="str">
            <v>LINDO</v>
          </cell>
          <cell r="F334" t="str">
            <v>JESTER</v>
          </cell>
          <cell r="G334" t="str">
            <v>BAGUIOSO</v>
          </cell>
          <cell r="H334" t="str">
            <v>LINDO, JESTER BAGUIOSO</v>
          </cell>
          <cell r="I334" t="str">
            <v>METAL STAMPING</v>
          </cell>
          <cell r="J334" t="str">
            <v>PRODUCTION</v>
          </cell>
          <cell r="K334" t="str">
            <v>STAMPING</v>
          </cell>
          <cell r="L334" t="str">
            <v>GOSHI</v>
          </cell>
          <cell r="M334" t="str">
            <v>Operator</v>
          </cell>
          <cell r="N334" t="str">
            <v>Operator 1</v>
          </cell>
        </row>
        <row r="335">
          <cell r="C335">
            <v>32242</v>
          </cell>
          <cell r="D335" t="str">
            <v>GD260733</v>
          </cell>
          <cell r="E335" t="str">
            <v>DE CHAVEZ</v>
          </cell>
          <cell r="F335" t="str">
            <v>JOEY</v>
          </cell>
          <cell r="G335" t="str">
            <v>ANTENOR</v>
          </cell>
          <cell r="H335" t="str">
            <v>DE CHAVEZ, JOEY ANTENOR</v>
          </cell>
          <cell r="I335" t="str">
            <v>METAL STAMPING</v>
          </cell>
          <cell r="J335" t="str">
            <v>PRODUCTION</v>
          </cell>
          <cell r="K335" t="str">
            <v>STAMPING</v>
          </cell>
          <cell r="L335" t="str">
            <v>GOSHI</v>
          </cell>
          <cell r="M335" t="str">
            <v>Operator</v>
          </cell>
          <cell r="N335" t="str">
            <v>Operator 1</v>
          </cell>
        </row>
        <row r="336">
          <cell r="C336">
            <v>32241</v>
          </cell>
          <cell r="D336" t="str">
            <v>GD260734</v>
          </cell>
          <cell r="E336" t="str">
            <v>FLORINDO</v>
          </cell>
          <cell r="F336" t="str">
            <v>LORENZ MANUEL</v>
          </cell>
          <cell r="G336" t="str">
            <v>SAMAR</v>
          </cell>
          <cell r="H336" t="str">
            <v>FLORINDO, LORENZ MANUEL SAMAR</v>
          </cell>
          <cell r="I336" t="str">
            <v>METAL STAMPING</v>
          </cell>
          <cell r="J336" t="str">
            <v>PRODUCTION</v>
          </cell>
          <cell r="K336" t="str">
            <v>STAMPING</v>
          </cell>
          <cell r="L336" t="str">
            <v>GOSHI</v>
          </cell>
          <cell r="M336" t="str">
            <v>Operator</v>
          </cell>
          <cell r="N336" t="str">
            <v>Operator 1</v>
          </cell>
        </row>
        <row r="337">
          <cell r="C337">
            <v>32235</v>
          </cell>
          <cell r="D337" t="str">
            <v>GD260735</v>
          </cell>
          <cell r="E337" t="str">
            <v>APARICIO</v>
          </cell>
          <cell r="F337" t="str">
            <v>JOHN PAUL</v>
          </cell>
          <cell r="G337" t="str">
            <v>SALMAZAN</v>
          </cell>
          <cell r="H337" t="str">
            <v>APARICIO, JOHN PAUL SALMAZAN</v>
          </cell>
          <cell r="I337" t="str">
            <v>METAL STAMPING</v>
          </cell>
          <cell r="J337" t="str">
            <v>PRODUCTION</v>
          </cell>
          <cell r="K337" t="str">
            <v>STAMPING</v>
          </cell>
          <cell r="L337">
            <v>0</v>
          </cell>
          <cell r="M337" t="str">
            <v>Operator</v>
          </cell>
          <cell r="N337" t="str">
            <v>Operator 1</v>
          </cell>
        </row>
        <row r="338">
          <cell r="C338">
            <v>32237</v>
          </cell>
          <cell r="D338" t="str">
            <v>GD260736</v>
          </cell>
          <cell r="E338" t="str">
            <v>MONTIANO JR.</v>
          </cell>
          <cell r="F338" t="str">
            <v>RONER</v>
          </cell>
          <cell r="G338" t="str">
            <v>MANGCUPANG</v>
          </cell>
          <cell r="H338" t="str">
            <v>MONTIANO JR., RONER MANGCUPANG</v>
          </cell>
          <cell r="I338" t="str">
            <v>METAL STAMPING</v>
          </cell>
          <cell r="J338" t="str">
            <v>PRODUCTION</v>
          </cell>
          <cell r="K338" t="str">
            <v>STAMPING</v>
          </cell>
          <cell r="L338">
            <v>0</v>
          </cell>
          <cell r="M338" t="str">
            <v>Operator</v>
          </cell>
          <cell r="N338" t="str">
            <v>Operator 1</v>
          </cell>
        </row>
        <row r="339">
          <cell r="C339">
            <v>32239</v>
          </cell>
          <cell r="D339" t="str">
            <v>GD260738</v>
          </cell>
          <cell r="E339" t="str">
            <v>BUELLA</v>
          </cell>
          <cell r="F339" t="str">
            <v>RANDEL</v>
          </cell>
          <cell r="G339" t="str">
            <v>BILANGEL</v>
          </cell>
          <cell r="H339" t="str">
            <v>BUELLA, RANDEL BILANGEL</v>
          </cell>
          <cell r="I339" t="str">
            <v>METAL STAMPING</v>
          </cell>
          <cell r="J339" t="str">
            <v>PRODUCTION</v>
          </cell>
          <cell r="K339" t="str">
            <v>STAMPING</v>
          </cell>
          <cell r="L339">
            <v>0</v>
          </cell>
          <cell r="M339" t="str">
            <v>Operator</v>
          </cell>
          <cell r="N339" t="str">
            <v>Operator 1</v>
          </cell>
        </row>
        <row r="340">
          <cell r="C340">
            <v>32240</v>
          </cell>
          <cell r="D340" t="str">
            <v>GD260739</v>
          </cell>
          <cell r="E340" t="str">
            <v>UNTALAN</v>
          </cell>
          <cell r="F340" t="str">
            <v xml:space="preserve"> CHRIS JOSHUA</v>
          </cell>
          <cell r="G340" t="str">
            <v>SEMANA</v>
          </cell>
          <cell r="H340" t="str">
            <v>UNTALAN,  CHRIS JOSHUA SEMANA</v>
          </cell>
          <cell r="I340" t="str">
            <v>METAL STAMPING</v>
          </cell>
          <cell r="J340" t="str">
            <v>PRODUCTION</v>
          </cell>
          <cell r="K340" t="str">
            <v>STAMPING</v>
          </cell>
          <cell r="L340" t="str">
            <v>SERCOMM</v>
          </cell>
          <cell r="M340" t="str">
            <v>Operator</v>
          </cell>
          <cell r="N340" t="str">
            <v>Operator 1</v>
          </cell>
        </row>
        <row r="341">
          <cell r="C341">
            <v>32234</v>
          </cell>
          <cell r="D341" t="str">
            <v>GD260741</v>
          </cell>
          <cell r="E341" t="str">
            <v>DE TORRES</v>
          </cell>
          <cell r="F341" t="str">
            <v>JURLEY</v>
          </cell>
          <cell r="G341" t="str">
            <v>VELASQUEZ</v>
          </cell>
          <cell r="H341" t="str">
            <v>DE TORRES, JURLEY VELASQUEZ</v>
          </cell>
          <cell r="I341" t="str">
            <v>METAL STAMPING</v>
          </cell>
          <cell r="J341" t="str">
            <v>PRODUCTION</v>
          </cell>
          <cell r="K341" t="str">
            <v>STAMPING</v>
          </cell>
          <cell r="L341">
            <v>0</v>
          </cell>
          <cell r="M341" t="str">
            <v>Operator</v>
          </cell>
          <cell r="N341" t="str">
            <v>Operator 1</v>
          </cell>
        </row>
        <row r="342">
          <cell r="C342">
            <v>32247</v>
          </cell>
          <cell r="D342" t="str">
            <v>GD260742</v>
          </cell>
          <cell r="E342" t="str">
            <v>CONDE</v>
          </cell>
          <cell r="F342" t="str">
            <v xml:space="preserve">WILFREDO JR </v>
          </cell>
          <cell r="G342" t="str">
            <v>CAÑAREZ</v>
          </cell>
          <cell r="H342" t="str">
            <v>CONDE, WILFREDO JR  CAÑAREZ</v>
          </cell>
          <cell r="I342" t="str">
            <v>METAL STAMPING</v>
          </cell>
          <cell r="J342" t="str">
            <v>PRODUCTION</v>
          </cell>
          <cell r="K342" t="str">
            <v>STAMPING</v>
          </cell>
          <cell r="L342">
            <v>0</v>
          </cell>
          <cell r="M342" t="str">
            <v>Operator</v>
          </cell>
          <cell r="N342" t="str">
            <v>Operator 1</v>
          </cell>
        </row>
        <row r="343">
          <cell r="C343">
            <v>32252</v>
          </cell>
          <cell r="D343" t="str">
            <v>GD260744</v>
          </cell>
          <cell r="E343" t="str">
            <v>MOTOL</v>
          </cell>
          <cell r="F343" t="str">
            <v>JOHN GLENDEL</v>
          </cell>
          <cell r="G343" t="str">
            <v>DE QUITO</v>
          </cell>
          <cell r="H343" t="str">
            <v>MOTOL, JOHN GLENDEL DE QUITO</v>
          </cell>
          <cell r="I343" t="str">
            <v>METAL STAMPING</v>
          </cell>
          <cell r="J343" t="str">
            <v>PRODUCTION</v>
          </cell>
          <cell r="K343" t="str">
            <v>STAMPING</v>
          </cell>
          <cell r="L343">
            <v>0</v>
          </cell>
          <cell r="M343" t="str">
            <v>Operator</v>
          </cell>
          <cell r="N343" t="str">
            <v>Operator 1</v>
          </cell>
        </row>
        <row r="344">
          <cell r="C344">
            <v>32243</v>
          </cell>
          <cell r="D344" t="str">
            <v>GD260745</v>
          </cell>
          <cell r="E344" t="str">
            <v>BOLANO</v>
          </cell>
          <cell r="F344" t="str">
            <v xml:space="preserve">JHUN LORENZ </v>
          </cell>
          <cell r="G344" t="str">
            <v>NAVARRO</v>
          </cell>
          <cell r="H344" t="str">
            <v>BOLANO, JHUN LORENZ  NAVARRO</v>
          </cell>
          <cell r="I344" t="str">
            <v>METAL STAMPING</v>
          </cell>
          <cell r="J344" t="str">
            <v>PRODUCTION</v>
          </cell>
          <cell r="K344" t="str">
            <v>STAMPING</v>
          </cell>
          <cell r="L344">
            <v>0</v>
          </cell>
          <cell r="M344" t="str">
            <v>Operator</v>
          </cell>
          <cell r="N344" t="str">
            <v>Operator 1</v>
          </cell>
        </row>
        <row r="345">
          <cell r="C345">
            <v>32233</v>
          </cell>
          <cell r="D345" t="str">
            <v>GD260746</v>
          </cell>
          <cell r="E345" t="str">
            <v>HABASA</v>
          </cell>
          <cell r="F345" t="str">
            <v>RAYMART</v>
          </cell>
          <cell r="G345" t="str">
            <v>DEJETO</v>
          </cell>
          <cell r="H345" t="str">
            <v>HABASA, RAYMART DEJETO</v>
          </cell>
          <cell r="I345" t="str">
            <v>METAL STAMPING</v>
          </cell>
          <cell r="J345" t="str">
            <v>PRODUCTION</v>
          </cell>
          <cell r="K345" t="str">
            <v>STAMPING</v>
          </cell>
          <cell r="L345">
            <v>0</v>
          </cell>
          <cell r="M345" t="str">
            <v>Operator</v>
          </cell>
          <cell r="N345" t="str">
            <v>Operator 1</v>
          </cell>
        </row>
        <row r="346">
          <cell r="C346">
            <v>32236</v>
          </cell>
          <cell r="D346" t="str">
            <v>GD260747</v>
          </cell>
          <cell r="E346" t="str">
            <v>PALTEP</v>
          </cell>
          <cell r="F346" t="str">
            <v>MARK GERALD</v>
          </cell>
          <cell r="G346" t="str">
            <v>MOLINA</v>
          </cell>
          <cell r="H346" t="str">
            <v>PALTEP, MARK GERALD MOLINA</v>
          </cell>
          <cell r="I346" t="str">
            <v>METAL STAMPING</v>
          </cell>
          <cell r="J346" t="str">
            <v>PRODUCTION</v>
          </cell>
          <cell r="K346" t="str">
            <v>STAMPING</v>
          </cell>
          <cell r="L346">
            <v>0</v>
          </cell>
          <cell r="M346" t="str">
            <v>Operator</v>
          </cell>
          <cell r="N346" t="str">
            <v>Operator 1</v>
          </cell>
        </row>
        <row r="347">
          <cell r="C347">
            <v>32269</v>
          </cell>
          <cell r="D347" t="str">
            <v>GD260748</v>
          </cell>
          <cell r="E347" t="str">
            <v>ESTARES</v>
          </cell>
          <cell r="F347" t="str">
            <v>JEORGE RONALD</v>
          </cell>
          <cell r="G347" t="str">
            <v>ALDOVINO</v>
          </cell>
          <cell r="H347" t="str">
            <v>ESTARES, JEORGE RONALD ALDOVINO</v>
          </cell>
          <cell r="I347" t="str">
            <v>PLASTIC INJECTION</v>
          </cell>
          <cell r="J347" t="str">
            <v>PRODUCTION</v>
          </cell>
          <cell r="K347" t="str">
            <v>WAREHOUSE</v>
          </cell>
          <cell r="L347">
            <v>0</v>
          </cell>
          <cell r="M347" t="str">
            <v>Operator</v>
          </cell>
          <cell r="N347" t="str">
            <v>Material Hanlder</v>
          </cell>
        </row>
        <row r="348">
          <cell r="C348">
            <v>32270</v>
          </cell>
          <cell r="D348" t="str">
            <v>GD260749</v>
          </cell>
          <cell r="E348" t="str">
            <v>GARDIANO</v>
          </cell>
          <cell r="F348" t="str">
            <v>MONICA</v>
          </cell>
          <cell r="G348" t="str">
            <v>AMAR</v>
          </cell>
          <cell r="H348" t="str">
            <v>GARDIANO, MONICA AMAR</v>
          </cell>
          <cell r="I348" t="str">
            <v>METAL STAMPING</v>
          </cell>
          <cell r="J348" t="str">
            <v>PRODUCTION</v>
          </cell>
          <cell r="K348" t="str">
            <v>STAMPING</v>
          </cell>
          <cell r="L348">
            <v>0</v>
          </cell>
          <cell r="M348" t="str">
            <v>Operator</v>
          </cell>
          <cell r="N348" t="str">
            <v>Operator 1</v>
          </cell>
        </row>
        <row r="349">
          <cell r="C349">
            <v>32267</v>
          </cell>
          <cell r="D349" t="str">
            <v>GD260750</v>
          </cell>
          <cell r="E349" t="str">
            <v>MANALO</v>
          </cell>
          <cell r="F349" t="str">
            <v>KENNETH</v>
          </cell>
          <cell r="G349" t="str">
            <v>DE VILLA</v>
          </cell>
          <cell r="H349" t="str">
            <v>MANALO, KENNETH DE VILLA</v>
          </cell>
          <cell r="I349" t="str">
            <v>PLASTIC INJECTION</v>
          </cell>
          <cell r="J349" t="str">
            <v>PRODUCTION</v>
          </cell>
          <cell r="K349" t="str">
            <v>WAREHOUSE</v>
          </cell>
          <cell r="L349">
            <v>0</v>
          </cell>
          <cell r="M349" t="str">
            <v>Operator</v>
          </cell>
          <cell r="N349" t="str">
            <v>Material Hanlder</v>
          </cell>
        </row>
        <row r="350">
          <cell r="C350">
            <v>32265</v>
          </cell>
          <cell r="D350" t="str">
            <v>GD260751</v>
          </cell>
          <cell r="E350" t="str">
            <v>PITOGO</v>
          </cell>
          <cell r="F350" t="str">
            <v>REYNANTE</v>
          </cell>
          <cell r="G350" t="str">
            <v>DE LEON</v>
          </cell>
          <cell r="H350" t="str">
            <v>PITOGO, REYNANTE DE LEON</v>
          </cell>
          <cell r="I350" t="str">
            <v>PLASTIC INJECTION</v>
          </cell>
          <cell r="J350" t="str">
            <v>PRODUCTION</v>
          </cell>
          <cell r="K350" t="str">
            <v>INJECTION MOLDING</v>
          </cell>
          <cell r="L350">
            <v>0</v>
          </cell>
          <cell r="M350" t="str">
            <v>Operator</v>
          </cell>
          <cell r="N350" t="str">
            <v>Operator 1</v>
          </cell>
        </row>
        <row r="351">
          <cell r="C351">
            <v>32264</v>
          </cell>
          <cell r="D351" t="str">
            <v>GD260752</v>
          </cell>
          <cell r="E351" t="str">
            <v>SALUDO</v>
          </cell>
          <cell r="F351" t="str">
            <v>MARTIN</v>
          </cell>
          <cell r="G351" t="str">
            <v>ESTACIO</v>
          </cell>
          <cell r="H351" t="str">
            <v>SALUDO, MARTIN ESTACIO</v>
          </cell>
          <cell r="I351" t="str">
            <v>PLASTIC INJECTION</v>
          </cell>
          <cell r="J351" t="str">
            <v>PRODUCTION</v>
          </cell>
          <cell r="K351" t="str">
            <v>WAREHOUSE</v>
          </cell>
          <cell r="L351">
            <v>0</v>
          </cell>
          <cell r="M351" t="str">
            <v>Operator</v>
          </cell>
          <cell r="N351" t="str">
            <v>Material Hanlder</v>
          </cell>
        </row>
        <row r="352">
          <cell r="C352">
            <v>32306</v>
          </cell>
          <cell r="D352" t="str">
            <v>GD260753</v>
          </cell>
          <cell r="E352" t="str">
            <v>DIZON</v>
          </cell>
          <cell r="F352" t="str">
            <v>TRISHA</v>
          </cell>
          <cell r="G352" t="str">
            <v>NAVARRO</v>
          </cell>
          <cell r="H352" t="str">
            <v>DIZON, TRISHA NAVARRO</v>
          </cell>
          <cell r="I352" t="str">
            <v>PLASTIC INJECTION</v>
          </cell>
          <cell r="J352" t="str">
            <v>PRODUCTION</v>
          </cell>
          <cell r="K352" t="str">
            <v>INJECTION MOLDING</v>
          </cell>
          <cell r="L352">
            <v>0</v>
          </cell>
          <cell r="M352" t="str">
            <v>Operator</v>
          </cell>
          <cell r="N352" t="str">
            <v>Operator 1</v>
          </cell>
        </row>
        <row r="353">
          <cell r="C353">
            <v>0</v>
          </cell>
          <cell r="D353" t="str">
            <v>GD260754</v>
          </cell>
          <cell r="E353" t="str">
            <v>CARINGAL</v>
          </cell>
          <cell r="F353" t="str">
            <v>JENNYLYN</v>
          </cell>
          <cell r="G353">
            <v>0</v>
          </cell>
          <cell r="H353" t="str">
            <v>CARINGAL,JENNYLYN</v>
          </cell>
          <cell r="I353" t="str">
            <v>METAL STAMPING</v>
          </cell>
          <cell r="J353" t="str">
            <v>PRODUCTION</v>
          </cell>
          <cell r="K353" t="str">
            <v>ASSEMBLY</v>
          </cell>
          <cell r="L353" t="str">
            <v>SERCOMM</v>
          </cell>
          <cell r="M353" t="str">
            <v>Operator</v>
          </cell>
          <cell r="N353" t="str">
            <v>Operator 1</v>
          </cell>
        </row>
        <row r="354">
          <cell r="C354">
            <v>0</v>
          </cell>
          <cell r="D354" t="str">
            <v>GD260755</v>
          </cell>
          <cell r="E354" t="str">
            <v>ARELLANO</v>
          </cell>
          <cell r="F354" t="str">
            <v>LORILYN</v>
          </cell>
          <cell r="G354" t="str">
            <v>MERCADO</v>
          </cell>
          <cell r="H354" t="str">
            <v>ARELLANO,LORILYN MERCADO</v>
          </cell>
          <cell r="I354" t="str">
            <v>METAL STAMPING</v>
          </cell>
          <cell r="J354" t="str">
            <v>PRODUCTION</v>
          </cell>
          <cell r="K354" t="str">
            <v>ASSEMBLY</v>
          </cell>
          <cell r="L354">
            <v>0</v>
          </cell>
          <cell r="M354" t="str">
            <v>Operator</v>
          </cell>
          <cell r="N354" t="str">
            <v>Operator 1</v>
          </cell>
        </row>
        <row r="355">
          <cell r="C355">
            <v>32454</v>
          </cell>
          <cell r="D355" t="str">
            <v>GD260756</v>
          </cell>
          <cell r="E355" t="str">
            <v>ORIÑAS</v>
          </cell>
          <cell r="F355" t="str">
            <v>FRANCIS</v>
          </cell>
          <cell r="G355" t="str">
            <v>OCAMPO</v>
          </cell>
          <cell r="H355" t="str">
            <v>ORIÑAS,FRANCIS OCAMPO</v>
          </cell>
          <cell r="I355" t="str">
            <v>METAL STAMPING</v>
          </cell>
          <cell r="J355" t="str">
            <v>PRODUCTION</v>
          </cell>
          <cell r="K355" t="str">
            <v>ASSEMBLY</v>
          </cell>
          <cell r="L355">
            <v>0</v>
          </cell>
          <cell r="M355" t="str">
            <v>Operator</v>
          </cell>
          <cell r="N355" t="str">
            <v>Operator 1</v>
          </cell>
        </row>
        <row r="356">
          <cell r="C356">
            <v>32599</v>
          </cell>
          <cell r="D356" t="str">
            <v>GD260757</v>
          </cell>
          <cell r="E356" t="str">
            <v>RAGAS</v>
          </cell>
          <cell r="F356" t="str">
            <v>MORENA</v>
          </cell>
          <cell r="G356" t="str">
            <v>MALABRIGA</v>
          </cell>
          <cell r="H356" t="str">
            <v>RAGAS,MORENA MALABRIGA</v>
          </cell>
          <cell r="I356" t="str">
            <v>METAL STAMPING</v>
          </cell>
          <cell r="J356" t="str">
            <v>PRODUCTION</v>
          </cell>
          <cell r="K356" t="str">
            <v>ASSEMBLY</v>
          </cell>
          <cell r="L356">
            <v>0</v>
          </cell>
          <cell r="M356" t="str">
            <v>Operator</v>
          </cell>
          <cell r="N356" t="str">
            <v>Operator 1</v>
          </cell>
        </row>
        <row r="357">
          <cell r="C357">
            <v>0</v>
          </cell>
          <cell r="D357" t="str">
            <v>GD260758</v>
          </cell>
          <cell r="E357" t="str">
            <v>DE VERA</v>
          </cell>
          <cell r="F357" t="str">
            <v>SHERLYN</v>
          </cell>
          <cell r="G357" t="str">
            <v>BALBUENA</v>
          </cell>
          <cell r="H357" t="str">
            <v>DE VERA,SHERLYN BALBUENA</v>
          </cell>
          <cell r="I357" t="str">
            <v>METAL STAMPING</v>
          </cell>
          <cell r="J357" t="str">
            <v>PRODUCTION</v>
          </cell>
          <cell r="K357" t="str">
            <v>ASSEMBLY</v>
          </cell>
          <cell r="L357">
            <v>0</v>
          </cell>
          <cell r="M357" t="str">
            <v>Operator</v>
          </cell>
          <cell r="N357" t="str">
            <v>Operator 1</v>
          </cell>
        </row>
        <row r="358">
          <cell r="C358">
            <v>0</v>
          </cell>
          <cell r="D358" t="str">
            <v>GD260759</v>
          </cell>
          <cell r="E358" t="str">
            <v>BUAG</v>
          </cell>
          <cell r="F358" t="str">
            <v>BEBELYN</v>
          </cell>
          <cell r="G358" t="str">
            <v>AGUILA</v>
          </cell>
          <cell r="H358" t="str">
            <v>BUAG,BEBELYN AGUILLA</v>
          </cell>
          <cell r="I358" t="str">
            <v>METAL STAMPING</v>
          </cell>
          <cell r="J358" t="str">
            <v>PRODUCTION</v>
          </cell>
          <cell r="K358" t="str">
            <v>ASSEMBLY</v>
          </cell>
          <cell r="L358">
            <v>0</v>
          </cell>
          <cell r="M358" t="str">
            <v>Operator</v>
          </cell>
          <cell r="N358" t="str">
            <v>Operator 1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</row>
      </sheetData>
      <sheetData sheetId="1">
        <row r="1">
          <cell r="C1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ABS"/>
      <sheetName val="BILLING COMPUTATION"/>
      <sheetName val="SSS_2025"/>
      <sheetName val="PVT"/>
      <sheetName val="F3  DTR ACCOUNT"/>
    </sheetNames>
    <sheetDataSet>
      <sheetData sheetId="0"/>
      <sheetData sheetId="1"/>
      <sheetData sheetId="2"/>
      <sheetData sheetId="3">
        <row r="8">
          <cell r="C8">
            <v>32250</v>
          </cell>
          <cell r="D8" t="str">
            <v>ABANTE,ADRIAN LEE ALCANTARA</v>
          </cell>
          <cell r="E8" t="str">
            <v>METAL STAMPING</v>
          </cell>
          <cell r="F8" t="str">
            <v>PRODUCTION</v>
          </cell>
          <cell r="G8" t="str">
            <v>Operator</v>
          </cell>
          <cell r="H8" t="str">
            <v>DL</v>
          </cell>
          <cell r="I8">
            <v>24</v>
          </cell>
          <cell r="J8">
            <v>3</v>
          </cell>
          <cell r="K8">
            <v>600</v>
          </cell>
          <cell r="L8">
            <v>1800</v>
          </cell>
          <cell r="M8">
            <v>78</v>
          </cell>
          <cell r="N8">
            <v>1.25</v>
          </cell>
          <cell r="O8">
            <v>-97.5</v>
          </cell>
          <cell r="P8">
            <v>2</v>
          </cell>
          <cell r="Q8">
            <v>93.75</v>
          </cell>
          <cell r="R8">
            <v>187.5</v>
          </cell>
          <cell r="S8">
            <v>18</v>
          </cell>
          <cell r="T8">
            <v>7.5</v>
          </cell>
          <cell r="U8">
            <v>135</v>
          </cell>
          <cell r="V8">
            <v>2</v>
          </cell>
          <cell r="W8">
            <v>9.375</v>
          </cell>
          <cell r="X8">
            <v>18.75</v>
          </cell>
          <cell r="Y8">
            <v>0</v>
          </cell>
          <cell r="Z8">
            <v>97.5</v>
          </cell>
          <cell r="AA8">
            <v>0</v>
          </cell>
          <cell r="AB8">
            <v>0</v>
          </cell>
          <cell r="AC8">
            <v>126.75</v>
          </cell>
          <cell r="AD8">
            <v>0</v>
          </cell>
          <cell r="AE8">
            <v>0</v>
          </cell>
          <cell r="AF8">
            <v>12.675000000000001</v>
          </cell>
          <cell r="AG8">
            <v>0</v>
          </cell>
          <cell r="AH8">
            <v>0</v>
          </cell>
          <cell r="AI8">
            <v>9.75</v>
          </cell>
          <cell r="AJ8">
            <v>0</v>
          </cell>
          <cell r="AK8">
            <v>0</v>
          </cell>
          <cell r="AL8">
            <v>112.5</v>
          </cell>
          <cell r="AM8">
            <v>0</v>
          </cell>
          <cell r="AN8">
            <v>0</v>
          </cell>
          <cell r="AO8">
            <v>146.25</v>
          </cell>
          <cell r="AP8">
            <v>0</v>
          </cell>
          <cell r="AQ8">
            <v>0</v>
          </cell>
          <cell r="AR8">
            <v>11.25</v>
          </cell>
          <cell r="AS8">
            <v>0</v>
          </cell>
          <cell r="AT8">
            <v>0</v>
          </cell>
          <cell r="AU8">
            <v>97.5</v>
          </cell>
          <cell r="AV8">
            <v>0</v>
          </cell>
          <cell r="AW8">
            <v>0</v>
          </cell>
          <cell r="AX8">
            <v>126.75</v>
          </cell>
          <cell r="AY8">
            <v>0</v>
          </cell>
          <cell r="AZ8">
            <v>0</v>
          </cell>
          <cell r="BA8">
            <v>9.75</v>
          </cell>
          <cell r="BB8">
            <v>0</v>
          </cell>
          <cell r="BC8">
            <v>0</v>
          </cell>
          <cell r="BD8">
            <v>150</v>
          </cell>
          <cell r="BE8">
            <v>0</v>
          </cell>
          <cell r="BF8">
            <v>0</v>
          </cell>
          <cell r="BG8">
            <v>195</v>
          </cell>
          <cell r="BH8">
            <v>0</v>
          </cell>
          <cell r="BI8">
            <v>0</v>
          </cell>
          <cell r="BJ8">
            <v>15</v>
          </cell>
          <cell r="BK8">
            <v>0</v>
          </cell>
          <cell r="BL8">
            <v>0</v>
          </cell>
          <cell r="BM8">
            <v>75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2043.75</v>
          </cell>
        </row>
        <row r="9">
          <cell r="C9">
            <v>30332</v>
          </cell>
          <cell r="D9" t="str">
            <v>ACAYIN, JERRICK BUTIAL</v>
          </cell>
          <cell r="E9" t="str">
            <v>METAL STAMPING</v>
          </cell>
          <cell r="F9" t="str">
            <v>PRODUCTION</v>
          </cell>
          <cell r="G9" t="str">
            <v>Operator</v>
          </cell>
          <cell r="H9" t="str">
            <v>DL</v>
          </cell>
          <cell r="I9">
            <v>96</v>
          </cell>
          <cell r="J9">
            <v>12</v>
          </cell>
          <cell r="K9">
            <v>600</v>
          </cell>
          <cell r="L9">
            <v>7200</v>
          </cell>
          <cell r="M9">
            <v>0</v>
          </cell>
          <cell r="N9">
            <v>1.25</v>
          </cell>
          <cell r="O9">
            <v>0</v>
          </cell>
          <cell r="P9">
            <v>16</v>
          </cell>
          <cell r="Q9">
            <v>93.75</v>
          </cell>
          <cell r="R9">
            <v>1500</v>
          </cell>
          <cell r="S9">
            <v>48</v>
          </cell>
          <cell r="T9">
            <v>7.5</v>
          </cell>
          <cell r="U9">
            <v>360</v>
          </cell>
          <cell r="V9">
            <v>12</v>
          </cell>
          <cell r="W9">
            <v>9.375</v>
          </cell>
          <cell r="X9">
            <v>112.5</v>
          </cell>
          <cell r="Y9">
            <v>8</v>
          </cell>
          <cell r="Z9">
            <v>97.5</v>
          </cell>
          <cell r="AA9">
            <v>780</v>
          </cell>
          <cell r="AB9">
            <v>0</v>
          </cell>
          <cell r="AC9">
            <v>126.75</v>
          </cell>
          <cell r="AD9">
            <v>0</v>
          </cell>
          <cell r="AE9">
            <v>0</v>
          </cell>
          <cell r="AF9">
            <v>12.675000000000001</v>
          </cell>
          <cell r="AG9">
            <v>0</v>
          </cell>
          <cell r="AH9">
            <v>0</v>
          </cell>
          <cell r="AI9">
            <v>9.75</v>
          </cell>
          <cell r="AJ9">
            <v>0</v>
          </cell>
          <cell r="AK9">
            <v>0</v>
          </cell>
          <cell r="AL9">
            <v>112.5</v>
          </cell>
          <cell r="AM9">
            <v>0</v>
          </cell>
          <cell r="AN9">
            <v>0</v>
          </cell>
          <cell r="AO9">
            <v>146.25</v>
          </cell>
          <cell r="AP9">
            <v>0</v>
          </cell>
          <cell r="AQ9">
            <v>0</v>
          </cell>
          <cell r="AR9">
            <v>11.25</v>
          </cell>
          <cell r="AS9">
            <v>0</v>
          </cell>
          <cell r="AT9">
            <v>0</v>
          </cell>
          <cell r="AU9">
            <v>97.5</v>
          </cell>
          <cell r="AV9">
            <v>0</v>
          </cell>
          <cell r="AW9">
            <v>0</v>
          </cell>
          <cell r="AX9">
            <v>126.75</v>
          </cell>
          <cell r="AY9">
            <v>0</v>
          </cell>
          <cell r="AZ9">
            <v>0</v>
          </cell>
          <cell r="BA9">
            <v>9.75</v>
          </cell>
          <cell r="BB9">
            <v>0</v>
          </cell>
          <cell r="BC9">
            <v>0</v>
          </cell>
          <cell r="BD9">
            <v>150</v>
          </cell>
          <cell r="BE9">
            <v>0</v>
          </cell>
          <cell r="BF9">
            <v>0</v>
          </cell>
          <cell r="BG9">
            <v>195</v>
          </cell>
          <cell r="BH9">
            <v>0</v>
          </cell>
          <cell r="BI9">
            <v>0</v>
          </cell>
          <cell r="BJ9">
            <v>15</v>
          </cell>
          <cell r="BK9">
            <v>0</v>
          </cell>
          <cell r="BL9">
            <v>8</v>
          </cell>
          <cell r="BM9">
            <v>75</v>
          </cell>
          <cell r="BN9">
            <v>600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10552.5</v>
          </cell>
        </row>
        <row r="10">
          <cell r="C10">
            <v>12807</v>
          </cell>
          <cell r="D10" t="str">
            <v>ACERON, MARK LOUIEL GRAY GUERWELA</v>
          </cell>
          <cell r="E10" t="str">
            <v>METAL STAMPING</v>
          </cell>
          <cell r="F10" t="str">
            <v>PRODUCTION</v>
          </cell>
          <cell r="G10" t="str">
            <v>Operator</v>
          </cell>
          <cell r="H10" t="str">
            <v>DL</v>
          </cell>
          <cell r="I10">
            <v>88</v>
          </cell>
          <cell r="J10">
            <v>11</v>
          </cell>
          <cell r="K10">
            <v>600</v>
          </cell>
          <cell r="L10">
            <v>6600</v>
          </cell>
          <cell r="M10">
            <v>0</v>
          </cell>
          <cell r="N10">
            <v>1.25</v>
          </cell>
          <cell r="O10">
            <v>0</v>
          </cell>
          <cell r="P10">
            <v>18</v>
          </cell>
          <cell r="Q10">
            <v>93.75</v>
          </cell>
          <cell r="R10">
            <v>1687.5</v>
          </cell>
          <cell r="S10">
            <v>24</v>
          </cell>
          <cell r="T10">
            <v>7.5</v>
          </cell>
          <cell r="U10">
            <v>180</v>
          </cell>
          <cell r="V10">
            <v>6</v>
          </cell>
          <cell r="W10">
            <v>9.375</v>
          </cell>
          <cell r="X10">
            <v>56.25</v>
          </cell>
          <cell r="Y10">
            <v>0</v>
          </cell>
          <cell r="Z10">
            <v>97.5</v>
          </cell>
          <cell r="AA10">
            <v>0</v>
          </cell>
          <cell r="AB10">
            <v>0</v>
          </cell>
          <cell r="AC10">
            <v>126.75</v>
          </cell>
          <cell r="AD10">
            <v>0</v>
          </cell>
          <cell r="AE10">
            <v>0</v>
          </cell>
          <cell r="AF10">
            <v>12.675000000000001</v>
          </cell>
          <cell r="AG10">
            <v>0</v>
          </cell>
          <cell r="AH10">
            <v>0</v>
          </cell>
          <cell r="AI10">
            <v>9.75</v>
          </cell>
          <cell r="AJ10">
            <v>0</v>
          </cell>
          <cell r="AK10">
            <v>0</v>
          </cell>
          <cell r="AL10">
            <v>112.5</v>
          </cell>
          <cell r="AM10">
            <v>0</v>
          </cell>
          <cell r="AN10">
            <v>0</v>
          </cell>
          <cell r="AO10">
            <v>146.25</v>
          </cell>
          <cell r="AP10">
            <v>0</v>
          </cell>
          <cell r="AQ10">
            <v>0</v>
          </cell>
          <cell r="AR10">
            <v>11.25</v>
          </cell>
          <cell r="AS10">
            <v>0</v>
          </cell>
          <cell r="AT10">
            <v>0</v>
          </cell>
          <cell r="AU10">
            <v>97.5</v>
          </cell>
          <cell r="AV10">
            <v>0</v>
          </cell>
          <cell r="AW10">
            <v>0</v>
          </cell>
          <cell r="AX10">
            <v>126.75</v>
          </cell>
          <cell r="AY10">
            <v>0</v>
          </cell>
          <cell r="AZ10">
            <v>0</v>
          </cell>
          <cell r="BA10">
            <v>9.75</v>
          </cell>
          <cell r="BB10">
            <v>0</v>
          </cell>
          <cell r="BC10">
            <v>0</v>
          </cell>
          <cell r="BD10">
            <v>150</v>
          </cell>
          <cell r="BE10">
            <v>0</v>
          </cell>
          <cell r="BF10">
            <v>0</v>
          </cell>
          <cell r="BG10">
            <v>195</v>
          </cell>
          <cell r="BH10">
            <v>0</v>
          </cell>
          <cell r="BI10">
            <v>0</v>
          </cell>
          <cell r="BJ10">
            <v>15</v>
          </cell>
          <cell r="BK10">
            <v>0</v>
          </cell>
          <cell r="BL10">
            <v>8</v>
          </cell>
          <cell r="BM10">
            <v>75</v>
          </cell>
          <cell r="BN10">
            <v>600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9123.75</v>
          </cell>
        </row>
        <row r="11">
          <cell r="C11">
            <v>12808</v>
          </cell>
          <cell r="D11" t="str">
            <v>ACLAN, MARVIN BALMES</v>
          </cell>
          <cell r="E11" t="str">
            <v>METAL STAMPING</v>
          </cell>
          <cell r="F11" t="str">
            <v>PRODUCTION</v>
          </cell>
          <cell r="G11" t="str">
            <v>Operator</v>
          </cell>
          <cell r="H11" t="str">
            <v>DL</v>
          </cell>
          <cell r="I11">
            <v>104</v>
          </cell>
          <cell r="J11">
            <v>13</v>
          </cell>
          <cell r="K11">
            <v>600</v>
          </cell>
          <cell r="L11">
            <v>7800</v>
          </cell>
          <cell r="M11">
            <v>0</v>
          </cell>
          <cell r="N11">
            <v>1.25</v>
          </cell>
          <cell r="O11">
            <v>0</v>
          </cell>
          <cell r="P11">
            <v>16</v>
          </cell>
          <cell r="Q11">
            <v>93.75</v>
          </cell>
          <cell r="R11">
            <v>1500</v>
          </cell>
          <cell r="S11">
            <v>0</v>
          </cell>
          <cell r="T11">
            <v>7.5</v>
          </cell>
          <cell r="U11">
            <v>0</v>
          </cell>
          <cell r="V11">
            <v>0</v>
          </cell>
          <cell r="W11">
            <v>9.375</v>
          </cell>
          <cell r="X11">
            <v>0</v>
          </cell>
          <cell r="Y11">
            <v>8</v>
          </cell>
          <cell r="Z11">
            <v>97.5</v>
          </cell>
          <cell r="AA11">
            <v>780</v>
          </cell>
          <cell r="AB11">
            <v>0</v>
          </cell>
          <cell r="AC11">
            <v>126.75</v>
          </cell>
          <cell r="AD11">
            <v>0</v>
          </cell>
          <cell r="AE11">
            <v>0</v>
          </cell>
          <cell r="AF11">
            <v>12.675000000000001</v>
          </cell>
          <cell r="AG11">
            <v>0</v>
          </cell>
          <cell r="AH11">
            <v>0</v>
          </cell>
          <cell r="AI11">
            <v>9.75</v>
          </cell>
          <cell r="AJ11">
            <v>0</v>
          </cell>
          <cell r="AK11">
            <v>0</v>
          </cell>
          <cell r="AL11">
            <v>112.5</v>
          </cell>
          <cell r="AM11">
            <v>0</v>
          </cell>
          <cell r="AN11">
            <v>0</v>
          </cell>
          <cell r="AO11">
            <v>146.25</v>
          </cell>
          <cell r="AP11">
            <v>0</v>
          </cell>
          <cell r="AQ11">
            <v>0</v>
          </cell>
          <cell r="AR11">
            <v>11.25</v>
          </cell>
          <cell r="AS11">
            <v>0</v>
          </cell>
          <cell r="AT11">
            <v>0</v>
          </cell>
          <cell r="AU11">
            <v>97.5</v>
          </cell>
          <cell r="AV11">
            <v>0</v>
          </cell>
          <cell r="AW11">
            <v>0</v>
          </cell>
          <cell r="AX11">
            <v>126.75</v>
          </cell>
          <cell r="AY11">
            <v>0</v>
          </cell>
          <cell r="AZ11">
            <v>0</v>
          </cell>
          <cell r="BA11">
            <v>9.75</v>
          </cell>
          <cell r="BB11">
            <v>0</v>
          </cell>
          <cell r="BC11">
            <v>0</v>
          </cell>
          <cell r="BD11">
            <v>150</v>
          </cell>
          <cell r="BE11">
            <v>0</v>
          </cell>
          <cell r="BF11">
            <v>0</v>
          </cell>
          <cell r="BG11">
            <v>195</v>
          </cell>
          <cell r="BH11">
            <v>0</v>
          </cell>
          <cell r="BI11">
            <v>0</v>
          </cell>
          <cell r="BJ11">
            <v>15</v>
          </cell>
          <cell r="BK11">
            <v>0</v>
          </cell>
          <cell r="BL11">
            <v>8</v>
          </cell>
          <cell r="BM11">
            <v>75</v>
          </cell>
          <cell r="BN11">
            <v>600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10680</v>
          </cell>
        </row>
        <row r="12">
          <cell r="C12">
            <v>12810</v>
          </cell>
          <cell r="D12" t="str">
            <v>ACOSTA, ALEXIS DORONGON</v>
          </cell>
          <cell r="E12" t="str">
            <v>METAL STAMPING</v>
          </cell>
          <cell r="F12" t="str">
            <v>PRODUCTION</v>
          </cell>
          <cell r="G12" t="str">
            <v>Operator</v>
          </cell>
          <cell r="H12" t="str">
            <v>DL</v>
          </cell>
          <cell r="I12">
            <v>104</v>
          </cell>
          <cell r="J12">
            <v>13</v>
          </cell>
          <cell r="K12">
            <v>600</v>
          </cell>
          <cell r="L12">
            <v>7800</v>
          </cell>
          <cell r="M12">
            <v>0</v>
          </cell>
          <cell r="N12">
            <v>1.25</v>
          </cell>
          <cell r="O12">
            <v>0</v>
          </cell>
          <cell r="P12">
            <v>20</v>
          </cell>
          <cell r="Q12">
            <v>93.75</v>
          </cell>
          <cell r="R12">
            <v>1875</v>
          </cell>
          <cell r="S12">
            <v>24</v>
          </cell>
          <cell r="T12">
            <v>7.5</v>
          </cell>
          <cell r="U12">
            <v>180</v>
          </cell>
          <cell r="V12">
            <v>6</v>
          </cell>
          <cell r="W12">
            <v>9.375</v>
          </cell>
          <cell r="X12">
            <v>56.25</v>
          </cell>
          <cell r="Y12">
            <v>0</v>
          </cell>
          <cell r="Z12">
            <v>97.5</v>
          </cell>
          <cell r="AA12">
            <v>0</v>
          </cell>
          <cell r="AB12">
            <v>0</v>
          </cell>
          <cell r="AC12">
            <v>126.75</v>
          </cell>
          <cell r="AD12">
            <v>0</v>
          </cell>
          <cell r="AE12">
            <v>0</v>
          </cell>
          <cell r="AF12">
            <v>12.675000000000001</v>
          </cell>
          <cell r="AG12">
            <v>0</v>
          </cell>
          <cell r="AH12">
            <v>0</v>
          </cell>
          <cell r="AI12">
            <v>9.75</v>
          </cell>
          <cell r="AJ12">
            <v>0</v>
          </cell>
          <cell r="AK12">
            <v>0</v>
          </cell>
          <cell r="AL12">
            <v>112.5</v>
          </cell>
          <cell r="AM12">
            <v>0</v>
          </cell>
          <cell r="AN12">
            <v>0</v>
          </cell>
          <cell r="AO12">
            <v>146.25</v>
          </cell>
          <cell r="AP12">
            <v>0</v>
          </cell>
          <cell r="AQ12">
            <v>0</v>
          </cell>
          <cell r="AR12">
            <v>11.25</v>
          </cell>
          <cell r="AS12">
            <v>0</v>
          </cell>
          <cell r="AT12">
            <v>0</v>
          </cell>
          <cell r="AU12">
            <v>97.5</v>
          </cell>
          <cell r="AV12">
            <v>0</v>
          </cell>
          <cell r="AW12">
            <v>0</v>
          </cell>
          <cell r="AX12">
            <v>126.75</v>
          </cell>
          <cell r="AY12">
            <v>0</v>
          </cell>
          <cell r="AZ12">
            <v>0</v>
          </cell>
          <cell r="BA12">
            <v>9.75</v>
          </cell>
          <cell r="BB12">
            <v>0</v>
          </cell>
          <cell r="BC12">
            <v>0</v>
          </cell>
          <cell r="BD12">
            <v>150</v>
          </cell>
          <cell r="BE12">
            <v>0</v>
          </cell>
          <cell r="BF12">
            <v>0</v>
          </cell>
          <cell r="BG12">
            <v>195</v>
          </cell>
          <cell r="BH12">
            <v>0</v>
          </cell>
          <cell r="BI12">
            <v>0</v>
          </cell>
          <cell r="BJ12">
            <v>15</v>
          </cell>
          <cell r="BK12">
            <v>0</v>
          </cell>
          <cell r="BL12">
            <v>8</v>
          </cell>
          <cell r="BM12">
            <v>75</v>
          </cell>
          <cell r="BN12">
            <v>600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10511.25</v>
          </cell>
        </row>
        <row r="13">
          <cell r="C13">
            <v>4327</v>
          </cell>
          <cell r="D13" t="str">
            <v>ADA, JOEMER VERA</v>
          </cell>
          <cell r="E13" t="str">
            <v>METAL STAMPING</v>
          </cell>
          <cell r="F13" t="str">
            <v>PRODUCTION</v>
          </cell>
          <cell r="G13" t="str">
            <v>Operator</v>
          </cell>
          <cell r="H13" t="str">
            <v>DL</v>
          </cell>
          <cell r="I13">
            <v>80</v>
          </cell>
          <cell r="J13">
            <v>10</v>
          </cell>
          <cell r="K13">
            <v>600</v>
          </cell>
          <cell r="L13">
            <v>6000</v>
          </cell>
          <cell r="M13">
            <v>0</v>
          </cell>
          <cell r="N13">
            <v>1.25</v>
          </cell>
          <cell r="O13">
            <v>0</v>
          </cell>
          <cell r="P13">
            <v>8</v>
          </cell>
          <cell r="Q13">
            <v>93.75</v>
          </cell>
          <cell r="R13">
            <v>750</v>
          </cell>
          <cell r="S13">
            <v>42</v>
          </cell>
          <cell r="T13">
            <v>7.5</v>
          </cell>
          <cell r="U13">
            <v>315</v>
          </cell>
          <cell r="V13">
            <v>8</v>
          </cell>
          <cell r="W13">
            <v>9.375</v>
          </cell>
          <cell r="X13">
            <v>75</v>
          </cell>
          <cell r="Y13">
            <v>0</v>
          </cell>
          <cell r="Z13">
            <v>97.5</v>
          </cell>
          <cell r="AA13">
            <v>0</v>
          </cell>
          <cell r="AB13">
            <v>0</v>
          </cell>
          <cell r="AC13">
            <v>126.75</v>
          </cell>
          <cell r="AD13">
            <v>0</v>
          </cell>
          <cell r="AE13">
            <v>0</v>
          </cell>
          <cell r="AF13">
            <v>12.675000000000001</v>
          </cell>
          <cell r="AG13">
            <v>0</v>
          </cell>
          <cell r="AH13">
            <v>0</v>
          </cell>
          <cell r="AI13">
            <v>9.75</v>
          </cell>
          <cell r="AJ13">
            <v>0</v>
          </cell>
          <cell r="AK13">
            <v>0</v>
          </cell>
          <cell r="AL13">
            <v>112.5</v>
          </cell>
          <cell r="AM13">
            <v>0</v>
          </cell>
          <cell r="AN13">
            <v>0</v>
          </cell>
          <cell r="AO13">
            <v>146.25</v>
          </cell>
          <cell r="AP13">
            <v>0</v>
          </cell>
          <cell r="AQ13">
            <v>0</v>
          </cell>
          <cell r="AR13">
            <v>11.25</v>
          </cell>
          <cell r="AS13">
            <v>0</v>
          </cell>
          <cell r="AT13">
            <v>0</v>
          </cell>
          <cell r="AU13">
            <v>97.5</v>
          </cell>
          <cell r="AV13">
            <v>0</v>
          </cell>
          <cell r="AW13">
            <v>0</v>
          </cell>
          <cell r="AX13">
            <v>126.75</v>
          </cell>
          <cell r="AY13">
            <v>0</v>
          </cell>
          <cell r="AZ13">
            <v>0</v>
          </cell>
          <cell r="BA13">
            <v>9.75</v>
          </cell>
          <cell r="BB13">
            <v>0</v>
          </cell>
          <cell r="BC13">
            <v>0</v>
          </cell>
          <cell r="BD13">
            <v>150</v>
          </cell>
          <cell r="BE13">
            <v>0</v>
          </cell>
          <cell r="BF13">
            <v>0</v>
          </cell>
          <cell r="BG13">
            <v>195</v>
          </cell>
          <cell r="BH13">
            <v>0</v>
          </cell>
          <cell r="BI13">
            <v>0</v>
          </cell>
          <cell r="BJ13">
            <v>15</v>
          </cell>
          <cell r="BK13">
            <v>0</v>
          </cell>
          <cell r="BL13">
            <v>0</v>
          </cell>
          <cell r="BM13">
            <v>75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7140</v>
          </cell>
        </row>
        <row r="14">
          <cell r="C14">
            <v>12816</v>
          </cell>
          <cell r="D14" t="str">
            <v>AGUILERA, BABY ROSE LACBAY</v>
          </cell>
          <cell r="E14" t="str">
            <v>METAL STAMPING</v>
          </cell>
          <cell r="F14" t="str">
            <v>PRODUCTION</v>
          </cell>
          <cell r="G14" t="str">
            <v>Operator</v>
          </cell>
          <cell r="H14" t="str">
            <v>DL</v>
          </cell>
          <cell r="I14">
            <v>104</v>
          </cell>
          <cell r="J14">
            <v>13</v>
          </cell>
          <cell r="K14">
            <v>600</v>
          </cell>
          <cell r="L14">
            <v>7800</v>
          </cell>
          <cell r="M14">
            <v>7</v>
          </cell>
          <cell r="N14">
            <v>1.25</v>
          </cell>
          <cell r="O14">
            <v>-8.75</v>
          </cell>
          <cell r="P14">
            <v>16</v>
          </cell>
          <cell r="Q14">
            <v>93.75</v>
          </cell>
          <cell r="R14">
            <v>1500</v>
          </cell>
          <cell r="S14">
            <v>0</v>
          </cell>
          <cell r="T14">
            <v>7.5</v>
          </cell>
          <cell r="U14">
            <v>0</v>
          </cell>
          <cell r="V14">
            <v>0</v>
          </cell>
          <cell r="W14">
            <v>9.375</v>
          </cell>
          <cell r="X14">
            <v>0</v>
          </cell>
          <cell r="Y14">
            <v>8</v>
          </cell>
          <cell r="Z14">
            <v>97.5</v>
          </cell>
          <cell r="AA14">
            <v>780</v>
          </cell>
          <cell r="AB14">
            <v>0</v>
          </cell>
          <cell r="AC14">
            <v>126.75</v>
          </cell>
          <cell r="AD14">
            <v>0</v>
          </cell>
          <cell r="AE14">
            <v>0</v>
          </cell>
          <cell r="AF14">
            <v>12.675000000000001</v>
          </cell>
          <cell r="AG14">
            <v>0</v>
          </cell>
          <cell r="AH14">
            <v>0</v>
          </cell>
          <cell r="AI14">
            <v>9.75</v>
          </cell>
          <cell r="AJ14">
            <v>0</v>
          </cell>
          <cell r="AK14">
            <v>0</v>
          </cell>
          <cell r="AL14">
            <v>112.5</v>
          </cell>
          <cell r="AM14">
            <v>0</v>
          </cell>
          <cell r="AN14">
            <v>0</v>
          </cell>
          <cell r="AO14">
            <v>146.25</v>
          </cell>
          <cell r="AP14">
            <v>0</v>
          </cell>
          <cell r="AQ14">
            <v>0</v>
          </cell>
          <cell r="AR14">
            <v>11.25</v>
          </cell>
          <cell r="AS14">
            <v>0</v>
          </cell>
          <cell r="AT14">
            <v>0</v>
          </cell>
          <cell r="AU14">
            <v>97.5</v>
          </cell>
          <cell r="AV14">
            <v>0</v>
          </cell>
          <cell r="AW14">
            <v>0</v>
          </cell>
          <cell r="AX14">
            <v>126.75</v>
          </cell>
          <cell r="AY14">
            <v>0</v>
          </cell>
          <cell r="AZ14">
            <v>0</v>
          </cell>
          <cell r="BA14">
            <v>9.75</v>
          </cell>
          <cell r="BB14">
            <v>0</v>
          </cell>
          <cell r="BC14">
            <v>0</v>
          </cell>
          <cell r="BD14">
            <v>150</v>
          </cell>
          <cell r="BE14">
            <v>0</v>
          </cell>
          <cell r="BF14">
            <v>0</v>
          </cell>
          <cell r="BG14">
            <v>195</v>
          </cell>
          <cell r="BH14">
            <v>0</v>
          </cell>
          <cell r="BI14">
            <v>0</v>
          </cell>
          <cell r="BJ14">
            <v>15</v>
          </cell>
          <cell r="BK14">
            <v>0</v>
          </cell>
          <cell r="BL14">
            <v>8</v>
          </cell>
          <cell r="BM14">
            <v>75</v>
          </cell>
          <cell r="BN14">
            <v>600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10671.25</v>
          </cell>
        </row>
        <row r="15">
          <cell r="C15">
            <v>14479</v>
          </cell>
          <cell r="D15" t="str">
            <v>ALBAÑA, ROSE MARIE ESTERNON</v>
          </cell>
          <cell r="E15" t="str">
            <v>METAL STAMPING</v>
          </cell>
          <cell r="F15" t="str">
            <v>PRODUCTION</v>
          </cell>
          <cell r="G15" t="str">
            <v>Operator</v>
          </cell>
          <cell r="H15" t="str">
            <v>DL</v>
          </cell>
          <cell r="I15">
            <v>104</v>
          </cell>
          <cell r="J15">
            <v>13</v>
          </cell>
          <cell r="K15">
            <v>600</v>
          </cell>
          <cell r="L15">
            <v>7800</v>
          </cell>
          <cell r="M15">
            <v>0</v>
          </cell>
          <cell r="N15">
            <v>1.25</v>
          </cell>
          <cell r="O15">
            <v>0</v>
          </cell>
          <cell r="P15">
            <v>18</v>
          </cell>
          <cell r="Q15">
            <v>93.75</v>
          </cell>
          <cell r="R15">
            <v>1687.5</v>
          </cell>
          <cell r="S15">
            <v>54</v>
          </cell>
          <cell r="T15">
            <v>7.5</v>
          </cell>
          <cell r="U15">
            <v>405</v>
          </cell>
          <cell r="V15">
            <v>14</v>
          </cell>
          <cell r="W15">
            <v>9.375</v>
          </cell>
          <cell r="X15">
            <v>131.25</v>
          </cell>
          <cell r="Y15">
            <v>8</v>
          </cell>
          <cell r="Z15">
            <v>97.5</v>
          </cell>
          <cell r="AA15">
            <v>780</v>
          </cell>
          <cell r="AB15">
            <v>0</v>
          </cell>
          <cell r="AC15">
            <v>126.75</v>
          </cell>
          <cell r="AD15">
            <v>0</v>
          </cell>
          <cell r="AE15">
            <v>0</v>
          </cell>
          <cell r="AF15">
            <v>12.675000000000001</v>
          </cell>
          <cell r="AG15">
            <v>0</v>
          </cell>
          <cell r="AH15">
            <v>0</v>
          </cell>
          <cell r="AI15">
            <v>9.75</v>
          </cell>
          <cell r="AJ15">
            <v>0</v>
          </cell>
          <cell r="AK15">
            <v>0</v>
          </cell>
          <cell r="AL15">
            <v>112.5</v>
          </cell>
          <cell r="AM15">
            <v>0</v>
          </cell>
          <cell r="AN15">
            <v>0</v>
          </cell>
          <cell r="AO15">
            <v>146.25</v>
          </cell>
          <cell r="AP15">
            <v>0</v>
          </cell>
          <cell r="AQ15">
            <v>0</v>
          </cell>
          <cell r="AR15">
            <v>11.25</v>
          </cell>
          <cell r="AS15">
            <v>0</v>
          </cell>
          <cell r="AT15">
            <v>0</v>
          </cell>
          <cell r="AU15">
            <v>97.5</v>
          </cell>
          <cell r="AV15">
            <v>0</v>
          </cell>
          <cell r="AW15">
            <v>0</v>
          </cell>
          <cell r="AX15">
            <v>126.75</v>
          </cell>
          <cell r="AY15">
            <v>0</v>
          </cell>
          <cell r="AZ15">
            <v>0</v>
          </cell>
          <cell r="BA15">
            <v>9.75</v>
          </cell>
          <cell r="BB15">
            <v>0</v>
          </cell>
          <cell r="BC15">
            <v>0</v>
          </cell>
          <cell r="BD15">
            <v>150</v>
          </cell>
          <cell r="BE15">
            <v>0</v>
          </cell>
          <cell r="BF15">
            <v>0</v>
          </cell>
          <cell r="BG15">
            <v>195</v>
          </cell>
          <cell r="BH15">
            <v>0</v>
          </cell>
          <cell r="BI15">
            <v>0</v>
          </cell>
          <cell r="BJ15">
            <v>15</v>
          </cell>
          <cell r="BK15">
            <v>0</v>
          </cell>
          <cell r="BL15">
            <v>8</v>
          </cell>
          <cell r="BM15">
            <v>75</v>
          </cell>
          <cell r="BN15">
            <v>600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11403.75</v>
          </cell>
        </row>
        <row r="16">
          <cell r="C16">
            <v>12830</v>
          </cell>
          <cell r="D16" t="str">
            <v>AMPON, JERROLD MARK ANDAY</v>
          </cell>
          <cell r="E16" t="str">
            <v>METAL STAMPING</v>
          </cell>
          <cell r="F16" t="str">
            <v>PRODUCTION</v>
          </cell>
          <cell r="G16" t="str">
            <v>Operator</v>
          </cell>
          <cell r="H16" t="str">
            <v>IDL</v>
          </cell>
          <cell r="I16">
            <v>104</v>
          </cell>
          <cell r="J16">
            <v>13</v>
          </cell>
          <cell r="K16">
            <v>600</v>
          </cell>
          <cell r="L16">
            <v>7800</v>
          </cell>
          <cell r="M16">
            <v>0</v>
          </cell>
          <cell r="N16">
            <v>1.25</v>
          </cell>
          <cell r="O16">
            <v>0</v>
          </cell>
          <cell r="P16">
            <v>20</v>
          </cell>
          <cell r="Q16">
            <v>93.75</v>
          </cell>
          <cell r="R16">
            <v>1875</v>
          </cell>
          <cell r="S16">
            <v>24</v>
          </cell>
          <cell r="T16">
            <v>7.5</v>
          </cell>
          <cell r="U16">
            <v>180</v>
          </cell>
          <cell r="V16">
            <v>4</v>
          </cell>
          <cell r="W16">
            <v>9.375</v>
          </cell>
          <cell r="X16">
            <v>37.5</v>
          </cell>
          <cell r="Y16">
            <v>0</v>
          </cell>
          <cell r="Z16">
            <v>97.5</v>
          </cell>
          <cell r="AA16">
            <v>0</v>
          </cell>
          <cell r="AB16">
            <v>0</v>
          </cell>
          <cell r="AC16">
            <v>126.75</v>
          </cell>
          <cell r="AD16">
            <v>0</v>
          </cell>
          <cell r="AE16">
            <v>0</v>
          </cell>
          <cell r="AF16">
            <v>12.675000000000001</v>
          </cell>
          <cell r="AG16">
            <v>0</v>
          </cell>
          <cell r="AH16">
            <v>0</v>
          </cell>
          <cell r="AI16">
            <v>9.75</v>
          </cell>
          <cell r="AJ16">
            <v>0</v>
          </cell>
          <cell r="AK16">
            <v>0</v>
          </cell>
          <cell r="AL16">
            <v>112.5</v>
          </cell>
          <cell r="AM16">
            <v>0</v>
          </cell>
          <cell r="AN16">
            <v>0</v>
          </cell>
          <cell r="AO16">
            <v>146.25</v>
          </cell>
          <cell r="AP16">
            <v>0</v>
          </cell>
          <cell r="AQ16">
            <v>0</v>
          </cell>
          <cell r="AR16">
            <v>11.25</v>
          </cell>
          <cell r="AS16">
            <v>0</v>
          </cell>
          <cell r="AT16">
            <v>0</v>
          </cell>
          <cell r="AU16">
            <v>97.5</v>
          </cell>
          <cell r="AV16">
            <v>0</v>
          </cell>
          <cell r="AW16">
            <v>0</v>
          </cell>
          <cell r="AX16">
            <v>126.75</v>
          </cell>
          <cell r="AY16">
            <v>0</v>
          </cell>
          <cell r="AZ16">
            <v>0</v>
          </cell>
          <cell r="BA16">
            <v>9.75</v>
          </cell>
          <cell r="BB16">
            <v>0</v>
          </cell>
          <cell r="BC16">
            <v>0</v>
          </cell>
          <cell r="BD16">
            <v>150</v>
          </cell>
          <cell r="BE16">
            <v>0</v>
          </cell>
          <cell r="BF16">
            <v>0</v>
          </cell>
          <cell r="BG16">
            <v>195</v>
          </cell>
          <cell r="BH16">
            <v>0</v>
          </cell>
          <cell r="BI16">
            <v>0</v>
          </cell>
          <cell r="BJ16">
            <v>15</v>
          </cell>
          <cell r="BK16">
            <v>0</v>
          </cell>
          <cell r="BL16">
            <v>8</v>
          </cell>
          <cell r="BM16">
            <v>75</v>
          </cell>
          <cell r="BN16">
            <v>600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10492.5</v>
          </cell>
        </row>
        <row r="17">
          <cell r="C17">
            <v>32235</v>
          </cell>
          <cell r="D17" t="str">
            <v>APARICIO,JOHN PAUL SALMAZAN</v>
          </cell>
          <cell r="E17" t="str">
            <v>METAL STAMPING</v>
          </cell>
          <cell r="F17" t="str">
            <v>PRODUCTION</v>
          </cell>
          <cell r="G17" t="str">
            <v>Operator</v>
          </cell>
          <cell r="H17" t="str">
            <v>DL</v>
          </cell>
          <cell r="I17">
            <v>104</v>
          </cell>
          <cell r="J17">
            <v>13</v>
          </cell>
          <cell r="K17">
            <v>600</v>
          </cell>
          <cell r="L17">
            <v>7800</v>
          </cell>
          <cell r="M17">
            <v>0</v>
          </cell>
          <cell r="N17">
            <v>1.25</v>
          </cell>
          <cell r="O17">
            <v>0</v>
          </cell>
          <cell r="P17">
            <v>22</v>
          </cell>
          <cell r="Q17">
            <v>93.75</v>
          </cell>
          <cell r="R17">
            <v>2062.5</v>
          </cell>
          <cell r="S17">
            <v>24</v>
          </cell>
          <cell r="T17">
            <v>7.5</v>
          </cell>
          <cell r="U17">
            <v>180</v>
          </cell>
          <cell r="V17">
            <v>6</v>
          </cell>
          <cell r="W17">
            <v>9.375</v>
          </cell>
          <cell r="X17">
            <v>56.25</v>
          </cell>
          <cell r="Y17">
            <v>0</v>
          </cell>
          <cell r="Z17">
            <v>97.5</v>
          </cell>
          <cell r="AA17">
            <v>0</v>
          </cell>
          <cell r="AB17">
            <v>0</v>
          </cell>
          <cell r="AC17">
            <v>126.75</v>
          </cell>
          <cell r="AD17">
            <v>0</v>
          </cell>
          <cell r="AE17">
            <v>0</v>
          </cell>
          <cell r="AF17">
            <v>12.675000000000001</v>
          </cell>
          <cell r="AG17">
            <v>0</v>
          </cell>
          <cell r="AH17">
            <v>0</v>
          </cell>
          <cell r="AI17">
            <v>9.75</v>
          </cell>
          <cell r="AJ17">
            <v>0</v>
          </cell>
          <cell r="AK17">
            <v>0</v>
          </cell>
          <cell r="AL17">
            <v>112.5</v>
          </cell>
          <cell r="AM17">
            <v>0</v>
          </cell>
          <cell r="AN17">
            <v>0</v>
          </cell>
          <cell r="AO17">
            <v>146.25</v>
          </cell>
          <cell r="AP17">
            <v>0</v>
          </cell>
          <cell r="AQ17">
            <v>0</v>
          </cell>
          <cell r="AR17">
            <v>11.25</v>
          </cell>
          <cell r="AS17">
            <v>0</v>
          </cell>
          <cell r="AT17">
            <v>0</v>
          </cell>
          <cell r="AU17">
            <v>97.5</v>
          </cell>
          <cell r="AV17">
            <v>0</v>
          </cell>
          <cell r="AW17">
            <v>0</v>
          </cell>
          <cell r="AX17">
            <v>126.75</v>
          </cell>
          <cell r="AY17">
            <v>0</v>
          </cell>
          <cell r="AZ17">
            <v>0</v>
          </cell>
          <cell r="BA17">
            <v>9.75</v>
          </cell>
          <cell r="BB17">
            <v>0</v>
          </cell>
          <cell r="BC17">
            <v>0</v>
          </cell>
          <cell r="BD17">
            <v>150</v>
          </cell>
          <cell r="BE17">
            <v>0</v>
          </cell>
          <cell r="BF17">
            <v>0</v>
          </cell>
          <cell r="BG17">
            <v>195</v>
          </cell>
          <cell r="BH17">
            <v>0</v>
          </cell>
          <cell r="BI17">
            <v>0</v>
          </cell>
          <cell r="BJ17">
            <v>15</v>
          </cell>
          <cell r="BK17">
            <v>0</v>
          </cell>
          <cell r="BL17">
            <v>8</v>
          </cell>
          <cell r="BM17">
            <v>75</v>
          </cell>
          <cell r="BN17">
            <v>600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10698.75</v>
          </cell>
        </row>
        <row r="18">
          <cell r="C18">
            <v>5076</v>
          </cell>
          <cell r="D18" t="str">
            <v>ARAGDON, EDMUN AGUILAR</v>
          </cell>
          <cell r="E18" t="str">
            <v>METAL STAMPING</v>
          </cell>
          <cell r="F18" t="str">
            <v>PRODUCTION</v>
          </cell>
          <cell r="G18" t="str">
            <v>Operator</v>
          </cell>
          <cell r="H18" t="str">
            <v>DL</v>
          </cell>
          <cell r="I18">
            <v>72</v>
          </cell>
          <cell r="J18">
            <v>9</v>
          </cell>
          <cell r="K18">
            <v>600</v>
          </cell>
          <cell r="L18">
            <v>5400</v>
          </cell>
          <cell r="M18">
            <v>0</v>
          </cell>
          <cell r="N18">
            <v>1.25</v>
          </cell>
          <cell r="O18">
            <v>0</v>
          </cell>
          <cell r="P18">
            <v>10</v>
          </cell>
          <cell r="Q18">
            <v>93.75</v>
          </cell>
          <cell r="R18">
            <v>937.5</v>
          </cell>
          <cell r="S18">
            <v>42</v>
          </cell>
          <cell r="T18">
            <v>7.5</v>
          </cell>
          <cell r="U18">
            <v>315</v>
          </cell>
          <cell r="V18">
            <v>10</v>
          </cell>
          <cell r="W18">
            <v>9.375</v>
          </cell>
          <cell r="X18">
            <v>93.75</v>
          </cell>
          <cell r="Y18">
            <v>8</v>
          </cell>
          <cell r="Z18">
            <v>97.5</v>
          </cell>
          <cell r="AA18">
            <v>780</v>
          </cell>
          <cell r="AB18">
            <v>0</v>
          </cell>
          <cell r="AC18">
            <v>126.75</v>
          </cell>
          <cell r="AD18">
            <v>0</v>
          </cell>
          <cell r="AE18">
            <v>0</v>
          </cell>
          <cell r="AF18">
            <v>12.675000000000001</v>
          </cell>
          <cell r="AG18">
            <v>0</v>
          </cell>
          <cell r="AH18">
            <v>0</v>
          </cell>
          <cell r="AI18">
            <v>9.75</v>
          </cell>
          <cell r="AJ18">
            <v>0</v>
          </cell>
          <cell r="AK18">
            <v>0</v>
          </cell>
          <cell r="AL18">
            <v>112.5</v>
          </cell>
          <cell r="AM18">
            <v>0</v>
          </cell>
          <cell r="AN18">
            <v>0</v>
          </cell>
          <cell r="AO18">
            <v>146.25</v>
          </cell>
          <cell r="AP18">
            <v>0</v>
          </cell>
          <cell r="AQ18">
            <v>0</v>
          </cell>
          <cell r="AR18">
            <v>11.25</v>
          </cell>
          <cell r="AS18">
            <v>0</v>
          </cell>
          <cell r="AT18">
            <v>0</v>
          </cell>
          <cell r="AU18">
            <v>97.5</v>
          </cell>
          <cell r="AV18">
            <v>0</v>
          </cell>
          <cell r="AW18">
            <v>0</v>
          </cell>
          <cell r="AX18">
            <v>126.75</v>
          </cell>
          <cell r="AY18">
            <v>0</v>
          </cell>
          <cell r="AZ18">
            <v>0</v>
          </cell>
          <cell r="BA18">
            <v>9.75</v>
          </cell>
          <cell r="BB18">
            <v>0</v>
          </cell>
          <cell r="BC18">
            <v>0</v>
          </cell>
          <cell r="BD18">
            <v>150</v>
          </cell>
          <cell r="BE18">
            <v>0</v>
          </cell>
          <cell r="BF18">
            <v>0</v>
          </cell>
          <cell r="BG18">
            <v>195</v>
          </cell>
          <cell r="BH18">
            <v>0</v>
          </cell>
          <cell r="BI18">
            <v>0</v>
          </cell>
          <cell r="BJ18">
            <v>15</v>
          </cell>
          <cell r="BK18">
            <v>0</v>
          </cell>
          <cell r="BL18">
            <v>8</v>
          </cell>
          <cell r="BM18">
            <v>75</v>
          </cell>
          <cell r="BN18">
            <v>600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8126.25</v>
          </cell>
        </row>
        <row r="19">
          <cell r="C19">
            <v>12835</v>
          </cell>
          <cell r="D19" t="str">
            <v>ARAÑEZ, JOHN RANDLE BANGATE</v>
          </cell>
          <cell r="E19" t="str">
            <v>METAL STAMPING</v>
          </cell>
          <cell r="F19" t="str">
            <v>PRODUCTION</v>
          </cell>
          <cell r="G19" t="str">
            <v>Operator</v>
          </cell>
          <cell r="H19" t="str">
            <v>DL</v>
          </cell>
          <cell r="I19">
            <v>100</v>
          </cell>
          <cell r="J19">
            <v>12.5</v>
          </cell>
          <cell r="K19">
            <v>600</v>
          </cell>
          <cell r="L19">
            <v>7500</v>
          </cell>
          <cell r="M19">
            <v>0</v>
          </cell>
          <cell r="N19">
            <v>1.25</v>
          </cell>
          <cell r="O19">
            <v>0</v>
          </cell>
          <cell r="P19">
            <v>16</v>
          </cell>
          <cell r="Q19">
            <v>93.75</v>
          </cell>
          <cell r="R19">
            <v>1500</v>
          </cell>
          <cell r="S19">
            <v>0</v>
          </cell>
          <cell r="T19">
            <v>7.5</v>
          </cell>
          <cell r="U19">
            <v>0</v>
          </cell>
          <cell r="V19">
            <v>0</v>
          </cell>
          <cell r="W19">
            <v>9.375</v>
          </cell>
          <cell r="X19">
            <v>0</v>
          </cell>
          <cell r="Y19">
            <v>0</v>
          </cell>
          <cell r="Z19">
            <v>97.5</v>
          </cell>
          <cell r="AA19">
            <v>0</v>
          </cell>
          <cell r="AB19">
            <v>0</v>
          </cell>
          <cell r="AC19">
            <v>126.75</v>
          </cell>
          <cell r="AD19">
            <v>0</v>
          </cell>
          <cell r="AE19">
            <v>0</v>
          </cell>
          <cell r="AF19">
            <v>12.675000000000001</v>
          </cell>
          <cell r="AG19">
            <v>0</v>
          </cell>
          <cell r="AH19">
            <v>0</v>
          </cell>
          <cell r="AI19">
            <v>9.75</v>
          </cell>
          <cell r="AJ19">
            <v>0</v>
          </cell>
          <cell r="AK19">
            <v>0</v>
          </cell>
          <cell r="AL19">
            <v>112.5</v>
          </cell>
          <cell r="AM19">
            <v>0</v>
          </cell>
          <cell r="AN19">
            <v>0</v>
          </cell>
          <cell r="AO19">
            <v>146.25</v>
          </cell>
          <cell r="AP19">
            <v>0</v>
          </cell>
          <cell r="AQ19">
            <v>0</v>
          </cell>
          <cell r="AR19">
            <v>11.25</v>
          </cell>
          <cell r="AS19">
            <v>0</v>
          </cell>
          <cell r="AT19">
            <v>0</v>
          </cell>
          <cell r="AU19">
            <v>97.5</v>
          </cell>
          <cell r="AV19">
            <v>0</v>
          </cell>
          <cell r="AW19">
            <v>0</v>
          </cell>
          <cell r="AX19">
            <v>126.75</v>
          </cell>
          <cell r="AY19">
            <v>0</v>
          </cell>
          <cell r="AZ19">
            <v>0</v>
          </cell>
          <cell r="BA19">
            <v>9.75</v>
          </cell>
          <cell r="BB19">
            <v>0</v>
          </cell>
          <cell r="BC19">
            <v>0</v>
          </cell>
          <cell r="BD19">
            <v>150</v>
          </cell>
          <cell r="BE19">
            <v>0</v>
          </cell>
          <cell r="BF19">
            <v>0</v>
          </cell>
          <cell r="BG19">
            <v>195</v>
          </cell>
          <cell r="BH19">
            <v>0</v>
          </cell>
          <cell r="BI19">
            <v>0</v>
          </cell>
          <cell r="BJ19">
            <v>15</v>
          </cell>
          <cell r="BK19">
            <v>0</v>
          </cell>
          <cell r="BL19">
            <v>8</v>
          </cell>
          <cell r="BM19">
            <v>75</v>
          </cell>
          <cell r="BN19">
            <v>600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9600</v>
          </cell>
        </row>
        <row r="20">
          <cell r="C20">
            <v>6808</v>
          </cell>
          <cell r="D20" t="str">
            <v>ARCILLA, MICAELL MERILLO</v>
          </cell>
          <cell r="E20" t="str">
            <v>METAL STAMPING</v>
          </cell>
          <cell r="F20" t="str">
            <v>PRODUCTION</v>
          </cell>
          <cell r="G20" t="str">
            <v>Operator</v>
          </cell>
          <cell r="H20" t="str">
            <v>DL</v>
          </cell>
          <cell r="I20">
            <v>104</v>
          </cell>
          <cell r="J20">
            <v>13</v>
          </cell>
          <cell r="K20">
            <v>600</v>
          </cell>
          <cell r="L20">
            <v>7800</v>
          </cell>
          <cell r="M20">
            <v>0</v>
          </cell>
          <cell r="N20">
            <v>1.25</v>
          </cell>
          <cell r="O20">
            <v>0</v>
          </cell>
          <cell r="P20">
            <v>20</v>
          </cell>
          <cell r="Q20">
            <v>93.75</v>
          </cell>
          <cell r="R20">
            <v>1875</v>
          </cell>
          <cell r="S20">
            <v>24</v>
          </cell>
          <cell r="T20">
            <v>7.5</v>
          </cell>
          <cell r="U20">
            <v>180</v>
          </cell>
          <cell r="V20">
            <v>6</v>
          </cell>
          <cell r="W20">
            <v>9.375</v>
          </cell>
          <cell r="X20">
            <v>56.25</v>
          </cell>
          <cell r="Y20">
            <v>0</v>
          </cell>
          <cell r="Z20">
            <v>97.5</v>
          </cell>
          <cell r="AA20">
            <v>0</v>
          </cell>
          <cell r="AB20">
            <v>0</v>
          </cell>
          <cell r="AC20">
            <v>126.75</v>
          </cell>
          <cell r="AD20">
            <v>0</v>
          </cell>
          <cell r="AE20">
            <v>0</v>
          </cell>
          <cell r="AF20">
            <v>12.675000000000001</v>
          </cell>
          <cell r="AG20">
            <v>0</v>
          </cell>
          <cell r="AH20">
            <v>0</v>
          </cell>
          <cell r="AI20">
            <v>9.75</v>
          </cell>
          <cell r="AJ20">
            <v>0</v>
          </cell>
          <cell r="AK20">
            <v>0</v>
          </cell>
          <cell r="AL20">
            <v>112.5</v>
          </cell>
          <cell r="AM20">
            <v>0</v>
          </cell>
          <cell r="AN20">
            <v>0</v>
          </cell>
          <cell r="AO20">
            <v>146.25</v>
          </cell>
          <cell r="AP20">
            <v>0</v>
          </cell>
          <cell r="AQ20">
            <v>0</v>
          </cell>
          <cell r="AR20">
            <v>11.25</v>
          </cell>
          <cell r="AS20">
            <v>0</v>
          </cell>
          <cell r="AT20">
            <v>0</v>
          </cell>
          <cell r="AU20">
            <v>97.5</v>
          </cell>
          <cell r="AV20">
            <v>0</v>
          </cell>
          <cell r="AW20">
            <v>0</v>
          </cell>
          <cell r="AX20">
            <v>126.75</v>
          </cell>
          <cell r="AY20">
            <v>0</v>
          </cell>
          <cell r="AZ20">
            <v>0</v>
          </cell>
          <cell r="BA20">
            <v>9.75</v>
          </cell>
          <cell r="BB20">
            <v>0</v>
          </cell>
          <cell r="BC20">
            <v>0</v>
          </cell>
          <cell r="BD20">
            <v>150</v>
          </cell>
          <cell r="BE20">
            <v>0</v>
          </cell>
          <cell r="BF20">
            <v>0</v>
          </cell>
          <cell r="BG20">
            <v>195</v>
          </cell>
          <cell r="BH20">
            <v>0</v>
          </cell>
          <cell r="BI20">
            <v>0</v>
          </cell>
          <cell r="BJ20">
            <v>15</v>
          </cell>
          <cell r="BK20">
            <v>0</v>
          </cell>
          <cell r="BL20">
            <v>8</v>
          </cell>
          <cell r="BM20">
            <v>75</v>
          </cell>
          <cell r="BN20">
            <v>600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10511.25</v>
          </cell>
        </row>
        <row r="21">
          <cell r="C21">
            <v>32519</v>
          </cell>
          <cell r="D21" t="str">
            <v>ARELLANO, LORILYN MERCADO</v>
          </cell>
          <cell r="E21" t="str">
            <v>METAL STAMPING</v>
          </cell>
          <cell r="F21" t="str">
            <v>PRODUCTION</v>
          </cell>
          <cell r="G21" t="str">
            <v>Operator</v>
          </cell>
          <cell r="H21" t="str">
            <v>IDL</v>
          </cell>
          <cell r="I21">
            <v>104</v>
          </cell>
          <cell r="J21">
            <v>13</v>
          </cell>
          <cell r="K21">
            <v>600</v>
          </cell>
          <cell r="L21">
            <v>7800</v>
          </cell>
          <cell r="M21">
            <v>0</v>
          </cell>
          <cell r="N21">
            <v>1.25</v>
          </cell>
          <cell r="O21">
            <v>0</v>
          </cell>
          <cell r="P21">
            <v>22</v>
          </cell>
          <cell r="Q21">
            <v>93.75</v>
          </cell>
          <cell r="R21">
            <v>2062.5</v>
          </cell>
          <cell r="S21">
            <v>24</v>
          </cell>
          <cell r="T21">
            <v>7.5</v>
          </cell>
          <cell r="U21">
            <v>180</v>
          </cell>
          <cell r="V21">
            <v>6</v>
          </cell>
          <cell r="W21">
            <v>9.375</v>
          </cell>
          <cell r="X21">
            <v>56.25</v>
          </cell>
          <cell r="Y21">
            <v>0</v>
          </cell>
          <cell r="Z21">
            <v>97.5</v>
          </cell>
          <cell r="AA21">
            <v>0</v>
          </cell>
          <cell r="AB21">
            <v>0</v>
          </cell>
          <cell r="AC21">
            <v>126.75</v>
          </cell>
          <cell r="AD21">
            <v>0</v>
          </cell>
          <cell r="AE21">
            <v>0</v>
          </cell>
          <cell r="AF21">
            <v>12.675000000000001</v>
          </cell>
          <cell r="AG21">
            <v>0</v>
          </cell>
          <cell r="AH21">
            <v>0</v>
          </cell>
          <cell r="AI21">
            <v>9.75</v>
          </cell>
          <cell r="AJ21">
            <v>0</v>
          </cell>
          <cell r="AK21">
            <v>0</v>
          </cell>
          <cell r="AL21">
            <v>112.5</v>
          </cell>
          <cell r="AM21">
            <v>0</v>
          </cell>
          <cell r="AN21">
            <v>0</v>
          </cell>
          <cell r="AO21">
            <v>146.25</v>
          </cell>
          <cell r="AP21">
            <v>0</v>
          </cell>
          <cell r="AQ21">
            <v>0</v>
          </cell>
          <cell r="AR21">
            <v>11.25</v>
          </cell>
          <cell r="AS21">
            <v>0</v>
          </cell>
          <cell r="AT21">
            <v>0</v>
          </cell>
          <cell r="AU21">
            <v>97.5</v>
          </cell>
          <cell r="AV21">
            <v>0</v>
          </cell>
          <cell r="AW21">
            <v>0</v>
          </cell>
          <cell r="AX21">
            <v>126.75</v>
          </cell>
          <cell r="AY21">
            <v>0</v>
          </cell>
          <cell r="AZ21">
            <v>0</v>
          </cell>
          <cell r="BA21">
            <v>9.75</v>
          </cell>
          <cell r="BB21">
            <v>0</v>
          </cell>
          <cell r="BC21">
            <v>0</v>
          </cell>
          <cell r="BD21">
            <v>150</v>
          </cell>
          <cell r="BE21">
            <v>0</v>
          </cell>
          <cell r="BF21">
            <v>0</v>
          </cell>
          <cell r="BG21">
            <v>195</v>
          </cell>
          <cell r="BH21">
            <v>0</v>
          </cell>
          <cell r="BI21">
            <v>0</v>
          </cell>
          <cell r="BJ21">
            <v>15</v>
          </cell>
          <cell r="BK21">
            <v>0</v>
          </cell>
          <cell r="BL21">
            <v>8</v>
          </cell>
          <cell r="BM21">
            <v>75</v>
          </cell>
          <cell r="BN21">
            <v>600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10698.75</v>
          </cell>
        </row>
        <row r="22">
          <cell r="C22">
            <v>14543</v>
          </cell>
          <cell r="D22" t="str">
            <v>AVILA, JOANA NICOLE PENOL</v>
          </cell>
          <cell r="E22" t="str">
            <v>METAL STAMPING</v>
          </cell>
          <cell r="F22" t="str">
            <v>PRODUCTION</v>
          </cell>
          <cell r="G22" t="str">
            <v>Operator</v>
          </cell>
          <cell r="H22" t="str">
            <v>IDL</v>
          </cell>
          <cell r="I22">
            <v>104</v>
          </cell>
          <cell r="J22">
            <v>13</v>
          </cell>
          <cell r="K22">
            <v>600</v>
          </cell>
          <cell r="L22">
            <v>7800</v>
          </cell>
          <cell r="M22">
            <v>0</v>
          </cell>
          <cell r="N22">
            <v>1.25</v>
          </cell>
          <cell r="O22">
            <v>0</v>
          </cell>
          <cell r="P22">
            <v>20</v>
          </cell>
          <cell r="Q22">
            <v>93.75</v>
          </cell>
          <cell r="R22">
            <v>1875</v>
          </cell>
          <cell r="S22">
            <v>54</v>
          </cell>
          <cell r="T22">
            <v>7.5</v>
          </cell>
          <cell r="U22">
            <v>405</v>
          </cell>
          <cell r="V22">
            <v>16</v>
          </cell>
          <cell r="W22">
            <v>9.375</v>
          </cell>
          <cell r="X22">
            <v>150</v>
          </cell>
          <cell r="Y22">
            <v>8</v>
          </cell>
          <cell r="Z22">
            <v>97.5</v>
          </cell>
          <cell r="AA22">
            <v>780</v>
          </cell>
          <cell r="AB22">
            <v>0</v>
          </cell>
          <cell r="AC22">
            <v>126.75</v>
          </cell>
          <cell r="AD22">
            <v>0</v>
          </cell>
          <cell r="AE22">
            <v>0</v>
          </cell>
          <cell r="AF22">
            <v>12.675000000000001</v>
          </cell>
          <cell r="AG22">
            <v>0</v>
          </cell>
          <cell r="AH22">
            <v>0</v>
          </cell>
          <cell r="AI22">
            <v>9.75</v>
          </cell>
          <cell r="AJ22">
            <v>0</v>
          </cell>
          <cell r="AK22">
            <v>0</v>
          </cell>
          <cell r="AL22">
            <v>112.5</v>
          </cell>
          <cell r="AM22">
            <v>0</v>
          </cell>
          <cell r="AN22">
            <v>0</v>
          </cell>
          <cell r="AO22">
            <v>146.25</v>
          </cell>
          <cell r="AP22">
            <v>0</v>
          </cell>
          <cell r="AQ22">
            <v>0</v>
          </cell>
          <cell r="AR22">
            <v>11.25</v>
          </cell>
          <cell r="AS22">
            <v>0</v>
          </cell>
          <cell r="AT22">
            <v>0</v>
          </cell>
          <cell r="AU22">
            <v>97.5</v>
          </cell>
          <cell r="AV22">
            <v>0</v>
          </cell>
          <cell r="AW22">
            <v>0</v>
          </cell>
          <cell r="AX22">
            <v>126.75</v>
          </cell>
          <cell r="AY22">
            <v>0</v>
          </cell>
          <cell r="AZ22">
            <v>0</v>
          </cell>
          <cell r="BA22">
            <v>9.75</v>
          </cell>
          <cell r="BB22">
            <v>0</v>
          </cell>
          <cell r="BC22">
            <v>0</v>
          </cell>
          <cell r="BD22">
            <v>150</v>
          </cell>
          <cell r="BE22">
            <v>0</v>
          </cell>
          <cell r="BF22">
            <v>0</v>
          </cell>
          <cell r="BG22">
            <v>195</v>
          </cell>
          <cell r="BH22">
            <v>0</v>
          </cell>
          <cell r="BI22">
            <v>0</v>
          </cell>
          <cell r="BJ22">
            <v>15</v>
          </cell>
          <cell r="BK22">
            <v>0</v>
          </cell>
          <cell r="BL22">
            <v>8</v>
          </cell>
          <cell r="BM22">
            <v>75</v>
          </cell>
          <cell r="BN22">
            <v>600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11610</v>
          </cell>
        </row>
        <row r="23">
          <cell r="C23">
            <v>32436</v>
          </cell>
          <cell r="D23" t="str">
            <v>BAJAMONDE, MARLON SAN ANDRES</v>
          </cell>
          <cell r="E23" t="str">
            <v>METAL STAMPING</v>
          </cell>
          <cell r="F23" t="str">
            <v>PRODUCTION</v>
          </cell>
          <cell r="G23" t="str">
            <v>Operator</v>
          </cell>
          <cell r="H23" t="str">
            <v>DL</v>
          </cell>
          <cell r="I23">
            <v>104</v>
          </cell>
          <cell r="J23">
            <v>13</v>
          </cell>
          <cell r="K23">
            <v>600</v>
          </cell>
          <cell r="L23">
            <v>7800</v>
          </cell>
          <cell r="M23">
            <v>0</v>
          </cell>
          <cell r="N23">
            <v>1.25</v>
          </cell>
          <cell r="O23">
            <v>0</v>
          </cell>
          <cell r="P23">
            <v>20</v>
          </cell>
          <cell r="Q23">
            <v>93.75</v>
          </cell>
          <cell r="R23">
            <v>1875</v>
          </cell>
          <cell r="S23">
            <v>24</v>
          </cell>
          <cell r="T23">
            <v>7.5</v>
          </cell>
          <cell r="U23">
            <v>180</v>
          </cell>
          <cell r="V23">
            <v>4</v>
          </cell>
          <cell r="W23">
            <v>9.375</v>
          </cell>
          <cell r="X23">
            <v>37.5</v>
          </cell>
          <cell r="Y23">
            <v>0</v>
          </cell>
          <cell r="Z23">
            <v>97.5</v>
          </cell>
          <cell r="AA23">
            <v>0</v>
          </cell>
          <cell r="AB23">
            <v>0</v>
          </cell>
          <cell r="AC23">
            <v>126.75</v>
          </cell>
          <cell r="AD23">
            <v>0</v>
          </cell>
          <cell r="AE23">
            <v>0</v>
          </cell>
          <cell r="AF23">
            <v>12.675000000000001</v>
          </cell>
          <cell r="AG23">
            <v>0</v>
          </cell>
          <cell r="AH23">
            <v>0</v>
          </cell>
          <cell r="AI23">
            <v>9.75</v>
          </cell>
          <cell r="AJ23">
            <v>0</v>
          </cell>
          <cell r="AK23">
            <v>0</v>
          </cell>
          <cell r="AL23">
            <v>112.5</v>
          </cell>
          <cell r="AM23">
            <v>0</v>
          </cell>
          <cell r="AN23">
            <v>0</v>
          </cell>
          <cell r="AO23">
            <v>146.25</v>
          </cell>
          <cell r="AP23">
            <v>0</v>
          </cell>
          <cell r="AQ23">
            <v>0</v>
          </cell>
          <cell r="AR23">
            <v>11.25</v>
          </cell>
          <cell r="AS23">
            <v>0</v>
          </cell>
          <cell r="AT23">
            <v>0</v>
          </cell>
          <cell r="AU23">
            <v>97.5</v>
          </cell>
          <cell r="AV23">
            <v>0</v>
          </cell>
          <cell r="AW23">
            <v>0</v>
          </cell>
          <cell r="AX23">
            <v>126.75</v>
          </cell>
          <cell r="AY23">
            <v>0</v>
          </cell>
          <cell r="AZ23">
            <v>0</v>
          </cell>
          <cell r="BA23">
            <v>9.75</v>
          </cell>
          <cell r="BB23">
            <v>0</v>
          </cell>
          <cell r="BC23">
            <v>0</v>
          </cell>
          <cell r="BD23">
            <v>150</v>
          </cell>
          <cell r="BE23">
            <v>0</v>
          </cell>
          <cell r="BF23">
            <v>0</v>
          </cell>
          <cell r="BG23">
            <v>195</v>
          </cell>
          <cell r="BH23">
            <v>0</v>
          </cell>
          <cell r="BI23">
            <v>0</v>
          </cell>
          <cell r="BJ23">
            <v>15</v>
          </cell>
          <cell r="BK23">
            <v>0</v>
          </cell>
          <cell r="BL23">
            <v>8</v>
          </cell>
          <cell r="BM23">
            <v>75</v>
          </cell>
          <cell r="BN23">
            <v>600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10492.5</v>
          </cell>
        </row>
        <row r="24">
          <cell r="C24">
            <v>14760</v>
          </cell>
          <cell r="D24" t="str">
            <v>BALBA, CHRISTOPHER LALOMA</v>
          </cell>
          <cell r="E24" t="str">
            <v>METAL STAMPING</v>
          </cell>
          <cell r="F24" t="str">
            <v>PRODUCTION</v>
          </cell>
          <cell r="G24" t="str">
            <v>Operator</v>
          </cell>
          <cell r="H24" t="str">
            <v>IDL</v>
          </cell>
          <cell r="I24">
            <v>104</v>
          </cell>
          <cell r="J24">
            <v>13</v>
          </cell>
          <cell r="K24">
            <v>600</v>
          </cell>
          <cell r="L24">
            <v>7800</v>
          </cell>
          <cell r="M24">
            <v>0</v>
          </cell>
          <cell r="N24">
            <v>1.25</v>
          </cell>
          <cell r="O24">
            <v>0</v>
          </cell>
          <cell r="P24">
            <v>22</v>
          </cell>
          <cell r="Q24">
            <v>93.75</v>
          </cell>
          <cell r="R24">
            <v>2062.5</v>
          </cell>
          <cell r="S24">
            <v>24</v>
          </cell>
          <cell r="T24">
            <v>7.5</v>
          </cell>
          <cell r="U24">
            <v>180</v>
          </cell>
          <cell r="V24">
            <v>6</v>
          </cell>
          <cell r="W24">
            <v>9.375</v>
          </cell>
          <cell r="X24">
            <v>56.25</v>
          </cell>
          <cell r="Y24">
            <v>0</v>
          </cell>
          <cell r="Z24">
            <v>97.5</v>
          </cell>
          <cell r="AA24">
            <v>0</v>
          </cell>
          <cell r="AB24">
            <v>0</v>
          </cell>
          <cell r="AC24">
            <v>126.75</v>
          </cell>
          <cell r="AD24">
            <v>0</v>
          </cell>
          <cell r="AE24">
            <v>0</v>
          </cell>
          <cell r="AF24">
            <v>12.675000000000001</v>
          </cell>
          <cell r="AG24">
            <v>0</v>
          </cell>
          <cell r="AH24">
            <v>0</v>
          </cell>
          <cell r="AI24">
            <v>9.75</v>
          </cell>
          <cell r="AJ24">
            <v>0</v>
          </cell>
          <cell r="AK24">
            <v>0</v>
          </cell>
          <cell r="AL24">
            <v>112.5</v>
          </cell>
          <cell r="AM24">
            <v>0</v>
          </cell>
          <cell r="AN24">
            <v>0</v>
          </cell>
          <cell r="AO24">
            <v>146.25</v>
          </cell>
          <cell r="AP24">
            <v>0</v>
          </cell>
          <cell r="AQ24">
            <v>0</v>
          </cell>
          <cell r="AR24">
            <v>11.25</v>
          </cell>
          <cell r="AS24">
            <v>0</v>
          </cell>
          <cell r="AT24">
            <v>0</v>
          </cell>
          <cell r="AU24">
            <v>97.5</v>
          </cell>
          <cell r="AV24">
            <v>0</v>
          </cell>
          <cell r="AW24">
            <v>0</v>
          </cell>
          <cell r="AX24">
            <v>126.75</v>
          </cell>
          <cell r="AY24">
            <v>0</v>
          </cell>
          <cell r="AZ24">
            <v>0</v>
          </cell>
          <cell r="BA24">
            <v>9.75</v>
          </cell>
          <cell r="BB24">
            <v>0</v>
          </cell>
          <cell r="BC24">
            <v>0</v>
          </cell>
          <cell r="BD24">
            <v>150</v>
          </cell>
          <cell r="BE24">
            <v>0</v>
          </cell>
          <cell r="BF24">
            <v>0</v>
          </cell>
          <cell r="BG24">
            <v>195</v>
          </cell>
          <cell r="BH24">
            <v>0</v>
          </cell>
          <cell r="BI24">
            <v>0</v>
          </cell>
          <cell r="BJ24">
            <v>15</v>
          </cell>
          <cell r="BK24">
            <v>0</v>
          </cell>
          <cell r="BL24">
            <v>8</v>
          </cell>
          <cell r="BM24">
            <v>75</v>
          </cell>
          <cell r="BN24">
            <v>600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10698.75</v>
          </cell>
        </row>
        <row r="25">
          <cell r="C25">
            <v>10033</v>
          </cell>
          <cell r="D25" t="str">
            <v>BALBIN, PRENCESA ESPINILI</v>
          </cell>
          <cell r="E25" t="str">
            <v>METAL STAMPING</v>
          </cell>
          <cell r="F25" t="str">
            <v>PRODUCTION</v>
          </cell>
          <cell r="G25" t="str">
            <v>Operator</v>
          </cell>
          <cell r="H25" t="str">
            <v>DL</v>
          </cell>
          <cell r="I25">
            <v>104</v>
          </cell>
          <cell r="J25">
            <v>13</v>
          </cell>
          <cell r="K25">
            <v>600</v>
          </cell>
          <cell r="L25">
            <v>7800</v>
          </cell>
          <cell r="M25">
            <v>0</v>
          </cell>
          <cell r="N25">
            <v>1.25</v>
          </cell>
          <cell r="O25">
            <v>0</v>
          </cell>
          <cell r="P25">
            <v>20</v>
          </cell>
          <cell r="Q25">
            <v>93.75</v>
          </cell>
          <cell r="R25">
            <v>1875</v>
          </cell>
          <cell r="S25">
            <v>24</v>
          </cell>
          <cell r="T25">
            <v>7.5</v>
          </cell>
          <cell r="U25">
            <v>180</v>
          </cell>
          <cell r="V25">
            <v>6</v>
          </cell>
          <cell r="W25">
            <v>9.375</v>
          </cell>
          <cell r="X25">
            <v>56.25</v>
          </cell>
          <cell r="Y25">
            <v>0</v>
          </cell>
          <cell r="Z25">
            <v>97.5</v>
          </cell>
          <cell r="AA25">
            <v>0</v>
          </cell>
          <cell r="AB25">
            <v>0</v>
          </cell>
          <cell r="AC25">
            <v>126.75</v>
          </cell>
          <cell r="AD25">
            <v>0</v>
          </cell>
          <cell r="AE25">
            <v>0</v>
          </cell>
          <cell r="AF25">
            <v>12.675000000000001</v>
          </cell>
          <cell r="AG25">
            <v>0</v>
          </cell>
          <cell r="AH25">
            <v>0</v>
          </cell>
          <cell r="AI25">
            <v>9.75</v>
          </cell>
          <cell r="AJ25">
            <v>0</v>
          </cell>
          <cell r="AK25">
            <v>0</v>
          </cell>
          <cell r="AL25">
            <v>112.5</v>
          </cell>
          <cell r="AM25">
            <v>0</v>
          </cell>
          <cell r="AN25">
            <v>0</v>
          </cell>
          <cell r="AO25">
            <v>146.25</v>
          </cell>
          <cell r="AP25">
            <v>0</v>
          </cell>
          <cell r="AQ25">
            <v>0</v>
          </cell>
          <cell r="AR25">
            <v>11.25</v>
          </cell>
          <cell r="AS25">
            <v>0</v>
          </cell>
          <cell r="AT25">
            <v>0</v>
          </cell>
          <cell r="AU25">
            <v>97.5</v>
          </cell>
          <cell r="AV25">
            <v>0</v>
          </cell>
          <cell r="AW25">
            <v>0</v>
          </cell>
          <cell r="AX25">
            <v>126.75</v>
          </cell>
          <cell r="AY25">
            <v>0</v>
          </cell>
          <cell r="AZ25">
            <v>0</v>
          </cell>
          <cell r="BA25">
            <v>9.75</v>
          </cell>
          <cell r="BB25">
            <v>0</v>
          </cell>
          <cell r="BC25">
            <v>0</v>
          </cell>
          <cell r="BD25">
            <v>150</v>
          </cell>
          <cell r="BE25">
            <v>0</v>
          </cell>
          <cell r="BF25">
            <v>0</v>
          </cell>
          <cell r="BG25">
            <v>195</v>
          </cell>
          <cell r="BH25">
            <v>0</v>
          </cell>
          <cell r="BI25">
            <v>0</v>
          </cell>
          <cell r="BJ25">
            <v>15</v>
          </cell>
          <cell r="BK25">
            <v>0</v>
          </cell>
          <cell r="BL25">
            <v>8</v>
          </cell>
          <cell r="BM25">
            <v>75</v>
          </cell>
          <cell r="BN25">
            <v>600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10511.25</v>
          </cell>
        </row>
        <row r="26">
          <cell r="C26">
            <v>11424</v>
          </cell>
          <cell r="D26" t="str">
            <v>BANGAHON, ELMER A.</v>
          </cell>
          <cell r="E26" t="str">
            <v>METAL STAMPING</v>
          </cell>
          <cell r="F26" t="str">
            <v>PRODUCTION</v>
          </cell>
          <cell r="G26" t="str">
            <v>Operator</v>
          </cell>
          <cell r="H26" t="str">
            <v>IDL</v>
          </cell>
          <cell r="I26">
            <v>104</v>
          </cell>
          <cell r="J26">
            <v>13</v>
          </cell>
          <cell r="K26">
            <v>600</v>
          </cell>
          <cell r="L26">
            <v>7800</v>
          </cell>
          <cell r="M26">
            <v>0</v>
          </cell>
          <cell r="N26">
            <v>1.25</v>
          </cell>
          <cell r="O26">
            <v>0</v>
          </cell>
          <cell r="P26">
            <v>14</v>
          </cell>
          <cell r="Q26">
            <v>93.75</v>
          </cell>
          <cell r="R26">
            <v>1312.5</v>
          </cell>
          <cell r="S26">
            <v>0</v>
          </cell>
          <cell r="T26">
            <v>7.5</v>
          </cell>
          <cell r="U26">
            <v>0</v>
          </cell>
          <cell r="V26">
            <v>0</v>
          </cell>
          <cell r="W26">
            <v>9.375</v>
          </cell>
          <cell r="X26">
            <v>0</v>
          </cell>
          <cell r="Y26">
            <v>0</v>
          </cell>
          <cell r="Z26">
            <v>97.5</v>
          </cell>
          <cell r="AA26">
            <v>0</v>
          </cell>
          <cell r="AB26">
            <v>0</v>
          </cell>
          <cell r="AC26">
            <v>126.75</v>
          </cell>
          <cell r="AD26">
            <v>0</v>
          </cell>
          <cell r="AE26">
            <v>0</v>
          </cell>
          <cell r="AF26">
            <v>12.675000000000001</v>
          </cell>
          <cell r="AG26">
            <v>0</v>
          </cell>
          <cell r="AH26">
            <v>0</v>
          </cell>
          <cell r="AI26">
            <v>9.75</v>
          </cell>
          <cell r="AJ26">
            <v>0</v>
          </cell>
          <cell r="AK26">
            <v>0</v>
          </cell>
          <cell r="AL26">
            <v>112.5</v>
          </cell>
          <cell r="AM26">
            <v>0</v>
          </cell>
          <cell r="AN26">
            <v>0</v>
          </cell>
          <cell r="AO26">
            <v>146.25</v>
          </cell>
          <cell r="AP26">
            <v>0</v>
          </cell>
          <cell r="AQ26">
            <v>0</v>
          </cell>
          <cell r="AR26">
            <v>11.25</v>
          </cell>
          <cell r="AS26">
            <v>0</v>
          </cell>
          <cell r="AT26">
            <v>0</v>
          </cell>
          <cell r="AU26">
            <v>97.5</v>
          </cell>
          <cell r="AV26">
            <v>0</v>
          </cell>
          <cell r="AW26">
            <v>0</v>
          </cell>
          <cell r="AX26">
            <v>126.75</v>
          </cell>
          <cell r="AY26">
            <v>0</v>
          </cell>
          <cell r="AZ26">
            <v>0</v>
          </cell>
          <cell r="BA26">
            <v>9.75</v>
          </cell>
          <cell r="BB26">
            <v>0</v>
          </cell>
          <cell r="BC26">
            <v>0</v>
          </cell>
          <cell r="BD26">
            <v>150</v>
          </cell>
          <cell r="BE26">
            <v>0</v>
          </cell>
          <cell r="BF26">
            <v>0</v>
          </cell>
          <cell r="BG26">
            <v>195</v>
          </cell>
          <cell r="BH26">
            <v>0</v>
          </cell>
          <cell r="BI26">
            <v>0</v>
          </cell>
          <cell r="BJ26">
            <v>15</v>
          </cell>
          <cell r="BK26">
            <v>0</v>
          </cell>
          <cell r="BL26">
            <v>8</v>
          </cell>
          <cell r="BM26">
            <v>75</v>
          </cell>
          <cell r="BN26">
            <v>600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9712.5</v>
          </cell>
        </row>
        <row r="27">
          <cell r="C27">
            <v>32503</v>
          </cell>
          <cell r="D27" t="str">
            <v xml:space="preserve">BANGUITO, SHYRA MAY </v>
          </cell>
          <cell r="E27" t="str">
            <v>METAL STAMPING</v>
          </cell>
          <cell r="F27" t="str">
            <v>PRODUCTION</v>
          </cell>
          <cell r="G27" t="str">
            <v>Operator</v>
          </cell>
          <cell r="H27" t="str">
            <v>DL</v>
          </cell>
          <cell r="I27">
            <v>96</v>
          </cell>
          <cell r="J27">
            <v>12</v>
          </cell>
          <cell r="K27">
            <v>600</v>
          </cell>
          <cell r="L27">
            <v>7200</v>
          </cell>
          <cell r="M27">
            <v>0</v>
          </cell>
          <cell r="N27">
            <v>1.25</v>
          </cell>
          <cell r="O27">
            <v>0</v>
          </cell>
          <cell r="P27">
            <v>20</v>
          </cell>
          <cell r="Q27">
            <v>93.75</v>
          </cell>
          <cell r="R27">
            <v>1875</v>
          </cell>
          <cell r="S27">
            <v>24</v>
          </cell>
          <cell r="T27">
            <v>7.5</v>
          </cell>
          <cell r="U27">
            <v>180</v>
          </cell>
          <cell r="V27">
            <v>6</v>
          </cell>
          <cell r="W27">
            <v>9.375</v>
          </cell>
          <cell r="X27">
            <v>56.25</v>
          </cell>
          <cell r="Y27">
            <v>0</v>
          </cell>
          <cell r="Z27">
            <v>97.5</v>
          </cell>
          <cell r="AA27">
            <v>0</v>
          </cell>
          <cell r="AB27">
            <v>0</v>
          </cell>
          <cell r="AC27">
            <v>126.75</v>
          </cell>
          <cell r="AD27">
            <v>0</v>
          </cell>
          <cell r="AE27">
            <v>0</v>
          </cell>
          <cell r="AF27">
            <v>12.675000000000001</v>
          </cell>
          <cell r="AG27">
            <v>0</v>
          </cell>
          <cell r="AH27">
            <v>0</v>
          </cell>
          <cell r="AI27">
            <v>9.75</v>
          </cell>
          <cell r="AJ27">
            <v>0</v>
          </cell>
          <cell r="AK27">
            <v>0</v>
          </cell>
          <cell r="AL27">
            <v>112.5</v>
          </cell>
          <cell r="AM27">
            <v>0</v>
          </cell>
          <cell r="AN27">
            <v>0</v>
          </cell>
          <cell r="AO27">
            <v>146.25</v>
          </cell>
          <cell r="AP27">
            <v>0</v>
          </cell>
          <cell r="AQ27">
            <v>0</v>
          </cell>
          <cell r="AR27">
            <v>11.25</v>
          </cell>
          <cell r="AS27">
            <v>0</v>
          </cell>
          <cell r="AT27">
            <v>0</v>
          </cell>
          <cell r="AU27">
            <v>97.5</v>
          </cell>
          <cell r="AV27">
            <v>0</v>
          </cell>
          <cell r="AW27">
            <v>0</v>
          </cell>
          <cell r="AX27">
            <v>126.75</v>
          </cell>
          <cell r="AY27">
            <v>0</v>
          </cell>
          <cell r="AZ27">
            <v>0</v>
          </cell>
          <cell r="BA27">
            <v>9.75</v>
          </cell>
          <cell r="BB27">
            <v>0</v>
          </cell>
          <cell r="BC27">
            <v>0</v>
          </cell>
          <cell r="BD27">
            <v>150</v>
          </cell>
          <cell r="BE27">
            <v>0</v>
          </cell>
          <cell r="BF27">
            <v>0</v>
          </cell>
          <cell r="BG27">
            <v>195</v>
          </cell>
          <cell r="BH27">
            <v>0</v>
          </cell>
          <cell r="BI27">
            <v>0</v>
          </cell>
          <cell r="BJ27">
            <v>15</v>
          </cell>
          <cell r="BK27">
            <v>0</v>
          </cell>
          <cell r="BL27">
            <v>8</v>
          </cell>
          <cell r="BM27">
            <v>75</v>
          </cell>
          <cell r="BN27">
            <v>600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9911.25</v>
          </cell>
        </row>
        <row r="28">
          <cell r="C28">
            <v>30679</v>
          </cell>
          <cell r="D28" t="str">
            <v>BARDON, NORLY VILLACRUEL</v>
          </cell>
          <cell r="E28" t="str">
            <v>METAL STAMPING</v>
          </cell>
          <cell r="F28" t="str">
            <v>PRODUCTION</v>
          </cell>
          <cell r="G28" t="str">
            <v>Operator</v>
          </cell>
          <cell r="H28" t="str">
            <v>DL</v>
          </cell>
          <cell r="I28">
            <v>104</v>
          </cell>
          <cell r="J28">
            <v>13</v>
          </cell>
          <cell r="K28">
            <v>600</v>
          </cell>
          <cell r="L28">
            <v>7800</v>
          </cell>
          <cell r="M28">
            <v>0</v>
          </cell>
          <cell r="N28">
            <v>1.25</v>
          </cell>
          <cell r="O28">
            <v>0</v>
          </cell>
          <cell r="P28">
            <v>22</v>
          </cell>
          <cell r="Q28">
            <v>93.75</v>
          </cell>
          <cell r="R28">
            <v>2062.5</v>
          </cell>
          <cell r="S28">
            <v>24</v>
          </cell>
          <cell r="T28">
            <v>7.5</v>
          </cell>
          <cell r="U28">
            <v>180</v>
          </cell>
          <cell r="V28">
            <v>6</v>
          </cell>
          <cell r="W28">
            <v>9.375</v>
          </cell>
          <cell r="X28">
            <v>56.25</v>
          </cell>
          <cell r="Y28">
            <v>0</v>
          </cell>
          <cell r="Z28">
            <v>97.5</v>
          </cell>
          <cell r="AA28">
            <v>0</v>
          </cell>
          <cell r="AB28">
            <v>0</v>
          </cell>
          <cell r="AC28">
            <v>126.75</v>
          </cell>
          <cell r="AD28">
            <v>0</v>
          </cell>
          <cell r="AE28">
            <v>0</v>
          </cell>
          <cell r="AF28">
            <v>12.675000000000001</v>
          </cell>
          <cell r="AG28">
            <v>0</v>
          </cell>
          <cell r="AH28">
            <v>0</v>
          </cell>
          <cell r="AI28">
            <v>9.75</v>
          </cell>
          <cell r="AJ28">
            <v>0</v>
          </cell>
          <cell r="AK28">
            <v>0</v>
          </cell>
          <cell r="AL28">
            <v>112.5</v>
          </cell>
          <cell r="AM28">
            <v>0</v>
          </cell>
          <cell r="AN28">
            <v>0</v>
          </cell>
          <cell r="AO28">
            <v>146.25</v>
          </cell>
          <cell r="AP28">
            <v>0</v>
          </cell>
          <cell r="AQ28">
            <v>0</v>
          </cell>
          <cell r="AR28">
            <v>11.25</v>
          </cell>
          <cell r="AS28">
            <v>0</v>
          </cell>
          <cell r="AT28">
            <v>0</v>
          </cell>
          <cell r="AU28">
            <v>97.5</v>
          </cell>
          <cell r="AV28">
            <v>0</v>
          </cell>
          <cell r="AW28">
            <v>0</v>
          </cell>
          <cell r="AX28">
            <v>126.75</v>
          </cell>
          <cell r="AY28">
            <v>0</v>
          </cell>
          <cell r="AZ28">
            <v>0</v>
          </cell>
          <cell r="BA28">
            <v>9.75</v>
          </cell>
          <cell r="BB28">
            <v>0</v>
          </cell>
          <cell r="BC28">
            <v>0</v>
          </cell>
          <cell r="BD28">
            <v>150</v>
          </cell>
          <cell r="BE28">
            <v>0</v>
          </cell>
          <cell r="BF28">
            <v>0</v>
          </cell>
          <cell r="BG28">
            <v>195</v>
          </cell>
          <cell r="BH28">
            <v>0</v>
          </cell>
          <cell r="BI28">
            <v>0</v>
          </cell>
          <cell r="BJ28">
            <v>15</v>
          </cell>
          <cell r="BK28">
            <v>0</v>
          </cell>
          <cell r="BL28">
            <v>8</v>
          </cell>
          <cell r="BM28">
            <v>75</v>
          </cell>
          <cell r="BN28">
            <v>600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10698.75</v>
          </cell>
        </row>
        <row r="29">
          <cell r="C29">
            <v>12859</v>
          </cell>
          <cell r="D29" t="str">
            <v>BASCUGUIN, BENEDICK TEANO</v>
          </cell>
          <cell r="E29" t="str">
            <v>METAL STAMPING</v>
          </cell>
          <cell r="F29" t="str">
            <v>PRODUCTION</v>
          </cell>
          <cell r="G29" t="str">
            <v>Operator</v>
          </cell>
          <cell r="H29" t="str">
            <v>DL</v>
          </cell>
          <cell r="I29">
            <v>96</v>
          </cell>
          <cell r="J29">
            <v>12</v>
          </cell>
          <cell r="K29">
            <v>600</v>
          </cell>
          <cell r="L29">
            <v>7200</v>
          </cell>
          <cell r="M29">
            <v>0</v>
          </cell>
          <cell r="N29">
            <v>1.25</v>
          </cell>
          <cell r="O29">
            <v>0</v>
          </cell>
          <cell r="P29">
            <v>16</v>
          </cell>
          <cell r="Q29">
            <v>93.75</v>
          </cell>
          <cell r="R29">
            <v>1500</v>
          </cell>
          <cell r="S29">
            <v>0</v>
          </cell>
          <cell r="T29">
            <v>7.5</v>
          </cell>
          <cell r="U29">
            <v>0</v>
          </cell>
          <cell r="V29">
            <v>0</v>
          </cell>
          <cell r="W29">
            <v>9.375</v>
          </cell>
          <cell r="X29">
            <v>0</v>
          </cell>
          <cell r="Y29">
            <v>0</v>
          </cell>
          <cell r="Z29">
            <v>97.5</v>
          </cell>
          <cell r="AA29">
            <v>0</v>
          </cell>
          <cell r="AB29">
            <v>0</v>
          </cell>
          <cell r="AC29">
            <v>126.75</v>
          </cell>
          <cell r="AD29">
            <v>0</v>
          </cell>
          <cell r="AE29">
            <v>0</v>
          </cell>
          <cell r="AF29">
            <v>12.675000000000001</v>
          </cell>
          <cell r="AG29">
            <v>0</v>
          </cell>
          <cell r="AH29">
            <v>0</v>
          </cell>
          <cell r="AI29">
            <v>9.75</v>
          </cell>
          <cell r="AJ29">
            <v>0</v>
          </cell>
          <cell r="AK29">
            <v>0</v>
          </cell>
          <cell r="AL29">
            <v>112.5</v>
          </cell>
          <cell r="AM29">
            <v>0</v>
          </cell>
          <cell r="AN29">
            <v>0</v>
          </cell>
          <cell r="AO29">
            <v>146.25</v>
          </cell>
          <cell r="AP29">
            <v>0</v>
          </cell>
          <cell r="AQ29">
            <v>0</v>
          </cell>
          <cell r="AR29">
            <v>11.25</v>
          </cell>
          <cell r="AS29">
            <v>0</v>
          </cell>
          <cell r="AT29">
            <v>0</v>
          </cell>
          <cell r="AU29">
            <v>97.5</v>
          </cell>
          <cell r="AV29">
            <v>0</v>
          </cell>
          <cell r="AW29">
            <v>0</v>
          </cell>
          <cell r="AX29">
            <v>126.75</v>
          </cell>
          <cell r="AY29">
            <v>0</v>
          </cell>
          <cell r="AZ29">
            <v>0</v>
          </cell>
          <cell r="BA29">
            <v>9.75</v>
          </cell>
          <cell r="BB29">
            <v>0</v>
          </cell>
          <cell r="BC29">
            <v>0</v>
          </cell>
          <cell r="BD29">
            <v>150</v>
          </cell>
          <cell r="BE29">
            <v>0</v>
          </cell>
          <cell r="BF29">
            <v>0</v>
          </cell>
          <cell r="BG29">
            <v>195</v>
          </cell>
          <cell r="BH29">
            <v>0</v>
          </cell>
          <cell r="BI29">
            <v>0</v>
          </cell>
          <cell r="BJ29">
            <v>15</v>
          </cell>
          <cell r="BK29">
            <v>0</v>
          </cell>
          <cell r="BL29">
            <v>8</v>
          </cell>
          <cell r="BM29">
            <v>75</v>
          </cell>
          <cell r="BN29">
            <v>600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9300</v>
          </cell>
        </row>
        <row r="30">
          <cell r="C30">
            <v>30339</v>
          </cell>
          <cell r="D30" t="str">
            <v>BAUTISTA, RODEL CARERA</v>
          </cell>
          <cell r="E30" t="str">
            <v>METAL STAMPING</v>
          </cell>
          <cell r="F30" t="str">
            <v>PRODUCTION</v>
          </cell>
          <cell r="G30" t="str">
            <v>Operator</v>
          </cell>
          <cell r="H30" t="str">
            <v>IDL</v>
          </cell>
          <cell r="I30">
            <v>96</v>
          </cell>
          <cell r="J30">
            <v>12</v>
          </cell>
          <cell r="K30">
            <v>600</v>
          </cell>
          <cell r="L30">
            <v>7200</v>
          </cell>
          <cell r="M30">
            <v>0</v>
          </cell>
          <cell r="N30">
            <v>1.25</v>
          </cell>
          <cell r="O30">
            <v>0</v>
          </cell>
          <cell r="P30">
            <v>18</v>
          </cell>
          <cell r="Q30">
            <v>93.75</v>
          </cell>
          <cell r="R30">
            <v>1687.5</v>
          </cell>
          <cell r="S30">
            <v>48</v>
          </cell>
          <cell r="T30">
            <v>7.5</v>
          </cell>
          <cell r="U30">
            <v>360</v>
          </cell>
          <cell r="V30">
            <v>14</v>
          </cell>
          <cell r="W30">
            <v>9.375</v>
          </cell>
          <cell r="X30">
            <v>131.25</v>
          </cell>
          <cell r="Y30">
            <v>0</v>
          </cell>
          <cell r="Z30">
            <v>97.5</v>
          </cell>
          <cell r="AA30">
            <v>0</v>
          </cell>
          <cell r="AB30">
            <v>0</v>
          </cell>
          <cell r="AC30">
            <v>126.75</v>
          </cell>
          <cell r="AD30">
            <v>0</v>
          </cell>
          <cell r="AE30">
            <v>0</v>
          </cell>
          <cell r="AF30">
            <v>12.675000000000001</v>
          </cell>
          <cell r="AG30">
            <v>0</v>
          </cell>
          <cell r="AH30">
            <v>0</v>
          </cell>
          <cell r="AI30">
            <v>9.75</v>
          </cell>
          <cell r="AJ30">
            <v>0</v>
          </cell>
          <cell r="AK30">
            <v>0</v>
          </cell>
          <cell r="AL30">
            <v>112.5</v>
          </cell>
          <cell r="AM30">
            <v>0</v>
          </cell>
          <cell r="AN30">
            <v>0</v>
          </cell>
          <cell r="AO30">
            <v>146.25</v>
          </cell>
          <cell r="AP30">
            <v>0</v>
          </cell>
          <cell r="AQ30">
            <v>0</v>
          </cell>
          <cell r="AR30">
            <v>11.25</v>
          </cell>
          <cell r="AS30">
            <v>0</v>
          </cell>
          <cell r="AT30">
            <v>0</v>
          </cell>
          <cell r="AU30">
            <v>97.5</v>
          </cell>
          <cell r="AV30">
            <v>0</v>
          </cell>
          <cell r="AW30">
            <v>0</v>
          </cell>
          <cell r="AX30">
            <v>126.75</v>
          </cell>
          <cell r="AY30">
            <v>0</v>
          </cell>
          <cell r="AZ30">
            <v>0</v>
          </cell>
          <cell r="BA30">
            <v>9.75</v>
          </cell>
          <cell r="BB30">
            <v>0</v>
          </cell>
          <cell r="BC30">
            <v>0</v>
          </cell>
          <cell r="BD30">
            <v>150</v>
          </cell>
          <cell r="BE30">
            <v>0</v>
          </cell>
          <cell r="BF30">
            <v>0</v>
          </cell>
          <cell r="BG30">
            <v>195</v>
          </cell>
          <cell r="BH30">
            <v>0</v>
          </cell>
          <cell r="BI30">
            <v>0</v>
          </cell>
          <cell r="BJ30">
            <v>15</v>
          </cell>
          <cell r="BK30">
            <v>0</v>
          </cell>
          <cell r="BL30">
            <v>8</v>
          </cell>
          <cell r="BM30">
            <v>75</v>
          </cell>
          <cell r="BN30">
            <v>600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9978.75</v>
          </cell>
        </row>
        <row r="31">
          <cell r="C31">
            <v>3839</v>
          </cell>
          <cell r="D31" t="str">
            <v>BAYANI, ELLAH MAY ABLING</v>
          </cell>
          <cell r="E31" t="str">
            <v>METAL STAMPING</v>
          </cell>
          <cell r="F31" t="str">
            <v>PRODUCTION</v>
          </cell>
          <cell r="G31" t="str">
            <v>Operator</v>
          </cell>
          <cell r="H31" t="str">
            <v>DL</v>
          </cell>
          <cell r="I31">
            <v>104</v>
          </cell>
          <cell r="J31">
            <v>13</v>
          </cell>
          <cell r="K31">
            <v>600</v>
          </cell>
          <cell r="L31">
            <v>7800</v>
          </cell>
          <cell r="M31">
            <v>0</v>
          </cell>
          <cell r="N31">
            <v>1.25</v>
          </cell>
          <cell r="O31">
            <v>0</v>
          </cell>
          <cell r="P31">
            <v>18</v>
          </cell>
          <cell r="Q31">
            <v>93.75</v>
          </cell>
          <cell r="R31">
            <v>1687.5</v>
          </cell>
          <cell r="S31">
            <v>54</v>
          </cell>
          <cell r="T31">
            <v>7.5</v>
          </cell>
          <cell r="U31">
            <v>405</v>
          </cell>
          <cell r="V31">
            <v>14</v>
          </cell>
          <cell r="W31">
            <v>9.375</v>
          </cell>
          <cell r="X31">
            <v>131.25</v>
          </cell>
          <cell r="Y31">
            <v>8</v>
          </cell>
          <cell r="Z31">
            <v>97.5</v>
          </cell>
          <cell r="AA31">
            <v>780</v>
          </cell>
          <cell r="AB31">
            <v>0</v>
          </cell>
          <cell r="AC31">
            <v>126.75</v>
          </cell>
          <cell r="AD31">
            <v>0</v>
          </cell>
          <cell r="AE31">
            <v>0</v>
          </cell>
          <cell r="AF31">
            <v>12.675000000000001</v>
          </cell>
          <cell r="AG31">
            <v>0</v>
          </cell>
          <cell r="AH31">
            <v>0</v>
          </cell>
          <cell r="AI31">
            <v>9.75</v>
          </cell>
          <cell r="AJ31">
            <v>0</v>
          </cell>
          <cell r="AK31">
            <v>0</v>
          </cell>
          <cell r="AL31">
            <v>112.5</v>
          </cell>
          <cell r="AM31">
            <v>0</v>
          </cell>
          <cell r="AN31">
            <v>0</v>
          </cell>
          <cell r="AO31">
            <v>146.25</v>
          </cell>
          <cell r="AP31">
            <v>0</v>
          </cell>
          <cell r="AQ31">
            <v>0</v>
          </cell>
          <cell r="AR31">
            <v>11.25</v>
          </cell>
          <cell r="AS31">
            <v>0</v>
          </cell>
          <cell r="AT31">
            <v>0</v>
          </cell>
          <cell r="AU31">
            <v>97.5</v>
          </cell>
          <cell r="AV31">
            <v>0</v>
          </cell>
          <cell r="AW31">
            <v>0</v>
          </cell>
          <cell r="AX31">
            <v>126.75</v>
          </cell>
          <cell r="AY31">
            <v>0</v>
          </cell>
          <cell r="AZ31">
            <v>0</v>
          </cell>
          <cell r="BA31">
            <v>9.75</v>
          </cell>
          <cell r="BB31">
            <v>0</v>
          </cell>
          <cell r="BC31">
            <v>0</v>
          </cell>
          <cell r="BD31">
            <v>150</v>
          </cell>
          <cell r="BE31">
            <v>0</v>
          </cell>
          <cell r="BF31">
            <v>0</v>
          </cell>
          <cell r="BG31">
            <v>195</v>
          </cell>
          <cell r="BH31">
            <v>0</v>
          </cell>
          <cell r="BI31">
            <v>0</v>
          </cell>
          <cell r="BJ31">
            <v>15</v>
          </cell>
          <cell r="BK31">
            <v>0</v>
          </cell>
          <cell r="BL31">
            <v>8</v>
          </cell>
          <cell r="BM31">
            <v>75</v>
          </cell>
          <cell r="BN31">
            <v>600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11403.75</v>
          </cell>
        </row>
        <row r="32">
          <cell r="C32">
            <v>7708</v>
          </cell>
          <cell r="D32" t="str">
            <v>BELARMINO, JADE ESPENIDA</v>
          </cell>
          <cell r="E32" t="str">
            <v>METAL STAMPING</v>
          </cell>
          <cell r="F32" t="str">
            <v>PRODUCTION</v>
          </cell>
          <cell r="G32" t="str">
            <v>Operator</v>
          </cell>
          <cell r="H32" t="str">
            <v>DL</v>
          </cell>
          <cell r="I32">
            <v>100</v>
          </cell>
          <cell r="J32">
            <v>12.5</v>
          </cell>
          <cell r="K32">
            <v>600</v>
          </cell>
          <cell r="L32">
            <v>7500</v>
          </cell>
          <cell r="M32">
            <v>0</v>
          </cell>
          <cell r="N32">
            <v>1.25</v>
          </cell>
          <cell r="O32">
            <v>0</v>
          </cell>
          <cell r="P32">
            <v>14</v>
          </cell>
          <cell r="Q32">
            <v>93.75</v>
          </cell>
          <cell r="R32">
            <v>1312.5</v>
          </cell>
          <cell r="S32">
            <v>0</v>
          </cell>
          <cell r="T32">
            <v>7.5</v>
          </cell>
          <cell r="U32">
            <v>0</v>
          </cell>
          <cell r="V32">
            <v>0</v>
          </cell>
          <cell r="W32">
            <v>9.375</v>
          </cell>
          <cell r="X32">
            <v>0</v>
          </cell>
          <cell r="Y32">
            <v>8</v>
          </cell>
          <cell r="Z32">
            <v>97.5</v>
          </cell>
          <cell r="AA32">
            <v>780</v>
          </cell>
          <cell r="AB32">
            <v>0</v>
          </cell>
          <cell r="AC32">
            <v>126.75</v>
          </cell>
          <cell r="AD32">
            <v>0</v>
          </cell>
          <cell r="AE32">
            <v>0</v>
          </cell>
          <cell r="AF32">
            <v>12.675000000000001</v>
          </cell>
          <cell r="AG32">
            <v>0</v>
          </cell>
          <cell r="AH32">
            <v>0</v>
          </cell>
          <cell r="AI32">
            <v>9.75</v>
          </cell>
          <cell r="AJ32">
            <v>0</v>
          </cell>
          <cell r="AK32">
            <v>0</v>
          </cell>
          <cell r="AL32">
            <v>112.5</v>
          </cell>
          <cell r="AM32">
            <v>0</v>
          </cell>
          <cell r="AN32">
            <v>0</v>
          </cell>
          <cell r="AO32">
            <v>146.25</v>
          </cell>
          <cell r="AP32">
            <v>0</v>
          </cell>
          <cell r="AQ32">
            <v>0</v>
          </cell>
          <cell r="AR32">
            <v>11.25</v>
          </cell>
          <cell r="AS32">
            <v>0</v>
          </cell>
          <cell r="AT32">
            <v>0</v>
          </cell>
          <cell r="AU32">
            <v>97.5</v>
          </cell>
          <cell r="AV32">
            <v>0</v>
          </cell>
          <cell r="AW32">
            <v>0</v>
          </cell>
          <cell r="AX32">
            <v>126.75</v>
          </cell>
          <cell r="AY32">
            <v>0</v>
          </cell>
          <cell r="AZ32">
            <v>0</v>
          </cell>
          <cell r="BA32">
            <v>9.75</v>
          </cell>
          <cell r="BB32">
            <v>0</v>
          </cell>
          <cell r="BC32">
            <v>0</v>
          </cell>
          <cell r="BD32">
            <v>150</v>
          </cell>
          <cell r="BE32">
            <v>0</v>
          </cell>
          <cell r="BF32">
            <v>0</v>
          </cell>
          <cell r="BG32">
            <v>195</v>
          </cell>
          <cell r="BH32">
            <v>0</v>
          </cell>
          <cell r="BI32">
            <v>0</v>
          </cell>
          <cell r="BJ32">
            <v>15</v>
          </cell>
          <cell r="BK32">
            <v>0</v>
          </cell>
          <cell r="BL32">
            <v>8</v>
          </cell>
          <cell r="BM32">
            <v>75</v>
          </cell>
          <cell r="BN32">
            <v>600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10192.5</v>
          </cell>
        </row>
        <row r="33">
          <cell r="C33">
            <v>14631</v>
          </cell>
          <cell r="D33" t="str">
            <v>BERONIO, JOSHUA BERINGUELA</v>
          </cell>
          <cell r="E33" t="str">
            <v>METAL STAMPING</v>
          </cell>
          <cell r="F33" t="str">
            <v>PRODUCTION</v>
          </cell>
          <cell r="G33" t="str">
            <v>Operator</v>
          </cell>
          <cell r="H33" t="str">
            <v>IDL</v>
          </cell>
          <cell r="I33">
            <v>104</v>
          </cell>
          <cell r="J33">
            <v>13</v>
          </cell>
          <cell r="K33">
            <v>600</v>
          </cell>
          <cell r="L33">
            <v>7800</v>
          </cell>
          <cell r="M33">
            <v>0</v>
          </cell>
          <cell r="N33">
            <v>1.25</v>
          </cell>
          <cell r="O33">
            <v>0</v>
          </cell>
          <cell r="P33">
            <v>20</v>
          </cell>
          <cell r="Q33">
            <v>93.75</v>
          </cell>
          <cell r="R33">
            <v>1875</v>
          </cell>
          <cell r="S33">
            <v>24</v>
          </cell>
          <cell r="T33">
            <v>7.5</v>
          </cell>
          <cell r="U33">
            <v>180</v>
          </cell>
          <cell r="V33">
            <v>6</v>
          </cell>
          <cell r="W33">
            <v>9.375</v>
          </cell>
          <cell r="X33">
            <v>56.25</v>
          </cell>
          <cell r="Y33">
            <v>0</v>
          </cell>
          <cell r="Z33">
            <v>97.5</v>
          </cell>
          <cell r="AA33">
            <v>0</v>
          </cell>
          <cell r="AB33">
            <v>0</v>
          </cell>
          <cell r="AC33">
            <v>126.75</v>
          </cell>
          <cell r="AD33">
            <v>0</v>
          </cell>
          <cell r="AE33">
            <v>0</v>
          </cell>
          <cell r="AF33">
            <v>12.675000000000001</v>
          </cell>
          <cell r="AG33">
            <v>0</v>
          </cell>
          <cell r="AH33">
            <v>0</v>
          </cell>
          <cell r="AI33">
            <v>9.75</v>
          </cell>
          <cell r="AJ33">
            <v>0</v>
          </cell>
          <cell r="AK33">
            <v>0</v>
          </cell>
          <cell r="AL33">
            <v>112.5</v>
          </cell>
          <cell r="AM33">
            <v>0</v>
          </cell>
          <cell r="AN33">
            <v>0</v>
          </cell>
          <cell r="AO33">
            <v>146.25</v>
          </cell>
          <cell r="AP33">
            <v>0</v>
          </cell>
          <cell r="AQ33">
            <v>0</v>
          </cell>
          <cell r="AR33">
            <v>11.25</v>
          </cell>
          <cell r="AS33">
            <v>0</v>
          </cell>
          <cell r="AT33">
            <v>0</v>
          </cell>
          <cell r="AU33">
            <v>97.5</v>
          </cell>
          <cell r="AV33">
            <v>0</v>
          </cell>
          <cell r="AW33">
            <v>0</v>
          </cell>
          <cell r="AX33">
            <v>126.75</v>
          </cell>
          <cell r="AY33">
            <v>0</v>
          </cell>
          <cell r="AZ33">
            <v>0</v>
          </cell>
          <cell r="BA33">
            <v>9.75</v>
          </cell>
          <cell r="BB33">
            <v>0</v>
          </cell>
          <cell r="BC33">
            <v>0</v>
          </cell>
          <cell r="BD33">
            <v>150</v>
          </cell>
          <cell r="BE33">
            <v>0</v>
          </cell>
          <cell r="BF33">
            <v>0</v>
          </cell>
          <cell r="BG33">
            <v>195</v>
          </cell>
          <cell r="BH33">
            <v>0</v>
          </cell>
          <cell r="BI33">
            <v>0</v>
          </cell>
          <cell r="BJ33">
            <v>15</v>
          </cell>
          <cell r="BK33">
            <v>0</v>
          </cell>
          <cell r="BL33">
            <v>8</v>
          </cell>
          <cell r="BM33">
            <v>75</v>
          </cell>
          <cell r="BN33">
            <v>600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10511.25</v>
          </cell>
        </row>
        <row r="34">
          <cell r="C34">
            <v>12870</v>
          </cell>
          <cell r="D34" t="str">
            <v>BLANCO, AIREEN BAMBASE</v>
          </cell>
          <cell r="E34" t="str">
            <v>METAL STAMPING</v>
          </cell>
          <cell r="F34" t="str">
            <v>PRODUCTION</v>
          </cell>
          <cell r="G34" t="str">
            <v>Operator</v>
          </cell>
          <cell r="H34" t="str">
            <v>DL</v>
          </cell>
          <cell r="I34">
            <v>104</v>
          </cell>
          <cell r="J34">
            <v>13</v>
          </cell>
          <cell r="K34">
            <v>600</v>
          </cell>
          <cell r="L34">
            <v>7800</v>
          </cell>
          <cell r="M34">
            <v>0</v>
          </cell>
          <cell r="N34">
            <v>1.25</v>
          </cell>
          <cell r="O34">
            <v>0</v>
          </cell>
          <cell r="P34">
            <v>22</v>
          </cell>
          <cell r="Q34">
            <v>93.75</v>
          </cell>
          <cell r="R34">
            <v>2062.5</v>
          </cell>
          <cell r="S34">
            <v>24</v>
          </cell>
          <cell r="T34">
            <v>7.5</v>
          </cell>
          <cell r="U34">
            <v>180</v>
          </cell>
          <cell r="V34">
            <v>6</v>
          </cell>
          <cell r="W34">
            <v>9.375</v>
          </cell>
          <cell r="X34">
            <v>56.25</v>
          </cell>
          <cell r="Y34">
            <v>0</v>
          </cell>
          <cell r="Z34">
            <v>97.5</v>
          </cell>
          <cell r="AA34">
            <v>0</v>
          </cell>
          <cell r="AB34">
            <v>0</v>
          </cell>
          <cell r="AC34">
            <v>126.75</v>
          </cell>
          <cell r="AD34">
            <v>0</v>
          </cell>
          <cell r="AE34">
            <v>0</v>
          </cell>
          <cell r="AF34">
            <v>12.675000000000001</v>
          </cell>
          <cell r="AG34">
            <v>0</v>
          </cell>
          <cell r="AH34">
            <v>0</v>
          </cell>
          <cell r="AI34">
            <v>9.75</v>
          </cell>
          <cell r="AJ34">
            <v>0</v>
          </cell>
          <cell r="AK34">
            <v>0</v>
          </cell>
          <cell r="AL34">
            <v>112.5</v>
          </cell>
          <cell r="AM34">
            <v>0</v>
          </cell>
          <cell r="AN34">
            <v>0</v>
          </cell>
          <cell r="AO34">
            <v>146.25</v>
          </cell>
          <cell r="AP34">
            <v>0</v>
          </cell>
          <cell r="AQ34">
            <v>0</v>
          </cell>
          <cell r="AR34">
            <v>11.25</v>
          </cell>
          <cell r="AS34">
            <v>0</v>
          </cell>
          <cell r="AT34">
            <v>0</v>
          </cell>
          <cell r="AU34">
            <v>97.5</v>
          </cell>
          <cell r="AV34">
            <v>0</v>
          </cell>
          <cell r="AW34">
            <v>0</v>
          </cell>
          <cell r="AX34">
            <v>126.75</v>
          </cell>
          <cell r="AY34">
            <v>0</v>
          </cell>
          <cell r="AZ34">
            <v>0</v>
          </cell>
          <cell r="BA34">
            <v>9.75</v>
          </cell>
          <cell r="BB34">
            <v>0</v>
          </cell>
          <cell r="BC34">
            <v>0</v>
          </cell>
          <cell r="BD34">
            <v>150</v>
          </cell>
          <cell r="BE34">
            <v>0</v>
          </cell>
          <cell r="BF34">
            <v>0</v>
          </cell>
          <cell r="BG34">
            <v>195</v>
          </cell>
          <cell r="BH34">
            <v>0</v>
          </cell>
          <cell r="BI34">
            <v>0</v>
          </cell>
          <cell r="BJ34">
            <v>15</v>
          </cell>
          <cell r="BK34">
            <v>0</v>
          </cell>
          <cell r="BL34">
            <v>8</v>
          </cell>
          <cell r="BM34">
            <v>75</v>
          </cell>
          <cell r="BN34">
            <v>600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10698.75</v>
          </cell>
        </row>
        <row r="35">
          <cell r="C35">
            <v>32529</v>
          </cell>
          <cell r="D35" t="str">
            <v>BOLANDOS, ARGENTINA MANZO</v>
          </cell>
          <cell r="E35" t="str">
            <v>METAL STAMPING</v>
          </cell>
          <cell r="F35" t="str">
            <v>PRODUCTION</v>
          </cell>
          <cell r="G35" t="str">
            <v>Operator</v>
          </cell>
          <cell r="H35" t="str">
            <v>DL</v>
          </cell>
          <cell r="I35">
            <v>96</v>
          </cell>
          <cell r="J35">
            <v>12</v>
          </cell>
          <cell r="K35">
            <v>600</v>
          </cell>
          <cell r="L35">
            <v>7200</v>
          </cell>
          <cell r="M35">
            <v>0</v>
          </cell>
          <cell r="N35">
            <v>1.25</v>
          </cell>
          <cell r="O35">
            <v>0</v>
          </cell>
          <cell r="P35">
            <v>20</v>
          </cell>
          <cell r="Q35">
            <v>93.75</v>
          </cell>
          <cell r="R35">
            <v>1875</v>
          </cell>
          <cell r="S35">
            <v>24</v>
          </cell>
          <cell r="T35">
            <v>7.5</v>
          </cell>
          <cell r="U35">
            <v>180</v>
          </cell>
          <cell r="V35">
            <v>6</v>
          </cell>
          <cell r="W35">
            <v>9.375</v>
          </cell>
          <cell r="X35">
            <v>56.25</v>
          </cell>
          <cell r="Y35">
            <v>0</v>
          </cell>
          <cell r="Z35">
            <v>97.5</v>
          </cell>
          <cell r="AA35">
            <v>0</v>
          </cell>
          <cell r="AB35">
            <v>0</v>
          </cell>
          <cell r="AC35">
            <v>126.75</v>
          </cell>
          <cell r="AD35">
            <v>0</v>
          </cell>
          <cell r="AE35">
            <v>0</v>
          </cell>
          <cell r="AF35">
            <v>12.675000000000001</v>
          </cell>
          <cell r="AG35">
            <v>0</v>
          </cell>
          <cell r="AH35">
            <v>0</v>
          </cell>
          <cell r="AI35">
            <v>9.75</v>
          </cell>
          <cell r="AJ35">
            <v>0</v>
          </cell>
          <cell r="AK35">
            <v>0</v>
          </cell>
          <cell r="AL35">
            <v>112.5</v>
          </cell>
          <cell r="AM35">
            <v>0</v>
          </cell>
          <cell r="AN35">
            <v>0</v>
          </cell>
          <cell r="AO35">
            <v>146.25</v>
          </cell>
          <cell r="AP35">
            <v>0</v>
          </cell>
          <cell r="AQ35">
            <v>0</v>
          </cell>
          <cell r="AR35">
            <v>11.25</v>
          </cell>
          <cell r="AS35">
            <v>0</v>
          </cell>
          <cell r="AT35">
            <v>0</v>
          </cell>
          <cell r="AU35">
            <v>97.5</v>
          </cell>
          <cell r="AV35">
            <v>0</v>
          </cell>
          <cell r="AW35">
            <v>0</v>
          </cell>
          <cell r="AX35">
            <v>126.75</v>
          </cell>
          <cell r="AY35">
            <v>0</v>
          </cell>
          <cell r="AZ35">
            <v>0</v>
          </cell>
          <cell r="BA35">
            <v>9.75</v>
          </cell>
          <cell r="BB35">
            <v>0</v>
          </cell>
          <cell r="BC35">
            <v>0</v>
          </cell>
          <cell r="BD35">
            <v>150</v>
          </cell>
          <cell r="BE35">
            <v>0</v>
          </cell>
          <cell r="BF35">
            <v>0</v>
          </cell>
          <cell r="BG35">
            <v>195</v>
          </cell>
          <cell r="BH35">
            <v>0</v>
          </cell>
          <cell r="BI35">
            <v>0</v>
          </cell>
          <cell r="BJ35">
            <v>15</v>
          </cell>
          <cell r="BK35">
            <v>0</v>
          </cell>
          <cell r="BL35">
            <v>8</v>
          </cell>
          <cell r="BM35">
            <v>75</v>
          </cell>
          <cell r="BN35">
            <v>600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9911.25</v>
          </cell>
        </row>
        <row r="36">
          <cell r="C36">
            <v>6941</v>
          </cell>
          <cell r="D36" t="str">
            <v xml:space="preserve">BOLANIO, GINA PANDACAN </v>
          </cell>
          <cell r="E36" t="str">
            <v>METAL STAMPING</v>
          </cell>
          <cell r="F36" t="str">
            <v>PRODUCTION</v>
          </cell>
          <cell r="G36" t="str">
            <v>Operator</v>
          </cell>
          <cell r="H36" t="str">
            <v>IDL</v>
          </cell>
          <cell r="I36">
            <v>88</v>
          </cell>
          <cell r="J36">
            <v>11</v>
          </cell>
          <cell r="K36">
            <v>600</v>
          </cell>
          <cell r="L36">
            <v>6600</v>
          </cell>
          <cell r="M36">
            <v>0</v>
          </cell>
          <cell r="N36">
            <v>1.25</v>
          </cell>
          <cell r="O36">
            <v>0</v>
          </cell>
          <cell r="P36">
            <v>14</v>
          </cell>
          <cell r="Q36">
            <v>93.75</v>
          </cell>
          <cell r="R36">
            <v>1312.5</v>
          </cell>
          <cell r="S36">
            <v>24</v>
          </cell>
          <cell r="T36">
            <v>7.5</v>
          </cell>
          <cell r="U36">
            <v>180</v>
          </cell>
          <cell r="V36">
            <v>6</v>
          </cell>
          <cell r="W36">
            <v>9.375</v>
          </cell>
          <cell r="X36">
            <v>56.25</v>
          </cell>
          <cell r="Y36">
            <v>0</v>
          </cell>
          <cell r="Z36">
            <v>97.5</v>
          </cell>
          <cell r="AA36">
            <v>0</v>
          </cell>
          <cell r="AB36">
            <v>0</v>
          </cell>
          <cell r="AC36">
            <v>126.75</v>
          </cell>
          <cell r="AD36">
            <v>0</v>
          </cell>
          <cell r="AE36">
            <v>0</v>
          </cell>
          <cell r="AF36">
            <v>12.675000000000001</v>
          </cell>
          <cell r="AG36">
            <v>0</v>
          </cell>
          <cell r="AH36">
            <v>0</v>
          </cell>
          <cell r="AI36">
            <v>9.75</v>
          </cell>
          <cell r="AJ36">
            <v>0</v>
          </cell>
          <cell r="AK36">
            <v>0</v>
          </cell>
          <cell r="AL36">
            <v>112.5</v>
          </cell>
          <cell r="AM36">
            <v>0</v>
          </cell>
          <cell r="AN36">
            <v>0</v>
          </cell>
          <cell r="AO36">
            <v>146.25</v>
          </cell>
          <cell r="AP36">
            <v>0</v>
          </cell>
          <cell r="AQ36">
            <v>0</v>
          </cell>
          <cell r="AR36">
            <v>11.25</v>
          </cell>
          <cell r="AS36">
            <v>0</v>
          </cell>
          <cell r="AT36">
            <v>0</v>
          </cell>
          <cell r="AU36">
            <v>97.5</v>
          </cell>
          <cell r="AV36">
            <v>0</v>
          </cell>
          <cell r="AW36">
            <v>0</v>
          </cell>
          <cell r="AX36">
            <v>126.75</v>
          </cell>
          <cell r="AY36">
            <v>0</v>
          </cell>
          <cell r="AZ36">
            <v>0</v>
          </cell>
          <cell r="BA36">
            <v>9.75</v>
          </cell>
          <cell r="BB36">
            <v>0</v>
          </cell>
          <cell r="BC36">
            <v>0</v>
          </cell>
          <cell r="BD36">
            <v>150</v>
          </cell>
          <cell r="BE36">
            <v>0</v>
          </cell>
          <cell r="BF36">
            <v>0</v>
          </cell>
          <cell r="BG36">
            <v>195</v>
          </cell>
          <cell r="BH36">
            <v>0</v>
          </cell>
          <cell r="BI36">
            <v>0</v>
          </cell>
          <cell r="BJ36">
            <v>15</v>
          </cell>
          <cell r="BK36">
            <v>0</v>
          </cell>
          <cell r="BL36">
            <v>8</v>
          </cell>
          <cell r="BM36">
            <v>75</v>
          </cell>
          <cell r="BN36">
            <v>600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8748.75</v>
          </cell>
        </row>
        <row r="37">
          <cell r="C37">
            <v>32243</v>
          </cell>
          <cell r="D37" t="str">
            <v>BOLANO,JHUN LORENZ NAVARRO</v>
          </cell>
          <cell r="E37" t="str">
            <v>METAL STAMPING</v>
          </cell>
          <cell r="F37" t="str">
            <v>PRODUCTION</v>
          </cell>
          <cell r="G37" t="str">
            <v>Operator</v>
          </cell>
          <cell r="H37" t="str">
            <v>IDL</v>
          </cell>
          <cell r="I37">
            <v>96</v>
          </cell>
          <cell r="J37">
            <v>12</v>
          </cell>
          <cell r="K37">
            <v>600</v>
          </cell>
          <cell r="L37">
            <v>7200</v>
          </cell>
          <cell r="M37">
            <v>0</v>
          </cell>
          <cell r="N37">
            <v>1.25</v>
          </cell>
          <cell r="O37">
            <v>0</v>
          </cell>
          <cell r="P37">
            <v>20</v>
          </cell>
          <cell r="Q37">
            <v>93.75</v>
          </cell>
          <cell r="R37">
            <v>1875</v>
          </cell>
          <cell r="S37">
            <v>48</v>
          </cell>
          <cell r="T37">
            <v>7.5</v>
          </cell>
          <cell r="U37">
            <v>360</v>
          </cell>
          <cell r="V37">
            <v>16</v>
          </cell>
          <cell r="W37">
            <v>9.375</v>
          </cell>
          <cell r="X37">
            <v>150</v>
          </cell>
          <cell r="Y37">
            <v>0</v>
          </cell>
          <cell r="Z37">
            <v>97.5</v>
          </cell>
          <cell r="AA37">
            <v>0</v>
          </cell>
          <cell r="AB37">
            <v>0</v>
          </cell>
          <cell r="AC37">
            <v>126.75</v>
          </cell>
          <cell r="AD37">
            <v>0</v>
          </cell>
          <cell r="AE37">
            <v>0</v>
          </cell>
          <cell r="AF37">
            <v>12.675000000000001</v>
          </cell>
          <cell r="AG37">
            <v>0</v>
          </cell>
          <cell r="AH37">
            <v>0</v>
          </cell>
          <cell r="AI37">
            <v>9.75</v>
          </cell>
          <cell r="AJ37">
            <v>0</v>
          </cell>
          <cell r="AK37">
            <v>0</v>
          </cell>
          <cell r="AL37">
            <v>112.5</v>
          </cell>
          <cell r="AM37">
            <v>0</v>
          </cell>
          <cell r="AN37">
            <v>0</v>
          </cell>
          <cell r="AO37">
            <v>146.25</v>
          </cell>
          <cell r="AP37">
            <v>0</v>
          </cell>
          <cell r="AQ37">
            <v>0</v>
          </cell>
          <cell r="AR37">
            <v>11.25</v>
          </cell>
          <cell r="AS37">
            <v>0</v>
          </cell>
          <cell r="AT37">
            <v>0</v>
          </cell>
          <cell r="AU37">
            <v>97.5</v>
          </cell>
          <cell r="AV37">
            <v>0</v>
          </cell>
          <cell r="AW37">
            <v>0</v>
          </cell>
          <cell r="AX37">
            <v>126.75</v>
          </cell>
          <cell r="AY37">
            <v>0</v>
          </cell>
          <cell r="AZ37">
            <v>0</v>
          </cell>
          <cell r="BA37">
            <v>9.75</v>
          </cell>
          <cell r="BB37">
            <v>0</v>
          </cell>
          <cell r="BC37">
            <v>0</v>
          </cell>
          <cell r="BD37">
            <v>150</v>
          </cell>
          <cell r="BE37">
            <v>0</v>
          </cell>
          <cell r="BF37">
            <v>0</v>
          </cell>
          <cell r="BG37">
            <v>195</v>
          </cell>
          <cell r="BH37">
            <v>0</v>
          </cell>
          <cell r="BI37">
            <v>0</v>
          </cell>
          <cell r="BJ37">
            <v>15</v>
          </cell>
          <cell r="BK37">
            <v>0</v>
          </cell>
          <cell r="BL37">
            <v>8</v>
          </cell>
          <cell r="BM37">
            <v>75</v>
          </cell>
          <cell r="BN37">
            <v>600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10185</v>
          </cell>
        </row>
        <row r="38">
          <cell r="C38">
            <v>32448</v>
          </cell>
          <cell r="D38" t="str">
            <v>BUAG, BEBELYN AGUILA</v>
          </cell>
          <cell r="E38" t="str">
            <v>METAL STAMPING</v>
          </cell>
          <cell r="F38" t="str">
            <v>PRODUCTION</v>
          </cell>
          <cell r="G38" t="str">
            <v>Operator</v>
          </cell>
          <cell r="H38" t="str">
            <v>DL</v>
          </cell>
          <cell r="I38">
            <v>104</v>
          </cell>
          <cell r="J38">
            <v>13</v>
          </cell>
          <cell r="K38">
            <v>600</v>
          </cell>
          <cell r="L38">
            <v>7800</v>
          </cell>
          <cell r="M38">
            <v>0</v>
          </cell>
          <cell r="N38">
            <v>1.25</v>
          </cell>
          <cell r="O38">
            <v>0</v>
          </cell>
          <cell r="P38">
            <v>23</v>
          </cell>
          <cell r="Q38">
            <v>93.75</v>
          </cell>
          <cell r="R38">
            <v>2156.25</v>
          </cell>
          <cell r="S38">
            <v>0</v>
          </cell>
          <cell r="T38">
            <v>7.5</v>
          </cell>
          <cell r="U38">
            <v>0</v>
          </cell>
          <cell r="V38">
            <v>0</v>
          </cell>
          <cell r="W38">
            <v>9.375</v>
          </cell>
          <cell r="X38">
            <v>0</v>
          </cell>
          <cell r="Y38">
            <v>8</v>
          </cell>
          <cell r="Z38">
            <v>97.5</v>
          </cell>
          <cell r="AA38">
            <v>780</v>
          </cell>
          <cell r="AB38">
            <v>0</v>
          </cell>
          <cell r="AC38">
            <v>126.75</v>
          </cell>
          <cell r="AD38">
            <v>0</v>
          </cell>
          <cell r="AE38">
            <v>0</v>
          </cell>
          <cell r="AF38">
            <v>12.675000000000001</v>
          </cell>
          <cell r="AG38">
            <v>0</v>
          </cell>
          <cell r="AH38">
            <v>0</v>
          </cell>
          <cell r="AI38">
            <v>9.75</v>
          </cell>
          <cell r="AJ38">
            <v>0</v>
          </cell>
          <cell r="AK38">
            <v>0</v>
          </cell>
          <cell r="AL38">
            <v>112.5</v>
          </cell>
          <cell r="AM38">
            <v>0</v>
          </cell>
          <cell r="AN38">
            <v>0</v>
          </cell>
          <cell r="AO38">
            <v>146.25</v>
          </cell>
          <cell r="AP38">
            <v>0</v>
          </cell>
          <cell r="AQ38">
            <v>0</v>
          </cell>
          <cell r="AR38">
            <v>11.25</v>
          </cell>
          <cell r="AS38">
            <v>0</v>
          </cell>
          <cell r="AT38">
            <v>0</v>
          </cell>
          <cell r="AU38">
            <v>97.5</v>
          </cell>
          <cell r="AV38">
            <v>0</v>
          </cell>
          <cell r="AW38">
            <v>0</v>
          </cell>
          <cell r="AX38">
            <v>126.75</v>
          </cell>
          <cell r="AY38">
            <v>0</v>
          </cell>
          <cell r="AZ38">
            <v>0</v>
          </cell>
          <cell r="BA38">
            <v>9.75</v>
          </cell>
          <cell r="BB38">
            <v>0</v>
          </cell>
          <cell r="BC38">
            <v>0</v>
          </cell>
          <cell r="BD38">
            <v>150</v>
          </cell>
          <cell r="BE38">
            <v>0</v>
          </cell>
          <cell r="BF38">
            <v>0</v>
          </cell>
          <cell r="BG38">
            <v>195</v>
          </cell>
          <cell r="BH38">
            <v>0</v>
          </cell>
          <cell r="BI38">
            <v>0</v>
          </cell>
          <cell r="BJ38">
            <v>15</v>
          </cell>
          <cell r="BK38">
            <v>0</v>
          </cell>
          <cell r="BL38">
            <v>8</v>
          </cell>
          <cell r="BM38">
            <v>75</v>
          </cell>
          <cell r="BN38">
            <v>600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11336.25</v>
          </cell>
        </row>
        <row r="39">
          <cell r="C39">
            <v>12882</v>
          </cell>
          <cell r="D39" t="str">
            <v>BUAL, MARICAR DELA ROSA</v>
          </cell>
          <cell r="E39" t="str">
            <v>METAL STAMPING</v>
          </cell>
          <cell r="F39" t="str">
            <v>PRODUCTION</v>
          </cell>
          <cell r="G39" t="str">
            <v>Operator</v>
          </cell>
          <cell r="H39" t="str">
            <v>DL</v>
          </cell>
          <cell r="I39">
            <v>48</v>
          </cell>
          <cell r="J39">
            <v>6</v>
          </cell>
          <cell r="K39">
            <v>600</v>
          </cell>
          <cell r="L39">
            <v>3600</v>
          </cell>
          <cell r="M39">
            <v>6</v>
          </cell>
          <cell r="N39">
            <v>1.25</v>
          </cell>
          <cell r="O39">
            <v>-7.5</v>
          </cell>
          <cell r="P39">
            <v>12</v>
          </cell>
          <cell r="Q39">
            <v>93.75</v>
          </cell>
          <cell r="R39">
            <v>1125</v>
          </cell>
          <cell r="S39">
            <v>18</v>
          </cell>
          <cell r="T39">
            <v>7.5</v>
          </cell>
          <cell r="U39">
            <v>135</v>
          </cell>
          <cell r="V39">
            <v>6</v>
          </cell>
          <cell r="W39">
            <v>9.375</v>
          </cell>
          <cell r="X39">
            <v>56.25</v>
          </cell>
          <cell r="Y39">
            <v>0</v>
          </cell>
          <cell r="Z39">
            <v>97.5</v>
          </cell>
          <cell r="AA39">
            <v>0</v>
          </cell>
          <cell r="AB39">
            <v>0</v>
          </cell>
          <cell r="AC39">
            <v>126.75</v>
          </cell>
          <cell r="AD39">
            <v>0</v>
          </cell>
          <cell r="AE39">
            <v>0</v>
          </cell>
          <cell r="AF39">
            <v>12.675000000000001</v>
          </cell>
          <cell r="AG39">
            <v>0</v>
          </cell>
          <cell r="AH39">
            <v>0</v>
          </cell>
          <cell r="AI39">
            <v>9.75</v>
          </cell>
          <cell r="AJ39">
            <v>0</v>
          </cell>
          <cell r="AK39">
            <v>0</v>
          </cell>
          <cell r="AL39">
            <v>112.5</v>
          </cell>
          <cell r="AM39">
            <v>0</v>
          </cell>
          <cell r="AN39">
            <v>0</v>
          </cell>
          <cell r="AO39">
            <v>146.25</v>
          </cell>
          <cell r="AP39">
            <v>0</v>
          </cell>
          <cell r="AQ39">
            <v>0</v>
          </cell>
          <cell r="AR39">
            <v>11.25</v>
          </cell>
          <cell r="AS39">
            <v>0</v>
          </cell>
          <cell r="AT39">
            <v>0</v>
          </cell>
          <cell r="AU39">
            <v>97.5</v>
          </cell>
          <cell r="AV39">
            <v>0</v>
          </cell>
          <cell r="AW39">
            <v>0</v>
          </cell>
          <cell r="AX39">
            <v>126.75</v>
          </cell>
          <cell r="AY39">
            <v>0</v>
          </cell>
          <cell r="AZ39">
            <v>0</v>
          </cell>
          <cell r="BA39">
            <v>9.75</v>
          </cell>
          <cell r="BB39">
            <v>0</v>
          </cell>
          <cell r="BC39">
            <v>0</v>
          </cell>
          <cell r="BD39">
            <v>150</v>
          </cell>
          <cell r="BE39">
            <v>0</v>
          </cell>
          <cell r="BF39">
            <v>0</v>
          </cell>
          <cell r="BG39">
            <v>195</v>
          </cell>
          <cell r="BH39">
            <v>0</v>
          </cell>
          <cell r="BI39">
            <v>0</v>
          </cell>
          <cell r="BJ39">
            <v>15</v>
          </cell>
          <cell r="BK39">
            <v>0</v>
          </cell>
          <cell r="BL39">
            <v>8</v>
          </cell>
          <cell r="BM39">
            <v>75</v>
          </cell>
          <cell r="BN39">
            <v>600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5508.75</v>
          </cell>
        </row>
        <row r="40">
          <cell r="C40">
            <v>12883</v>
          </cell>
          <cell r="D40" t="str">
            <v>BUBAN, ROCHELLE ANDES</v>
          </cell>
          <cell r="E40" t="str">
            <v>METAL STAMPING</v>
          </cell>
          <cell r="F40" t="str">
            <v>PRODUCTION</v>
          </cell>
          <cell r="G40" t="str">
            <v>Operator</v>
          </cell>
          <cell r="H40" t="str">
            <v>DL</v>
          </cell>
          <cell r="I40">
            <v>104</v>
          </cell>
          <cell r="J40">
            <v>13</v>
          </cell>
          <cell r="K40">
            <v>600</v>
          </cell>
          <cell r="L40">
            <v>7800</v>
          </cell>
          <cell r="M40">
            <v>0</v>
          </cell>
          <cell r="N40">
            <v>1.25</v>
          </cell>
          <cell r="O40">
            <v>0</v>
          </cell>
          <cell r="P40">
            <v>18</v>
          </cell>
          <cell r="Q40">
            <v>93.75</v>
          </cell>
          <cell r="R40">
            <v>1687.5</v>
          </cell>
          <cell r="S40">
            <v>54</v>
          </cell>
          <cell r="T40">
            <v>7.5</v>
          </cell>
          <cell r="U40">
            <v>405</v>
          </cell>
          <cell r="V40">
            <v>14</v>
          </cell>
          <cell r="W40">
            <v>9.375</v>
          </cell>
          <cell r="X40">
            <v>131.25</v>
          </cell>
          <cell r="Y40">
            <v>0</v>
          </cell>
          <cell r="Z40">
            <v>97.5</v>
          </cell>
          <cell r="AA40">
            <v>0</v>
          </cell>
          <cell r="AB40">
            <v>0</v>
          </cell>
          <cell r="AC40">
            <v>126.75</v>
          </cell>
          <cell r="AD40">
            <v>0</v>
          </cell>
          <cell r="AE40">
            <v>0</v>
          </cell>
          <cell r="AF40">
            <v>12.675000000000001</v>
          </cell>
          <cell r="AG40">
            <v>0</v>
          </cell>
          <cell r="AH40">
            <v>0</v>
          </cell>
          <cell r="AI40">
            <v>9.75</v>
          </cell>
          <cell r="AJ40">
            <v>0</v>
          </cell>
          <cell r="AK40">
            <v>0</v>
          </cell>
          <cell r="AL40">
            <v>112.5</v>
          </cell>
          <cell r="AM40">
            <v>0</v>
          </cell>
          <cell r="AN40">
            <v>0</v>
          </cell>
          <cell r="AO40">
            <v>146.25</v>
          </cell>
          <cell r="AP40">
            <v>0</v>
          </cell>
          <cell r="AQ40">
            <v>0</v>
          </cell>
          <cell r="AR40">
            <v>11.25</v>
          </cell>
          <cell r="AS40">
            <v>0</v>
          </cell>
          <cell r="AT40">
            <v>0</v>
          </cell>
          <cell r="AU40">
            <v>97.5</v>
          </cell>
          <cell r="AV40">
            <v>0</v>
          </cell>
          <cell r="AW40">
            <v>0</v>
          </cell>
          <cell r="AX40">
            <v>126.75</v>
          </cell>
          <cell r="AY40">
            <v>0</v>
          </cell>
          <cell r="AZ40">
            <v>0</v>
          </cell>
          <cell r="BA40">
            <v>9.75</v>
          </cell>
          <cell r="BB40">
            <v>0</v>
          </cell>
          <cell r="BC40">
            <v>0</v>
          </cell>
          <cell r="BD40">
            <v>150</v>
          </cell>
          <cell r="BE40">
            <v>0</v>
          </cell>
          <cell r="BF40">
            <v>0</v>
          </cell>
          <cell r="BG40">
            <v>195</v>
          </cell>
          <cell r="BH40">
            <v>0</v>
          </cell>
          <cell r="BI40">
            <v>0</v>
          </cell>
          <cell r="BJ40">
            <v>15</v>
          </cell>
          <cell r="BK40">
            <v>0</v>
          </cell>
          <cell r="BL40">
            <v>8</v>
          </cell>
          <cell r="BM40">
            <v>75</v>
          </cell>
          <cell r="BN40">
            <v>600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10623.75</v>
          </cell>
        </row>
        <row r="41">
          <cell r="C41">
            <v>32239</v>
          </cell>
          <cell r="D41" t="str">
            <v>BUELLA,RANDEL BILANGEL</v>
          </cell>
          <cell r="E41" t="str">
            <v>METAL STAMPING</v>
          </cell>
          <cell r="F41" t="str">
            <v>PRODUCTION</v>
          </cell>
          <cell r="G41" t="str">
            <v>Operator</v>
          </cell>
          <cell r="H41" t="str">
            <v>DL</v>
          </cell>
          <cell r="I41">
            <v>40</v>
          </cell>
          <cell r="J41">
            <v>5</v>
          </cell>
          <cell r="K41">
            <v>600</v>
          </cell>
          <cell r="L41">
            <v>3000</v>
          </cell>
          <cell r="M41">
            <v>0</v>
          </cell>
          <cell r="N41">
            <v>1.25</v>
          </cell>
          <cell r="O41">
            <v>0</v>
          </cell>
          <cell r="P41">
            <v>6</v>
          </cell>
          <cell r="Q41">
            <v>93.75</v>
          </cell>
          <cell r="R41">
            <v>562.5</v>
          </cell>
          <cell r="S41">
            <v>6</v>
          </cell>
          <cell r="T41">
            <v>7.5</v>
          </cell>
          <cell r="U41">
            <v>45</v>
          </cell>
          <cell r="V41">
            <v>2</v>
          </cell>
          <cell r="W41">
            <v>9.375</v>
          </cell>
          <cell r="X41">
            <v>18.75</v>
          </cell>
          <cell r="Y41">
            <v>8</v>
          </cell>
          <cell r="Z41">
            <v>97.5</v>
          </cell>
          <cell r="AA41">
            <v>780</v>
          </cell>
          <cell r="AB41">
            <v>0</v>
          </cell>
          <cell r="AC41">
            <v>126.75</v>
          </cell>
          <cell r="AD41">
            <v>0</v>
          </cell>
          <cell r="AE41">
            <v>0</v>
          </cell>
          <cell r="AF41">
            <v>12.675000000000001</v>
          </cell>
          <cell r="AG41">
            <v>0</v>
          </cell>
          <cell r="AH41">
            <v>0</v>
          </cell>
          <cell r="AI41">
            <v>9.75</v>
          </cell>
          <cell r="AJ41">
            <v>0</v>
          </cell>
          <cell r="AK41">
            <v>0</v>
          </cell>
          <cell r="AL41">
            <v>112.5</v>
          </cell>
          <cell r="AM41">
            <v>0</v>
          </cell>
          <cell r="AN41">
            <v>0</v>
          </cell>
          <cell r="AO41">
            <v>146.25</v>
          </cell>
          <cell r="AP41">
            <v>0</v>
          </cell>
          <cell r="AQ41">
            <v>0</v>
          </cell>
          <cell r="AR41">
            <v>11.25</v>
          </cell>
          <cell r="AS41">
            <v>0</v>
          </cell>
          <cell r="AT41">
            <v>0</v>
          </cell>
          <cell r="AU41">
            <v>97.5</v>
          </cell>
          <cell r="AV41">
            <v>0</v>
          </cell>
          <cell r="AW41">
            <v>0</v>
          </cell>
          <cell r="AX41">
            <v>126.75</v>
          </cell>
          <cell r="AY41">
            <v>0</v>
          </cell>
          <cell r="AZ41">
            <v>0</v>
          </cell>
          <cell r="BA41">
            <v>9.75</v>
          </cell>
          <cell r="BB41">
            <v>0</v>
          </cell>
          <cell r="BC41">
            <v>0</v>
          </cell>
          <cell r="BD41">
            <v>150</v>
          </cell>
          <cell r="BE41">
            <v>0</v>
          </cell>
          <cell r="BF41">
            <v>0</v>
          </cell>
          <cell r="BG41">
            <v>195</v>
          </cell>
          <cell r="BH41">
            <v>0</v>
          </cell>
          <cell r="BI41">
            <v>0</v>
          </cell>
          <cell r="BJ41">
            <v>15</v>
          </cell>
          <cell r="BK41">
            <v>0</v>
          </cell>
          <cell r="BL41">
            <v>8</v>
          </cell>
          <cell r="BM41">
            <v>75</v>
          </cell>
          <cell r="BN41">
            <v>600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5006.25</v>
          </cell>
        </row>
        <row r="42">
          <cell r="C42">
            <v>14448</v>
          </cell>
          <cell r="D42" t="str">
            <v>CALANGI, CRIS JOHN ROLDAN</v>
          </cell>
          <cell r="E42" t="str">
            <v>METAL STAMPING</v>
          </cell>
          <cell r="F42" t="str">
            <v>PRODUCTION</v>
          </cell>
          <cell r="G42" t="str">
            <v>Operator</v>
          </cell>
          <cell r="H42" t="str">
            <v>DL</v>
          </cell>
          <cell r="I42">
            <v>96</v>
          </cell>
          <cell r="J42">
            <v>12</v>
          </cell>
          <cell r="K42">
            <v>600</v>
          </cell>
          <cell r="L42">
            <v>7200</v>
          </cell>
          <cell r="M42">
            <v>0</v>
          </cell>
          <cell r="N42">
            <v>1.25</v>
          </cell>
          <cell r="O42">
            <v>0</v>
          </cell>
          <cell r="P42">
            <v>10</v>
          </cell>
          <cell r="Q42">
            <v>93.75</v>
          </cell>
          <cell r="R42">
            <v>937.5</v>
          </cell>
          <cell r="S42">
            <v>0</v>
          </cell>
          <cell r="T42">
            <v>7.5</v>
          </cell>
          <cell r="U42">
            <v>0</v>
          </cell>
          <cell r="V42">
            <v>0</v>
          </cell>
          <cell r="W42">
            <v>9.375</v>
          </cell>
          <cell r="X42">
            <v>0</v>
          </cell>
          <cell r="Y42">
            <v>8</v>
          </cell>
          <cell r="Z42">
            <v>97.5</v>
          </cell>
          <cell r="AA42">
            <v>780</v>
          </cell>
          <cell r="AB42">
            <v>0</v>
          </cell>
          <cell r="AC42">
            <v>126.75</v>
          </cell>
          <cell r="AD42">
            <v>0</v>
          </cell>
          <cell r="AE42">
            <v>0</v>
          </cell>
          <cell r="AF42">
            <v>12.675000000000001</v>
          </cell>
          <cell r="AG42">
            <v>0</v>
          </cell>
          <cell r="AH42">
            <v>0</v>
          </cell>
          <cell r="AI42">
            <v>9.75</v>
          </cell>
          <cell r="AJ42">
            <v>0</v>
          </cell>
          <cell r="AK42">
            <v>0</v>
          </cell>
          <cell r="AL42">
            <v>112.5</v>
          </cell>
          <cell r="AM42">
            <v>0</v>
          </cell>
          <cell r="AN42">
            <v>0</v>
          </cell>
          <cell r="AO42">
            <v>146.25</v>
          </cell>
          <cell r="AP42">
            <v>0</v>
          </cell>
          <cell r="AQ42">
            <v>0</v>
          </cell>
          <cell r="AR42">
            <v>11.25</v>
          </cell>
          <cell r="AS42">
            <v>0</v>
          </cell>
          <cell r="AT42">
            <v>0</v>
          </cell>
          <cell r="AU42">
            <v>97.5</v>
          </cell>
          <cell r="AV42">
            <v>0</v>
          </cell>
          <cell r="AW42">
            <v>0</v>
          </cell>
          <cell r="AX42">
            <v>126.75</v>
          </cell>
          <cell r="AY42">
            <v>0</v>
          </cell>
          <cell r="AZ42">
            <v>0</v>
          </cell>
          <cell r="BA42">
            <v>9.75</v>
          </cell>
          <cell r="BB42">
            <v>0</v>
          </cell>
          <cell r="BC42">
            <v>0</v>
          </cell>
          <cell r="BD42">
            <v>150</v>
          </cell>
          <cell r="BE42">
            <v>0</v>
          </cell>
          <cell r="BF42">
            <v>0</v>
          </cell>
          <cell r="BG42">
            <v>195</v>
          </cell>
          <cell r="BH42">
            <v>0</v>
          </cell>
          <cell r="BI42">
            <v>0</v>
          </cell>
          <cell r="BJ42">
            <v>15</v>
          </cell>
          <cell r="BK42">
            <v>0</v>
          </cell>
          <cell r="BL42">
            <v>8</v>
          </cell>
          <cell r="BM42">
            <v>75</v>
          </cell>
          <cell r="BN42">
            <v>600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9517.5</v>
          </cell>
        </row>
        <row r="43">
          <cell r="C43">
            <v>12397</v>
          </cell>
          <cell r="D43" t="str">
            <v>CAPUNO, JANARAH NICOLE ICAL</v>
          </cell>
          <cell r="E43" t="str">
            <v>METAL STAMPING</v>
          </cell>
          <cell r="F43" t="str">
            <v>PRODUCTION</v>
          </cell>
          <cell r="G43" t="str">
            <v>Operator</v>
          </cell>
          <cell r="H43" t="str">
            <v>DL</v>
          </cell>
          <cell r="I43">
            <v>96</v>
          </cell>
          <cell r="J43">
            <v>12</v>
          </cell>
          <cell r="K43">
            <v>600</v>
          </cell>
          <cell r="L43">
            <v>7200</v>
          </cell>
          <cell r="M43">
            <v>7</v>
          </cell>
          <cell r="N43">
            <v>1.25</v>
          </cell>
          <cell r="O43">
            <v>-8.75</v>
          </cell>
          <cell r="P43">
            <v>12</v>
          </cell>
          <cell r="Q43">
            <v>93.75</v>
          </cell>
          <cell r="R43">
            <v>1125</v>
          </cell>
          <cell r="S43">
            <v>0</v>
          </cell>
          <cell r="T43">
            <v>7.5</v>
          </cell>
          <cell r="U43">
            <v>0</v>
          </cell>
          <cell r="V43">
            <v>0</v>
          </cell>
          <cell r="W43">
            <v>9.375</v>
          </cell>
          <cell r="X43">
            <v>0</v>
          </cell>
          <cell r="Y43">
            <v>0</v>
          </cell>
          <cell r="Z43">
            <v>97.5</v>
          </cell>
          <cell r="AA43">
            <v>0</v>
          </cell>
          <cell r="AB43">
            <v>0</v>
          </cell>
          <cell r="AC43">
            <v>126.75</v>
          </cell>
          <cell r="AD43">
            <v>0</v>
          </cell>
          <cell r="AE43">
            <v>0</v>
          </cell>
          <cell r="AF43">
            <v>12.675000000000001</v>
          </cell>
          <cell r="AG43">
            <v>0</v>
          </cell>
          <cell r="AH43">
            <v>0</v>
          </cell>
          <cell r="AI43">
            <v>9.75</v>
          </cell>
          <cell r="AJ43">
            <v>0</v>
          </cell>
          <cell r="AK43">
            <v>0</v>
          </cell>
          <cell r="AL43">
            <v>112.5</v>
          </cell>
          <cell r="AM43">
            <v>0</v>
          </cell>
          <cell r="AN43">
            <v>0</v>
          </cell>
          <cell r="AO43">
            <v>146.25</v>
          </cell>
          <cell r="AP43">
            <v>0</v>
          </cell>
          <cell r="AQ43">
            <v>0</v>
          </cell>
          <cell r="AR43">
            <v>11.25</v>
          </cell>
          <cell r="AS43">
            <v>0</v>
          </cell>
          <cell r="AT43">
            <v>0</v>
          </cell>
          <cell r="AU43">
            <v>97.5</v>
          </cell>
          <cell r="AV43">
            <v>0</v>
          </cell>
          <cell r="AW43">
            <v>0</v>
          </cell>
          <cell r="AX43">
            <v>126.75</v>
          </cell>
          <cell r="AY43">
            <v>0</v>
          </cell>
          <cell r="AZ43">
            <v>0</v>
          </cell>
          <cell r="BA43">
            <v>9.75</v>
          </cell>
          <cell r="BB43">
            <v>0</v>
          </cell>
          <cell r="BC43">
            <v>0</v>
          </cell>
          <cell r="BD43">
            <v>150</v>
          </cell>
          <cell r="BE43">
            <v>0</v>
          </cell>
          <cell r="BF43">
            <v>0</v>
          </cell>
          <cell r="BG43">
            <v>195</v>
          </cell>
          <cell r="BH43">
            <v>0</v>
          </cell>
          <cell r="BI43">
            <v>0</v>
          </cell>
          <cell r="BJ43">
            <v>15</v>
          </cell>
          <cell r="BK43">
            <v>0</v>
          </cell>
          <cell r="BL43">
            <v>8</v>
          </cell>
          <cell r="BM43">
            <v>75</v>
          </cell>
          <cell r="BN43">
            <v>600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8916.25</v>
          </cell>
        </row>
        <row r="44">
          <cell r="C44">
            <v>32518</v>
          </cell>
          <cell r="D44" t="str">
            <v xml:space="preserve">CARINGAL, JENNYLYN </v>
          </cell>
          <cell r="E44" t="str">
            <v>METAL STAMPING</v>
          </cell>
          <cell r="F44" t="str">
            <v>PRODUCTION</v>
          </cell>
          <cell r="G44" t="str">
            <v>Operator</v>
          </cell>
          <cell r="H44" t="str">
            <v>DL</v>
          </cell>
          <cell r="I44">
            <v>104</v>
          </cell>
          <cell r="J44">
            <v>13</v>
          </cell>
          <cell r="K44">
            <v>600</v>
          </cell>
          <cell r="L44">
            <v>7800</v>
          </cell>
          <cell r="M44">
            <v>47</v>
          </cell>
          <cell r="N44">
            <v>1.25</v>
          </cell>
          <cell r="O44">
            <v>-58.75</v>
          </cell>
          <cell r="P44">
            <v>16</v>
          </cell>
          <cell r="Q44">
            <v>93.75</v>
          </cell>
          <cell r="R44">
            <v>1500</v>
          </cell>
          <cell r="S44">
            <v>0</v>
          </cell>
          <cell r="T44">
            <v>7.5</v>
          </cell>
          <cell r="U44">
            <v>0</v>
          </cell>
          <cell r="V44">
            <v>0</v>
          </cell>
          <cell r="W44">
            <v>9.375</v>
          </cell>
          <cell r="X44">
            <v>0</v>
          </cell>
          <cell r="Y44">
            <v>8</v>
          </cell>
          <cell r="Z44">
            <v>97.5</v>
          </cell>
          <cell r="AA44">
            <v>780</v>
          </cell>
          <cell r="AB44">
            <v>0</v>
          </cell>
          <cell r="AC44">
            <v>126.75</v>
          </cell>
          <cell r="AD44">
            <v>0</v>
          </cell>
          <cell r="AE44">
            <v>0</v>
          </cell>
          <cell r="AF44">
            <v>12.675000000000001</v>
          </cell>
          <cell r="AG44">
            <v>0</v>
          </cell>
          <cell r="AH44">
            <v>0</v>
          </cell>
          <cell r="AI44">
            <v>9.75</v>
          </cell>
          <cell r="AJ44">
            <v>0</v>
          </cell>
          <cell r="AK44">
            <v>0</v>
          </cell>
          <cell r="AL44">
            <v>112.5</v>
          </cell>
          <cell r="AM44">
            <v>0</v>
          </cell>
          <cell r="AN44">
            <v>0</v>
          </cell>
          <cell r="AO44">
            <v>146.25</v>
          </cell>
          <cell r="AP44">
            <v>0</v>
          </cell>
          <cell r="AQ44">
            <v>0</v>
          </cell>
          <cell r="AR44">
            <v>11.25</v>
          </cell>
          <cell r="AS44">
            <v>0</v>
          </cell>
          <cell r="AT44">
            <v>0</v>
          </cell>
          <cell r="AU44">
            <v>97.5</v>
          </cell>
          <cell r="AV44">
            <v>0</v>
          </cell>
          <cell r="AW44">
            <v>0</v>
          </cell>
          <cell r="AX44">
            <v>126.75</v>
          </cell>
          <cell r="AY44">
            <v>0</v>
          </cell>
          <cell r="AZ44">
            <v>0</v>
          </cell>
          <cell r="BA44">
            <v>9.75</v>
          </cell>
          <cell r="BB44">
            <v>0</v>
          </cell>
          <cell r="BC44">
            <v>0</v>
          </cell>
          <cell r="BD44">
            <v>150</v>
          </cell>
          <cell r="BE44">
            <v>0</v>
          </cell>
          <cell r="BF44">
            <v>0</v>
          </cell>
          <cell r="BG44">
            <v>195</v>
          </cell>
          <cell r="BH44">
            <v>0</v>
          </cell>
          <cell r="BI44">
            <v>0</v>
          </cell>
          <cell r="BJ44">
            <v>15</v>
          </cell>
          <cell r="BK44">
            <v>0</v>
          </cell>
          <cell r="BL44">
            <v>8</v>
          </cell>
          <cell r="BM44">
            <v>75</v>
          </cell>
          <cell r="BN44">
            <v>600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10621.25</v>
          </cell>
        </row>
        <row r="45">
          <cell r="C45">
            <v>32502</v>
          </cell>
          <cell r="D45" t="str">
            <v>CASTANEDA, MARINETH</v>
          </cell>
          <cell r="E45" t="str">
            <v>METAL STAMPING</v>
          </cell>
          <cell r="F45" t="str">
            <v>PRODUCTION</v>
          </cell>
          <cell r="G45" t="str">
            <v>Operator</v>
          </cell>
          <cell r="H45" t="str">
            <v>DL</v>
          </cell>
          <cell r="I45">
            <v>104</v>
          </cell>
          <cell r="J45">
            <v>13</v>
          </cell>
          <cell r="K45">
            <v>600</v>
          </cell>
          <cell r="L45">
            <v>7800</v>
          </cell>
          <cell r="M45">
            <v>1</v>
          </cell>
          <cell r="N45">
            <v>1.25</v>
          </cell>
          <cell r="O45">
            <v>-1.25</v>
          </cell>
          <cell r="P45">
            <v>18</v>
          </cell>
          <cell r="Q45">
            <v>93.75</v>
          </cell>
          <cell r="R45">
            <v>1687.5</v>
          </cell>
          <cell r="S45">
            <v>54</v>
          </cell>
          <cell r="T45">
            <v>7.5</v>
          </cell>
          <cell r="U45">
            <v>405</v>
          </cell>
          <cell r="V45">
            <v>14</v>
          </cell>
          <cell r="W45">
            <v>9.375</v>
          </cell>
          <cell r="X45">
            <v>131.25</v>
          </cell>
          <cell r="Y45">
            <v>8</v>
          </cell>
          <cell r="Z45">
            <v>97.5</v>
          </cell>
          <cell r="AA45">
            <v>780</v>
          </cell>
          <cell r="AB45">
            <v>0</v>
          </cell>
          <cell r="AC45">
            <v>126.75</v>
          </cell>
          <cell r="AD45">
            <v>0</v>
          </cell>
          <cell r="AE45">
            <v>0</v>
          </cell>
          <cell r="AF45">
            <v>12.675000000000001</v>
          </cell>
          <cell r="AG45">
            <v>0</v>
          </cell>
          <cell r="AH45">
            <v>0</v>
          </cell>
          <cell r="AI45">
            <v>9.75</v>
          </cell>
          <cell r="AJ45">
            <v>0</v>
          </cell>
          <cell r="AK45">
            <v>0</v>
          </cell>
          <cell r="AL45">
            <v>112.5</v>
          </cell>
          <cell r="AM45">
            <v>0</v>
          </cell>
          <cell r="AN45">
            <v>0</v>
          </cell>
          <cell r="AO45">
            <v>146.25</v>
          </cell>
          <cell r="AP45">
            <v>0</v>
          </cell>
          <cell r="AQ45">
            <v>0</v>
          </cell>
          <cell r="AR45">
            <v>11.25</v>
          </cell>
          <cell r="AS45">
            <v>0</v>
          </cell>
          <cell r="AT45">
            <v>0</v>
          </cell>
          <cell r="AU45">
            <v>97.5</v>
          </cell>
          <cell r="AV45">
            <v>0</v>
          </cell>
          <cell r="AW45">
            <v>0</v>
          </cell>
          <cell r="AX45">
            <v>126.75</v>
          </cell>
          <cell r="AY45">
            <v>0</v>
          </cell>
          <cell r="AZ45">
            <v>0</v>
          </cell>
          <cell r="BA45">
            <v>9.75</v>
          </cell>
          <cell r="BB45">
            <v>0</v>
          </cell>
          <cell r="BC45">
            <v>0</v>
          </cell>
          <cell r="BD45">
            <v>150</v>
          </cell>
          <cell r="BE45">
            <v>0</v>
          </cell>
          <cell r="BF45">
            <v>0</v>
          </cell>
          <cell r="BG45">
            <v>195</v>
          </cell>
          <cell r="BH45">
            <v>0</v>
          </cell>
          <cell r="BI45">
            <v>0</v>
          </cell>
          <cell r="BJ45">
            <v>15</v>
          </cell>
          <cell r="BK45">
            <v>0</v>
          </cell>
          <cell r="BL45">
            <v>8</v>
          </cell>
          <cell r="BM45">
            <v>75</v>
          </cell>
          <cell r="BN45">
            <v>600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11402.5</v>
          </cell>
        </row>
        <row r="46">
          <cell r="C46">
            <v>13397</v>
          </cell>
          <cell r="D46" t="str">
            <v>CATAMBAY, ROLDAN ROCA</v>
          </cell>
          <cell r="E46" t="str">
            <v>METAL STAMPING</v>
          </cell>
          <cell r="F46" t="str">
            <v>PRODUCTION</v>
          </cell>
          <cell r="G46" t="str">
            <v>Operator</v>
          </cell>
          <cell r="H46" t="str">
            <v>DL</v>
          </cell>
          <cell r="I46">
            <v>100</v>
          </cell>
          <cell r="J46">
            <v>12.5</v>
          </cell>
          <cell r="K46">
            <v>600</v>
          </cell>
          <cell r="L46">
            <v>7500</v>
          </cell>
          <cell r="M46">
            <v>0</v>
          </cell>
          <cell r="N46">
            <v>1.25</v>
          </cell>
          <cell r="O46">
            <v>0</v>
          </cell>
          <cell r="P46">
            <v>14</v>
          </cell>
          <cell r="Q46">
            <v>93.75</v>
          </cell>
          <cell r="R46">
            <v>1312.5</v>
          </cell>
          <cell r="S46">
            <v>0</v>
          </cell>
          <cell r="T46">
            <v>7.5</v>
          </cell>
          <cell r="U46">
            <v>0</v>
          </cell>
          <cell r="V46">
            <v>0</v>
          </cell>
          <cell r="W46">
            <v>9.375</v>
          </cell>
          <cell r="X46">
            <v>0</v>
          </cell>
          <cell r="Y46">
            <v>8</v>
          </cell>
          <cell r="Z46">
            <v>97.5</v>
          </cell>
          <cell r="AA46">
            <v>780</v>
          </cell>
          <cell r="AB46">
            <v>0</v>
          </cell>
          <cell r="AC46">
            <v>126.75</v>
          </cell>
          <cell r="AD46">
            <v>0</v>
          </cell>
          <cell r="AE46">
            <v>0</v>
          </cell>
          <cell r="AF46">
            <v>12.675000000000001</v>
          </cell>
          <cell r="AG46">
            <v>0</v>
          </cell>
          <cell r="AH46">
            <v>0</v>
          </cell>
          <cell r="AI46">
            <v>9.75</v>
          </cell>
          <cell r="AJ46">
            <v>0</v>
          </cell>
          <cell r="AK46">
            <v>0</v>
          </cell>
          <cell r="AL46">
            <v>112.5</v>
          </cell>
          <cell r="AM46">
            <v>0</v>
          </cell>
          <cell r="AN46">
            <v>0</v>
          </cell>
          <cell r="AO46">
            <v>146.25</v>
          </cell>
          <cell r="AP46">
            <v>0</v>
          </cell>
          <cell r="AQ46">
            <v>0</v>
          </cell>
          <cell r="AR46">
            <v>11.25</v>
          </cell>
          <cell r="AS46">
            <v>0</v>
          </cell>
          <cell r="AT46">
            <v>0</v>
          </cell>
          <cell r="AU46">
            <v>97.5</v>
          </cell>
          <cell r="AV46">
            <v>0</v>
          </cell>
          <cell r="AW46">
            <v>0</v>
          </cell>
          <cell r="AX46">
            <v>126.75</v>
          </cell>
          <cell r="AY46">
            <v>0</v>
          </cell>
          <cell r="AZ46">
            <v>0</v>
          </cell>
          <cell r="BA46">
            <v>9.75</v>
          </cell>
          <cell r="BB46">
            <v>0</v>
          </cell>
          <cell r="BC46">
            <v>0</v>
          </cell>
          <cell r="BD46">
            <v>150</v>
          </cell>
          <cell r="BE46">
            <v>0</v>
          </cell>
          <cell r="BF46">
            <v>0</v>
          </cell>
          <cell r="BG46">
            <v>195</v>
          </cell>
          <cell r="BH46">
            <v>0</v>
          </cell>
          <cell r="BI46">
            <v>0</v>
          </cell>
          <cell r="BJ46">
            <v>15</v>
          </cell>
          <cell r="BK46">
            <v>0</v>
          </cell>
          <cell r="BL46">
            <v>8</v>
          </cell>
          <cell r="BM46">
            <v>75</v>
          </cell>
          <cell r="BN46">
            <v>600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10192.5</v>
          </cell>
        </row>
        <row r="47">
          <cell r="C47">
            <v>14698</v>
          </cell>
          <cell r="D47" t="str">
            <v>CATANYAG, JEFFREY MAMARIL</v>
          </cell>
          <cell r="E47" t="str">
            <v>METAL STAMPING</v>
          </cell>
          <cell r="F47" t="str">
            <v>PRODUCTION</v>
          </cell>
          <cell r="G47" t="str">
            <v>Operator</v>
          </cell>
          <cell r="H47" t="str">
            <v>IDL</v>
          </cell>
          <cell r="I47">
            <v>104</v>
          </cell>
          <cell r="J47">
            <v>13</v>
          </cell>
          <cell r="K47">
            <v>600</v>
          </cell>
          <cell r="L47">
            <v>7800</v>
          </cell>
          <cell r="M47">
            <v>3</v>
          </cell>
          <cell r="N47">
            <v>1.25</v>
          </cell>
          <cell r="O47">
            <v>-3.75</v>
          </cell>
          <cell r="P47">
            <v>18</v>
          </cell>
          <cell r="Q47">
            <v>93.75</v>
          </cell>
          <cell r="R47">
            <v>1687.5</v>
          </cell>
          <cell r="S47">
            <v>54</v>
          </cell>
          <cell r="T47">
            <v>7.5</v>
          </cell>
          <cell r="U47">
            <v>405</v>
          </cell>
          <cell r="V47">
            <v>14</v>
          </cell>
          <cell r="W47">
            <v>9.375</v>
          </cell>
          <cell r="X47">
            <v>131.25</v>
          </cell>
          <cell r="Y47">
            <v>8</v>
          </cell>
          <cell r="Z47">
            <v>97.5</v>
          </cell>
          <cell r="AA47">
            <v>780</v>
          </cell>
          <cell r="AB47">
            <v>0</v>
          </cell>
          <cell r="AC47">
            <v>126.75</v>
          </cell>
          <cell r="AD47">
            <v>0</v>
          </cell>
          <cell r="AE47">
            <v>0</v>
          </cell>
          <cell r="AF47">
            <v>12.675000000000001</v>
          </cell>
          <cell r="AG47">
            <v>0</v>
          </cell>
          <cell r="AH47">
            <v>0</v>
          </cell>
          <cell r="AI47">
            <v>9.75</v>
          </cell>
          <cell r="AJ47">
            <v>0</v>
          </cell>
          <cell r="AK47">
            <v>0</v>
          </cell>
          <cell r="AL47">
            <v>112.5</v>
          </cell>
          <cell r="AM47">
            <v>0</v>
          </cell>
          <cell r="AN47">
            <v>0</v>
          </cell>
          <cell r="AO47">
            <v>146.25</v>
          </cell>
          <cell r="AP47">
            <v>0</v>
          </cell>
          <cell r="AQ47">
            <v>0</v>
          </cell>
          <cell r="AR47">
            <v>11.25</v>
          </cell>
          <cell r="AS47">
            <v>0</v>
          </cell>
          <cell r="AT47">
            <v>0</v>
          </cell>
          <cell r="AU47">
            <v>97.5</v>
          </cell>
          <cell r="AV47">
            <v>0</v>
          </cell>
          <cell r="AW47">
            <v>0</v>
          </cell>
          <cell r="AX47">
            <v>126.75</v>
          </cell>
          <cell r="AY47">
            <v>0</v>
          </cell>
          <cell r="AZ47">
            <v>0</v>
          </cell>
          <cell r="BA47">
            <v>9.75</v>
          </cell>
          <cell r="BB47">
            <v>0</v>
          </cell>
          <cell r="BC47">
            <v>0</v>
          </cell>
          <cell r="BD47">
            <v>150</v>
          </cell>
          <cell r="BE47">
            <v>0</v>
          </cell>
          <cell r="BF47">
            <v>0</v>
          </cell>
          <cell r="BG47">
            <v>195</v>
          </cell>
          <cell r="BH47">
            <v>0</v>
          </cell>
          <cell r="BI47">
            <v>0</v>
          </cell>
          <cell r="BJ47">
            <v>15</v>
          </cell>
          <cell r="BK47">
            <v>0</v>
          </cell>
          <cell r="BL47">
            <v>8</v>
          </cell>
          <cell r="BM47">
            <v>75</v>
          </cell>
          <cell r="BN47">
            <v>600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11400</v>
          </cell>
        </row>
        <row r="48">
          <cell r="C48">
            <v>8064</v>
          </cell>
          <cell r="D48" t="str">
            <v>CAUDILLA, ARLENE</v>
          </cell>
          <cell r="E48" t="str">
            <v>METAL STAMPING</v>
          </cell>
          <cell r="F48" t="str">
            <v>PRODUCTION</v>
          </cell>
          <cell r="G48" t="str">
            <v>Operator</v>
          </cell>
          <cell r="H48" t="str">
            <v>DL</v>
          </cell>
          <cell r="I48">
            <v>100</v>
          </cell>
          <cell r="J48">
            <v>12.5</v>
          </cell>
          <cell r="K48">
            <v>600</v>
          </cell>
          <cell r="L48">
            <v>7500</v>
          </cell>
          <cell r="M48">
            <v>22</v>
          </cell>
          <cell r="N48">
            <v>1.25</v>
          </cell>
          <cell r="O48">
            <v>-27.5</v>
          </cell>
          <cell r="P48">
            <v>18</v>
          </cell>
          <cell r="Q48">
            <v>93.75</v>
          </cell>
          <cell r="R48">
            <v>1687.5</v>
          </cell>
          <cell r="S48">
            <v>24</v>
          </cell>
          <cell r="T48">
            <v>7.5</v>
          </cell>
          <cell r="U48">
            <v>180</v>
          </cell>
          <cell r="V48">
            <v>4</v>
          </cell>
          <cell r="W48">
            <v>9.375</v>
          </cell>
          <cell r="X48">
            <v>37.5</v>
          </cell>
          <cell r="Y48">
            <v>0</v>
          </cell>
          <cell r="Z48">
            <v>97.5</v>
          </cell>
          <cell r="AA48">
            <v>0</v>
          </cell>
          <cell r="AB48">
            <v>0</v>
          </cell>
          <cell r="AC48">
            <v>126.75</v>
          </cell>
          <cell r="AD48">
            <v>0</v>
          </cell>
          <cell r="AE48">
            <v>0</v>
          </cell>
          <cell r="AF48">
            <v>12.675000000000001</v>
          </cell>
          <cell r="AG48">
            <v>0</v>
          </cell>
          <cell r="AH48">
            <v>0</v>
          </cell>
          <cell r="AI48">
            <v>9.75</v>
          </cell>
          <cell r="AJ48">
            <v>0</v>
          </cell>
          <cell r="AK48">
            <v>0</v>
          </cell>
          <cell r="AL48">
            <v>112.5</v>
          </cell>
          <cell r="AM48">
            <v>0</v>
          </cell>
          <cell r="AN48">
            <v>0</v>
          </cell>
          <cell r="AO48">
            <v>146.25</v>
          </cell>
          <cell r="AP48">
            <v>0</v>
          </cell>
          <cell r="AQ48">
            <v>0</v>
          </cell>
          <cell r="AR48">
            <v>11.25</v>
          </cell>
          <cell r="AS48">
            <v>0</v>
          </cell>
          <cell r="AT48">
            <v>0</v>
          </cell>
          <cell r="AU48">
            <v>97.5</v>
          </cell>
          <cell r="AV48">
            <v>0</v>
          </cell>
          <cell r="AW48">
            <v>0</v>
          </cell>
          <cell r="AX48">
            <v>126.75</v>
          </cell>
          <cell r="AY48">
            <v>0</v>
          </cell>
          <cell r="AZ48">
            <v>0</v>
          </cell>
          <cell r="BA48">
            <v>9.75</v>
          </cell>
          <cell r="BB48">
            <v>0</v>
          </cell>
          <cell r="BC48">
            <v>0</v>
          </cell>
          <cell r="BD48">
            <v>150</v>
          </cell>
          <cell r="BE48">
            <v>0</v>
          </cell>
          <cell r="BF48">
            <v>0</v>
          </cell>
          <cell r="BG48">
            <v>195</v>
          </cell>
          <cell r="BH48">
            <v>0</v>
          </cell>
          <cell r="BI48">
            <v>0</v>
          </cell>
          <cell r="BJ48">
            <v>15</v>
          </cell>
          <cell r="BK48">
            <v>0</v>
          </cell>
          <cell r="BL48">
            <v>8</v>
          </cell>
          <cell r="BM48">
            <v>75</v>
          </cell>
          <cell r="BN48">
            <v>600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9977.5</v>
          </cell>
        </row>
        <row r="49">
          <cell r="C49">
            <v>14174</v>
          </cell>
          <cell r="D49" t="str">
            <v>CEDEÑO, JOVAN OMNES</v>
          </cell>
          <cell r="E49" t="str">
            <v>METAL STAMPING</v>
          </cell>
          <cell r="F49" t="str">
            <v>PRODUCTION</v>
          </cell>
          <cell r="G49" t="str">
            <v>Operator</v>
          </cell>
          <cell r="H49" t="str">
            <v>DL</v>
          </cell>
          <cell r="I49">
            <v>104</v>
          </cell>
          <cell r="J49">
            <v>13</v>
          </cell>
          <cell r="K49">
            <v>600</v>
          </cell>
          <cell r="L49">
            <v>7800</v>
          </cell>
          <cell r="M49">
            <v>0</v>
          </cell>
          <cell r="N49">
            <v>1.25</v>
          </cell>
          <cell r="O49">
            <v>0</v>
          </cell>
          <cell r="P49">
            <v>20</v>
          </cell>
          <cell r="Q49">
            <v>93.75</v>
          </cell>
          <cell r="R49">
            <v>1875</v>
          </cell>
          <cell r="S49">
            <v>54</v>
          </cell>
          <cell r="T49">
            <v>7.5</v>
          </cell>
          <cell r="U49">
            <v>405</v>
          </cell>
          <cell r="V49">
            <v>16</v>
          </cell>
          <cell r="W49">
            <v>9.375</v>
          </cell>
          <cell r="X49">
            <v>150</v>
          </cell>
          <cell r="Y49">
            <v>0</v>
          </cell>
          <cell r="Z49">
            <v>97.5</v>
          </cell>
          <cell r="AA49">
            <v>0</v>
          </cell>
          <cell r="AB49">
            <v>0</v>
          </cell>
          <cell r="AC49">
            <v>126.75</v>
          </cell>
          <cell r="AD49">
            <v>0</v>
          </cell>
          <cell r="AE49">
            <v>0</v>
          </cell>
          <cell r="AF49">
            <v>12.675000000000001</v>
          </cell>
          <cell r="AG49">
            <v>0</v>
          </cell>
          <cell r="AH49">
            <v>0</v>
          </cell>
          <cell r="AI49">
            <v>9.75</v>
          </cell>
          <cell r="AJ49">
            <v>0</v>
          </cell>
          <cell r="AK49">
            <v>0</v>
          </cell>
          <cell r="AL49">
            <v>112.5</v>
          </cell>
          <cell r="AM49">
            <v>0</v>
          </cell>
          <cell r="AN49">
            <v>0</v>
          </cell>
          <cell r="AO49">
            <v>146.25</v>
          </cell>
          <cell r="AP49">
            <v>0</v>
          </cell>
          <cell r="AQ49">
            <v>0</v>
          </cell>
          <cell r="AR49">
            <v>11.25</v>
          </cell>
          <cell r="AS49">
            <v>0</v>
          </cell>
          <cell r="AT49">
            <v>0</v>
          </cell>
          <cell r="AU49">
            <v>97.5</v>
          </cell>
          <cell r="AV49">
            <v>0</v>
          </cell>
          <cell r="AW49">
            <v>0</v>
          </cell>
          <cell r="AX49">
            <v>126.75</v>
          </cell>
          <cell r="AY49">
            <v>0</v>
          </cell>
          <cell r="AZ49">
            <v>0</v>
          </cell>
          <cell r="BA49">
            <v>9.75</v>
          </cell>
          <cell r="BB49">
            <v>0</v>
          </cell>
          <cell r="BC49">
            <v>0</v>
          </cell>
          <cell r="BD49">
            <v>150</v>
          </cell>
          <cell r="BE49">
            <v>0</v>
          </cell>
          <cell r="BF49">
            <v>0</v>
          </cell>
          <cell r="BG49">
            <v>195</v>
          </cell>
          <cell r="BH49">
            <v>0</v>
          </cell>
          <cell r="BI49">
            <v>0</v>
          </cell>
          <cell r="BJ49">
            <v>15</v>
          </cell>
          <cell r="BK49">
            <v>0</v>
          </cell>
          <cell r="BL49">
            <v>8</v>
          </cell>
          <cell r="BM49">
            <v>75</v>
          </cell>
          <cell r="BN49">
            <v>600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10830</v>
          </cell>
        </row>
        <row r="50">
          <cell r="C50">
            <v>12913</v>
          </cell>
          <cell r="D50" t="str">
            <v>CLEOPE , BONIFACIO PEREZ</v>
          </cell>
          <cell r="E50" t="str">
            <v>METAL STAMPING</v>
          </cell>
          <cell r="F50" t="str">
            <v>PRODUCTION</v>
          </cell>
          <cell r="G50" t="str">
            <v>Operator</v>
          </cell>
          <cell r="H50" t="str">
            <v>DL</v>
          </cell>
          <cell r="I50">
            <v>0</v>
          </cell>
          <cell r="J50">
            <v>0</v>
          </cell>
          <cell r="K50">
            <v>600</v>
          </cell>
          <cell r="L50">
            <v>0</v>
          </cell>
          <cell r="M50">
            <v>0</v>
          </cell>
          <cell r="N50">
            <v>1.25</v>
          </cell>
          <cell r="O50">
            <v>0</v>
          </cell>
          <cell r="P50">
            <v>0</v>
          </cell>
          <cell r="Q50">
            <v>93.75</v>
          </cell>
          <cell r="R50">
            <v>0</v>
          </cell>
          <cell r="S50">
            <v>0</v>
          </cell>
          <cell r="T50">
            <v>7.5</v>
          </cell>
          <cell r="U50">
            <v>0</v>
          </cell>
          <cell r="V50">
            <v>0</v>
          </cell>
          <cell r="W50">
            <v>9.375</v>
          </cell>
          <cell r="X50">
            <v>0</v>
          </cell>
          <cell r="Y50">
            <v>0</v>
          </cell>
          <cell r="Z50">
            <v>97.5</v>
          </cell>
          <cell r="AA50">
            <v>0</v>
          </cell>
          <cell r="AB50">
            <v>0</v>
          </cell>
          <cell r="AC50">
            <v>126.75</v>
          </cell>
          <cell r="AD50">
            <v>0</v>
          </cell>
          <cell r="AE50">
            <v>0</v>
          </cell>
          <cell r="AF50">
            <v>12.675000000000001</v>
          </cell>
          <cell r="AG50">
            <v>0</v>
          </cell>
          <cell r="AH50">
            <v>0</v>
          </cell>
          <cell r="AI50">
            <v>9.75</v>
          </cell>
          <cell r="AJ50">
            <v>0</v>
          </cell>
          <cell r="AK50">
            <v>0</v>
          </cell>
          <cell r="AL50">
            <v>112.5</v>
          </cell>
          <cell r="AM50">
            <v>0</v>
          </cell>
          <cell r="AN50">
            <v>0</v>
          </cell>
          <cell r="AO50">
            <v>146.25</v>
          </cell>
          <cell r="AP50">
            <v>0</v>
          </cell>
          <cell r="AQ50">
            <v>0</v>
          </cell>
          <cell r="AR50">
            <v>11.25</v>
          </cell>
          <cell r="AS50">
            <v>0</v>
          </cell>
          <cell r="AT50">
            <v>0</v>
          </cell>
          <cell r="AU50">
            <v>97.5</v>
          </cell>
          <cell r="AV50">
            <v>0</v>
          </cell>
          <cell r="AW50">
            <v>0</v>
          </cell>
          <cell r="AX50">
            <v>126.75</v>
          </cell>
          <cell r="AY50">
            <v>0</v>
          </cell>
          <cell r="AZ50">
            <v>0</v>
          </cell>
          <cell r="BA50">
            <v>9.75</v>
          </cell>
          <cell r="BB50">
            <v>0</v>
          </cell>
          <cell r="BC50">
            <v>0</v>
          </cell>
          <cell r="BD50">
            <v>150</v>
          </cell>
          <cell r="BE50">
            <v>0</v>
          </cell>
          <cell r="BF50">
            <v>0</v>
          </cell>
          <cell r="BG50">
            <v>195</v>
          </cell>
          <cell r="BH50">
            <v>0</v>
          </cell>
          <cell r="BI50">
            <v>0</v>
          </cell>
          <cell r="BJ50">
            <v>15</v>
          </cell>
          <cell r="BK50">
            <v>0</v>
          </cell>
          <cell r="BL50">
            <v>0</v>
          </cell>
          <cell r="BM50">
            <v>75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</row>
        <row r="51">
          <cell r="C51">
            <v>12915</v>
          </cell>
          <cell r="D51" t="str">
            <v>COLINARES, LOUIEJE BANCOLMO</v>
          </cell>
          <cell r="E51" t="str">
            <v>METAL STAMPING</v>
          </cell>
          <cell r="F51" t="str">
            <v>PRODUCTION</v>
          </cell>
          <cell r="G51" t="str">
            <v>Operator</v>
          </cell>
          <cell r="H51" t="str">
            <v>DL</v>
          </cell>
          <cell r="I51">
            <v>64</v>
          </cell>
          <cell r="J51">
            <v>8</v>
          </cell>
          <cell r="K51">
            <v>600</v>
          </cell>
          <cell r="L51">
            <v>4800</v>
          </cell>
          <cell r="M51">
            <v>1</v>
          </cell>
          <cell r="N51">
            <v>1.25</v>
          </cell>
          <cell r="O51">
            <v>-1.25</v>
          </cell>
          <cell r="P51">
            <v>16.5</v>
          </cell>
          <cell r="Q51">
            <v>93.75</v>
          </cell>
          <cell r="R51">
            <v>1546.875</v>
          </cell>
          <cell r="S51">
            <v>0</v>
          </cell>
          <cell r="T51">
            <v>7.5</v>
          </cell>
          <cell r="U51">
            <v>0</v>
          </cell>
          <cell r="V51">
            <v>2.5</v>
          </cell>
          <cell r="W51">
            <v>9.375</v>
          </cell>
          <cell r="X51">
            <v>23.4375</v>
          </cell>
          <cell r="Y51">
            <v>0</v>
          </cell>
          <cell r="Z51">
            <v>97.5</v>
          </cell>
          <cell r="AA51">
            <v>0</v>
          </cell>
          <cell r="AB51">
            <v>0</v>
          </cell>
          <cell r="AC51">
            <v>126.75</v>
          </cell>
          <cell r="AD51">
            <v>0</v>
          </cell>
          <cell r="AE51">
            <v>0</v>
          </cell>
          <cell r="AF51">
            <v>12.675000000000001</v>
          </cell>
          <cell r="AG51">
            <v>0</v>
          </cell>
          <cell r="AH51">
            <v>0</v>
          </cell>
          <cell r="AI51">
            <v>9.75</v>
          </cell>
          <cell r="AJ51">
            <v>0</v>
          </cell>
          <cell r="AK51">
            <v>0</v>
          </cell>
          <cell r="AL51">
            <v>112.5</v>
          </cell>
          <cell r="AM51">
            <v>0</v>
          </cell>
          <cell r="AN51">
            <v>0</v>
          </cell>
          <cell r="AO51">
            <v>146.25</v>
          </cell>
          <cell r="AP51">
            <v>0</v>
          </cell>
          <cell r="AQ51">
            <v>0</v>
          </cell>
          <cell r="AR51">
            <v>11.25</v>
          </cell>
          <cell r="AS51">
            <v>0</v>
          </cell>
          <cell r="AT51">
            <v>0</v>
          </cell>
          <cell r="AU51">
            <v>97.5</v>
          </cell>
          <cell r="AV51">
            <v>0</v>
          </cell>
          <cell r="AW51">
            <v>0</v>
          </cell>
          <cell r="AX51">
            <v>126.75</v>
          </cell>
          <cell r="AY51">
            <v>0</v>
          </cell>
          <cell r="AZ51">
            <v>0</v>
          </cell>
          <cell r="BA51">
            <v>9.75</v>
          </cell>
          <cell r="BB51">
            <v>0</v>
          </cell>
          <cell r="BC51">
            <v>0</v>
          </cell>
          <cell r="BD51">
            <v>150</v>
          </cell>
          <cell r="BE51">
            <v>0</v>
          </cell>
          <cell r="BF51">
            <v>0</v>
          </cell>
          <cell r="BG51">
            <v>195</v>
          </cell>
          <cell r="BH51">
            <v>0</v>
          </cell>
          <cell r="BI51">
            <v>0</v>
          </cell>
          <cell r="BJ51">
            <v>15</v>
          </cell>
          <cell r="BK51">
            <v>0</v>
          </cell>
          <cell r="BL51">
            <v>8</v>
          </cell>
          <cell r="BM51">
            <v>75</v>
          </cell>
          <cell r="BN51">
            <v>600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6969.0625</v>
          </cell>
        </row>
        <row r="52">
          <cell r="C52">
            <v>32247</v>
          </cell>
          <cell r="D52" t="str">
            <v>CONDE,WILFREDO JR. CAÑAREZ</v>
          </cell>
          <cell r="E52" t="str">
            <v>METAL STAMPING</v>
          </cell>
          <cell r="F52" t="str">
            <v>PRODUCTION</v>
          </cell>
          <cell r="G52" t="str">
            <v>Operator</v>
          </cell>
          <cell r="H52" t="str">
            <v>IDL</v>
          </cell>
          <cell r="I52">
            <v>104</v>
          </cell>
          <cell r="J52">
            <v>13</v>
          </cell>
          <cell r="K52">
            <v>600</v>
          </cell>
          <cell r="L52">
            <v>7800</v>
          </cell>
          <cell r="M52">
            <v>0</v>
          </cell>
          <cell r="N52">
            <v>1.25</v>
          </cell>
          <cell r="O52">
            <v>0</v>
          </cell>
          <cell r="P52">
            <v>18</v>
          </cell>
          <cell r="Q52">
            <v>93.75</v>
          </cell>
          <cell r="R52">
            <v>1687.5</v>
          </cell>
          <cell r="S52">
            <v>54</v>
          </cell>
          <cell r="T52">
            <v>7.5</v>
          </cell>
          <cell r="U52">
            <v>405</v>
          </cell>
          <cell r="V52">
            <v>14</v>
          </cell>
          <cell r="W52">
            <v>9.375</v>
          </cell>
          <cell r="X52">
            <v>131.25</v>
          </cell>
          <cell r="Y52">
            <v>8</v>
          </cell>
          <cell r="Z52">
            <v>97.5</v>
          </cell>
          <cell r="AA52">
            <v>780</v>
          </cell>
          <cell r="AB52">
            <v>0</v>
          </cell>
          <cell r="AC52">
            <v>126.75</v>
          </cell>
          <cell r="AD52">
            <v>0</v>
          </cell>
          <cell r="AE52">
            <v>0</v>
          </cell>
          <cell r="AF52">
            <v>12.675000000000001</v>
          </cell>
          <cell r="AG52">
            <v>0</v>
          </cell>
          <cell r="AH52">
            <v>0</v>
          </cell>
          <cell r="AI52">
            <v>9.75</v>
          </cell>
          <cell r="AJ52">
            <v>0</v>
          </cell>
          <cell r="AK52">
            <v>0</v>
          </cell>
          <cell r="AL52">
            <v>112.5</v>
          </cell>
          <cell r="AM52">
            <v>0</v>
          </cell>
          <cell r="AN52">
            <v>0</v>
          </cell>
          <cell r="AO52">
            <v>146.25</v>
          </cell>
          <cell r="AP52">
            <v>0</v>
          </cell>
          <cell r="AQ52">
            <v>0</v>
          </cell>
          <cell r="AR52">
            <v>11.25</v>
          </cell>
          <cell r="AS52">
            <v>0</v>
          </cell>
          <cell r="AT52">
            <v>0</v>
          </cell>
          <cell r="AU52">
            <v>97.5</v>
          </cell>
          <cell r="AV52">
            <v>0</v>
          </cell>
          <cell r="AW52">
            <v>0</v>
          </cell>
          <cell r="AX52">
            <v>126.75</v>
          </cell>
          <cell r="AY52">
            <v>0</v>
          </cell>
          <cell r="AZ52">
            <v>0</v>
          </cell>
          <cell r="BA52">
            <v>9.75</v>
          </cell>
          <cell r="BB52">
            <v>0</v>
          </cell>
          <cell r="BC52">
            <v>0</v>
          </cell>
          <cell r="BD52">
            <v>150</v>
          </cell>
          <cell r="BE52">
            <v>0</v>
          </cell>
          <cell r="BF52">
            <v>0</v>
          </cell>
          <cell r="BG52">
            <v>195</v>
          </cell>
          <cell r="BH52">
            <v>0</v>
          </cell>
          <cell r="BI52">
            <v>0</v>
          </cell>
          <cell r="BJ52">
            <v>15</v>
          </cell>
          <cell r="BK52">
            <v>0</v>
          </cell>
          <cell r="BL52">
            <v>8</v>
          </cell>
          <cell r="BM52">
            <v>75</v>
          </cell>
          <cell r="BN52">
            <v>600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11403.75</v>
          </cell>
        </row>
        <row r="53">
          <cell r="C53">
            <v>30293</v>
          </cell>
          <cell r="D53" t="str">
            <v>CONZAGA, ANNA FE ACOPIO</v>
          </cell>
          <cell r="E53" t="str">
            <v>METAL STAMPING</v>
          </cell>
          <cell r="F53" t="str">
            <v>PRODUCTION</v>
          </cell>
          <cell r="G53" t="str">
            <v>Operator</v>
          </cell>
          <cell r="H53" t="str">
            <v>IDL</v>
          </cell>
          <cell r="I53">
            <v>99</v>
          </cell>
          <cell r="J53">
            <v>12.375</v>
          </cell>
          <cell r="K53">
            <v>600</v>
          </cell>
          <cell r="L53">
            <v>7425</v>
          </cell>
          <cell r="M53">
            <v>0</v>
          </cell>
          <cell r="N53">
            <v>1.25</v>
          </cell>
          <cell r="O53">
            <v>0</v>
          </cell>
          <cell r="P53">
            <v>16</v>
          </cell>
          <cell r="Q53">
            <v>93.75</v>
          </cell>
          <cell r="R53">
            <v>1500</v>
          </cell>
          <cell r="S53">
            <v>0</v>
          </cell>
          <cell r="T53">
            <v>7.5</v>
          </cell>
          <cell r="U53">
            <v>0</v>
          </cell>
          <cell r="V53">
            <v>0</v>
          </cell>
          <cell r="W53">
            <v>9.375</v>
          </cell>
          <cell r="X53">
            <v>0</v>
          </cell>
          <cell r="Y53">
            <v>8</v>
          </cell>
          <cell r="Z53">
            <v>97.5</v>
          </cell>
          <cell r="AA53">
            <v>780</v>
          </cell>
          <cell r="AB53">
            <v>0</v>
          </cell>
          <cell r="AC53">
            <v>126.75</v>
          </cell>
          <cell r="AD53">
            <v>0</v>
          </cell>
          <cell r="AE53">
            <v>0</v>
          </cell>
          <cell r="AF53">
            <v>12.675000000000001</v>
          </cell>
          <cell r="AG53">
            <v>0</v>
          </cell>
          <cell r="AH53">
            <v>0</v>
          </cell>
          <cell r="AI53">
            <v>9.75</v>
          </cell>
          <cell r="AJ53">
            <v>0</v>
          </cell>
          <cell r="AK53">
            <v>0</v>
          </cell>
          <cell r="AL53">
            <v>112.5</v>
          </cell>
          <cell r="AM53">
            <v>0</v>
          </cell>
          <cell r="AN53">
            <v>0</v>
          </cell>
          <cell r="AO53">
            <v>146.25</v>
          </cell>
          <cell r="AP53">
            <v>0</v>
          </cell>
          <cell r="AQ53">
            <v>0</v>
          </cell>
          <cell r="AR53">
            <v>11.25</v>
          </cell>
          <cell r="AS53">
            <v>0</v>
          </cell>
          <cell r="AT53">
            <v>0</v>
          </cell>
          <cell r="AU53">
            <v>97.5</v>
          </cell>
          <cell r="AV53">
            <v>0</v>
          </cell>
          <cell r="AW53">
            <v>0</v>
          </cell>
          <cell r="AX53">
            <v>126.75</v>
          </cell>
          <cell r="AY53">
            <v>0</v>
          </cell>
          <cell r="AZ53">
            <v>0</v>
          </cell>
          <cell r="BA53">
            <v>9.75</v>
          </cell>
          <cell r="BB53">
            <v>0</v>
          </cell>
          <cell r="BC53">
            <v>0</v>
          </cell>
          <cell r="BD53">
            <v>150</v>
          </cell>
          <cell r="BE53">
            <v>0</v>
          </cell>
          <cell r="BF53">
            <v>0</v>
          </cell>
          <cell r="BG53">
            <v>195</v>
          </cell>
          <cell r="BH53">
            <v>0</v>
          </cell>
          <cell r="BI53">
            <v>0</v>
          </cell>
          <cell r="BJ53">
            <v>15</v>
          </cell>
          <cell r="BK53">
            <v>0</v>
          </cell>
          <cell r="BL53">
            <v>8</v>
          </cell>
          <cell r="BM53">
            <v>75</v>
          </cell>
          <cell r="BN53">
            <v>600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10305</v>
          </cell>
        </row>
        <row r="54">
          <cell r="C54">
            <v>11863</v>
          </cell>
          <cell r="D54" t="str">
            <v>CORTEZ, ARMIN PADIS</v>
          </cell>
          <cell r="E54" t="str">
            <v>METAL STAMPING</v>
          </cell>
          <cell r="F54" t="str">
            <v>PRODUCTION</v>
          </cell>
          <cell r="G54" t="str">
            <v>Operator</v>
          </cell>
          <cell r="H54" t="str">
            <v>DL</v>
          </cell>
          <cell r="I54">
            <v>104</v>
          </cell>
          <cell r="J54">
            <v>13</v>
          </cell>
          <cell r="K54">
            <v>600</v>
          </cell>
          <cell r="L54">
            <v>7800</v>
          </cell>
          <cell r="M54">
            <v>0</v>
          </cell>
          <cell r="N54">
            <v>1.25</v>
          </cell>
          <cell r="O54">
            <v>0</v>
          </cell>
          <cell r="P54">
            <v>20</v>
          </cell>
          <cell r="Q54">
            <v>93.75</v>
          </cell>
          <cell r="R54">
            <v>1875</v>
          </cell>
          <cell r="S54">
            <v>54</v>
          </cell>
          <cell r="T54">
            <v>7.5</v>
          </cell>
          <cell r="U54">
            <v>405</v>
          </cell>
          <cell r="V54">
            <v>16</v>
          </cell>
          <cell r="W54">
            <v>9.375</v>
          </cell>
          <cell r="X54">
            <v>150</v>
          </cell>
          <cell r="Y54">
            <v>8</v>
          </cell>
          <cell r="Z54">
            <v>97.5</v>
          </cell>
          <cell r="AA54">
            <v>780</v>
          </cell>
          <cell r="AB54">
            <v>0</v>
          </cell>
          <cell r="AC54">
            <v>126.75</v>
          </cell>
          <cell r="AD54">
            <v>0</v>
          </cell>
          <cell r="AE54">
            <v>0</v>
          </cell>
          <cell r="AF54">
            <v>12.675000000000001</v>
          </cell>
          <cell r="AG54">
            <v>0</v>
          </cell>
          <cell r="AH54">
            <v>0</v>
          </cell>
          <cell r="AI54">
            <v>9.75</v>
          </cell>
          <cell r="AJ54">
            <v>0</v>
          </cell>
          <cell r="AK54">
            <v>0</v>
          </cell>
          <cell r="AL54">
            <v>112.5</v>
          </cell>
          <cell r="AM54">
            <v>0</v>
          </cell>
          <cell r="AN54">
            <v>0</v>
          </cell>
          <cell r="AO54">
            <v>146.25</v>
          </cell>
          <cell r="AP54">
            <v>0</v>
          </cell>
          <cell r="AQ54">
            <v>0</v>
          </cell>
          <cell r="AR54">
            <v>11.25</v>
          </cell>
          <cell r="AS54">
            <v>0</v>
          </cell>
          <cell r="AT54">
            <v>0</v>
          </cell>
          <cell r="AU54">
            <v>97.5</v>
          </cell>
          <cell r="AV54">
            <v>0</v>
          </cell>
          <cell r="AW54">
            <v>0</v>
          </cell>
          <cell r="AX54">
            <v>126.75</v>
          </cell>
          <cell r="AY54">
            <v>0</v>
          </cell>
          <cell r="AZ54">
            <v>0</v>
          </cell>
          <cell r="BA54">
            <v>9.75</v>
          </cell>
          <cell r="BB54">
            <v>0</v>
          </cell>
          <cell r="BC54">
            <v>0</v>
          </cell>
          <cell r="BD54">
            <v>150</v>
          </cell>
          <cell r="BE54">
            <v>0</v>
          </cell>
          <cell r="BF54">
            <v>0</v>
          </cell>
          <cell r="BG54">
            <v>195</v>
          </cell>
          <cell r="BH54">
            <v>0</v>
          </cell>
          <cell r="BI54">
            <v>0</v>
          </cell>
          <cell r="BJ54">
            <v>15</v>
          </cell>
          <cell r="BK54">
            <v>0</v>
          </cell>
          <cell r="BL54">
            <v>8</v>
          </cell>
          <cell r="BM54">
            <v>75</v>
          </cell>
          <cell r="BN54">
            <v>600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11610</v>
          </cell>
        </row>
        <row r="55">
          <cell r="C55">
            <v>11919</v>
          </cell>
          <cell r="D55" t="str">
            <v>CREDO, JOSUA SALUDES</v>
          </cell>
          <cell r="E55" t="str">
            <v>METAL STAMPING</v>
          </cell>
          <cell r="F55" t="str">
            <v>PRODUCTION</v>
          </cell>
          <cell r="G55" t="str">
            <v>Operator</v>
          </cell>
          <cell r="H55" t="str">
            <v>DL</v>
          </cell>
          <cell r="I55">
            <v>0</v>
          </cell>
          <cell r="J55">
            <v>0</v>
          </cell>
          <cell r="K55">
            <v>600</v>
          </cell>
          <cell r="L55">
            <v>0</v>
          </cell>
          <cell r="M55">
            <v>0</v>
          </cell>
          <cell r="N55">
            <v>1.25</v>
          </cell>
          <cell r="O55">
            <v>0</v>
          </cell>
          <cell r="P55">
            <v>0</v>
          </cell>
          <cell r="Q55">
            <v>93.75</v>
          </cell>
          <cell r="R55">
            <v>0</v>
          </cell>
          <cell r="S55">
            <v>0</v>
          </cell>
          <cell r="T55">
            <v>7.5</v>
          </cell>
          <cell r="U55">
            <v>0</v>
          </cell>
          <cell r="V55">
            <v>0</v>
          </cell>
          <cell r="W55">
            <v>9.375</v>
          </cell>
          <cell r="X55">
            <v>0</v>
          </cell>
          <cell r="Y55">
            <v>0</v>
          </cell>
          <cell r="Z55">
            <v>97.5</v>
          </cell>
          <cell r="AA55">
            <v>0</v>
          </cell>
          <cell r="AB55">
            <v>0</v>
          </cell>
          <cell r="AC55">
            <v>126.75</v>
          </cell>
          <cell r="AD55">
            <v>0</v>
          </cell>
          <cell r="AE55">
            <v>0</v>
          </cell>
          <cell r="AF55">
            <v>12.675000000000001</v>
          </cell>
          <cell r="AG55">
            <v>0</v>
          </cell>
          <cell r="AH55">
            <v>0</v>
          </cell>
          <cell r="AI55">
            <v>9.75</v>
          </cell>
          <cell r="AJ55">
            <v>0</v>
          </cell>
          <cell r="AK55">
            <v>0</v>
          </cell>
          <cell r="AL55">
            <v>112.5</v>
          </cell>
          <cell r="AM55">
            <v>0</v>
          </cell>
          <cell r="AN55">
            <v>0</v>
          </cell>
          <cell r="AO55">
            <v>146.25</v>
          </cell>
          <cell r="AP55">
            <v>0</v>
          </cell>
          <cell r="AQ55">
            <v>0</v>
          </cell>
          <cell r="AR55">
            <v>11.25</v>
          </cell>
          <cell r="AS55">
            <v>0</v>
          </cell>
          <cell r="AT55">
            <v>0</v>
          </cell>
          <cell r="AU55">
            <v>97.5</v>
          </cell>
          <cell r="AV55">
            <v>0</v>
          </cell>
          <cell r="AW55">
            <v>0</v>
          </cell>
          <cell r="AX55">
            <v>126.75</v>
          </cell>
          <cell r="AY55">
            <v>0</v>
          </cell>
          <cell r="AZ55">
            <v>0</v>
          </cell>
          <cell r="BA55">
            <v>9.75</v>
          </cell>
          <cell r="BB55">
            <v>0</v>
          </cell>
          <cell r="BC55">
            <v>0</v>
          </cell>
          <cell r="BD55">
            <v>150</v>
          </cell>
          <cell r="BE55">
            <v>0</v>
          </cell>
          <cell r="BF55">
            <v>0</v>
          </cell>
          <cell r="BG55">
            <v>195</v>
          </cell>
          <cell r="BH55">
            <v>0</v>
          </cell>
          <cell r="BI55">
            <v>0</v>
          </cell>
          <cell r="BJ55">
            <v>15</v>
          </cell>
          <cell r="BK55">
            <v>0</v>
          </cell>
          <cell r="BL55">
            <v>0</v>
          </cell>
          <cell r="BM55">
            <v>75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</row>
        <row r="56">
          <cell r="C56">
            <v>30261</v>
          </cell>
          <cell r="D56" t="str">
            <v>DADO, JEROME ROMERO</v>
          </cell>
          <cell r="E56" t="str">
            <v>METAL STAMPING</v>
          </cell>
          <cell r="F56" t="str">
            <v>PRODUCTION</v>
          </cell>
          <cell r="G56" t="str">
            <v>Operator</v>
          </cell>
          <cell r="H56" t="str">
            <v>DL</v>
          </cell>
          <cell r="I56">
            <v>96</v>
          </cell>
          <cell r="J56">
            <v>12</v>
          </cell>
          <cell r="K56">
            <v>600</v>
          </cell>
          <cell r="L56">
            <v>7200</v>
          </cell>
          <cell r="M56">
            <v>0</v>
          </cell>
          <cell r="N56">
            <v>1.25</v>
          </cell>
          <cell r="O56">
            <v>0</v>
          </cell>
          <cell r="P56">
            <v>14</v>
          </cell>
          <cell r="Q56">
            <v>93.75</v>
          </cell>
          <cell r="R56">
            <v>1312.5</v>
          </cell>
          <cell r="S56">
            <v>48</v>
          </cell>
          <cell r="T56">
            <v>7.5</v>
          </cell>
          <cell r="U56">
            <v>360</v>
          </cell>
          <cell r="V56">
            <v>10</v>
          </cell>
          <cell r="W56">
            <v>9.375</v>
          </cell>
          <cell r="X56">
            <v>93.75</v>
          </cell>
          <cell r="Y56">
            <v>8</v>
          </cell>
          <cell r="Z56">
            <v>97.5</v>
          </cell>
          <cell r="AA56">
            <v>780</v>
          </cell>
          <cell r="AB56">
            <v>0</v>
          </cell>
          <cell r="AC56">
            <v>126.75</v>
          </cell>
          <cell r="AD56">
            <v>0</v>
          </cell>
          <cell r="AE56">
            <v>0</v>
          </cell>
          <cell r="AF56">
            <v>12.675000000000001</v>
          </cell>
          <cell r="AG56">
            <v>0</v>
          </cell>
          <cell r="AH56">
            <v>0</v>
          </cell>
          <cell r="AI56">
            <v>9.75</v>
          </cell>
          <cell r="AJ56">
            <v>0</v>
          </cell>
          <cell r="AK56">
            <v>0</v>
          </cell>
          <cell r="AL56">
            <v>112.5</v>
          </cell>
          <cell r="AM56">
            <v>0</v>
          </cell>
          <cell r="AN56">
            <v>0</v>
          </cell>
          <cell r="AO56">
            <v>146.25</v>
          </cell>
          <cell r="AP56">
            <v>0</v>
          </cell>
          <cell r="AQ56">
            <v>0</v>
          </cell>
          <cell r="AR56">
            <v>11.25</v>
          </cell>
          <cell r="AS56">
            <v>0</v>
          </cell>
          <cell r="AT56">
            <v>0</v>
          </cell>
          <cell r="AU56">
            <v>97.5</v>
          </cell>
          <cell r="AV56">
            <v>0</v>
          </cell>
          <cell r="AW56">
            <v>0</v>
          </cell>
          <cell r="AX56">
            <v>126.75</v>
          </cell>
          <cell r="AY56">
            <v>0</v>
          </cell>
          <cell r="AZ56">
            <v>0</v>
          </cell>
          <cell r="BA56">
            <v>9.75</v>
          </cell>
          <cell r="BB56">
            <v>0</v>
          </cell>
          <cell r="BC56">
            <v>0</v>
          </cell>
          <cell r="BD56">
            <v>150</v>
          </cell>
          <cell r="BE56">
            <v>0</v>
          </cell>
          <cell r="BF56">
            <v>0</v>
          </cell>
          <cell r="BG56">
            <v>195</v>
          </cell>
          <cell r="BH56">
            <v>0</v>
          </cell>
          <cell r="BI56">
            <v>0</v>
          </cell>
          <cell r="BJ56">
            <v>15</v>
          </cell>
          <cell r="BK56">
            <v>0</v>
          </cell>
          <cell r="BL56">
            <v>8</v>
          </cell>
          <cell r="BM56">
            <v>75</v>
          </cell>
          <cell r="BN56">
            <v>600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10346.25</v>
          </cell>
        </row>
        <row r="57">
          <cell r="C57">
            <v>12927</v>
          </cell>
          <cell r="D57" t="str">
            <v>DAGLI, RENZ JEMRICK ZARA</v>
          </cell>
          <cell r="E57" t="str">
            <v>METAL STAMPING</v>
          </cell>
          <cell r="F57" t="str">
            <v>PRODUCTION</v>
          </cell>
          <cell r="G57" t="str">
            <v>Operator</v>
          </cell>
          <cell r="H57" t="str">
            <v>DL</v>
          </cell>
          <cell r="I57">
            <v>104</v>
          </cell>
          <cell r="J57">
            <v>13</v>
          </cell>
          <cell r="K57">
            <v>600</v>
          </cell>
          <cell r="L57">
            <v>7800</v>
          </cell>
          <cell r="M57">
            <v>0</v>
          </cell>
          <cell r="N57">
            <v>1.25</v>
          </cell>
          <cell r="O57">
            <v>0</v>
          </cell>
          <cell r="P57">
            <v>18</v>
          </cell>
          <cell r="Q57">
            <v>93.75</v>
          </cell>
          <cell r="R57">
            <v>1687.5</v>
          </cell>
          <cell r="S57">
            <v>54</v>
          </cell>
          <cell r="T57">
            <v>7.5</v>
          </cell>
          <cell r="U57">
            <v>405</v>
          </cell>
          <cell r="V57">
            <v>16</v>
          </cell>
          <cell r="W57">
            <v>9.375</v>
          </cell>
          <cell r="X57">
            <v>150</v>
          </cell>
          <cell r="Y57">
            <v>8</v>
          </cell>
          <cell r="Z57">
            <v>97.5</v>
          </cell>
          <cell r="AA57">
            <v>780</v>
          </cell>
          <cell r="AB57">
            <v>0</v>
          </cell>
          <cell r="AC57">
            <v>126.75</v>
          </cell>
          <cell r="AD57">
            <v>0</v>
          </cell>
          <cell r="AE57">
            <v>0</v>
          </cell>
          <cell r="AF57">
            <v>12.675000000000001</v>
          </cell>
          <cell r="AG57">
            <v>0</v>
          </cell>
          <cell r="AH57">
            <v>0</v>
          </cell>
          <cell r="AI57">
            <v>9.75</v>
          </cell>
          <cell r="AJ57">
            <v>0</v>
          </cell>
          <cell r="AK57">
            <v>0</v>
          </cell>
          <cell r="AL57">
            <v>112.5</v>
          </cell>
          <cell r="AM57">
            <v>0</v>
          </cell>
          <cell r="AN57">
            <v>0</v>
          </cell>
          <cell r="AO57">
            <v>146.25</v>
          </cell>
          <cell r="AP57">
            <v>0</v>
          </cell>
          <cell r="AQ57">
            <v>0</v>
          </cell>
          <cell r="AR57">
            <v>11.25</v>
          </cell>
          <cell r="AS57">
            <v>0</v>
          </cell>
          <cell r="AT57">
            <v>0</v>
          </cell>
          <cell r="AU57">
            <v>97.5</v>
          </cell>
          <cell r="AV57">
            <v>0</v>
          </cell>
          <cell r="AW57">
            <v>0</v>
          </cell>
          <cell r="AX57">
            <v>126.75</v>
          </cell>
          <cell r="AY57">
            <v>0</v>
          </cell>
          <cell r="AZ57">
            <v>0</v>
          </cell>
          <cell r="BA57">
            <v>9.75</v>
          </cell>
          <cell r="BB57">
            <v>0</v>
          </cell>
          <cell r="BC57">
            <v>0</v>
          </cell>
          <cell r="BD57">
            <v>150</v>
          </cell>
          <cell r="BE57">
            <v>0</v>
          </cell>
          <cell r="BF57">
            <v>0</v>
          </cell>
          <cell r="BG57">
            <v>195</v>
          </cell>
          <cell r="BH57">
            <v>0</v>
          </cell>
          <cell r="BI57">
            <v>0</v>
          </cell>
          <cell r="BJ57">
            <v>15</v>
          </cell>
          <cell r="BK57">
            <v>0</v>
          </cell>
          <cell r="BL57">
            <v>8</v>
          </cell>
          <cell r="BM57">
            <v>75</v>
          </cell>
          <cell r="BN57">
            <v>600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11422.5</v>
          </cell>
        </row>
        <row r="58">
          <cell r="C58">
            <v>12928</v>
          </cell>
          <cell r="D58" t="str">
            <v>DASAL, JAYSON SALAZAR</v>
          </cell>
          <cell r="E58" t="str">
            <v>METAL STAMPING</v>
          </cell>
          <cell r="F58" t="str">
            <v>PRODUCTION</v>
          </cell>
          <cell r="G58" t="str">
            <v>Operator</v>
          </cell>
          <cell r="H58" t="str">
            <v>IDL</v>
          </cell>
          <cell r="I58">
            <v>104</v>
          </cell>
          <cell r="J58">
            <v>13</v>
          </cell>
          <cell r="K58">
            <v>600</v>
          </cell>
          <cell r="L58">
            <v>7800</v>
          </cell>
          <cell r="M58">
            <v>0</v>
          </cell>
          <cell r="N58">
            <v>1.25</v>
          </cell>
          <cell r="O58">
            <v>0</v>
          </cell>
          <cell r="P58">
            <v>22</v>
          </cell>
          <cell r="Q58">
            <v>93.75</v>
          </cell>
          <cell r="R58">
            <v>2062.5</v>
          </cell>
          <cell r="S58">
            <v>24</v>
          </cell>
          <cell r="T58">
            <v>7.5</v>
          </cell>
          <cell r="U58">
            <v>180</v>
          </cell>
          <cell r="V58">
            <v>6</v>
          </cell>
          <cell r="W58">
            <v>9.375</v>
          </cell>
          <cell r="X58">
            <v>56.25</v>
          </cell>
          <cell r="Y58">
            <v>0</v>
          </cell>
          <cell r="Z58">
            <v>97.5</v>
          </cell>
          <cell r="AA58">
            <v>0</v>
          </cell>
          <cell r="AB58">
            <v>0</v>
          </cell>
          <cell r="AC58">
            <v>126.75</v>
          </cell>
          <cell r="AD58">
            <v>0</v>
          </cell>
          <cell r="AE58">
            <v>0</v>
          </cell>
          <cell r="AF58">
            <v>12.675000000000001</v>
          </cell>
          <cell r="AG58">
            <v>0</v>
          </cell>
          <cell r="AH58">
            <v>0</v>
          </cell>
          <cell r="AI58">
            <v>9.75</v>
          </cell>
          <cell r="AJ58">
            <v>0</v>
          </cell>
          <cell r="AK58">
            <v>0</v>
          </cell>
          <cell r="AL58">
            <v>112.5</v>
          </cell>
          <cell r="AM58">
            <v>0</v>
          </cell>
          <cell r="AN58">
            <v>0</v>
          </cell>
          <cell r="AO58">
            <v>146.25</v>
          </cell>
          <cell r="AP58">
            <v>0</v>
          </cell>
          <cell r="AQ58">
            <v>0</v>
          </cell>
          <cell r="AR58">
            <v>11.25</v>
          </cell>
          <cell r="AS58">
            <v>0</v>
          </cell>
          <cell r="AT58">
            <v>0</v>
          </cell>
          <cell r="AU58">
            <v>97.5</v>
          </cell>
          <cell r="AV58">
            <v>0</v>
          </cell>
          <cell r="AW58">
            <v>0</v>
          </cell>
          <cell r="AX58">
            <v>126.75</v>
          </cell>
          <cell r="AY58">
            <v>0</v>
          </cell>
          <cell r="AZ58">
            <v>0</v>
          </cell>
          <cell r="BA58">
            <v>9.75</v>
          </cell>
          <cell r="BB58">
            <v>0</v>
          </cell>
          <cell r="BC58">
            <v>0</v>
          </cell>
          <cell r="BD58">
            <v>150</v>
          </cell>
          <cell r="BE58">
            <v>0</v>
          </cell>
          <cell r="BF58">
            <v>0</v>
          </cell>
          <cell r="BG58">
            <v>195</v>
          </cell>
          <cell r="BH58">
            <v>0</v>
          </cell>
          <cell r="BI58">
            <v>0</v>
          </cell>
          <cell r="BJ58">
            <v>15</v>
          </cell>
          <cell r="BK58">
            <v>0</v>
          </cell>
          <cell r="BL58">
            <v>8</v>
          </cell>
          <cell r="BM58">
            <v>75</v>
          </cell>
          <cell r="BN58">
            <v>600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10698.75</v>
          </cell>
        </row>
        <row r="59">
          <cell r="C59">
            <v>32242</v>
          </cell>
          <cell r="D59" t="str">
            <v>DE CHAVEZ,JOE ANTENOR</v>
          </cell>
          <cell r="E59" t="str">
            <v>METAL STAMPING</v>
          </cell>
          <cell r="F59" t="str">
            <v>PRODUCTION</v>
          </cell>
          <cell r="G59" t="str">
            <v>Operator</v>
          </cell>
          <cell r="H59" t="str">
            <v>DL</v>
          </cell>
          <cell r="I59">
            <v>80</v>
          </cell>
          <cell r="J59">
            <v>10</v>
          </cell>
          <cell r="K59">
            <v>600</v>
          </cell>
          <cell r="L59">
            <v>6000</v>
          </cell>
          <cell r="M59">
            <v>0</v>
          </cell>
          <cell r="N59">
            <v>1.25</v>
          </cell>
          <cell r="O59">
            <v>0</v>
          </cell>
          <cell r="P59">
            <v>16</v>
          </cell>
          <cell r="Q59">
            <v>93.75</v>
          </cell>
          <cell r="R59">
            <v>1500</v>
          </cell>
          <cell r="S59">
            <v>36</v>
          </cell>
          <cell r="T59">
            <v>7.5</v>
          </cell>
          <cell r="U59">
            <v>270</v>
          </cell>
          <cell r="V59">
            <v>12</v>
          </cell>
          <cell r="W59">
            <v>9.375</v>
          </cell>
          <cell r="X59">
            <v>112.5</v>
          </cell>
          <cell r="Y59">
            <v>8</v>
          </cell>
          <cell r="Z59">
            <v>97.5</v>
          </cell>
          <cell r="AA59">
            <v>780</v>
          </cell>
          <cell r="AB59">
            <v>1</v>
          </cell>
          <cell r="AC59">
            <v>126.75</v>
          </cell>
          <cell r="AD59">
            <v>126.75</v>
          </cell>
          <cell r="AE59">
            <v>0</v>
          </cell>
          <cell r="AF59">
            <v>12.675000000000001</v>
          </cell>
          <cell r="AG59">
            <v>0</v>
          </cell>
          <cell r="AH59">
            <v>0</v>
          </cell>
          <cell r="AI59">
            <v>9.75</v>
          </cell>
          <cell r="AJ59">
            <v>0</v>
          </cell>
          <cell r="AK59">
            <v>0</v>
          </cell>
          <cell r="AL59">
            <v>112.5</v>
          </cell>
          <cell r="AM59">
            <v>0</v>
          </cell>
          <cell r="AN59">
            <v>0</v>
          </cell>
          <cell r="AO59">
            <v>146.25</v>
          </cell>
          <cell r="AP59">
            <v>0</v>
          </cell>
          <cell r="AQ59">
            <v>0</v>
          </cell>
          <cell r="AR59">
            <v>11.25</v>
          </cell>
          <cell r="AS59">
            <v>0</v>
          </cell>
          <cell r="AT59">
            <v>0</v>
          </cell>
          <cell r="AU59">
            <v>97.5</v>
          </cell>
          <cell r="AV59">
            <v>0</v>
          </cell>
          <cell r="AW59">
            <v>0</v>
          </cell>
          <cell r="AX59">
            <v>126.75</v>
          </cell>
          <cell r="AY59">
            <v>0</v>
          </cell>
          <cell r="AZ59">
            <v>0</v>
          </cell>
          <cell r="BA59">
            <v>9.75</v>
          </cell>
          <cell r="BB59">
            <v>0</v>
          </cell>
          <cell r="BC59">
            <v>0</v>
          </cell>
          <cell r="BD59">
            <v>150</v>
          </cell>
          <cell r="BE59">
            <v>0</v>
          </cell>
          <cell r="BF59">
            <v>0</v>
          </cell>
          <cell r="BG59">
            <v>195</v>
          </cell>
          <cell r="BH59">
            <v>0</v>
          </cell>
          <cell r="BI59">
            <v>0</v>
          </cell>
          <cell r="BJ59">
            <v>15</v>
          </cell>
          <cell r="BK59">
            <v>0</v>
          </cell>
          <cell r="BL59">
            <v>8</v>
          </cell>
          <cell r="BM59">
            <v>75</v>
          </cell>
          <cell r="BN59">
            <v>600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9389.25</v>
          </cell>
        </row>
        <row r="60">
          <cell r="C60">
            <v>14473</v>
          </cell>
          <cell r="D60" t="str">
            <v>DE JESUS, JOHN LORREN LIWANAG</v>
          </cell>
          <cell r="E60" t="str">
            <v>METAL STAMPING</v>
          </cell>
          <cell r="F60" t="str">
            <v>PRODUCTION</v>
          </cell>
          <cell r="G60" t="str">
            <v>Operator</v>
          </cell>
          <cell r="H60" t="str">
            <v>DL</v>
          </cell>
          <cell r="I60">
            <v>104</v>
          </cell>
          <cell r="J60">
            <v>13</v>
          </cell>
          <cell r="K60">
            <v>600</v>
          </cell>
          <cell r="L60">
            <v>7800</v>
          </cell>
          <cell r="M60">
            <v>0</v>
          </cell>
          <cell r="N60">
            <v>1.25</v>
          </cell>
          <cell r="O60">
            <v>0</v>
          </cell>
          <cell r="P60">
            <v>16</v>
          </cell>
          <cell r="Q60">
            <v>93.75</v>
          </cell>
          <cell r="R60">
            <v>1500</v>
          </cell>
          <cell r="S60">
            <v>0</v>
          </cell>
          <cell r="T60">
            <v>7.5</v>
          </cell>
          <cell r="U60">
            <v>0</v>
          </cell>
          <cell r="V60">
            <v>0</v>
          </cell>
          <cell r="W60">
            <v>9.375</v>
          </cell>
          <cell r="X60">
            <v>0</v>
          </cell>
          <cell r="Y60">
            <v>8</v>
          </cell>
          <cell r="Z60">
            <v>97.5</v>
          </cell>
          <cell r="AA60">
            <v>780</v>
          </cell>
          <cell r="AB60">
            <v>0</v>
          </cell>
          <cell r="AC60">
            <v>126.75</v>
          </cell>
          <cell r="AD60">
            <v>0</v>
          </cell>
          <cell r="AE60">
            <v>0</v>
          </cell>
          <cell r="AF60">
            <v>12.675000000000001</v>
          </cell>
          <cell r="AG60">
            <v>0</v>
          </cell>
          <cell r="AH60">
            <v>0</v>
          </cell>
          <cell r="AI60">
            <v>9.75</v>
          </cell>
          <cell r="AJ60">
            <v>0</v>
          </cell>
          <cell r="AK60">
            <v>0</v>
          </cell>
          <cell r="AL60">
            <v>112.5</v>
          </cell>
          <cell r="AM60">
            <v>0</v>
          </cell>
          <cell r="AN60">
            <v>0</v>
          </cell>
          <cell r="AO60">
            <v>146.25</v>
          </cell>
          <cell r="AP60">
            <v>0</v>
          </cell>
          <cell r="AQ60">
            <v>0</v>
          </cell>
          <cell r="AR60">
            <v>11.25</v>
          </cell>
          <cell r="AS60">
            <v>0</v>
          </cell>
          <cell r="AT60">
            <v>0</v>
          </cell>
          <cell r="AU60">
            <v>97.5</v>
          </cell>
          <cell r="AV60">
            <v>0</v>
          </cell>
          <cell r="AW60">
            <v>0</v>
          </cell>
          <cell r="AX60">
            <v>126.75</v>
          </cell>
          <cell r="AY60">
            <v>0</v>
          </cell>
          <cell r="AZ60">
            <v>0</v>
          </cell>
          <cell r="BA60">
            <v>9.75</v>
          </cell>
          <cell r="BB60">
            <v>0</v>
          </cell>
          <cell r="BC60">
            <v>0</v>
          </cell>
          <cell r="BD60">
            <v>150</v>
          </cell>
          <cell r="BE60">
            <v>0</v>
          </cell>
          <cell r="BF60">
            <v>0</v>
          </cell>
          <cell r="BG60">
            <v>195</v>
          </cell>
          <cell r="BH60">
            <v>0</v>
          </cell>
          <cell r="BI60">
            <v>0</v>
          </cell>
          <cell r="BJ60">
            <v>15</v>
          </cell>
          <cell r="BK60">
            <v>0</v>
          </cell>
          <cell r="BL60">
            <v>8</v>
          </cell>
          <cell r="BM60">
            <v>75</v>
          </cell>
          <cell r="BN60">
            <v>600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10680</v>
          </cell>
        </row>
        <row r="61">
          <cell r="C61">
            <v>5585</v>
          </cell>
          <cell r="D61" t="str">
            <v>DE LEON, JENNY SINODLAY</v>
          </cell>
          <cell r="E61" t="str">
            <v>METAL STAMPING</v>
          </cell>
          <cell r="F61" t="str">
            <v>PRODUCTION</v>
          </cell>
          <cell r="G61" t="str">
            <v>Operator</v>
          </cell>
          <cell r="H61" t="str">
            <v>DL</v>
          </cell>
          <cell r="I61">
            <v>104</v>
          </cell>
          <cell r="J61">
            <v>13</v>
          </cell>
          <cell r="K61">
            <v>600</v>
          </cell>
          <cell r="L61">
            <v>7800</v>
          </cell>
          <cell r="M61">
            <v>0</v>
          </cell>
          <cell r="N61">
            <v>1.25</v>
          </cell>
          <cell r="O61">
            <v>0</v>
          </cell>
          <cell r="P61">
            <v>22</v>
          </cell>
          <cell r="Q61">
            <v>93.75</v>
          </cell>
          <cell r="R61">
            <v>2062.5</v>
          </cell>
          <cell r="S61">
            <v>24</v>
          </cell>
          <cell r="T61">
            <v>7.5</v>
          </cell>
          <cell r="U61">
            <v>180</v>
          </cell>
          <cell r="V61">
            <v>6</v>
          </cell>
          <cell r="W61">
            <v>9.375</v>
          </cell>
          <cell r="X61">
            <v>56.25</v>
          </cell>
          <cell r="Y61">
            <v>0</v>
          </cell>
          <cell r="Z61">
            <v>97.5</v>
          </cell>
          <cell r="AA61">
            <v>0</v>
          </cell>
          <cell r="AB61">
            <v>0</v>
          </cell>
          <cell r="AC61">
            <v>126.75</v>
          </cell>
          <cell r="AD61">
            <v>0</v>
          </cell>
          <cell r="AE61">
            <v>0</v>
          </cell>
          <cell r="AF61">
            <v>12.675000000000001</v>
          </cell>
          <cell r="AG61">
            <v>0</v>
          </cell>
          <cell r="AH61">
            <v>0</v>
          </cell>
          <cell r="AI61">
            <v>9.75</v>
          </cell>
          <cell r="AJ61">
            <v>0</v>
          </cell>
          <cell r="AK61">
            <v>0</v>
          </cell>
          <cell r="AL61">
            <v>112.5</v>
          </cell>
          <cell r="AM61">
            <v>0</v>
          </cell>
          <cell r="AN61">
            <v>0</v>
          </cell>
          <cell r="AO61">
            <v>146.25</v>
          </cell>
          <cell r="AP61">
            <v>0</v>
          </cell>
          <cell r="AQ61">
            <v>0</v>
          </cell>
          <cell r="AR61">
            <v>11.25</v>
          </cell>
          <cell r="AS61">
            <v>0</v>
          </cell>
          <cell r="AT61">
            <v>0</v>
          </cell>
          <cell r="AU61">
            <v>97.5</v>
          </cell>
          <cell r="AV61">
            <v>0</v>
          </cell>
          <cell r="AW61">
            <v>0</v>
          </cell>
          <cell r="AX61">
            <v>126.75</v>
          </cell>
          <cell r="AY61">
            <v>0</v>
          </cell>
          <cell r="AZ61">
            <v>0</v>
          </cell>
          <cell r="BA61">
            <v>9.75</v>
          </cell>
          <cell r="BB61">
            <v>0</v>
          </cell>
          <cell r="BC61">
            <v>0</v>
          </cell>
          <cell r="BD61">
            <v>150</v>
          </cell>
          <cell r="BE61">
            <v>0</v>
          </cell>
          <cell r="BF61">
            <v>0</v>
          </cell>
          <cell r="BG61">
            <v>195</v>
          </cell>
          <cell r="BH61">
            <v>0</v>
          </cell>
          <cell r="BI61">
            <v>0</v>
          </cell>
          <cell r="BJ61">
            <v>15</v>
          </cell>
          <cell r="BK61">
            <v>0</v>
          </cell>
          <cell r="BL61">
            <v>8</v>
          </cell>
          <cell r="BM61">
            <v>75</v>
          </cell>
          <cell r="BN61">
            <v>600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10698.75</v>
          </cell>
        </row>
        <row r="62">
          <cell r="C62">
            <v>32234</v>
          </cell>
          <cell r="D62" t="str">
            <v>DE TORRES,JURLEY VELASQUEZ</v>
          </cell>
          <cell r="E62" t="str">
            <v>METAL STAMPING</v>
          </cell>
          <cell r="F62" t="str">
            <v>PRODUCTION</v>
          </cell>
          <cell r="G62" t="str">
            <v>Operator</v>
          </cell>
          <cell r="H62" t="str">
            <v>DL</v>
          </cell>
          <cell r="I62">
            <v>104</v>
          </cell>
          <cell r="J62">
            <v>13</v>
          </cell>
          <cell r="K62">
            <v>600</v>
          </cell>
          <cell r="L62">
            <v>7800</v>
          </cell>
          <cell r="M62">
            <v>0</v>
          </cell>
          <cell r="N62">
            <v>1.25</v>
          </cell>
          <cell r="O62">
            <v>0</v>
          </cell>
          <cell r="P62">
            <v>20</v>
          </cell>
          <cell r="Q62">
            <v>93.75</v>
          </cell>
          <cell r="R62">
            <v>1875</v>
          </cell>
          <cell r="S62">
            <v>54</v>
          </cell>
          <cell r="T62">
            <v>7.5</v>
          </cell>
          <cell r="U62">
            <v>405</v>
          </cell>
          <cell r="V62">
            <v>16</v>
          </cell>
          <cell r="W62">
            <v>9.375</v>
          </cell>
          <cell r="X62">
            <v>150</v>
          </cell>
          <cell r="Y62">
            <v>8</v>
          </cell>
          <cell r="Z62">
            <v>97.5</v>
          </cell>
          <cell r="AA62">
            <v>780</v>
          </cell>
          <cell r="AB62">
            <v>0</v>
          </cell>
          <cell r="AC62">
            <v>126.75</v>
          </cell>
          <cell r="AD62">
            <v>0</v>
          </cell>
          <cell r="AE62">
            <v>0</v>
          </cell>
          <cell r="AF62">
            <v>12.675000000000001</v>
          </cell>
          <cell r="AG62">
            <v>0</v>
          </cell>
          <cell r="AH62">
            <v>0</v>
          </cell>
          <cell r="AI62">
            <v>9.75</v>
          </cell>
          <cell r="AJ62">
            <v>0</v>
          </cell>
          <cell r="AK62">
            <v>0</v>
          </cell>
          <cell r="AL62">
            <v>112.5</v>
          </cell>
          <cell r="AM62">
            <v>0</v>
          </cell>
          <cell r="AN62">
            <v>0</v>
          </cell>
          <cell r="AO62">
            <v>146.25</v>
          </cell>
          <cell r="AP62">
            <v>0</v>
          </cell>
          <cell r="AQ62">
            <v>0</v>
          </cell>
          <cell r="AR62">
            <v>11.25</v>
          </cell>
          <cell r="AS62">
            <v>0</v>
          </cell>
          <cell r="AT62">
            <v>0</v>
          </cell>
          <cell r="AU62">
            <v>97.5</v>
          </cell>
          <cell r="AV62">
            <v>0</v>
          </cell>
          <cell r="AW62">
            <v>0</v>
          </cell>
          <cell r="AX62">
            <v>126.75</v>
          </cell>
          <cell r="AY62">
            <v>0</v>
          </cell>
          <cell r="AZ62">
            <v>0</v>
          </cell>
          <cell r="BA62">
            <v>9.75</v>
          </cell>
          <cell r="BB62">
            <v>0</v>
          </cell>
          <cell r="BC62">
            <v>8</v>
          </cell>
          <cell r="BD62">
            <v>150</v>
          </cell>
          <cell r="BE62">
            <v>1200</v>
          </cell>
          <cell r="BF62">
            <v>0</v>
          </cell>
          <cell r="BG62">
            <v>195</v>
          </cell>
          <cell r="BH62">
            <v>0</v>
          </cell>
          <cell r="BI62">
            <v>0</v>
          </cell>
          <cell r="BJ62">
            <v>15</v>
          </cell>
          <cell r="BK62">
            <v>0</v>
          </cell>
          <cell r="BL62">
            <v>0</v>
          </cell>
          <cell r="BM62">
            <v>75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12210</v>
          </cell>
        </row>
        <row r="63">
          <cell r="C63">
            <v>32447</v>
          </cell>
          <cell r="D63" t="str">
            <v>DE VERA, SHERELYN BALBUENA</v>
          </cell>
          <cell r="E63" t="str">
            <v>METAL STAMPING</v>
          </cell>
          <cell r="F63" t="str">
            <v>PRODUCTION</v>
          </cell>
          <cell r="G63" t="str">
            <v>Operator</v>
          </cell>
          <cell r="H63" t="str">
            <v>IDL</v>
          </cell>
          <cell r="I63">
            <v>104</v>
          </cell>
          <cell r="J63">
            <v>13</v>
          </cell>
          <cell r="K63">
            <v>600</v>
          </cell>
          <cell r="L63">
            <v>7800</v>
          </cell>
          <cell r="M63">
            <v>0</v>
          </cell>
          <cell r="N63">
            <v>1.25</v>
          </cell>
          <cell r="O63">
            <v>0</v>
          </cell>
          <cell r="P63">
            <v>24</v>
          </cell>
          <cell r="Q63">
            <v>93.75</v>
          </cell>
          <cell r="R63">
            <v>2250</v>
          </cell>
          <cell r="S63">
            <v>0</v>
          </cell>
          <cell r="T63">
            <v>7.5</v>
          </cell>
          <cell r="U63">
            <v>0</v>
          </cell>
          <cell r="V63">
            <v>0</v>
          </cell>
          <cell r="W63">
            <v>9.375</v>
          </cell>
          <cell r="X63">
            <v>0</v>
          </cell>
          <cell r="Y63">
            <v>8</v>
          </cell>
          <cell r="Z63">
            <v>97.5</v>
          </cell>
          <cell r="AA63">
            <v>780</v>
          </cell>
          <cell r="AB63">
            <v>0</v>
          </cell>
          <cell r="AC63">
            <v>126.75</v>
          </cell>
          <cell r="AD63">
            <v>0</v>
          </cell>
          <cell r="AE63">
            <v>0</v>
          </cell>
          <cell r="AF63">
            <v>12.675000000000001</v>
          </cell>
          <cell r="AG63">
            <v>0</v>
          </cell>
          <cell r="AH63">
            <v>0</v>
          </cell>
          <cell r="AI63">
            <v>9.75</v>
          </cell>
          <cell r="AJ63">
            <v>0</v>
          </cell>
          <cell r="AK63">
            <v>0</v>
          </cell>
          <cell r="AL63">
            <v>112.5</v>
          </cell>
          <cell r="AM63">
            <v>0</v>
          </cell>
          <cell r="AN63">
            <v>0</v>
          </cell>
          <cell r="AO63">
            <v>146.25</v>
          </cell>
          <cell r="AP63">
            <v>0</v>
          </cell>
          <cell r="AQ63">
            <v>0</v>
          </cell>
          <cell r="AR63">
            <v>11.25</v>
          </cell>
          <cell r="AS63">
            <v>0</v>
          </cell>
          <cell r="AT63">
            <v>0</v>
          </cell>
          <cell r="AU63">
            <v>97.5</v>
          </cell>
          <cell r="AV63">
            <v>0</v>
          </cell>
          <cell r="AW63">
            <v>0</v>
          </cell>
          <cell r="AX63">
            <v>126.75</v>
          </cell>
          <cell r="AY63">
            <v>0</v>
          </cell>
          <cell r="AZ63">
            <v>0</v>
          </cell>
          <cell r="BA63">
            <v>9.75</v>
          </cell>
          <cell r="BB63">
            <v>0</v>
          </cell>
          <cell r="BC63">
            <v>0</v>
          </cell>
          <cell r="BD63">
            <v>150</v>
          </cell>
          <cell r="BE63">
            <v>0</v>
          </cell>
          <cell r="BF63">
            <v>0</v>
          </cell>
          <cell r="BG63">
            <v>195</v>
          </cell>
          <cell r="BH63">
            <v>0</v>
          </cell>
          <cell r="BI63">
            <v>0</v>
          </cell>
          <cell r="BJ63">
            <v>15</v>
          </cell>
          <cell r="BK63">
            <v>0</v>
          </cell>
          <cell r="BL63">
            <v>8</v>
          </cell>
          <cell r="BM63">
            <v>75</v>
          </cell>
          <cell r="BN63">
            <v>600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11430</v>
          </cell>
        </row>
        <row r="64">
          <cell r="C64">
            <v>32457</v>
          </cell>
          <cell r="D64" t="str">
            <v>DECULAWAN, MARLON</v>
          </cell>
          <cell r="E64" t="str">
            <v>METAL STAMPING</v>
          </cell>
          <cell r="F64" t="str">
            <v>PRODUCTION</v>
          </cell>
          <cell r="G64" t="str">
            <v>Operator</v>
          </cell>
          <cell r="H64" t="str">
            <v>DL</v>
          </cell>
          <cell r="I64">
            <v>104</v>
          </cell>
          <cell r="J64">
            <v>13</v>
          </cell>
          <cell r="K64">
            <v>600</v>
          </cell>
          <cell r="L64">
            <v>7800</v>
          </cell>
          <cell r="M64">
            <v>0</v>
          </cell>
          <cell r="N64">
            <v>1.25</v>
          </cell>
          <cell r="O64">
            <v>0</v>
          </cell>
          <cell r="P64">
            <v>22</v>
          </cell>
          <cell r="Q64">
            <v>93.75</v>
          </cell>
          <cell r="R64">
            <v>2062.5</v>
          </cell>
          <cell r="S64">
            <v>24</v>
          </cell>
          <cell r="T64">
            <v>7.5</v>
          </cell>
          <cell r="U64">
            <v>180</v>
          </cell>
          <cell r="V64">
            <v>6</v>
          </cell>
          <cell r="W64">
            <v>9.375</v>
          </cell>
          <cell r="X64">
            <v>56.25</v>
          </cell>
          <cell r="Y64">
            <v>0</v>
          </cell>
          <cell r="Z64">
            <v>97.5</v>
          </cell>
          <cell r="AA64">
            <v>0</v>
          </cell>
          <cell r="AB64">
            <v>0</v>
          </cell>
          <cell r="AC64">
            <v>126.75</v>
          </cell>
          <cell r="AD64">
            <v>0</v>
          </cell>
          <cell r="AE64">
            <v>0</v>
          </cell>
          <cell r="AF64">
            <v>12.675000000000001</v>
          </cell>
          <cell r="AG64">
            <v>0</v>
          </cell>
          <cell r="AH64">
            <v>0</v>
          </cell>
          <cell r="AI64">
            <v>9.75</v>
          </cell>
          <cell r="AJ64">
            <v>0</v>
          </cell>
          <cell r="AK64">
            <v>0</v>
          </cell>
          <cell r="AL64">
            <v>112.5</v>
          </cell>
          <cell r="AM64">
            <v>0</v>
          </cell>
          <cell r="AN64">
            <v>0</v>
          </cell>
          <cell r="AO64">
            <v>146.25</v>
          </cell>
          <cell r="AP64">
            <v>0</v>
          </cell>
          <cell r="AQ64">
            <v>0</v>
          </cell>
          <cell r="AR64">
            <v>11.25</v>
          </cell>
          <cell r="AS64">
            <v>0</v>
          </cell>
          <cell r="AT64">
            <v>0</v>
          </cell>
          <cell r="AU64">
            <v>97.5</v>
          </cell>
          <cell r="AV64">
            <v>0</v>
          </cell>
          <cell r="AW64">
            <v>0</v>
          </cell>
          <cell r="AX64">
            <v>126.75</v>
          </cell>
          <cell r="AY64">
            <v>0</v>
          </cell>
          <cell r="AZ64">
            <v>0</v>
          </cell>
          <cell r="BA64">
            <v>9.75</v>
          </cell>
          <cell r="BB64">
            <v>0</v>
          </cell>
          <cell r="BC64">
            <v>0</v>
          </cell>
          <cell r="BD64">
            <v>150</v>
          </cell>
          <cell r="BE64">
            <v>0</v>
          </cell>
          <cell r="BF64">
            <v>0</v>
          </cell>
          <cell r="BG64">
            <v>195</v>
          </cell>
          <cell r="BH64">
            <v>0</v>
          </cell>
          <cell r="BI64">
            <v>0</v>
          </cell>
          <cell r="BJ64">
            <v>15</v>
          </cell>
          <cell r="BK64">
            <v>0</v>
          </cell>
          <cell r="BL64">
            <v>8</v>
          </cell>
          <cell r="BM64">
            <v>75</v>
          </cell>
          <cell r="BN64">
            <v>600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10698.75</v>
          </cell>
        </row>
        <row r="65">
          <cell r="C65">
            <v>12947</v>
          </cell>
          <cell r="D65" t="str">
            <v>DELA CRUZ, RHEENA JEAN SOLANO</v>
          </cell>
          <cell r="E65" t="str">
            <v>METAL STAMPING</v>
          </cell>
          <cell r="F65" t="str">
            <v>PRODUCTION</v>
          </cell>
          <cell r="G65" t="str">
            <v>Operator</v>
          </cell>
          <cell r="H65" t="str">
            <v>DL</v>
          </cell>
          <cell r="I65">
            <v>104</v>
          </cell>
          <cell r="J65">
            <v>13</v>
          </cell>
          <cell r="K65">
            <v>600</v>
          </cell>
          <cell r="L65">
            <v>7800</v>
          </cell>
          <cell r="M65">
            <v>0</v>
          </cell>
          <cell r="N65">
            <v>1.25</v>
          </cell>
          <cell r="O65">
            <v>0</v>
          </cell>
          <cell r="P65">
            <v>20</v>
          </cell>
          <cell r="Q65">
            <v>93.75</v>
          </cell>
          <cell r="R65">
            <v>1875</v>
          </cell>
          <cell r="S65">
            <v>24</v>
          </cell>
          <cell r="T65">
            <v>7.5</v>
          </cell>
          <cell r="U65">
            <v>180</v>
          </cell>
          <cell r="V65">
            <v>6</v>
          </cell>
          <cell r="W65">
            <v>9.375</v>
          </cell>
          <cell r="X65">
            <v>56.25</v>
          </cell>
          <cell r="Y65">
            <v>0</v>
          </cell>
          <cell r="Z65">
            <v>97.5</v>
          </cell>
          <cell r="AA65">
            <v>0</v>
          </cell>
          <cell r="AB65">
            <v>0</v>
          </cell>
          <cell r="AC65">
            <v>126.75</v>
          </cell>
          <cell r="AD65">
            <v>0</v>
          </cell>
          <cell r="AE65">
            <v>0</v>
          </cell>
          <cell r="AF65">
            <v>12.675000000000001</v>
          </cell>
          <cell r="AG65">
            <v>0</v>
          </cell>
          <cell r="AH65">
            <v>0</v>
          </cell>
          <cell r="AI65">
            <v>9.75</v>
          </cell>
          <cell r="AJ65">
            <v>0</v>
          </cell>
          <cell r="AK65">
            <v>0</v>
          </cell>
          <cell r="AL65">
            <v>112.5</v>
          </cell>
          <cell r="AM65">
            <v>0</v>
          </cell>
          <cell r="AN65">
            <v>0</v>
          </cell>
          <cell r="AO65">
            <v>146.25</v>
          </cell>
          <cell r="AP65">
            <v>0</v>
          </cell>
          <cell r="AQ65">
            <v>0</v>
          </cell>
          <cell r="AR65">
            <v>11.25</v>
          </cell>
          <cell r="AS65">
            <v>0</v>
          </cell>
          <cell r="AT65">
            <v>0</v>
          </cell>
          <cell r="AU65">
            <v>97.5</v>
          </cell>
          <cell r="AV65">
            <v>0</v>
          </cell>
          <cell r="AW65">
            <v>0</v>
          </cell>
          <cell r="AX65">
            <v>126.75</v>
          </cell>
          <cell r="AY65">
            <v>0</v>
          </cell>
          <cell r="AZ65">
            <v>0</v>
          </cell>
          <cell r="BA65">
            <v>9.75</v>
          </cell>
          <cell r="BB65">
            <v>0</v>
          </cell>
          <cell r="BC65">
            <v>0</v>
          </cell>
          <cell r="BD65">
            <v>150</v>
          </cell>
          <cell r="BE65">
            <v>0</v>
          </cell>
          <cell r="BF65">
            <v>0</v>
          </cell>
          <cell r="BG65">
            <v>195</v>
          </cell>
          <cell r="BH65">
            <v>0</v>
          </cell>
          <cell r="BI65">
            <v>0</v>
          </cell>
          <cell r="BJ65">
            <v>15</v>
          </cell>
          <cell r="BK65">
            <v>0</v>
          </cell>
          <cell r="BL65">
            <v>8</v>
          </cell>
          <cell r="BM65">
            <v>75</v>
          </cell>
          <cell r="BN65">
            <v>600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10511.25</v>
          </cell>
        </row>
        <row r="66">
          <cell r="C66">
            <v>7646</v>
          </cell>
          <cell r="D66" t="str">
            <v>DELOS REYES, RENANTE PERNECITA</v>
          </cell>
          <cell r="E66" t="str">
            <v>METAL STAMPING</v>
          </cell>
          <cell r="F66" t="str">
            <v>PRODUCTION</v>
          </cell>
          <cell r="G66" t="str">
            <v>Operator</v>
          </cell>
          <cell r="H66" t="str">
            <v>DL</v>
          </cell>
          <cell r="I66">
            <v>80</v>
          </cell>
          <cell r="J66">
            <v>10</v>
          </cell>
          <cell r="K66">
            <v>600</v>
          </cell>
          <cell r="L66">
            <v>6000</v>
          </cell>
          <cell r="M66">
            <v>0</v>
          </cell>
          <cell r="N66">
            <v>1.25</v>
          </cell>
          <cell r="O66">
            <v>0</v>
          </cell>
          <cell r="P66">
            <v>10</v>
          </cell>
          <cell r="Q66">
            <v>93.75</v>
          </cell>
          <cell r="R66">
            <v>937.5</v>
          </cell>
          <cell r="S66">
            <v>36</v>
          </cell>
          <cell r="T66">
            <v>7.5</v>
          </cell>
          <cell r="U66">
            <v>270</v>
          </cell>
          <cell r="V66">
            <v>6</v>
          </cell>
          <cell r="W66">
            <v>9.375</v>
          </cell>
          <cell r="X66">
            <v>56.25</v>
          </cell>
          <cell r="Y66">
            <v>0</v>
          </cell>
          <cell r="Z66">
            <v>97.5</v>
          </cell>
          <cell r="AA66">
            <v>0</v>
          </cell>
          <cell r="AB66">
            <v>0</v>
          </cell>
          <cell r="AC66">
            <v>126.75</v>
          </cell>
          <cell r="AD66">
            <v>0</v>
          </cell>
          <cell r="AE66">
            <v>0</v>
          </cell>
          <cell r="AF66">
            <v>12.675000000000001</v>
          </cell>
          <cell r="AG66">
            <v>0</v>
          </cell>
          <cell r="AH66">
            <v>0</v>
          </cell>
          <cell r="AI66">
            <v>9.75</v>
          </cell>
          <cell r="AJ66">
            <v>0</v>
          </cell>
          <cell r="AK66">
            <v>0</v>
          </cell>
          <cell r="AL66">
            <v>112.5</v>
          </cell>
          <cell r="AM66">
            <v>0</v>
          </cell>
          <cell r="AN66">
            <v>0</v>
          </cell>
          <cell r="AO66">
            <v>146.25</v>
          </cell>
          <cell r="AP66">
            <v>0</v>
          </cell>
          <cell r="AQ66">
            <v>0</v>
          </cell>
          <cell r="AR66">
            <v>11.25</v>
          </cell>
          <cell r="AS66">
            <v>0</v>
          </cell>
          <cell r="AT66">
            <v>0</v>
          </cell>
          <cell r="AU66">
            <v>97.5</v>
          </cell>
          <cell r="AV66">
            <v>0</v>
          </cell>
          <cell r="AW66">
            <v>0</v>
          </cell>
          <cell r="AX66">
            <v>126.75</v>
          </cell>
          <cell r="AY66">
            <v>0</v>
          </cell>
          <cell r="AZ66">
            <v>0</v>
          </cell>
          <cell r="BA66">
            <v>9.75</v>
          </cell>
          <cell r="BB66">
            <v>0</v>
          </cell>
          <cell r="BC66">
            <v>0</v>
          </cell>
          <cell r="BD66">
            <v>150</v>
          </cell>
          <cell r="BE66">
            <v>0</v>
          </cell>
          <cell r="BF66">
            <v>0</v>
          </cell>
          <cell r="BG66">
            <v>195</v>
          </cell>
          <cell r="BH66">
            <v>0</v>
          </cell>
          <cell r="BI66">
            <v>0</v>
          </cell>
          <cell r="BJ66">
            <v>15</v>
          </cell>
          <cell r="BK66">
            <v>0</v>
          </cell>
          <cell r="BL66">
            <v>8</v>
          </cell>
          <cell r="BM66">
            <v>75</v>
          </cell>
          <cell r="BN66">
            <v>600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7863.75</v>
          </cell>
        </row>
        <row r="67">
          <cell r="C67">
            <v>12956</v>
          </cell>
          <cell r="D67" t="str">
            <v>DESALISA, MARK JAY ALMAIDA</v>
          </cell>
          <cell r="E67" t="str">
            <v>METAL STAMPING</v>
          </cell>
          <cell r="F67" t="str">
            <v>PRODUCTION</v>
          </cell>
          <cell r="G67" t="str">
            <v>Operator</v>
          </cell>
          <cell r="H67" t="str">
            <v>IDL</v>
          </cell>
          <cell r="I67">
            <v>102</v>
          </cell>
          <cell r="J67">
            <v>12.75</v>
          </cell>
          <cell r="K67">
            <v>600</v>
          </cell>
          <cell r="L67">
            <v>7650</v>
          </cell>
          <cell r="M67">
            <v>0</v>
          </cell>
          <cell r="N67">
            <v>1.25</v>
          </cell>
          <cell r="O67">
            <v>0</v>
          </cell>
          <cell r="P67">
            <v>20</v>
          </cell>
          <cell r="Q67">
            <v>93.75</v>
          </cell>
          <cell r="R67">
            <v>1875</v>
          </cell>
          <cell r="S67">
            <v>54</v>
          </cell>
          <cell r="T67">
            <v>7.5</v>
          </cell>
          <cell r="U67">
            <v>405</v>
          </cell>
          <cell r="V67">
            <v>16</v>
          </cell>
          <cell r="W67">
            <v>9.375</v>
          </cell>
          <cell r="X67">
            <v>150</v>
          </cell>
          <cell r="Y67">
            <v>0</v>
          </cell>
          <cell r="Z67">
            <v>97.5</v>
          </cell>
          <cell r="AA67">
            <v>0</v>
          </cell>
          <cell r="AB67">
            <v>0</v>
          </cell>
          <cell r="AC67">
            <v>126.75</v>
          </cell>
          <cell r="AD67">
            <v>0</v>
          </cell>
          <cell r="AE67">
            <v>0</v>
          </cell>
          <cell r="AF67">
            <v>12.675000000000001</v>
          </cell>
          <cell r="AG67">
            <v>0</v>
          </cell>
          <cell r="AH67">
            <v>0</v>
          </cell>
          <cell r="AI67">
            <v>9.75</v>
          </cell>
          <cell r="AJ67">
            <v>0</v>
          </cell>
          <cell r="AK67">
            <v>0</v>
          </cell>
          <cell r="AL67">
            <v>112.5</v>
          </cell>
          <cell r="AM67">
            <v>0</v>
          </cell>
          <cell r="AN67">
            <v>0</v>
          </cell>
          <cell r="AO67">
            <v>146.25</v>
          </cell>
          <cell r="AP67">
            <v>0</v>
          </cell>
          <cell r="AQ67">
            <v>0</v>
          </cell>
          <cell r="AR67">
            <v>11.25</v>
          </cell>
          <cell r="AS67">
            <v>0</v>
          </cell>
          <cell r="AT67">
            <v>0</v>
          </cell>
          <cell r="AU67">
            <v>97.5</v>
          </cell>
          <cell r="AV67">
            <v>0</v>
          </cell>
          <cell r="AW67">
            <v>0</v>
          </cell>
          <cell r="AX67">
            <v>126.75</v>
          </cell>
          <cell r="AY67">
            <v>0</v>
          </cell>
          <cell r="AZ67">
            <v>0</v>
          </cell>
          <cell r="BA67">
            <v>9.75</v>
          </cell>
          <cell r="BB67">
            <v>0</v>
          </cell>
          <cell r="BC67">
            <v>0</v>
          </cell>
          <cell r="BD67">
            <v>150</v>
          </cell>
          <cell r="BE67">
            <v>0</v>
          </cell>
          <cell r="BF67">
            <v>0</v>
          </cell>
          <cell r="BG67">
            <v>195</v>
          </cell>
          <cell r="BH67">
            <v>0</v>
          </cell>
          <cell r="BI67">
            <v>0</v>
          </cell>
          <cell r="BJ67">
            <v>15</v>
          </cell>
          <cell r="BK67">
            <v>0</v>
          </cell>
          <cell r="BL67">
            <v>8</v>
          </cell>
          <cell r="BM67">
            <v>75</v>
          </cell>
          <cell r="BN67">
            <v>600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10680</v>
          </cell>
        </row>
        <row r="68">
          <cell r="C68">
            <v>32498</v>
          </cell>
          <cell r="D68" t="str">
            <v>DEZA, SHAE ANN</v>
          </cell>
          <cell r="E68" t="str">
            <v>METAL STAMPING</v>
          </cell>
          <cell r="F68" t="str">
            <v>PRODUCTION</v>
          </cell>
          <cell r="G68" t="str">
            <v>Operator</v>
          </cell>
          <cell r="H68" t="str">
            <v>DL</v>
          </cell>
          <cell r="I68">
            <v>104</v>
          </cell>
          <cell r="J68">
            <v>13</v>
          </cell>
          <cell r="K68">
            <v>600</v>
          </cell>
          <cell r="L68">
            <v>7800</v>
          </cell>
          <cell r="M68">
            <v>0</v>
          </cell>
          <cell r="N68">
            <v>1.25</v>
          </cell>
          <cell r="O68">
            <v>0</v>
          </cell>
          <cell r="P68">
            <v>12</v>
          </cell>
          <cell r="Q68">
            <v>93.75</v>
          </cell>
          <cell r="R68">
            <v>1125</v>
          </cell>
          <cell r="S68">
            <v>0</v>
          </cell>
          <cell r="T68">
            <v>7.5</v>
          </cell>
          <cell r="U68">
            <v>0</v>
          </cell>
          <cell r="V68">
            <v>0</v>
          </cell>
          <cell r="W68">
            <v>9.375</v>
          </cell>
          <cell r="X68">
            <v>0</v>
          </cell>
          <cell r="Y68">
            <v>8</v>
          </cell>
          <cell r="Z68">
            <v>97.5</v>
          </cell>
          <cell r="AA68">
            <v>780</v>
          </cell>
          <cell r="AB68">
            <v>0</v>
          </cell>
          <cell r="AC68">
            <v>126.75</v>
          </cell>
          <cell r="AD68">
            <v>0</v>
          </cell>
          <cell r="AE68">
            <v>0</v>
          </cell>
          <cell r="AF68">
            <v>12.675000000000001</v>
          </cell>
          <cell r="AG68">
            <v>0</v>
          </cell>
          <cell r="AH68">
            <v>0</v>
          </cell>
          <cell r="AI68">
            <v>9.75</v>
          </cell>
          <cell r="AJ68">
            <v>0</v>
          </cell>
          <cell r="AK68">
            <v>0</v>
          </cell>
          <cell r="AL68">
            <v>112.5</v>
          </cell>
          <cell r="AM68">
            <v>0</v>
          </cell>
          <cell r="AN68">
            <v>0</v>
          </cell>
          <cell r="AO68">
            <v>146.25</v>
          </cell>
          <cell r="AP68">
            <v>0</v>
          </cell>
          <cell r="AQ68">
            <v>0</v>
          </cell>
          <cell r="AR68">
            <v>11.25</v>
          </cell>
          <cell r="AS68">
            <v>0</v>
          </cell>
          <cell r="AT68">
            <v>0</v>
          </cell>
          <cell r="AU68">
            <v>97.5</v>
          </cell>
          <cell r="AV68">
            <v>0</v>
          </cell>
          <cell r="AW68">
            <v>0</v>
          </cell>
          <cell r="AX68">
            <v>126.75</v>
          </cell>
          <cell r="AY68">
            <v>0</v>
          </cell>
          <cell r="AZ68">
            <v>0</v>
          </cell>
          <cell r="BA68">
            <v>9.75</v>
          </cell>
          <cell r="BB68">
            <v>0</v>
          </cell>
          <cell r="BC68">
            <v>0</v>
          </cell>
          <cell r="BD68">
            <v>150</v>
          </cell>
          <cell r="BE68">
            <v>0</v>
          </cell>
          <cell r="BF68">
            <v>0</v>
          </cell>
          <cell r="BG68">
            <v>195</v>
          </cell>
          <cell r="BH68">
            <v>0</v>
          </cell>
          <cell r="BI68">
            <v>0</v>
          </cell>
          <cell r="BJ68">
            <v>15</v>
          </cell>
          <cell r="BK68">
            <v>0</v>
          </cell>
          <cell r="BL68">
            <v>8</v>
          </cell>
          <cell r="BM68">
            <v>75</v>
          </cell>
          <cell r="BN68">
            <v>600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10305</v>
          </cell>
        </row>
        <row r="69">
          <cell r="C69">
            <v>12961</v>
          </cell>
          <cell r="D69" t="str">
            <v>DIGNO, ARA ASHLEY BELEN</v>
          </cell>
          <cell r="E69" t="str">
            <v>METAL STAMPING</v>
          </cell>
          <cell r="F69" t="str">
            <v>PRODUCTION</v>
          </cell>
          <cell r="G69" t="str">
            <v>Operator</v>
          </cell>
          <cell r="H69" t="str">
            <v>IDL</v>
          </cell>
          <cell r="I69">
            <v>0</v>
          </cell>
          <cell r="J69">
            <v>0</v>
          </cell>
          <cell r="K69">
            <v>600</v>
          </cell>
          <cell r="L69">
            <v>0</v>
          </cell>
          <cell r="M69">
            <v>0</v>
          </cell>
          <cell r="N69">
            <v>1.25</v>
          </cell>
          <cell r="O69">
            <v>0</v>
          </cell>
          <cell r="P69">
            <v>0</v>
          </cell>
          <cell r="Q69">
            <v>93.75</v>
          </cell>
          <cell r="R69">
            <v>0</v>
          </cell>
          <cell r="S69">
            <v>0</v>
          </cell>
          <cell r="T69">
            <v>7.5</v>
          </cell>
          <cell r="U69">
            <v>0</v>
          </cell>
          <cell r="V69">
            <v>0</v>
          </cell>
          <cell r="W69">
            <v>9.375</v>
          </cell>
          <cell r="X69">
            <v>0</v>
          </cell>
          <cell r="Y69">
            <v>0</v>
          </cell>
          <cell r="Z69">
            <v>97.5</v>
          </cell>
          <cell r="AA69">
            <v>0</v>
          </cell>
          <cell r="AB69">
            <v>0</v>
          </cell>
          <cell r="AC69">
            <v>126.75</v>
          </cell>
          <cell r="AD69">
            <v>0</v>
          </cell>
          <cell r="AE69">
            <v>0</v>
          </cell>
          <cell r="AF69">
            <v>12.675000000000001</v>
          </cell>
          <cell r="AG69">
            <v>0</v>
          </cell>
          <cell r="AH69">
            <v>0</v>
          </cell>
          <cell r="AI69">
            <v>9.75</v>
          </cell>
          <cell r="AJ69">
            <v>0</v>
          </cell>
          <cell r="AK69">
            <v>0</v>
          </cell>
          <cell r="AL69">
            <v>112.5</v>
          </cell>
          <cell r="AM69">
            <v>0</v>
          </cell>
          <cell r="AN69">
            <v>0</v>
          </cell>
          <cell r="AO69">
            <v>146.25</v>
          </cell>
          <cell r="AP69">
            <v>0</v>
          </cell>
          <cell r="AQ69">
            <v>0</v>
          </cell>
          <cell r="AR69">
            <v>11.25</v>
          </cell>
          <cell r="AS69">
            <v>0</v>
          </cell>
          <cell r="AT69">
            <v>0</v>
          </cell>
          <cell r="AU69">
            <v>97.5</v>
          </cell>
          <cell r="AV69">
            <v>0</v>
          </cell>
          <cell r="AW69">
            <v>0</v>
          </cell>
          <cell r="AX69">
            <v>126.75</v>
          </cell>
          <cell r="AY69">
            <v>0</v>
          </cell>
          <cell r="AZ69">
            <v>0</v>
          </cell>
          <cell r="BA69">
            <v>9.75</v>
          </cell>
          <cell r="BB69">
            <v>0</v>
          </cell>
          <cell r="BC69">
            <v>0</v>
          </cell>
          <cell r="BD69">
            <v>150</v>
          </cell>
          <cell r="BE69">
            <v>0</v>
          </cell>
          <cell r="BF69">
            <v>0</v>
          </cell>
          <cell r="BG69">
            <v>195</v>
          </cell>
          <cell r="BH69">
            <v>0</v>
          </cell>
          <cell r="BI69">
            <v>0</v>
          </cell>
          <cell r="BJ69">
            <v>15</v>
          </cell>
          <cell r="BK69">
            <v>0</v>
          </cell>
          <cell r="BL69">
            <v>0</v>
          </cell>
          <cell r="BM69">
            <v>75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</row>
        <row r="70">
          <cell r="C70">
            <v>5983</v>
          </cell>
          <cell r="D70" t="str">
            <v>DIMALIBOT, CRISTINE BARRO</v>
          </cell>
          <cell r="E70" t="str">
            <v>METAL STAMPING</v>
          </cell>
          <cell r="F70" t="str">
            <v>PRODUCTION</v>
          </cell>
          <cell r="G70" t="str">
            <v>Operator</v>
          </cell>
          <cell r="H70" t="str">
            <v>DL</v>
          </cell>
          <cell r="I70">
            <v>104</v>
          </cell>
          <cell r="J70">
            <v>13</v>
          </cell>
          <cell r="K70">
            <v>600</v>
          </cell>
          <cell r="L70">
            <v>7800</v>
          </cell>
          <cell r="M70">
            <v>0</v>
          </cell>
          <cell r="N70">
            <v>1.25</v>
          </cell>
          <cell r="O70">
            <v>0</v>
          </cell>
          <cell r="P70">
            <v>18</v>
          </cell>
          <cell r="Q70">
            <v>93.75</v>
          </cell>
          <cell r="R70">
            <v>1687.5</v>
          </cell>
          <cell r="S70">
            <v>54</v>
          </cell>
          <cell r="T70">
            <v>7.5</v>
          </cell>
          <cell r="U70">
            <v>405</v>
          </cell>
          <cell r="V70">
            <v>16</v>
          </cell>
          <cell r="W70">
            <v>9.375</v>
          </cell>
          <cell r="X70">
            <v>150</v>
          </cell>
          <cell r="Y70">
            <v>8</v>
          </cell>
          <cell r="Z70">
            <v>97.5</v>
          </cell>
          <cell r="AA70">
            <v>780</v>
          </cell>
          <cell r="AB70">
            <v>0</v>
          </cell>
          <cell r="AC70">
            <v>126.75</v>
          </cell>
          <cell r="AD70">
            <v>0</v>
          </cell>
          <cell r="AE70">
            <v>0</v>
          </cell>
          <cell r="AF70">
            <v>12.675000000000001</v>
          </cell>
          <cell r="AG70">
            <v>0</v>
          </cell>
          <cell r="AH70">
            <v>0</v>
          </cell>
          <cell r="AI70">
            <v>9.75</v>
          </cell>
          <cell r="AJ70">
            <v>0</v>
          </cell>
          <cell r="AK70">
            <v>0</v>
          </cell>
          <cell r="AL70">
            <v>112.5</v>
          </cell>
          <cell r="AM70">
            <v>0</v>
          </cell>
          <cell r="AN70">
            <v>0</v>
          </cell>
          <cell r="AO70">
            <v>146.25</v>
          </cell>
          <cell r="AP70">
            <v>0</v>
          </cell>
          <cell r="AQ70">
            <v>0</v>
          </cell>
          <cell r="AR70">
            <v>11.25</v>
          </cell>
          <cell r="AS70">
            <v>0</v>
          </cell>
          <cell r="AT70">
            <v>0</v>
          </cell>
          <cell r="AU70">
            <v>97.5</v>
          </cell>
          <cell r="AV70">
            <v>0</v>
          </cell>
          <cell r="AW70">
            <v>0</v>
          </cell>
          <cell r="AX70">
            <v>126.75</v>
          </cell>
          <cell r="AY70">
            <v>0</v>
          </cell>
          <cell r="AZ70">
            <v>0</v>
          </cell>
          <cell r="BA70">
            <v>9.75</v>
          </cell>
          <cell r="BB70">
            <v>0</v>
          </cell>
          <cell r="BC70">
            <v>0</v>
          </cell>
          <cell r="BD70">
            <v>150</v>
          </cell>
          <cell r="BE70">
            <v>0</v>
          </cell>
          <cell r="BF70">
            <v>0</v>
          </cell>
          <cell r="BG70">
            <v>195</v>
          </cell>
          <cell r="BH70">
            <v>0</v>
          </cell>
          <cell r="BI70">
            <v>0</v>
          </cell>
          <cell r="BJ70">
            <v>15</v>
          </cell>
          <cell r="BK70">
            <v>0</v>
          </cell>
          <cell r="BL70">
            <v>8</v>
          </cell>
          <cell r="BM70">
            <v>75</v>
          </cell>
          <cell r="BN70">
            <v>600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11422.5</v>
          </cell>
        </row>
        <row r="71">
          <cell r="C71">
            <v>12966</v>
          </cell>
          <cell r="D71" t="str">
            <v>DIONEDA, RUELLA JOYCE MAGPANTAY</v>
          </cell>
          <cell r="E71" t="str">
            <v>METAL STAMPING</v>
          </cell>
          <cell r="F71" t="str">
            <v>PRODUCTION</v>
          </cell>
          <cell r="G71" t="str">
            <v>Operator</v>
          </cell>
          <cell r="H71" t="str">
            <v>DL</v>
          </cell>
          <cell r="I71">
            <v>92</v>
          </cell>
          <cell r="J71">
            <v>11.5</v>
          </cell>
          <cell r="K71">
            <v>600</v>
          </cell>
          <cell r="L71">
            <v>6900</v>
          </cell>
          <cell r="M71">
            <v>0</v>
          </cell>
          <cell r="N71">
            <v>1.25</v>
          </cell>
          <cell r="O71">
            <v>0</v>
          </cell>
          <cell r="P71">
            <v>16</v>
          </cell>
          <cell r="Q71">
            <v>93.75</v>
          </cell>
          <cell r="R71">
            <v>1500</v>
          </cell>
          <cell r="S71">
            <v>24</v>
          </cell>
          <cell r="T71">
            <v>7.5</v>
          </cell>
          <cell r="U71">
            <v>180</v>
          </cell>
          <cell r="V71">
            <v>6</v>
          </cell>
          <cell r="W71">
            <v>9.375</v>
          </cell>
          <cell r="X71">
            <v>56.25</v>
          </cell>
          <cell r="Y71">
            <v>0</v>
          </cell>
          <cell r="Z71">
            <v>97.5</v>
          </cell>
          <cell r="AA71">
            <v>0</v>
          </cell>
          <cell r="AB71">
            <v>0</v>
          </cell>
          <cell r="AC71">
            <v>126.75</v>
          </cell>
          <cell r="AD71">
            <v>0</v>
          </cell>
          <cell r="AE71">
            <v>0</v>
          </cell>
          <cell r="AF71">
            <v>12.675000000000001</v>
          </cell>
          <cell r="AG71">
            <v>0</v>
          </cell>
          <cell r="AH71">
            <v>0</v>
          </cell>
          <cell r="AI71">
            <v>9.75</v>
          </cell>
          <cell r="AJ71">
            <v>0</v>
          </cell>
          <cell r="AK71">
            <v>0</v>
          </cell>
          <cell r="AL71">
            <v>112.5</v>
          </cell>
          <cell r="AM71">
            <v>0</v>
          </cell>
          <cell r="AN71">
            <v>0</v>
          </cell>
          <cell r="AO71">
            <v>146.25</v>
          </cell>
          <cell r="AP71">
            <v>0</v>
          </cell>
          <cell r="AQ71">
            <v>0</v>
          </cell>
          <cell r="AR71">
            <v>11.25</v>
          </cell>
          <cell r="AS71">
            <v>0</v>
          </cell>
          <cell r="AT71">
            <v>0</v>
          </cell>
          <cell r="AU71">
            <v>97.5</v>
          </cell>
          <cell r="AV71">
            <v>0</v>
          </cell>
          <cell r="AW71">
            <v>0</v>
          </cell>
          <cell r="AX71">
            <v>126.75</v>
          </cell>
          <cell r="AY71">
            <v>0</v>
          </cell>
          <cell r="AZ71">
            <v>0</v>
          </cell>
          <cell r="BA71">
            <v>9.75</v>
          </cell>
          <cell r="BB71">
            <v>0</v>
          </cell>
          <cell r="BC71">
            <v>0</v>
          </cell>
          <cell r="BD71">
            <v>150</v>
          </cell>
          <cell r="BE71">
            <v>0</v>
          </cell>
          <cell r="BF71">
            <v>0</v>
          </cell>
          <cell r="BG71">
            <v>195</v>
          </cell>
          <cell r="BH71">
            <v>0</v>
          </cell>
          <cell r="BI71">
            <v>0</v>
          </cell>
          <cell r="BJ71">
            <v>15</v>
          </cell>
          <cell r="BK71">
            <v>0</v>
          </cell>
          <cell r="BL71">
            <v>8</v>
          </cell>
          <cell r="BM71">
            <v>75</v>
          </cell>
          <cell r="BN71">
            <v>600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9236.25</v>
          </cell>
        </row>
        <row r="72">
          <cell r="C72">
            <v>30612</v>
          </cell>
          <cell r="D72" t="str">
            <v>DIPASUPIL, JOSHUA GARCIA</v>
          </cell>
          <cell r="E72" t="str">
            <v>METAL STAMPING</v>
          </cell>
          <cell r="F72" t="str">
            <v>PRODUCTION</v>
          </cell>
          <cell r="G72" t="str">
            <v>Operator</v>
          </cell>
          <cell r="H72" t="str">
            <v>IDL</v>
          </cell>
          <cell r="I72">
            <v>88</v>
          </cell>
          <cell r="J72">
            <v>11</v>
          </cell>
          <cell r="K72">
            <v>600</v>
          </cell>
          <cell r="L72">
            <v>6600</v>
          </cell>
          <cell r="M72">
            <v>0</v>
          </cell>
          <cell r="N72">
            <v>1.25</v>
          </cell>
          <cell r="O72">
            <v>0</v>
          </cell>
          <cell r="P72">
            <v>18</v>
          </cell>
          <cell r="Q72">
            <v>93.75</v>
          </cell>
          <cell r="R72">
            <v>1687.5</v>
          </cell>
          <cell r="S72">
            <v>0</v>
          </cell>
          <cell r="T72">
            <v>7.5</v>
          </cell>
          <cell r="U72">
            <v>0</v>
          </cell>
          <cell r="V72">
            <v>0</v>
          </cell>
          <cell r="W72">
            <v>9.375</v>
          </cell>
          <cell r="X72">
            <v>0</v>
          </cell>
          <cell r="Y72">
            <v>0</v>
          </cell>
          <cell r="Z72">
            <v>97.5</v>
          </cell>
          <cell r="AA72">
            <v>0</v>
          </cell>
          <cell r="AB72">
            <v>0</v>
          </cell>
          <cell r="AC72">
            <v>126.75</v>
          </cell>
          <cell r="AD72">
            <v>0</v>
          </cell>
          <cell r="AE72">
            <v>0</v>
          </cell>
          <cell r="AF72">
            <v>12.675000000000001</v>
          </cell>
          <cell r="AG72">
            <v>0</v>
          </cell>
          <cell r="AH72">
            <v>0</v>
          </cell>
          <cell r="AI72">
            <v>9.75</v>
          </cell>
          <cell r="AJ72">
            <v>0</v>
          </cell>
          <cell r="AK72">
            <v>0</v>
          </cell>
          <cell r="AL72">
            <v>112.5</v>
          </cell>
          <cell r="AM72">
            <v>0</v>
          </cell>
          <cell r="AN72">
            <v>0</v>
          </cell>
          <cell r="AO72">
            <v>146.25</v>
          </cell>
          <cell r="AP72">
            <v>0</v>
          </cell>
          <cell r="AQ72">
            <v>0</v>
          </cell>
          <cell r="AR72">
            <v>11.25</v>
          </cell>
          <cell r="AS72">
            <v>0</v>
          </cell>
          <cell r="AT72">
            <v>0</v>
          </cell>
          <cell r="AU72">
            <v>97.5</v>
          </cell>
          <cell r="AV72">
            <v>0</v>
          </cell>
          <cell r="AW72">
            <v>0</v>
          </cell>
          <cell r="AX72">
            <v>126.75</v>
          </cell>
          <cell r="AY72">
            <v>0</v>
          </cell>
          <cell r="AZ72">
            <v>0</v>
          </cell>
          <cell r="BA72">
            <v>9.75</v>
          </cell>
          <cell r="BB72">
            <v>0</v>
          </cell>
          <cell r="BC72">
            <v>0</v>
          </cell>
          <cell r="BD72">
            <v>150</v>
          </cell>
          <cell r="BE72">
            <v>0</v>
          </cell>
          <cell r="BF72">
            <v>0</v>
          </cell>
          <cell r="BG72">
            <v>195</v>
          </cell>
          <cell r="BH72">
            <v>0</v>
          </cell>
          <cell r="BI72">
            <v>0</v>
          </cell>
          <cell r="BJ72">
            <v>15</v>
          </cell>
          <cell r="BK72">
            <v>0</v>
          </cell>
          <cell r="BL72">
            <v>8</v>
          </cell>
          <cell r="BM72">
            <v>75</v>
          </cell>
          <cell r="BN72">
            <v>600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8887.5</v>
          </cell>
        </row>
        <row r="73">
          <cell r="C73">
            <v>12967</v>
          </cell>
          <cell r="D73" t="str">
            <v>DOMETITA, JENY MIRARAN</v>
          </cell>
          <cell r="E73" t="str">
            <v>METAL STAMPING</v>
          </cell>
          <cell r="F73" t="str">
            <v>PRODUCTION</v>
          </cell>
          <cell r="G73" t="str">
            <v>Operator</v>
          </cell>
          <cell r="H73" t="str">
            <v>DL</v>
          </cell>
          <cell r="I73">
            <v>96</v>
          </cell>
          <cell r="J73">
            <v>12</v>
          </cell>
          <cell r="K73">
            <v>600</v>
          </cell>
          <cell r="L73">
            <v>7200</v>
          </cell>
          <cell r="M73">
            <v>0</v>
          </cell>
          <cell r="N73">
            <v>1.25</v>
          </cell>
          <cell r="O73">
            <v>0</v>
          </cell>
          <cell r="P73">
            <v>12</v>
          </cell>
          <cell r="Q73">
            <v>93.75</v>
          </cell>
          <cell r="R73">
            <v>1125</v>
          </cell>
          <cell r="S73">
            <v>48</v>
          </cell>
          <cell r="T73">
            <v>7.5</v>
          </cell>
          <cell r="U73">
            <v>360</v>
          </cell>
          <cell r="V73">
            <v>8</v>
          </cell>
          <cell r="W73">
            <v>9.375</v>
          </cell>
          <cell r="X73">
            <v>75</v>
          </cell>
          <cell r="Y73">
            <v>8</v>
          </cell>
          <cell r="Z73">
            <v>97.5</v>
          </cell>
          <cell r="AA73">
            <v>780</v>
          </cell>
          <cell r="AB73">
            <v>0</v>
          </cell>
          <cell r="AC73">
            <v>126.75</v>
          </cell>
          <cell r="AD73">
            <v>0</v>
          </cell>
          <cell r="AE73">
            <v>0</v>
          </cell>
          <cell r="AF73">
            <v>12.675000000000001</v>
          </cell>
          <cell r="AG73">
            <v>0</v>
          </cell>
          <cell r="AH73">
            <v>0</v>
          </cell>
          <cell r="AI73">
            <v>9.75</v>
          </cell>
          <cell r="AJ73">
            <v>0</v>
          </cell>
          <cell r="AK73">
            <v>0</v>
          </cell>
          <cell r="AL73">
            <v>112.5</v>
          </cell>
          <cell r="AM73">
            <v>0</v>
          </cell>
          <cell r="AN73">
            <v>0</v>
          </cell>
          <cell r="AO73">
            <v>146.25</v>
          </cell>
          <cell r="AP73">
            <v>0</v>
          </cell>
          <cell r="AQ73">
            <v>0</v>
          </cell>
          <cell r="AR73">
            <v>11.25</v>
          </cell>
          <cell r="AS73">
            <v>0</v>
          </cell>
          <cell r="AT73">
            <v>0</v>
          </cell>
          <cell r="AU73">
            <v>97.5</v>
          </cell>
          <cell r="AV73">
            <v>0</v>
          </cell>
          <cell r="AW73">
            <v>0</v>
          </cell>
          <cell r="AX73">
            <v>126.75</v>
          </cell>
          <cell r="AY73">
            <v>0</v>
          </cell>
          <cell r="AZ73">
            <v>0</v>
          </cell>
          <cell r="BA73">
            <v>9.75</v>
          </cell>
          <cell r="BB73">
            <v>0</v>
          </cell>
          <cell r="BC73">
            <v>0</v>
          </cell>
          <cell r="BD73">
            <v>150</v>
          </cell>
          <cell r="BE73">
            <v>0</v>
          </cell>
          <cell r="BF73">
            <v>0</v>
          </cell>
          <cell r="BG73">
            <v>195</v>
          </cell>
          <cell r="BH73">
            <v>0</v>
          </cell>
          <cell r="BI73">
            <v>0</v>
          </cell>
          <cell r="BJ73">
            <v>15</v>
          </cell>
          <cell r="BK73">
            <v>0</v>
          </cell>
          <cell r="BL73">
            <v>8</v>
          </cell>
          <cell r="BM73">
            <v>75</v>
          </cell>
          <cell r="BN73">
            <v>600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10140</v>
          </cell>
        </row>
        <row r="74">
          <cell r="C74">
            <v>30296</v>
          </cell>
          <cell r="D74" t="str">
            <v>DONATO, MARIA CHRISTINA PAYUMO</v>
          </cell>
          <cell r="E74" t="str">
            <v>METAL STAMPING</v>
          </cell>
          <cell r="F74" t="str">
            <v>PRODUCTION</v>
          </cell>
          <cell r="G74" t="str">
            <v>Operator</v>
          </cell>
          <cell r="H74" t="str">
            <v>DL</v>
          </cell>
          <cell r="I74">
            <v>104</v>
          </cell>
          <cell r="J74">
            <v>13</v>
          </cell>
          <cell r="K74">
            <v>600</v>
          </cell>
          <cell r="L74">
            <v>7800</v>
          </cell>
          <cell r="M74">
            <v>0</v>
          </cell>
          <cell r="N74">
            <v>1.25</v>
          </cell>
          <cell r="O74">
            <v>0</v>
          </cell>
          <cell r="P74">
            <v>16</v>
          </cell>
          <cell r="Q74">
            <v>93.75</v>
          </cell>
          <cell r="R74">
            <v>1500</v>
          </cell>
          <cell r="S74">
            <v>0</v>
          </cell>
          <cell r="T74">
            <v>7.5</v>
          </cell>
          <cell r="U74">
            <v>0</v>
          </cell>
          <cell r="V74">
            <v>0</v>
          </cell>
          <cell r="W74">
            <v>9.375</v>
          </cell>
          <cell r="X74">
            <v>0</v>
          </cell>
          <cell r="Y74">
            <v>8</v>
          </cell>
          <cell r="Z74">
            <v>97.5</v>
          </cell>
          <cell r="AA74">
            <v>780</v>
          </cell>
          <cell r="AB74">
            <v>0</v>
          </cell>
          <cell r="AC74">
            <v>126.75</v>
          </cell>
          <cell r="AD74">
            <v>0</v>
          </cell>
          <cell r="AE74">
            <v>0</v>
          </cell>
          <cell r="AF74">
            <v>12.675000000000001</v>
          </cell>
          <cell r="AG74">
            <v>0</v>
          </cell>
          <cell r="AH74">
            <v>0</v>
          </cell>
          <cell r="AI74">
            <v>9.75</v>
          </cell>
          <cell r="AJ74">
            <v>0</v>
          </cell>
          <cell r="AK74">
            <v>0</v>
          </cell>
          <cell r="AL74">
            <v>112.5</v>
          </cell>
          <cell r="AM74">
            <v>0</v>
          </cell>
          <cell r="AN74">
            <v>0</v>
          </cell>
          <cell r="AO74">
            <v>146.25</v>
          </cell>
          <cell r="AP74">
            <v>0</v>
          </cell>
          <cell r="AQ74">
            <v>0</v>
          </cell>
          <cell r="AR74">
            <v>11.25</v>
          </cell>
          <cell r="AS74">
            <v>0</v>
          </cell>
          <cell r="AT74">
            <v>0</v>
          </cell>
          <cell r="AU74">
            <v>97.5</v>
          </cell>
          <cell r="AV74">
            <v>0</v>
          </cell>
          <cell r="AW74">
            <v>0</v>
          </cell>
          <cell r="AX74">
            <v>126.75</v>
          </cell>
          <cell r="AY74">
            <v>0</v>
          </cell>
          <cell r="AZ74">
            <v>0</v>
          </cell>
          <cell r="BA74">
            <v>9.75</v>
          </cell>
          <cell r="BB74">
            <v>0</v>
          </cell>
          <cell r="BC74">
            <v>0</v>
          </cell>
          <cell r="BD74">
            <v>150</v>
          </cell>
          <cell r="BE74">
            <v>0</v>
          </cell>
          <cell r="BF74">
            <v>0</v>
          </cell>
          <cell r="BG74">
            <v>195</v>
          </cell>
          <cell r="BH74">
            <v>0</v>
          </cell>
          <cell r="BI74">
            <v>0</v>
          </cell>
          <cell r="BJ74">
            <v>15</v>
          </cell>
          <cell r="BK74">
            <v>0</v>
          </cell>
          <cell r="BL74">
            <v>8</v>
          </cell>
          <cell r="BM74">
            <v>75</v>
          </cell>
          <cell r="BN74">
            <v>600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10680</v>
          </cell>
        </row>
        <row r="75">
          <cell r="C75">
            <v>8278</v>
          </cell>
          <cell r="D75" t="str">
            <v>DOROL, RICHMOND ESQUILON</v>
          </cell>
          <cell r="E75" t="str">
            <v>METAL STAMPING</v>
          </cell>
          <cell r="F75" t="str">
            <v>PRODUCTION</v>
          </cell>
          <cell r="G75" t="str">
            <v>Operator</v>
          </cell>
          <cell r="H75" t="str">
            <v>IDL</v>
          </cell>
          <cell r="I75">
            <v>0</v>
          </cell>
          <cell r="J75">
            <v>0</v>
          </cell>
          <cell r="K75">
            <v>600</v>
          </cell>
          <cell r="L75">
            <v>0</v>
          </cell>
          <cell r="M75">
            <v>0</v>
          </cell>
          <cell r="N75">
            <v>1.25</v>
          </cell>
          <cell r="O75">
            <v>0</v>
          </cell>
          <cell r="P75">
            <v>0</v>
          </cell>
          <cell r="Q75">
            <v>93.75</v>
          </cell>
          <cell r="R75">
            <v>0</v>
          </cell>
          <cell r="S75">
            <v>0</v>
          </cell>
          <cell r="T75">
            <v>7.5</v>
          </cell>
          <cell r="U75">
            <v>0</v>
          </cell>
          <cell r="V75">
            <v>0</v>
          </cell>
          <cell r="W75">
            <v>9.375</v>
          </cell>
          <cell r="X75">
            <v>0</v>
          </cell>
          <cell r="Y75">
            <v>0</v>
          </cell>
          <cell r="Z75">
            <v>97.5</v>
          </cell>
          <cell r="AA75">
            <v>0</v>
          </cell>
          <cell r="AB75">
            <v>0</v>
          </cell>
          <cell r="AC75">
            <v>126.75</v>
          </cell>
          <cell r="AD75">
            <v>0</v>
          </cell>
          <cell r="AE75">
            <v>0</v>
          </cell>
          <cell r="AF75">
            <v>12.675000000000001</v>
          </cell>
          <cell r="AG75">
            <v>0</v>
          </cell>
          <cell r="AH75">
            <v>0</v>
          </cell>
          <cell r="AI75">
            <v>9.75</v>
          </cell>
          <cell r="AJ75">
            <v>0</v>
          </cell>
          <cell r="AK75">
            <v>0</v>
          </cell>
          <cell r="AL75">
            <v>112.5</v>
          </cell>
          <cell r="AM75">
            <v>0</v>
          </cell>
          <cell r="AN75">
            <v>0</v>
          </cell>
          <cell r="AO75">
            <v>146.25</v>
          </cell>
          <cell r="AP75">
            <v>0</v>
          </cell>
          <cell r="AQ75">
            <v>0</v>
          </cell>
          <cell r="AR75">
            <v>11.25</v>
          </cell>
          <cell r="AS75">
            <v>0</v>
          </cell>
          <cell r="AT75">
            <v>0</v>
          </cell>
          <cell r="AU75">
            <v>97.5</v>
          </cell>
          <cell r="AV75">
            <v>0</v>
          </cell>
          <cell r="AW75">
            <v>0</v>
          </cell>
          <cell r="AX75">
            <v>126.75</v>
          </cell>
          <cell r="AY75">
            <v>0</v>
          </cell>
          <cell r="AZ75">
            <v>0</v>
          </cell>
          <cell r="BA75">
            <v>9.75</v>
          </cell>
          <cell r="BB75">
            <v>0</v>
          </cell>
          <cell r="BC75">
            <v>0</v>
          </cell>
          <cell r="BD75">
            <v>150</v>
          </cell>
          <cell r="BE75">
            <v>0</v>
          </cell>
          <cell r="BF75">
            <v>0</v>
          </cell>
          <cell r="BG75">
            <v>195</v>
          </cell>
          <cell r="BH75">
            <v>0</v>
          </cell>
          <cell r="BI75">
            <v>0</v>
          </cell>
          <cell r="BJ75">
            <v>15</v>
          </cell>
          <cell r="BK75">
            <v>0</v>
          </cell>
          <cell r="BL75">
            <v>0</v>
          </cell>
          <cell r="BM75">
            <v>75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</row>
        <row r="76">
          <cell r="C76">
            <v>13684</v>
          </cell>
          <cell r="D76" t="str">
            <v>DORONELA, JIMUEL BELASON</v>
          </cell>
          <cell r="E76" t="str">
            <v>METAL STAMPING</v>
          </cell>
          <cell r="F76" t="str">
            <v>PRODUCTION</v>
          </cell>
          <cell r="G76" t="str">
            <v>Operator</v>
          </cell>
          <cell r="H76" t="str">
            <v>DL</v>
          </cell>
          <cell r="I76">
            <v>104</v>
          </cell>
          <cell r="J76">
            <v>13</v>
          </cell>
          <cell r="K76">
            <v>600</v>
          </cell>
          <cell r="L76">
            <v>7800</v>
          </cell>
          <cell r="M76">
            <v>0</v>
          </cell>
          <cell r="N76">
            <v>1.25</v>
          </cell>
          <cell r="O76">
            <v>0</v>
          </cell>
          <cell r="P76">
            <v>16</v>
          </cell>
          <cell r="Q76">
            <v>93.75</v>
          </cell>
          <cell r="R76">
            <v>1500</v>
          </cell>
          <cell r="S76">
            <v>54</v>
          </cell>
          <cell r="T76">
            <v>7.5</v>
          </cell>
          <cell r="U76">
            <v>405</v>
          </cell>
          <cell r="V76">
            <v>12</v>
          </cell>
          <cell r="W76">
            <v>9.375</v>
          </cell>
          <cell r="X76">
            <v>112.5</v>
          </cell>
          <cell r="Y76">
            <v>8</v>
          </cell>
          <cell r="Z76">
            <v>97.5</v>
          </cell>
          <cell r="AA76">
            <v>780</v>
          </cell>
          <cell r="AB76">
            <v>0</v>
          </cell>
          <cell r="AC76">
            <v>126.75</v>
          </cell>
          <cell r="AD76">
            <v>0</v>
          </cell>
          <cell r="AE76">
            <v>0</v>
          </cell>
          <cell r="AF76">
            <v>12.675000000000001</v>
          </cell>
          <cell r="AG76">
            <v>0</v>
          </cell>
          <cell r="AH76">
            <v>0</v>
          </cell>
          <cell r="AI76">
            <v>9.75</v>
          </cell>
          <cell r="AJ76">
            <v>0</v>
          </cell>
          <cell r="AK76">
            <v>0</v>
          </cell>
          <cell r="AL76">
            <v>112.5</v>
          </cell>
          <cell r="AM76">
            <v>0</v>
          </cell>
          <cell r="AN76">
            <v>0</v>
          </cell>
          <cell r="AO76">
            <v>146.25</v>
          </cell>
          <cell r="AP76">
            <v>0</v>
          </cell>
          <cell r="AQ76">
            <v>0</v>
          </cell>
          <cell r="AR76">
            <v>11.25</v>
          </cell>
          <cell r="AS76">
            <v>0</v>
          </cell>
          <cell r="AT76">
            <v>0</v>
          </cell>
          <cell r="AU76">
            <v>97.5</v>
          </cell>
          <cell r="AV76">
            <v>0</v>
          </cell>
          <cell r="AW76">
            <v>0</v>
          </cell>
          <cell r="AX76">
            <v>126.75</v>
          </cell>
          <cell r="AY76">
            <v>0</v>
          </cell>
          <cell r="AZ76">
            <v>0</v>
          </cell>
          <cell r="BA76">
            <v>9.75</v>
          </cell>
          <cell r="BB76">
            <v>0</v>
          </cell>
          <cell r="BC76">
            <v>0</v>
          </cell>
          <cell r="BD76">
            <v>150</v>
          </cell>
          <cell r="BE76">
            <v>0</v>
          </cell>
          <cell r="BF76">
            <v>0</v>
          </cell>
          <cell r="BG76">
            <v>195</v>
          </cell>
          <cell r="BH76">
            <v>0</v>
          </cell>
          <cell r="BI76">
            <v>0</v>
          </cell>
          <cell r="BJ76">
            <v>15</v>
          </cell>
          <cell r="BK76">
            <v>0</v>
          </cell>
          <cell r="BL76">
            <v>8</v>
          </cell>
          <cell r="BM76">
            <v>75</v>
          </cell>
          <cell r="BN76">
            <v>600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11197.5</v>
          </cell>
        </row>
        <row r="77">
          <cell r="C77">
            <v>13337</v>
          </cell>
          <cell r="D77" t="str">
            <v>DUEÑAS, MANNEX ALVENDIA</v>
          </cell>
          <cell r="E77" t="str">
            <v>METAL STAMPING</v>
          </cell>
          <cell r="F77" t="str">
            <v>PRODUCTION</v>
          </cell>
          <cell r="G77" t="str">
            <v>Operator</v>
          </cell>
          <cell r="H77" t="str">
            <v>DL</v>
          </cell>
          <cell r="I77">
            <v>96</v>
          </cell>
          <cell r="J77">
            <v>12</v>
          </cell>
          <cell r="K77">
            <v>600</v>
          </cell>
          <cell r="L77">
            <v>7200</v>
          </cell>
          <cell r="M77">
            <v>0</v>
          </cell>
          <cell r="N77">
            <v>1.25</v>
          </cell>
          <cell r="O77">
            <v>0</v>
          </cell>
          <cell r="P77">
            <v>14</v>
          </cell>
          <cell r="Q77">
            <v>93.75</v>
          </cell>
          <cell r="R77">
            <v>1312.5</v>
          </cell>
          <cell r="S77">
            <v>24</v>
          </cell>
          <cell r="T77">
            <v>7.5</v>
          </cell>
          <cell r="U77">
            <v>180</v>
          </cell>
          <cell r="V77">
            <v>6</v>
          </cell>
          <cell r="W77">
            <v>9.375</v>
          </cell>
          <cell r="X77">
            <v>56.25</v>
          </cell>
          <cell r="Y77">
            <v>0</v>
          </cell>
          <cell r="Z77">
            <v>97.5</v>
          </cell>
          <cell r="AA77">
            <v>0</v>
          </cell>
          <cell r="AB77">
            <v>0</v>
          </cell>
          <cell r="AC77">
            <v>126.75</v>
          </cell>
          <cell r="AD77">
            <v>0</v>
          </cell>
          <cell r="AE77">
            <v>0</v>
          </cell>
          <cell r="AF77">
            <v>12.675000000000001</v>
          </cell>
          <cell r="AG77">
            <v>0</v>
          </cell>
          <cell r="AH77">
            <v>0</v>
          </cell>
          <cell r="AI77">
            <v>9.75</v>
          </cell>
          <cell r="AJ77">
            <v>0</v>
          </cell>
          <cell r="AK77">
            <v>0</v>
          </cell>
          <cell r="AL77">
            <v>112.5</v>
          </cell>
          <cell r="AM77">
            <v>0</v>
          </cell>
          <cell r="AN77">
            <v>0</v>
          </cell>
          <cell r="AO77">
            <v>146.25</v>
          </cell>
          <cell r="AP77">
            <v>0</v>
          </cell>
          <cell r="AQ77">
            <v>0</v>
          </cell>
          <cell r="AR77">
            <v>11.25</v>
          </cell>
          <cell r="AS77">
            <v>0</v>
          </cell>
          <cell r="AT77">
            <v>0</v>
          </cell>
          <cell r="AU77">
            <v>97.5</v>
          </cell>
          <cell r="AV77">
            <v>0</v>
          </cell>
          <cell r="AW77">
            <v>0</v>
          </cell>
          <cell r="AX77">
            <v>126.75</v>
          </cell>
          <cell r="AY77">
            <v>0</v>
          </cell>
          <cell r="AZ77">
            <v>0</v>
          </cell>
          <cell r="BA77">
            <v>9.75</v>
          </cell>
          <cell r="BB77">
            <v>0</v>
          </cell>
          <cell r="BC77">
            <v>0</v>
          </cell>
          <cell r="BD77">
            <v>150</v>
          </cell>
          <cell r="BE77">
            <v>0</v>
          </cell>
          <cell r="BF77">
            <v>0</v>
          </cell>
          <cell r="BG77">
            <v>195</v>
          </cell>
          <cell r="BH77">
            <v>0</v>
          </cell>
          <cell r="BI77">
            <v>0</v>
          </cell>
          <cell r="BJ77">
            <v>15</v>
          </cell>
          <cell r="BK77">
            <v>0</v>
          </cell>
          <cell r="BL77">
            <v>8</v>
          </cell>
          <cell r="BM77">
            <v>75</v>
          </cell>
          <cell r="BN77">
            <v>600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9348.75</v>
          </cell>
        </row>
        <row r="78">
          <cell r="C78">
            <v>32435</v>
          </cell>
          <cell r="D78" t="str">
            <v>EGUIA, JULY ANN</v>
          </cell>
          <cell r="E78" t="str">
            <v>METAL STAMPING</v>
          </cell>
          <cell r="F78" t="str">
            <v>PRODUCTION</v>
          </cell>
          <cell r="G78" t="str">
            <v>Operator</v>
          </cell>
          <cell r="H78" t="str">
            <v>DL</v>
          </cell>
          <cell r="I78">
            <v>96</v>
          </cell>
          <cell r="J78">
            <v>12</v>
          </cell>
          <cell r="K78">
            <v>600</v>
          </cell>
          <cell r="L78">
            <v>7200</v>
          </cell>
          <cell r="M78">
            <v>0</v>
          </cell>
          <cell r="N78">
            <v>1.25</v>
          </cell>
          <cell r="O78">
            <v>0</v>
          </cell>
          <cell r="P78">
            <v>20</v>
          </cell>
          <cell r="Q78">
            <v>93.75</v>
          </cell>
          <cell r="R78">
            <v>1875</v>
          </cell>
          <cell r="S78">
            <v>24</v>
          </cell>
          <cell r="T78">
            <v>7.5</v>
          </cell>
          <cell r="U78">
            <v>180</v>
          </cell>
          <cell r="V78">
            <v>6</v>
          </cell>
          <cell r="W78">
            <v>9.375</v>
          </cell>
          <cell r="X78">
            <v>56.25</v>
          </cell>
          <cell r="Y78">
            <v>0</v>
          </cell>
          <cell r="Z78">
            <v>97.5</v>
          </cell>
          <cell r="AA78">
            <v>0</v>
          </cell>
          <cell r="AB78">
            <v>0</v>
          </cell>
          <cell r="AC78">
            <v>126.75</v>
          </cell>
          <cell r="AD78">
            <v>0</v>
          </cell>
          <cell r="AE78">
            <v>0</v>
          </cell>
          <cell r="AF78">
            <v>12.675000000000001</v>
          </cell>
          <cell r="AG78">
            <v>0</v>
          </cell>
          <cell r="AH78">
            <v>0</v>
          </cell>
          <cell r="AI78">
            <v>9.75</v>
          </cell>
          <cell r="AJ78">
            <v>0</v>
          </cell>
          <cell r="AK78">
            <v>0</v>
          </cell>
          <cell r="AL78">
            <v>112.5</v>
          </cell>
          <cell r="AM78">
            <v>0</v>
          </cell>
          <cell r="AN78">
            <v>0</v>
          </cell>
          <cell r="AO78">
            <v>146.25</v>
          </cell>
          <cell r="AP78">
            <v>0</v>
          </cell>
          <cell r="AQ78">
            <v>0</v>
          </cell>
          <cell r="AR78">
            <v>11.25</v>
          </cell>
          <cell r="AS78">
            <v>0</v>
          </cell>
          <cell r="AT78">
            <v>0</v>
          </cell>
          <cell r="AU78">
            <v>97.5</v>
          </cell>
          <cell r="AV78">
            <v>0</v>
          </cell>
          <cell r="AW78">
            <v>0</v>
          </cell>
          <cell r="AX78">
            <v>126.75</v>
          </cell>
          <cell r="AY78">
            <v>0</v>
          </cell>
          <cell r="AZ78">
            <v>0</v>
          </cell>
          <cell r="BA78">
            <v>9.75</v>
          </cell>
          <cell r="BB78">
            <v>0</v>
          </cell>
          <cell r="BC78">
            <v>0</v>
          </cell>
          <cell r="BD78">
            <v>150</v>
          </cell>
          <cell r="BE78">
            <v>0</v>
          </cell>
          <cell r="BF78">
            <v>0</v>
          </cell>
          <cell r="BG78">
            <v>195</v>
          </cell>
          <cell r="BH78">
            <v>0</v>
          </cell>
          <cell r="BI78">
            <v>0</v>
          </cell>
          <cell r="BJ78">
            <v>15</v>
          </cell>
          <cell r="BK78">
            <v>0</v>
          </cell>
          <cell r="BL78">
            <v>8</v>
          </cell>
          <cell r="BM78">
            <v>75</v>
          </cell>
          <cell r="BN78">
            <v>600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9911.25</v>
          </cell>
        </row>
        <row r="79">
          <cell r="C79">
            <v>30766</v>
          </cell>
          <cell r="D79" t="str">
            <v>EGUIA, MARY GRACE DEOMAMPO</v>
          </cell>
          <cell r="E79" t="str">
            <v>METAL STAMPING</v>
          </cell>
          <cell r="F79" t="str">
            <v>PRODUCTION</v>
          </cell>
          <cell r="G79" t="str">
            <v>Operator</v>
          </cell>
          <cell r="H79" t="str">
            <v>DL</v>
          </cell>
          <cell r="I79">
            <v>104</v>
          </cell>
          <cell r="J79">
            <v>13</v>
          </cell>
          <cell r="K79">
            <v>600</v>
          </cell>
          <cell r="L79">
            <v>7800</v>
          </cell>
          <cell r="M79">
            <v>0</v>
          </cell>
          <cell r="N79">
            <v>1.25</v>
          </cell>
          <cell r="O79">
            <v>0</v>
          </cell>
          <cell r="P79">
            <v>18</v>
          </cell>
          <cell r="Q79">
            <v>93.75</v>
          </cell>
          <cell r="R79">
            <v>1687.5</v>
          </cell>
          <cell r="S79">
            <v>0</v>
          </cell>
          <cell r="T79">
            <v>7.5</v>
          </cell>
          <cell r="U79">
            <v>0</v>
          </cell>
          <cell r="V79">
            <v>0</v>
          </cell>
          <cell r="W79">
            <v>9.375</v>
          </cell>
          <cell r="X79">
            <v>0</v>
          </cell>
          <cell r="Y79">
            <v>8</v>
          </cell>
          <cell r="Z79">
            <v>97.5</v>
          </cell>
          <cell r="AA79">
            <v>780</v>
          </cell>
          <cell r="AB79">
            <v>0</v>
          </cell>
          <cell r="AC79">
            <v>126.75</v>
          </cell>
          <cell r="AD79">
            <v>0</v>
          </cell>
          <cell r="AE79">
            <v>0</v>
          </cell>
          <cell r="AF79">
            <v>12.675000000000001</v>
          </cell>
          <cell r="AG79">
            <v>0</v>
          </cell>
          <cell r="AH79">
            <v>0</v>
          </cell>
          <cell r="AI79">
            <v>9.75</v>
          </cell>
          <cell r="AJ79">
            <v>0</v>
          </cell>
          <cell r="AK79">
            <v>0</v>
          </cell>
          <cell r="AL79">
            <v>112.5</v>
          </cell>
          <cell r="AM79">
            <v>0</v>
          </cell>
          <cell r="AN79">
            <v>0</v>
          </cell>
          <cell r="AO79">
            <v>146.25</v>
          </cell>
          <cell r="AP79">
            <v>0</v>
          </cell>
          <cell r="AQ79">
            <v>0</v>
          </cell>
          <cell r="AR79">
            <v>11.25</v>
          </cell>
          <cell r="AS79">
            <v>0</v>
          </cell>
          <cell r="AT79">
            <v>0</v>
          </cell>
          <cell r="AU79">
            <v>97.5</v>
          </cell>
          <cell r="AV79">
            <v>0</v>
          </cell>
          <cell r="AW79">
            <v>0</v>
          </cell>
          <cell r="AX79">
            <v>126.75</v>
          </cell>
          <cell r="AY79">
            <v>0</v>
          </cell>
          <cell r="AZ79">
            <v>0</v>
          </cell>
          <cell r="BA79">
            <v>9.75</v>
          </cell>
          <cell r="BB79">
            <v>0</v>
          </cell>
          <cell r="BC79">
            <v>0</v>
          </cell>
          <cell r="BD79">
            <v>150</v>
          </cell>
          <cell r="BE79">
            <v>0</v>
          </cell>
          <cell r="BF79">
            <v>0</v>
          </cell>
          <cell r="BG79">
            <v>195</v>
          </cell>
          <cell r="BH79">
            <v>0</v>
          </cell>
          <cell r="BI79">
            <v>0</v>
          </cell>
          <cell r="BJ79">
            <v>15</v>
          </cell>
          <cell r="BK79">
            <v>0</v>
          </cell>
          <cell r="BL79">
            <v>8</v>
          </cell>
          <cell r="BM79">
            <v>75</v>
          </cell>
          <cell r="BN79">
            <v>600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10867.5</v>
          </cell>
        </row>
        <row r="80">
          <cell r="C80">
            <v>32251</v>
          </cell>
          <cell r="D80" t="str">
            <v>ESCOVILLA,KEVIN JOHN</v>
          </cell>
          <cell r="E80" t="str">
            <v>METAL STAMPING</v>
          </cell>
          <cell r="F80" t="str">
            <v>PRODUCTION</v>
          </cell>
          <cell r="G80" t="str">
            <v>Operator</v>
          </cell>
          <cell r="H80" t="str">
            <v>IDL</v>
          </cell>
          <cell r="I80">
            <v>56</v>
          </cell>
          <cell r="J80">
            <v>7</v>
          </cell>
          <cell r="K80">
            <v>600</v>
          </cell>
          <cell r="L80">
            <v>4200</v>
          </cell>
          <cell r="M80">
            <v>0</v>
          </cell>
          <cell r="N80">
            <v>1.25</v>
          </cell>
          <cell r="O80">
            <v>0</v>
          </cell>
          <cell r="P80">
            <v>8</v>
          </cell>
          <cell r="Q80">
            <v>93.75</v>
          </cell>
          <cell r="R80">
            <v>750</v>
          </cell>
          <cell r="S80">
            <v>24</v>
          </cell>
          <cell r="T80">
            <v>7.5</v>
          </cell>
          <cell r="U80">
            <v>180</v>
          </cell>
          <cell r="V80">
            <v>4</v>
          </cell>
          <cell r="W80">
            <v>9.375</v>
          </cell>
          <cell r="X80">
            <v>37.5</v>
          </cell>
          <cell r="Y80">
            <v>0</v>
          </cell>
          <cell r="Z80">
            <v>97.5</v>
          </cell>
          <cell r="AA80">
            <v>0</v>
          </cell>
          <cell r="AB80">
            <v>0</v>
          </cell>
          <cell r="AC80">
            <v>126.75</v>
          </cell>
          <cell r="AD80">
            <v>0</v>
          </cell>
          <cell r="AE80">
            <v>0</v>
          </cell>
          <cell r="AF80">
            <v>12.675000000000001</v>
          </cell>
          <cell r="AG80">
            <v>0</v>
          </cell>
          <cell r="AH80">
            <v>0</v>
          </cell>
          <cell r="AI80">
            <v>9.75</v>
          </cell>
          <cell r="AJ80">
            <v>0</v>
          </cell>
          <cell r="AK80">
            <v>0</v>
          </cell>
          <cell r="AL80">
            <v>112.5</v>
          </cell>
          <cell r="AM80">
            <v>0</v>
          </cell>
          <cell r="AN80">
            <v>0</v>
          </cell>
          <cell r="AO80">
            <v>146.25</v>
          </cell>
          <cell r="AP80">
            <v>0</v>
          </cell>
          <cell r="AQ80">
            <v>0</v>
          </cell>
          <cell r="AR80">
            <v>11.25</v>
          </cell>
          <cell r="AS80">
            <v>0</v>
          </cell>
          <cell r="AT80">
            <v>0</v>
          </cell>
          <cell r="AU80">
            <v>97.5</v>
          </cell>
          <cell r="AV80">
            <v>0</v>
          </cell>
          <cell r="AW80">
            <v>0</v>
          </cell>
          <cell r="AX80">
            <v>126.75</v>
          </cell>
          <cell r="AY80">
            <v>0</v>
          </cell>
          <cell r="AZ80">
            <v>0</v>
          </cell>
          <cell r="BA80">
            <v>9.75</v>
          </cell>
          <cell r="BB80">
            <v>0</v>
          </cell>
          <cell r="BC80">
            <v>0</v>
          </cell>
          <cell r="BD80">
            <v>150</v>
          </cell>
          <cell r="BE80">
            <v>0</v>
          </cell>
          <cell r="BF80">
            <v>0</v>
          </cell>
          <cell r="BG80">
            <v>195</v>
          </cell>
          <cell r="BH80">
            <v>0</v>
          </cell>
          <cell r="BI80">
            <v>0</v>
          </cell>
          <cell r="BJ80">
            <v>15</v>
          </cell>
          <cell r="BK80">
            <v>0</v>
          </cell>
          <cell r="BL80">
            <v>8</v>
          </cell>
          <cell r="BM80">
            <v>75</v>
          </cell>
          <cell r="BN80">
            <v>600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5767.5</v>
          </cell>
        </row>
        <row r="81">
          <cell r="C81">
            <v>8092</v>
          </cell>
          <cell r="D81" t="str">
            <v>ESTOPA, MARY ANN PAJO</v>
          </cell>
          <cell r="E81" t="str">
            <v>METAL STAMPING</v>
          </cell>
          <cell r="F81" t="str">
            <v>PRODUCTION</v>
          </cell>
          <cell r="G81" t="str">
            <v>Operator</v>
          </cell>
          <cell r="H81" t="str">
            <v>DL</v>
          </cell>
          <cell r="I81">
            <v>96</v>
          </cell>
          <cell r="J81">
            <v>12</v>
          </cell>
          <cell r="K81">
            <v>600</v>
          </cell>
          <cell r="L81">
            <v>7200</v>
          </cell>
          <cell r="M81">
            <v>0</v>
          </cell>
          <cell r="N81">
            <v>1.25</v>
          </cell>
          <cell r="O81">
            <v>0</v>
          </cell>
          <cell r="P81">
            <v>12</v>
          </cell>
          <cell r="Q81">
            <v>93.75</v>
          </cell>
          <cell r="R81">
            <v>1125</v>
          </cell>
          <cell r="S81">
            <v>0</v>
          </cell>
          <cell r="T81">
            <v>7.5</v>
          </cell>
          <cell r="U81">
            <v>0</v>
          </cell>
          <cell r="V81">
            <v>0</v>
          </cell>
          <cell r="W81">
            <v>9.375</v>
          </cell>
          <cell r="X81">
            <v>0</v>
          </cell>
          <cell r="Y81">
            <v>0</v>
          </cell>
          <cell r="Z81">
            <v>97.5</v>
          </cell>
          <cell r="AA81">
            <v>0</v>
          </cell>
          <cell r="AB81">
            <v>0</v>
          </cell>
          <cell r="AC81">
            <v>126.75</v>
          </cell>
          <cell r="AD81">
            <v>0</v>
          </cell>
          <cell r="AE81">
            <v>0</v>
          </cell>
          <cell r="AF81">
            <v>12.675000000000001</v>
          </cell>
          <cell r="AG81">
            <v>0</v>
          </cell>
          <cell r="AH81">
            <v>0</v>
          </cell>
          <cell r="AI81">
            <v>9.75</v>
          </cell>
          <cell r="AJ81">
            <v>0</v>
          </cell>
          <cell r="AK81">
            <v>0</v>
          </cell>
          <cell r="AL81">
            <v>112.5</v>
          </cell>
          <cell r="AM81">
            <v>0</v>
          </cell>
          <cell r="AN81">
            <v>0</v>
          </cell>
          <cell r="AO81">
            <v>146.25</v>
          </cell>
          <cell r="AP81">
            <v>0</v>
          </cell>
          <cell r="AQ81">
            <v>0</v>
          </cell>
          <cell r="AR81">
            <v>11.25</v>
          </cell>
          <cell r="AS81">
            <v>0</v>
          </cell>
          <cell r="AT81">
            <v>0</v>
          </cell>
          <cell r="AU81">
            <v>97.5</v>
          </cell>
          <cell r="AV81">
            <v>0</v>
          </cell>
          <cell r="AW81">
            <v>0</v>
          </cell>
          <cell r="AX81">
            <v>126.75</v>
          </cell>
          <cell r="AY81">
            <v>0</v>
          </cell>
          <cell r="AZ81">
            <v>0</v>
          </cell>
          <cell r="BA81">
            <v>9.75</v>
          </cell>
          <cell r="BB81">
            <v>0</v>
          </cell>
          <cell r="BC81">
            <v>0</v>
          </cell>
          <cell r="BD81">
            <v>150</v>
          </cell>
          <cell r="BE81">
            <v>0</v>
          </cell>
          <cell r="BF81">
            <v>0</v>
          </cell>
          <cell r="BG81">
            <v>195</v>
          </cell>
          <cell r="BH81">
            <v>0</v>
          </cell>
          <cell r="BI81">
            <v>0</v>
          </cell>
          <cell r="BJ81">
            <v>15</v>
          </cell>
          <cell r="BK81">
            <v>0</v>
          </cell>
          <cell r="BL81">
            <v>8</v>
          </cell>
          <cell r="BM81">
            <v>75</v>
          </cell>
          <cell r="BN81">
            <v>600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8925</v>
          </cell>
        </row>
        <row r="82">
          <cell r="C82">
            <v>7968</v>
          </cell>
          <cell r="D82" t="str">
            <v>EVARISTO, JESSSA MAE MALAZARTE</v>
          </cell>
          <cell r="E82" t="str">
            <v>METAL STAMPING</v>
          </cell>
          <cell r="F82" t="str">
            <v>PRODUCTION</v>
          </cell>
          <cell r="G82" t="str">
            <v>Operator</v>
          </cell>
          <cell r="H82" t="str">
            <v>DL</v>
          </cell>
          <cell r="I82">
            <v>104</v>
          </cell>
          <cell r="J82">
            <v>13</v>
          </cell>
          <cell r="K82">
            <v>600</v>
          </cell>
          <cell r="L82">
            <v>7800</v>
          </cell>
          <cell r="M82">
            <v>7</v>
          </cell>
          <cell r="N82">
            <v>1.25</v>
          </cell>
          <cell r="O82">
            <v>-8.75</v>
          </cell>
          <cell r="P82">
            <v>18</v>
          </cell>
          <cell r="Q82">
            <v>93.75</v>
          </cell>
          <cell r="R82">
            <v>1687.5</v>
          </cell>
          <cell r="S82">
            <v>54</v>
          </cell>
          <cell r="T82">
            <v>7.5</v>
          </cell>
          <cell r="U82">
            <v>405</v>
          </cell>
          <cell r="V82">
            <v>14</v>
          </cell>
          <cell r="W82">
            <v>9.375</v>
          </cell>
          <cell r="X82">
            <v>131.25</v>
          </cell>
          <cell r="Y82">
            <v>8</v>
          </cell>
          <cell r="Z82">
            <v>97.5</v>
          </cell>
          <cell r="AA82">
            <v>780</v>
          </cell>
          <cell r="AB82">
            <v>0</v>
          </cell>
          <cell r="AC82">
            <v>126.75</v>
          </cell>
          <cell r="AD82">
            <v>0</v>
          </cell>
          <cell r="AE82">
            <v>0</v>
          </cell>
          <cell r="AF82">
            <v>12.675000000000001</v>
          </cell>
          <cell r="AG82">
            <v>0</v>
          </cell>
          <cell r="AH82">
            <v>0</v>
          </cell>
          <cell r="AI82">
            <v>9.75</v>
          </cell>
          <cell r="AJ82">
            <v>0</v>
          </cell>
          <cell r="AK82">
            <v>0</v>
          </cell>
          <cell r="AL82">
            <v>112.5</v>
          </cell>
          <cell r="AM82">
            <v>0</v>
          </cell>
          <cell r="AN82">
            <v>0</v>
          </cell>
          <cell r="AO82">
            <v>146.25</v>
          </cell>
          <cell r="AP82">
            <v>0</v>
          </cell>
          <cell r="AQ82">
            <v>0</v>
          </cell>
          <cell r="AR82">
            <v>11.25</v>
          </cell>
          <cell r="AS82">
            <v>0</v>
          </cell>
          <cell r="AT82">
            <v>0</v>
          </cell>
          <cell r="AU82">
            <v>97.5</v>
          </cell>
          <cell r="AV82">
            <v>0</v>
          </cell>
          <cell r="AW82">
            <v>0</v>
          </cell>
          <cell r="AX82">
            <v>126.75</v>
          </cell>
          <cell r="AY82">
            <v>0</v>
          </cell>
          <cell r="AZ82">
            <v>0</v>
          </cell>
          <cell r="BA82">
            <v>9.75</v>
          </cell>
          <cell r="BB82">
            <v>0</v>
          </cell>
          <cell r="BC82">
            <v>0</v>
          </cell>
          <cell r="BD82">
            <v>150</v>
          </cell>
          <cell r="BE82">
            <v>0</v>
          </cell>
          <cell r="BF82">
            <v>0</v>
          </cell>
          <cell r="BG82">
            <v>195</v>
          </cell>
          <cell r="BH82">
            <v>0</v>
          </cell>
          <cell r="BI82">
            <v>0</v>
          </cell>
          <cell r="BJ82">
            <v>15</v>
          </cell>
          <cell r="BK82">
            <v>0</v>
          </cell>
          <cell r="BL82">
            <v>8</v>
          </cell>
          <cell r="BM82">
            <v>75</v>
          </cell>
          <cell r="BN82">
            <v>600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11395</v>
          </cell>
        </row>
        <row r="83">
          <cell r="C83">
            <v>32438</v>
          </cell>
          <cell r="D83" t="str">
            <v>FIDELI, REYMARK</v>
          </cell>
          <cell r="E83" t="str">
            <v>METAL STAMPING</v>
          </cell>
          <cell r="F83" t="str">
            <v>PRODUCTION</v>
          </cell>
          <cell r="G83" t="str">
            <v>Operator</v>
          </cell>
          <cell r="H83" t="str">
            <v>DL</v>
          </cell>
          <cell r="I83">
            <v>0</v>
          </cell>
          <cell r="J83">
            <v>0</v>
          </cell>
          <cell r="K83">
            <v>600</v>
          </cell>
          <cell r="L83">
            <v>0</v>
          </cell>
          <cell r="M83">
            <v>0</v>
          </cell>
          <cell r="N83">
            <v>1.25</v>
          </cell>
          <cell r="O83">
            <v>0</v>
          </cell>
          <cell r="P83">
            <v>0</v>
          </cell>
          <cell r="Q83">
            <v>93.75</v>
          </cell>
          <cell r="R83">
            <v>0</v>
          </cell>
          <cell r="S83">
            <v>0</v>
          </cell>
          <cell r="T83">
            <v>7.5</v>
          </cell>
          <cell r="U83">
            <v>0</v>
          </cell>
          <cell r="V83">
            <v>0</v>
          </cell>
          <cell r="W83">
            <v>9.375</v>
          </cell>
          <cell r="X83">
            <v>0</v>
          </cell>
          <cell r="Y83">
            <v>0</v>
          </cell>
          <cell r="Z83">
            <v>97.5</v>
          </cell>
          <cell r="AA83">
            <v>0</v>
          </cell>
          <cell r="AB83">
            <v>0</v>
          </cell>
          <cell r="AC83">
            <v>126.75</v>
          </cell>
          <cell r="AD83">
            <v>0</v>
          </cell>
          <cell r="AE83">
            <v>0</v>
          </cell>
          <cell r="AF83">
            <v>12.675000000000001</v>
          </cell>
          <cell r="AG83">
            <v>0</v>
          </cell>
          <cell r="AH83">
            <v>0</v>
          </cell>
          <cell r="AI83">
            <v>9.75</v>
          </cell>
          <cell r="AJ83">
            <v>0</v>
          </cell>
          <cell r="AK83">
            <v>0</v>
          </cell>
          <cell r="AL83">
            <v>112.5</v>
          </cell>
          <cell r="AM83">
            <v>0</v>
          </cell>
          <cell r="AN83">
            <v>0</v>
          </cell>
          <cell r="AO83">
            <v>146.25</v>
          </cell>
          <cell r="AP83">
            <v>0</v>
          </cell>
          <cell r="AQ83">
            <v>0</v>
          </cell>
          <cell r="AR83">
            <v>11.25</v>
          </cell>
          <cell r="AS83">
            <v>0</v>
          </cell>
          <cell r="AT83">
            <v>0</v>
          </cell>
          <cell r="AU83">
            <v>97.5</v>
          </cell>
          <cell r="AV83">
            <v>0</v>
          </cell>
          <cell r="AW83">
            <v>0</v>
          </cell>
          <cell r="AX83">
            <v>126.75</v>
          </cell>
          <cell r="AY83">
            <v>0</v>
          </cell>
          <cell r="AZ83">
            <v>0</v>
          </cell>
          <cell r="BA83">
            <v>9.75</v>
          </cell>
          <cell r="BB83">
            <v>0</v>
          </cell>
          <cell r="BC83">
            <v>0</v>
          </cell>
          <cell r="BD83">
            <v>150</v>
          </cell>
          <cell r="BE83">
            <v>0</v>
          </cell>
          <cell r="BF83">
            <v>0</v>
          </cell>
          <cell r="BG83">
            <v>195</v>
          </cell>
          <cell r="BH83">
            <v>0</v>
          </cell>
          <cell r="BI83">
            <v>0</v>
          </cell>
          <cell r="BJ83">
            <v>15</v>
          </cell>
          <cell r="BK83">
            <v>0</v>
          </cell>
          <cell r="BL83">
            <v>0</v>
          </cell>
          <cell r="BM83">
            <v>75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</row>
        <row r="84">
          <cell r="C84">
            <v>12984</v>
          </cell>
          <cell r="D84" t="str">
            <v>FLAVIANO, JESSICA LACBAY</v>
          </cell>
          <cell r="E84" t="str">
            <v>METAL STAMPING</v>
          </cell>
          <cell r="F84" t="str">
            <v>PRODUCTION</v>
          </cell>
          <cell r="G84" t="str">
            <v>Operator</v>
          </cell>
          <cell r="H84" t="str">
            <v>DL</v>
          </cell>
          <cell r="I84">
            <v>96</v>
          </cell>
          <cell r="J84">
            <v>12</v>
          </cell>
          <cell r="K84">
            <v>600</v>
          </cell>
          <cell r="L84">
            <v>7200</v>
          </cell>
          <cell r="M84">
            <v>0</v>
          </cell>
          <cell r="N84">
            <v>1.25</v>
          </cell>
          <cell r="O84">
            <v>0</v>
          </cell>
          <cell r="P84">
            <v>18</v>
          </cell>
          <cell r="Q84">
            <v>93.75</v>
          </cell>
          <cell r="R84">
            <v>1687.5</v>
          </cell>
          <cell r="S84">
            <v>24</v>
          </cell>
          <cell r="T84">
            <v>7.5</v>
          </cell>
          <cell r="U84">
            <v>180</v>
          </cell>
          <cell r="V84">
            <v>6</v>
          </cell>
          <cell r="W84">
            <v>9.375</v>
          </cell>
          <cell r="X84">
            <v>56.25</v>
          </cell>
          <cell r="Y84">
            <v>0</v>
          </cell>
          <cell r="Z84">
            <v>97.5</v>
          </cell>
          <cell r="AA84">
            <v>0</v>
          </cell>
          <cell r="AB84">
            <v>0</v>
          </cell>
          <cell r="AC84">
            <v>126.75</v>
          </cell>
          <cell r="AD84">
            <v>0</v>
          </cell>
          <cell r="AE84">
            <v>0</v>
          </cell>
          <cell r="AF84">
            <v>12.675000000000001</v>
          </cell>
          <cell r="AG84">
            <v>0</v>
          </cell>
          <cell r="AH84">
            <v>0</v>
          </cell>
          <cell r="AI84">
            <v>9.75</v>
          </cell>
          <cell r="AJ84">
            <v>0</v>
          </cell>
          <cell r="AK84">
            <v>0</v>
          </cell>
          <cell r="AL84">
            <v>112.5</v>
          </cell>
          <cell r="AM84">
            <v>0</v>
          </cell>
          <cell r="AN84">
            <v>0</v>
          </cell>
          <cell r="AO84">
            <v>146.25</v>
          </cell>
          <cell r="AP84">
            <v>0</v>
          </cell>
          <cell r="AQ84">
            <v>0</v>
          </cell>
          <cell r="AR84">
            <v>11.25</v>
          </cell>
          <cell r="AS84">
            <v>0</v>
          </cell>
          <cell r="AT84">
            <v>0</v>
          </cell>
          <cell r="AU84">
            <v>97.5</v>
          </cell>
          <cell r="AV84">
            <v>0</v>
          </cell>
          <cell r="AW84">
            <v>0</v>
          </cell>
          <cell r="AX84">
            <v>126.75</v>
          </cell>
          <cell r="AY84">
            <v>0</v>
          </cell>
          <cell r="AZ84">
            <v>0</v>
          </cell>
          <cell r="BA84">
            <v>9.75</v>
          </cell>
          <cell r="BB84">
            <v>0</v>
          </cell>
          <cell r="BC84">
            <v>0</v>
          </cell>
          <cell r="BD84">
            <v>150</v>
          </cell>
          <cell r="BE84">
            <v>0</v>
          </cell>
          <cell r="BF84">
            <v>0</v>
          </cell>
          <cell r="BG84">
            <v>195</v>
          </cell>
          <cell r="BH84">
            <v>0</v>
          </cell>
          <cell r="BI84">
            <v>0</v>
          </cell>
          <cell r="BJ84">
            <v>15</v>
          </cell>
          <cell r="BK84">
            <v>0</v>
          </cell>
          <cell r="BL84">
            <v>8</v>
          </cell>
          <cell r="BM84">
            <v>75</v>
          </cell>
          <cell r="BN84">
            <v>600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9723.75</v>
          </cell>
        </row>
        <row r="85">
          <cell r="C85">
            <v>12985</v>
          </cell>
          <cell r="D85" t="str">
            <v>FLORES, JAYSON CAÑONEO</v>
          </cell>
          <cell r="E85" t="str">
            <v>METAL STAMPING</v>
          </cell>
          <cell r="F85" t="str">
            <v>PRODUCTION</v>
          </cell>
          <cell r="G85" t="str">
            <v>Operator</v>
          </cell>
          <cell r="H85" t="str">
            <v>DL</v>
          </cell>
          <cell r="I85">
            <v>104</v>
          </cell>
          <cell r="J85">
            <v>13</v>
          </cell>
          <cell r="K85">
            <v>600</v>
          </cell>
          <cell r="L85">
            <v>7800</v>
          </cell>
          <cell r="M85">
            <v>0</v>
          </cell>
          <cell r="N85">
            <v>1.25</v>
          </cell>
          <cell r="O85">
            <v>0</v>
          </cell>
          <cell r="P85">
            <v>20</v>
          </cell>
          <cell r="Q85">
            <v>93.75</v>
          </cell>
          <cell r="R85">
            <v>1875</v>
          </cell>
          <cell r="S85">
            <v>54</v>
          </cell>
          <cell r="T85">
            <v>7.5</v>
          </cell>
          <cell r="U85">
            <v>405</v>
          </cell>
          <cell r="V85">
            <v>16</v>
          </cell>
          <cell r="W85">
            <v>9.375</v>
          </cell>
          <cell r="X85">
            <v>150</v>
          </cell>
          <cell r="Y85">
            <v>8</v>
          </cell>
          <cell r="Z85">
            <v>97.5</v>
          </cell>
          <cell r="AA85">
            <v>780</v>
          </cell>
          <cell r="AB85">
            <v>0</v>
          </cell>
          <cell r="AC85">
            <v>126.75</v>
          </cell>
          <cell r="AD85">
            <v>0</v>
          </cell>
          <cell r="AE85">
            <v>0</v>
          </cell>
          <cell r="AF85">
            <v>12.675000000000001</v>
          </cell>
          <cell r="AG85">
            <v>0</v>
          </cell>
          <cell r="AH85">
            <v>0</v>
          </cell>
          <cell r="AI85">
            <v>9.75</v>
          </cell>
          <cell r="AJ85">
            <v>0</v>
          </cell>
          <cell r="AK85">
            <v>0</v>
          </cell>
          <cell r="AL85">
            <v>112.5</v>
          </cell>
          <cell r="AM85">
            <v>0</v>
          </cell>
          <cell r="AN85">
            <v>0</v>
          </cell>
          <cell r="AO85">
            <v>146.25</v>
          </cell>
          <cell r="AP85">
            <v>0</v>
          </cell>
          <cell r="AQ85">
            <v>0</v>
          </cell>
          <cell r="AR85">
            <v>11.25</v>
          </cell>
          <cell r="AS85">
            <v>0</v>
          </cell>
          <cell r="AT85">
            <v>0</v>
          </cell>
          <cell r="AU85">
            <v>97.5</v>
          </cell>
          <cell r="AV85">
            <v>0</v>
          </cell>
          <cell r="AW85">
            <v>0</v>
          </cell>
          <cell r="AX85">
            <v>126.75</v>
          </cell>
          <cell r="AY85">
            <v>0</v>
          </cell>
          <cell r="AZ85">
            <v>0</v>
          </cell>
          <cell r="BA85">
            <v>9.75</v>
          </cell>
          <cell r="BB85">
            <v>0</v>
          </cell>
          <cell r="BC85">
            <v>0</v>
          </cell>
          <cell r="BD85">
            <v>150</v>
          </cell>
          <cell r="BE85">
            <v>0</v>
          </cell>
          <cell r="BF85">
            <v>0</v>
          </cell>
          <cell r="BG85">
            <v>195</v>
          </cell>
          <cell r="BH85">
            <v>0</v>
          </cell>
          <cell r="BI85">
            <v>0</v>
          </cell>
          <cell r="BJ85">
            <v>15</v>
          </cell>
          <cell r="BK85">
            <v>0</v>
          </cell>
          <cell r="BL85">
            <v>8</v>
          </cell>
          <cell r="BM85">
            <v>75</v>
          </cell>
          <cell r="BN85">
            <v>600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11610</v>
          </cell>
        </row>
        <row r="86">
          <cell r="C86">
            <v>30254</v>
          </cell>
          <cell r="D86" t="str">
            <v>FLORES, JOEY BRASULA</v>
          </cell>
          <cell r="E86" t="str">
            <v>METAL STAMPING</v>
          </cell>
          <cell r="F86" t="str">
            <v>PRODUCTION</v>
          </cell>
          <cell r="G86" t="str">
            <v>Operator</v>
          </cell>
          <cell r="H86" t="str">
            <v>DL</v>
          </cell>
          <cell r="I86">
            <v>104</v>
          </cell>
          <cell r="J86">
            <v>13</v>
          </cell>
          <cell r="K86">
            <v>600</v>
          </cell>
          <cell r="L86">
            <v>7800</v>
          </cell>
          <cell r="M86">
            <v>0</v>
          </cell>
          <cell r="N86">
            <v>1.25</v>
          </cell>
          <cell r="O86">
            <v>0</v>
          </cell>
          <cell r="P86">
            <v>21</v>
          </cell>
          <cell r="Q86">
            <v>93.75</v>
          </cell>
          <cell r="R86">
            <v>1968.75</v>
          </cell>
          <cell r="S86">
            <v>24</v>
          </cell>
          <cell r="T86">
            <v>7.5</v>
          </cell>
          <cell r="U86">
            <v>180</v>
          </cell>
          <cell r="V86">
            <v>6</v>
          </cell>
          <cell r="W86">
            <v>9.375</v>
          </cell>
          <cell r="X86">
            <v>56.25</v>
          </cell>
          <cell r="Y86">
            <v>0</v>
          </cell>
          <cell r="Z86">
            <v>97.5</v>
          </cell>
          <cell r="AA86">
            <v>0</v>
          </cell>
          <cell r="AB86">
            <v>0</v>
          </cell>
          <cell r="AC86">
            <v>126.75</v>
          </cell>
          <cell r="AD86">
            <v>0</v>
          </cell>
          <cell r="AE86">
            <v>0</v>
          </cell>
          <cell r="AF86">
            <v>12.675000000000001</v>
          </cell>
          <cell r="AG86">
            <v>0</v>
          </cell>
          <cell r="AH86">
            <v>0</v>
          </cell>
          <cell r="AI86">
            <v>9.75</v>
          </cell>
          <cell r="AJ86">
            <v>0</v>
          </cell>
          <cell r="AK86">
            <v>0</v>
          </cell>
          <cell r="AL86">
            <v>112.5</v>
          </cell>
          <cell r="AM86">
            <v>0</v>
          </cell>
          <cell r="AN86">
            <v>0</v>
          </cell>
          <cell r="AO86">
            <v>146.25</v>
          </cell>
          <cell r="AP86">
            <v>0</v>
          </cell>
          <cell r="AQ86">
            <v>0</v>
          </cell>
          <cell r="AR86">
            <v>11.25</v>
          </cell>
          <cell r="AS86">
            <v>0</v>
          </cell>
          <cell r="AT86">
            <v>0</v>
          </cell>
          <cell r="AU86">
            <v>97.5</v>
          </cell>
          <cell r="AV86">
            <v>0</v>
          </cell>
          <cell r="AW86">
            <v>0</v>
          </cell>
          <cell r="AX86">
            <v>126.75</v>
          </cell>
          <cell r="AY86">
            <v>0</v>
          </cell>
          <cell r="AZ86">
            <v>0</v>
          </cell>
          <cell r="BA86">
            <v>9.75</v>
          </cell>
          <cell r="BB86">
            <v>0</v>
          </cell>
          <cell r="BC86">
            <v>0</v>
          </cell>
          <cell r="BD86">
            <v>150</v>
          </cell>
          <cell r="BE86">
            <v>0</v>
          </cell>
          <cell r="BF86">
            <v>0</v>
          </cell>
          <cell r="BG86">
            <v>195</v>
          </cell>
          <cell r="BH86">
            <v>0</v>
          </cell>
          <cell r="BI86">
            <v>0</v>
          </cell>
          <cell r="BJ86">
            <v>15</v>
          </cell>
          <cell r="BK86">
            <v>0</v>
          </cell>
          <cell r="BL86">
            <v>8</v>
          </cell>
          <cell r="BM86">
            <v>75</v>
          </cell>
          <cell r="BN86">
            <v>600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10605</v>
          </cell>
        </row>
        <row r="87">
          <cell r="C87">
            <v>32241</v>
          </cell>
          <cell r="D87" t="str">
            <v>FLORINDO,LORENZ MANUEL SAMAR</v>
          </cell>
          <cell r="E87" t="str">
            <v>METAL STAMPING</v>
          </cell>
          <cell r="F87" t="str">
            <v>PRODUCTION</v>
          </cell>
          <cell r="G87" t="str">
            <v>Operator</v>
          </cell>
          <cell r="H87" t="str">
            <v>IDL</v>
          </cell>
          <cell r="I87">
            <v>104</v>
          </cell>
          <cell r="J87">
            <v>13</v>
          </cell>
          <cell r="K87">
            <v>600</v>
          </cell>
          <cell r="L87">
            <v>7800</v>
          </cell>
          <cell r="M87">
            <v>3</v>
          </cell>
          <cell r="N87">
            <v>1.25</v>
          </cell>
          <cell r="O87">
            <v>-3.75</v>
          </cell>
          <cell r="P87">
            <v>18</v>
          </cell>
          <cell r="Q87">
            <v>93.75</v>
          </cell>
          <cell r="R87">
            <v>1687.5</v>
          </cell>
          <cell r="S87">
            <v>54</v>
          </cell>
          <cell r="T87">
            <v>7.5</v>
          </cell>
          <cell r="U87">
            <v>405</v>
          </cell>
          <cell r="V87">
            <v>14</v>
          </cell>
          <cell r="W87">
            <v>9.375</v>
          </cell>
          <cell r="X87">
            <v>131.25</v>
          </cell>
          <cell r="Y87">
            <v>8</v>
          </cell>
          <cell r="Z87">
            <v>97.5</v>
          </cell>
          <cell r="AA87">
            <v>780</v>
          </cell>
          <cell r="AB87">
            <v>0</v>
          </cell>
          <cell r="AC87">
            <v>126.75</v>
          </cell>
          <cell r="AD87">
            <v>0</v>
          </cell>
          <cell r="AE87">
            <v>0</v>
          </cell>
          <cell r="AF87">
            <v>12.675000000000001</v>
          </cell>
          <cell r="AG87">
            <v>0</v>
          </cell>
          <cell r="AH87">
            <v>0</v>
          </cell>
          <cell r="AI87">
            <v>9.75</v>
          </cell>
          <cell r="AJ87">
            <v>0</v>
          </cell>
          <cell r="AK87">
            <v>0</v>
          </cell>
          <cell r="AL87">
            <v>112.5</v>
          </cell>
          <cell r="AM87">
            <v>0</v>
          </cell>
          <cell r="AN87">
            <v>0</v>
          </cell>
          <cell r="AO87">
            <v>146.25</v>
          </cell>
          <cell r="AP87">
            <v>0</v>
          </cell>
          <cell r="AQ87">
            <v>0</v>
          </cell>
          <cell r="AR87">
            <v>11.25</v>
          </cell>
          <cell r="AS87">
            <v>0</v>
          </cell>
          <cell r="AT87">
            <v>0</v>
          </cell>
          <cell r="AU87">
            <v>97.5</v>
          </cell>
          <cell r="AV87">
            <v>0</v>
          </cell>
          <cell r="AW87">
            <v>0</v>
          </cell>
          <cell r="AX87">
            <v>126.75</v>
          </cell>
          <cell r="AY87">
            <v>0</v>
          </cell>
          <cell r="AZ87">
            <v>0</v>
          </cell>
          <cell r="BA87">
            <v>9.75</v>
          </cell>
          <cell r="BB87">
            <v>0</v>
          </cell>
          <cell r="BC87">
            <v>0</v>
          </cell>
          <cell r="BD87">
            <v>150</v>
          </cell>
          <cell r="BE87">
            <v>0</v>
          </cell>
          <cell r="BF87">
            <v>0</v>
          </cell>
          <cell r="BG87">
            <v>195</v>
          </cell>
          <cell r="BH87">
            <v>0</v>
          </cell>
          <cell r="BI87">
            <v>0</v>
          </cell>
          <cell r="BJ87">
            <v>15</v>
          </cell>
          <cell r="BK87">
            <v>0</v>
          </cell>
          <cell r="BL87">
            <v>8</v>
          </cell>
          <cell r="BM87">
            <v>75</v>
          </cell>
          <cell r="BN87">
            <v>600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11400</v>
          </cell>
        </row>
        <row r="88">
          <cell r="C88">
            <v>6354</v>
          </cell>
          <cell r="D88" t="str">
            <v>FORTE, HARLENE MAE FRANDO</v>
          </cell>
          <cell r="E88" t="str">
            <v>METAL STAMPING</v>
          </cell>
          <cell r="F88" t="str">
            <v>PRODUCTION</v>
          </cell>
          <cell r="G88" t="str">
            <v>Operator</v>
          </cell>
          <cell r="H88" t="str">
            <v>DL</v>
          </cell>
          <cell r="I88">
            <v>104</v>
          </cell>
          <cell r="J88">
            <v>13</v>
          </cell>
          <cell r="K88">
            <v>600</v>
          </cell>
          <cell r="L88">
            <v>7800</v>
          </cell>
          <cell r="M88">
            <v>0</v>
          </cell>
          <cell r="N88">
            <v>1.25</v>
          </cell>
          <cell r="O88">
            <v>0</v>
          </cell>
          <cell r="P88">
            <v>22</v>
          </cell>
          <cell r="Q88">
            <v>93.75</v>
          </cell>
          <cell r="R88">
            <v>2062.5</v>
          </cell>
          <cell r="S88">
            <v>24</v>
          </cell>
          <cell r="T88">
            <v>7.5</v>
          </cell>
          <cell r="U88">
            <v>180</v>
          </cell>
          <cell r="V88">
            <v>6</v>
          </cell>
          <cell r="W88">
            <v>9.375</v>
          </cell>
          <cell r="X88">
            <v>56.25</v>
          </cell>
          <cell r="Y88">
            <v>0</v>
          </cell>
          <cell r="Z88">
            <v>97.5</v>
          </cell>
          <cell r="AA88">
            <v>0</v>
          </cell>
          <cell r="AB88">
            <v>0</v>
          </cell>
          <cell r="AC88">
            <v>126.75</v>
          </cell>
          <cell r="AD88">
            <v>0</v>
          </cell>
          <cell r="AE88">
            <v>0</v>
          </cell>
          <cell r="AF88">
            <v>12.675000000000001</v>
          </cell>
          <cell r="AG88">
            <v>0</v>
          </cell>
          <cell r="AH88">
            <v>0</v>
          </cell>
          <cell r="AI88">
            <v>9.75</v>
          </cell>
          <cell r="AJ88">
            <v>0</v>
          </cell>
          <cell r="AK88">
            <v>0</v>
          </cell>
          <cell r="AL88">
            <v>112.5</v>
          </cell>
          <cell r="AM88">
            <v>0</v>
          </cell>
          <cell r="AN88">
            <v>0</v>
          </cell>
          <cell r="AO88">
            <v>146.25</v>
          </cell>
          <cell r="AP88">
            <v>0</v>
          </cell>
          <cell r="AQ88">
            <v>0</v>
          </cell>
          <cell r="AR88">
            <v>11.25</v>
          </cell>
          <cell r="AS88">
            <v>0</v>
          </cell>
          <cell r="AT88">
            <v>0</v>
          </cell>
          <cell r="AU88">
            <v>97.5</v>
          </cell>
          <cell r="AV88">
            <v>0</v>
          </cell>
          <cell r="AW88">
            <v>0</v>
          </cell>
          <cell r="AX88">
            <v>126.75</v>
          </cell>
          <cell r="AY88">
            <v>0</v>
          </cell>
          <cell r="AZ88">
            <v>0</v>
          </cell>
          <cell r="BA88">
            <v>9.75</v>
          </cell>
          <cell r="BB88">
            <v>0</v>
          </cell>
          <cell r="BC88">
            <v>0</v>
          </cell>
          <cell r="BD88">
            <v>150</v>
          </cell>
          <cell r="BE88">
            <v>0</v>
          </cell>
          <cell r="BF88">
            <v>0</v>
          </cell>
          <cell r="BG88">
            <v>195</v>
          </cell>
          <cell r="BH88">
            <v>0</v>
          </cell>
          <cell r="BI88">
            <v>0</v>
          </cell>
          <cell r="BJ88">
            <v>15</v>
          </cell>
          <cell r="BK88">
            <v>0</v>
          </cell>
          <cell r="BL88">
            <v>8</v>
          </cell>
          <cell r="BM88">
            <v>75</v>
          </cell>
          <cell r="BN88">
            <v>600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10698.75</v>
          </cell>
        </row>
        <row r="89">
          <cell r="C89">
            <v>13646</v>
          </cell>
          <cell r="D89" t="str">
            <v>GALLEGO, ANNA JEAN GALLEGO</v>
          </cell>
          <cell r="E89" t="str">
            <v>METAL STAMPING</v>
          </cell>
          <cell r="F89" t="str">
            <v>PRODUCTION</v>
          </cell>
          <cell r="G89" t="str">
            <v>Operator</v>
          </cell>
          <cell r="H89" t="str">
            <v>DL</v>
          </cell>
          <cell r="I89">
            <v>104</v>
          </cell>
          <cell r="J89">
            <v>13</v>
          </cell>
          <cell r="K89">
            <v>600</v>
          </cell>
          <cell r="L89">
            <v>7800</v>
          </cell>
          <cell r="M89">
            <v>0</v>
          </cell>
          <cell r="N89">
            <v>1.25</v>
          </cell>
          <cell r="O89">
            <v>0</v>
          </cell>
          <cell r="P89">
            <v>20</v>
          </cell>
          <cell r="Q89">
            <v>93.75</v>
          </cell>
          <cell r="R89">
            <v>1875</v>
          </cell>
          <cell r="S89">
            <v>54</v>
          </cell>
          <cell r="T89">
            <v>7.5</v>
          </cell>
          <cell r="U89">
            <v>405</v>
          </cell>
          <cell r="V89">
            <v>16</v>
          </cell>
          <cell r="W89">
            <v>9.375</v>
          </cell>
          <cell r="X89">
            <v>150</v>
          </cell>
          <cell r="Y89">
            <v>8</v>
          </cell>
          <cell r="Z89">
            <v>97.5</v>
          </cell>
          <cell r="AA89">
            <v>780</v>
          </cell>
          <cell r="AB89">
            <v>0</v>
          </cell>
          <cell r="AC89">
            <v>126.75</v>
          </cell>
          <cell r="AD89">
            <v>0</v>
          </cell>
          <cell r="AE89">
            <v>0</v>
          </cell>
          <cell r="AF89">
            <v>12.675000000000001</v>
          </cell>
          <cell r="AG89">
            <v>0</v>
          </cell>
          <cell r="AH89">
            <v>0</v>
          </cell>
          <cell r="AI89">
            <v>9.75</v>
          </cell>
          <cell r="AJ89">
            <v>0</v>
          </cell>
          <cell r="AK89">
            <v>0</v>
          </cell>
          <cell r="AL89">
            <v>112.5</v>
          </cell>
          <cell r="AM89">
            <v>0</v>
          </cell>
          <cell r="AN89">
            <v>0</v>
          </cell>
          <cell r="AO89">
            <v>146.25</v>
          </cell>
          <cell r="AP89">
            <v>0</v>
          </cell>
          <cell r="AQ89">
            <v>0</v>
          </cell>
          <cell r="AR89">
            <v>11.25</v>
          </cell>
          <cell r="AS89">
            <v>0</v>
          </cell>
          <cell r="AT89">
            <v>0</v>
          </cell>
          <cell r="AU89">
            <v>97.5</v>
          </cell>
          <cell r="AV89">
            <v>0</v>
          </cell>
          <cell r="AW89">
            <v>0</v>
          </cell>
          <cell r="AX89">
            <v>126.75</v>
          </cell>
          <cell r="AY89">
            <v>0</v>
          </cell>
          <cell r="AZ89">
            <v>0</v>
          </cell>
          <cell r="BA89">
            <v>9.75</v>
          </cell>
          <cell r="BB89">
            <v>0</v>
          </cell>
          <cell r="BC89">
            <v>0</v>
          </cell>
          <cell r="BD89">
            <v>150</v>
          </cell>
          <cell r="BE89">
            <v>0</v>
          </cell>
          <cell r="BF89">
            <v>0</v>
          </cell>
          <cell r="BG89">
            <v>195</v>
          </cell>
          <cell r="BH89">
            <v>0</v>
          </cell>
          <cell r="BI89">
            <v>0</v>
          </cell>
          <cell r="BJ89">
            <v>15</v>
          </cell>
          <cell r="BK89">
            <v>0</v>
          </cell>
          <cell r="BL89">
            <v>8</v>
          </cell>
          <cell r="BM89">
            <v>75</v>
          </cell>
          <cell r="BN89">
            <v>600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11610</v>
          </cell>
        </row>
        <row r="90">
          <cell r="C90">
            <v>14831</v>
          </cell>
          <cell r="D90" t="str">
            <v>GAMILLA, KAREN NIÑA LAZARO</v>
          </cell>
          <cell r="E90" t="str">
            <v>METAL STAMPING</v>
          </cell>
          <cell r="F90" t="str">
            <v>PRODUCTION</v>
          </cell>
          <cell r="G90" t="str">
            <v>Operator</v>
          </cell>
          <cell r="H90" t="str">
            <v>DL</v>
          </cell>
          <cell r="I90">
            <v>104</v>
          </cell>
          <cell r="J90">
            <v>13</v>
          </cell>
          <cell r="K90">
            <v>600</v>
          </cell>
          <cell r="L90">
            <v>7800</v>
          </cell>
          <cell r="M90">
            <v>0</v>
          </cell>
          <cell r="N90">
            <v>1.25</v>
          </cell>
          <cell r="O90">
            <v>0</v>
          </cell>
          <cell r="P90">
            <v>18</v>
          </cell>
          <cell r="Q90">
            <v>93.75</v>
          </cell>
          <cell r="R90">
            <v>1687.5</v>
          </cell>
          <cell r="S90">
            <v>54</v>
          </cell>
          <cell r="T90">
            <v>7.5</v>
          </cell>
          <cell r="U90">
            <v>405</v>
          </cell>
          <cell r="V90">
            <v>14</v>
          </cell>
          <cell r="W90">
            <v>9.375</v>
          </cell>
          <cell r="X90">
            <v>131.25</v>
          </cell>
          <cell r="Y90">
            <v>8</v>
          </cell>
          <cell r="Z90">
            <v>97.5</v>
          </cell>
          <cell r="AA90">
            <v>780</v>
          </cell>
          <cell r="AB90">
            <v>0</v>
          </cell>
          <cell r="AC90">
            <v>126.75</v>
          </cell>
          <cell r="AD90">
            <v>0</v>
          </cell>
          <cell r="AE90">
            <v>0</v>
          </cell>
          <cell r="AF90">
            <v>12.675000000000001</v>
          </cell>
          <cell r="AG90">
            <v>0</v>
          </cell>
          <cell r="AH90">
            <v>0</v>
          </cell>
          <cell r="AI90">
            <v>9.75</v>
          </cell>
          <cell r="AJ90">
            <v>0</v>
          </cell>
          <cell r="AK90">
            <v>0</v>
          </cell>
          <cell r="AL90">
            <v>112.5</v>
          </cell>
          <cell r="AM90">
            <v>0</v>
          </cell>
          <cell r="AN90">
            <v>0</v>
          </cell>
          <cell r="AO90">
            <v>146.25</v>
          </cell>
          <cell r="AP90">
            <v>0</v>
          </cell>
          <cell r="AQ90">
            <v>0</v>
          </cell>
          <cell r="AR90">
            <v>11.25</v>
          </cell>
          <cell r="AS90">
            <v>0</v>
          </cell>
          <cell r="AT90">
            <v>0</v>
          </cell>
          <cell r="AU90">
            <v>97.5</v>
          </cell>
          <cell r="AV90">
            <v>0</v>
          </cell>
          <cell r="AW90">
            <v>0</v>
          </cell>
          <cell r="AX90">
            <v>126.75</v>
          </cell>
          <cell r="AY90">
            <v>0</v>
          </cell>
          <cell r="AZ90">
            <v>0</v>
          </cell>
          <cell r="BA90">
            <v>9.75</v>
          </cell>
          <cell r="BB90">
            <v>0</v>
          </cell>
          <cell r="BC90">
            <v>0</v>
          </cell>
          <cell r="BD90">
            <v>150</v>
          </cell>
          <cell r="BE90">
            <v>0</v>
          </cell>
          <cell r="BF90">
            <v>0</v>
          </cell>
          <cell r="BG90">
            <v>195</v>
          </cell>
          <cell r="BH90">
            <v>0</v>
          </cell>
          <cell r="BI90">
            <v>0</v>
          </cell>
          <cell r="BJ90">
            <v>15</v>
          </cell>
          <cell r="BK90">
            <v>0</v>
          </cell>
          <cell r="BL90">
            <v>8</v>
          </cell>
          <cell r="BM90">
            <v>75</v>
          </cell>
          <cell r="BN90">
            <v>600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11403.75</v>
          </cell>
        </row>
        <row r="91">
          <cell r="C91">
            <v>7241</v>
          </cell>
          <cell r="D91" t="str">
            <v>GARCIA, MARY JANE GONZALVO</v>
          </cell>
          <cell r="E91" t="str">
            <v>METAL STAMPING</v>
          </cell>
          <cell r="F91" t="str">
            <v>PRODUCTION</v>
          </cell>
          <cell r="G91" t="str">
            <v>Operator</v>
          </cell>
          <cell r="H91" t="str">
            <v>IDL</v>
          </cell>
          <cell r="I91">
            <v>96</v>
          </cell>
          <cell r="J91">
            <v>12</v>
          </cell>
          <cell r="K91">
            <v>600</v>
          </cell>
          <cell r="L91">
            <v>7200</v>
          </cell>
          <cell r="M91">
            <v>0</v>
          </cell>
          <cell r="N91">
            <v>1.25</v>
          </cell>
          <cell r="O91">
            <v>0</v>
          </cell>
          <cell r="P91">
            <v>16</v>
          </cell>
          <cell r="Q91">
            <v>93.75</v>
          </cell>
          <cell r="R91">
            <v>1500</v>
          </cell>
          <cell r="S91">
            <v>54</v>
          </cell>
          <cell r="T91">
            <v>7.5</v>
          </cell>
          <cell r="U91">
            <v>405</v>
          </cell>
          <cell r="V91">
            <v>12</v>
          </cell>
          <cell r="W91">
            <v>9.375</v>
          </cell>
          <cell r="X91">
            <v>112.5</v>
          </cell>
          <cell r="Y91">
            <v>0</v>
          </cell>
          <cell r="Z91">
            <v>97.5</v>
          </cell>
          <cell r="AA91">
            <v>0</v>
          </cell>
          <cell r="AB91">
            <v>0</v>
          </cell>
          <cell r="AC91">
            <v>126.75</v>
          </cell>
          <cell r="AD91">
            <v>0</v>
          </cell>
          <cell r="AE91">
            <v>0</v>
          </cell>
          <cell r="AF91">
            <v>12.675000000000001</v>
          </cell>
          <cell r="AG91">
            <v>0</v>
          </cell>
          <cell r="AH91">
            <v>0</v>
          </cell>
          <cell r="AI91">
            <v>9.75</v>
          </cell>
          <cell r="AJ91">
            <v>0</v>
          </cell>
          <cell r="AK91">
            <v>0</v>
          </cell>
          <cell r="AL91">
            <v>112.5</v>
          </cell>
          <cell r="AM91">
            <v>0</v>
          </cell>
          <cell r="AN91">
            <v>0</v>
          </cell>
          <cell r="AO91">
            <v>146.25</v>
          </cell>
          <cell r="AP91">
            <v>0</v>
          </cell>
          <cell r="AQ91">
            <v>0</v>
          </cell>
          <cell r="AR91">
            <v>11.25</v>
          </cell>
          <cell r="AS91">
            <v>0</v>
          </cell>
          <cell r="AT91">
            <v>0</v>
          </cell>
          <cell r="AU91">
            <v>97.5</v>
          </cell>
          <cell r="AV91">
            <v>0</v>
          </cell>
          <cell r="AW91">
            <v>0</v>
          </cell>
          <cell r="AX91">
            <v>126.75</v>
          </cell>
          <cell r="AY91">
            <v>0</v>
          </cell>
          <cell r="AZ91">
            <v>0</v>
          </cell>
          <cell r="BA91">
            <v>9.75</v>
          </cell>
          <cell r="BB91">
            <v>0</v>
          </cell>
          <cell r="BC91">
            <v>0</v>
          </cell>
          <cell r="BD91">
            <v>150</v>
          </cell>
          <cell r="BE91">
            <v>0</v>
          </cell>
          <cell r="BF91">
            <v>0</v>
          </cell>
          <cell r="BG91">
            <v>195</v>
          </cell>
          <cell r="BH91">
            <v>0</v>
          </cell>
          <cell r="BI91">
            <v>0</v>
          </cell>
          <cell r="BJ91">
            <v>15</v>
          </cell>
          <cell r="BK91">
            <v>0</v>
          </cell>
          <cell r="BL91">
            <v>8</v>
          </cell>
          <cell r="BM91">
            <v>75</v>
          </cell>
          <cell r="BN91">
            <v>600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9817.5</v>
          </cell>
        </row>
        <row r="92">
          <cell r="C92">
            <v>32270</v>
          </cell>
          <cell r="D92" t="str">
            <v>GARDIANO,MONICA</v>
          </cell>
          <cell r="E92" t="str">
            <v>METAL STAMPING</v>
          </cell>
          <cell r="F92" t="str">
            <v>PRODUCTION</v>
          </cell>
          <cell r="G92" t="str">
            <v>Operator</v>
          </cell>
          <cell r="H92" t="str">
            <v>DL</v>
          </cell>
          <cell r="I92">
            <v>72</v>
          </cell>
          <cell r="J92">
            <v>9</v>
          </cell>
          <cell r="K92">
            <v>600</v>
          </cell>
          <cell r="L92">
            <v>5400</v>
          </cell>
          <cell r="M92">
            <v>0</v>
          </cell>
          <cell r="N92">
            <v>1.25</v>
          </cell>
          <cell r="O92">
            <v>0</v>
          </cell>
          <cell r="P92">
            <v>10</v>
          </cell>
          <cell r="Q92">
            <v>93.75</v>
          </cell>
          <cell r="R92">
            <v>937.5</v>
          </cell>
          <cell r="S92">
            <v>42</v>
          </cell>
          <cell r="T92">
            <v>7.5</v>
          </cell>
          <cell r="U92">
            <v>315</v>
          </cell>
          <cell r="V92">
            <v>10</v>
          </cell>
          <cell r="W92">
            <v>9.375</v>
          </cell>
          <cell r="X92">
            <v>93.75</v>
          </cell>
          <cell r="Y92">
            <v>8</v>
          </cell>
          <cell r="Z92">
            <v>97.5</v>
          </cell>
          <cell r="AA92">
            <v>780</v>
          </cell>
          <cell r="AB92">
            <v>0</v>
          </cell>
          <cell r="AC92">
            <v>126.75</v>
          </cell>
          <cell r="AD92">
            <v>0</v>
          </cell>
          <cell r="AE92">
            <v>0</v>
          </cell>
          <cell r="AF92">
            <v>12.675000000000001</v>
          </cell>
          <cell r="AG92">
            <v>0</v>
          </cell>
          <cell r="AH92">
            <v>0</v>
          </cell>
          <cell r="AI92">
            <v>9.75</v>
          </cell>
          <cell r="AJ92">
            <v>0</v>
          </cell>
          <cell r="AK92">
            <v>0</v>
          </cell>
          <cell r="AL92">
            <v>112.5</v>
          </cell>
          <cell r="AM92">
            <v>0</v>
          </cell>
          <cell r="AN92">
            <v>0</v>
          </cell>
          <cell r="AO92">
            <v>146.25</v>
          </cell>
          <cell r="AP92">
            <v>0</v>
          </cell>
          <cell r="AQ92">
            <v>0</v>
          </cell>
          <cell r="AR92">
            <v>11.25</v>
          </cell>
          <cell r="AS92">
            <v>0</v>
          </cell>
          <cell r="AT92">
            <v>0</v>
          </cell>
          <cell r="AU92">
            <v>97.5</v>
          </cell>
          <cell r="AV92">
            <v>0</v>
          </cell>
          <cell r="AW92">
            <v>0</v>
          </cell>
          <cell r="AX92">
            <v>126.75</v>
          </cell>
          <cell r="AY92">
            <v>0</v>
          </cell>
          <cell r="AZ92">
            <v>0</v>
          </cell>
          <cell r="BA92">
            <v>9.75</v>
          </cell>
          <cell r="BB92">
            <v>0</v>
          </cell>
          <cell r="BC92">
            <v>0</v>
          </cell>
          <cell r="BD92">
            <v>150</v>
          </cell>
          <cell r="BE92">
            <v>0</v>
          </cell>
          <cell r="BF92">
            <v>0</v>
          </cell>
          <cell r="BG92">
            <v>195</v>
          </cell>
          <cell r="BH92">
            <v>0</v>
          </cell>
          <cell r="BI92">
            <v>0</v>
          </cell>
          <cell r="BJ92">
            <v>15</v>
          </cell>
          <cell r="BK92">
            <v>0</v>
          </cell>
          <cell r="BL92">
            <v>0</v>
          </cell>
          <cell r="BM92">
            <v>75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7526.25</v>
          </cell>
        </row>
        <row r="93">
          <cell r="C93">
            <v>14541</v>
          </cell>
          <cell r="D93" t="str">
            <v>GIDA, CHRISTIAN LAURENTE</v>
          </cell>
          <cell r="E93" t="str">
            <v>METAL STAMPING</v>
          </cell>
          <cell r="F93" t="str">
            <v>PRODUCTION</v>
          </cell>
          <cell r="G93" t="str">
            <v>Operator</v>
          </cell>
          <cell r="H93" t="str">
            <v>DL</v>
          </cell>
          <cell r="I93">
            <v>88</v>
          </cell>
          <cell r="J93">
            <v>11</v>
          </cell>
          <cell r="K93">
            <v>600</v>
          </cell>
          <cell r="L93">
            <v>6600</v>
          </cell>
          <cell r="M93">
            <v>0</v>
          </cell>
          <cell r="N93">
            <v>1.25</v>
          </cell>
          <cell r="O93">
            <v>0</v>
          </cell>
          <cell r="P93">
            <v>16</v>
          </cell>
          <cell r="Q93">
            <v>93.75</v>
          </cell>
          <cell r="R93">
            <v>1500</v>
          </cell>
          <cell r="S93">
            <v>18</v>
          </cell>
          <cell r="T93">
            <v>7.5</v>
          </cell>
          <cell r="U93">
            <v>135</v>
          </cell>
          <cell r="V93">
            <v>4</v>
          </cell>
          <cell r="W93">
            <v>9.375</v>
          </cell>
          <cell r="X93">
            <v>37.5</v>
          </cell>
          <cell r="Y93">
            <v>0</v>
          </cell>
          <cell r="Z93">
            <v>97.5</v>
          </cell>
          <cell r="AA93">
            <v>0</v>
          </cell>
          <cell r="AB93">
            <v>0</v>
          </cell>
          <cell r="AC93">
            <v>126.75</v>
          </cell>
          <cell r="AD93">
            <v>0</v>
          </cell>
          <cell r="AE93">
            <v>0</v>
          </cell>
          <cell r="AF93">
            <v>12.675000000000001</v>
          </cell>
          <cell r="AG93">
            <v>0</v>
          </cell>
          <cell r="AH93">
            <v>0</v>
          </cell>
          <cell r="AI93">
            <v>9.75</v>
          </cell>
          <cell r="AJ93">
            <v>0</v>
          </cell>
          <cell r="AK93">
            <v>0</v>
          </cell>
          <cell r="AL93">
            <v>112.5</v>
          </cell>
          <cell r="AM93">
            <v>0</v>
          </cell>
          <cell r="AN93">
            <v>0</v>
          </cell>
          <cell r="AO93">
            <v>146.25</v>
          </cell>
          <cell r="AP93">
            <v>0</v>
          </cell>
          <cell r="AQ93">
            <v>0</v>
          </cell>
          <cell r="AR93">
            <v>11.25</v>
          </cell>
          <cell r="AS93">
            <v>0</v>
          </cell>
          <cell r="AT93">
            <v>0</v>
          </cell>
          <cell r="AU93">
            <v>97.5</v>
          </cell>
          <cell r="AV93">
            <v>0</v>
          </cell>
          <cell r="AW93">
            <v>0</v>
          </cell>
          <cell r="AX93">
            <v>126.75</v>
          </cell>
          <cell r="AY93">
            <v>0</v>
          </cell>
          <cell r="AZ93">
            <v>0</v>
          </cell>
          <cell r="BA93">
            <v>9.75</v>
          </cell>
          <cell r="BB93">
            <v>0</v>
          </cell>
          <cell r="BC93">
            <v>0</v>
          </cell>
          <cell r="BD93">
            <v>150</v>
          </cell>
          <cell r="BE93">
            <v>0</v>
          </cell>
          <cell r="BF93">
            <v>0</v>
          </cell>
          <cell r="BG93">
            <v>195</v>
          </cell>
          <cell r="BH93">
            <v>0</v>
          </cell>
          <cell r="BI93">
            <v>0</v>
          </cell>
          <cell r="BJ93">
            <v>15</v>
          </cell>
          <cell r="BK93">
            <v>0</v>
          </cell>
          <cell r="BL93">
            <v>8</v>
          </cell>
          <cell r="BM93">
            <v>75</v>
          </cell>
          <cell r="BN93">
            <v>600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8872.5</v>
          </cell>
        </row>
        <row r="94">
          <cell r="C94">
            <v>14207</v>
          </cell>
          <cell r="D94" t="str">
            <v>GLOR, RON RON ROBLES</v>
          </cell>
          <cell r="E94" t="str">
            <v>METAL STAMPING</v>
          </cell>
          <cell r="F94" t="str">
            <v>PRODUCTION</v>
          </cell>
          <cell r="G94" t="str">
            <v>Operator</v>
          </cell>
          <cell r="H94" t="str">
            <v>DL</v>
          </cell>
          <cell r="I94">
            <v>96</v>
          </cell>
          <cell r="J94">
            <v>12</v>
          </cell>
          <cell r="K94">
            <v>600</v>
          </cell>
          <cell r="L94">
            <v>7200</v>
          </cell>
          <cell r="M94">
            <v>0</v>
          </cell>
          <cell r="N94">
            <v>1.25</v>
          </cell>
          <cell r="O94">
            <v>0</v>
          </cell>
          <cell r="P94">
            <v>18</v>
          </cell>
          <cell r="Q94">
            <v>93.75</v>
          </cell>
          <cell r="R94">
            <v>1687.5</v>
          </cell>
          <cell r="S94">
            <v>48</v>
          </cell>
          <cell r="T94">
            <v>7.5</v>
          </cell>
          <cell r="U94">
            <v>360</v>
          </cell>
          <cell r="V94">
            <v>14</v>
          </cell>
          <cell r="W94">
            <v>9.375</v>
          </cell>
          <cell r="X94">
            <v>131.25</v>
          </cell>
          <cell r="Y94">
            <v>0</v>
          </cell>
          <cell r="Z94">
            <v>97.5</v>
          </cell>
          <cell r="AA94">
            <v>0</v>
          </cell>
          <cell r="AB94">
            <v>0</v>
          </cell>
          <cell r="AC94">
            <v>126.75</v>
          </cell>
          <cell r="AD94">
            <v>0</v>
          </cell>
          <cell r="AE94">
            <v>0</v>
          </cell>
          <cell r="AF94">
            <v>12.675000000000001</v>
          </cell>
          <cell r="AG94">
            <v>0</v>
          </cell>
          <cell r="AH94">
            <v>0</v>
          </cell>
          <cell r="AI94">
            <v>9.75</v>
          </cell>
          <cell r="AJ94">
            <v>0</v>
          </cell>
          <cell r="AK94">
            <v>0</v>
          </cell>
          <cell r="AL94">
            <v>112.5</v>
          </cell>
          <cell r="AM94">
            <v>0</v>
          </cell>
          <cell r="AN94">
            <v>0</v>
          </cell>
          <cell r="AO94">
            <v>146.25</v>
          </cell>
          <cell r="AP94">
            <v>0</v>
          </cell>
          <cell r="AQ94">
            <v>0</v>
          </cell>
          <cell r="AR94">
            <v>11.25</v>
          </cell>
          <cell r="AS94">
            <v>0</v>
          </cell>
          <cell r="AT94">
            <v>0</v>
          </cell>
          <cell r="AU94">
            <v>97.5</v>
          </cell>
          <cell r="AV94">
            <v>0</v>
          </cell>
          <cell r="AW94">
            <v>0</v>
          </cell>
          <cell r="AX94">
            <v>126.75</v>
          </cell>
          <cell r="AY94">
            <v>0</v>
          </cell>
          <cell r="AZ94">
            <v>0</v>
          </cell>
          <cell r="BA94">
            <v>9.75</v>
          </cell>
          <cell r="BB94">
            <v>0</v>
          </cell>
          <cell r="BC94">
            <v>0</v>
          </cell>
          <cell r="BD94">
            <v>150</v>
          </cell>
          <cell r="BE94">
            <v>0</v>
          </cell>
          <cell r="BF94">
            <v>0</v>
          </cell>
          <cell r="BG94">
            <v>195</v>
          </cell>
          <cell r="BH94">
            <v>0</v>
          </cell>
          <cell r="BI94">
            <v>0</v>
          </cell>
          <cell r="BJ94">
            <v>15</v>
          </cell>
          <cell r="BK94">
            <v>0</v>
          </cell>
          <cell r="BL94">
            <v>8</v>
          </cell>
          <cell r="BM94">
            <v>75</v>
          </cell>
          <cell r="BN94">
            <v>600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9978.75</v>
          </cell>
        </row>
        <row r="95">
          <cell r="C95">
            <v>32582</v>
          </cell>
          <cell r="D95" t="str">
            <v>GOBIS, FREDDIE REYMARK</v>
          </cell>
          <cell r="E95" t="str">
            <v>METAL STAMPING</v>
          </cell>
          <cell r="F95" t="str">
            <v>PRODUCTION</v>
          </cell>
          <cell r="G95" t="str">
            <v>Operator</v>
          </cell>
          <cell r="H95" t="str">
            <v>DL</v>
          </cell>
          <cell r="I95">
            <v>104</v>
          </cell>
          <cell r="J95">
            <v>13</v>
          </cell>
          <cell r="K95">
            <v>600</v>
          </cell>
          <cell r="L95">
            <v>7800</v>
          </cell>
          <cell r="M95">
            <v>0</v>
          </cell>
          <cell r="N95">
            <v>1.25</v>
          </cell>
          <cell r="O95">
            <v>0</v>
          </cell>
          <cell r="P95">
            <v>22</v>
          </cell>
          <cell r="Q95">
            <v>93.75</v>
          </cell>
          <cell r="R95">
            <v>2062.5</v>
          </cell>
          <cell r="S95">
            <v>24</v>
          </cell>
          <cell r="T95">
            <v>7.5</v>
          </cell>
          <cell r="U95">
            <v>180</v>
          </cell>
          <cell r="V95">
            <v>6</v>
          </cell>
          <cell r="W95">
            <v>9.375</v>
          </cell>
          <cell r="X95">
            <v>56.25</v>
          </cell>
          <cell r="Y95">
            <v>0</v>
          </cell>
          <cell r="Z95">
            <v>97.5</v>
          </cell>
          <cell r="AA95">
            <v>0</v>
          </cell>
          <cell r="AB95">
            <v>0</v>
          </cell>
          <cell r="AC95">
            <v>126.75</v>
          </cell>
          <cell r="AD95">
            <v>0</v>
          </cell>
          <cell r="AE95">
            <v>0</v>
          </cell>
          <cell r="AF95">
            <v>12.675000000000001</v>
          </cell>
          <cell r="AG95">
            <v>0</v>
          </cell>
          <cell r="AH95">
            <v>0</v>
          </cell>
          <cell r="AI95">
            <v>9.75</v>
          </cell>
          <cell r="AJ95">
            <v>0</v>
          </cell>
          <cell r="AK95">
            <v>0</v>
          </cell>
          <cell r="AL95">
            <v>112.5</v>
          </cell>
          <cell r="AM95">
            <v>0</v>
          </cell>
          <cell r="AN95">
            <v>0</v>
          </cell>
          <cell r="AO95">
            <v>146.25</v>
          </cell>
          <cell r="AP95">
            <v>0</v>
          </cell>
          <cell r="AQ95">
            <v>0</v>
          </cell>
          <cell r="AR95">
            <v>11.25</v>
          </cell>
          <cell r="AS95">
            <v>0</v>
          </cell>
          <cell r="AT95">
            <v>0</v>
          </cell>
          <cell r="AU95">
            <v>97.5</v>
          </cell>
          <cell r="AV95">
            <v>0</v>
          </cell>
          <cell r="AW95">
            <v>0</v>
          </cell>
          <cell r="AX95">
            <v>126.75</v>
          </cell>
          <cell r="AY95">
            <v>0</v>
          </cell>
          <cell r="AZ95">
            <v>0</v>
          </cell>
          <cell r="BA95">
            <v>9.75</v>
          </cell>
          <cell r="BB95">
            <v>0</v>
          </cell>
          <cell r="BC95">
            <v>0</v>
          </cell>
          <cell r="BD95">
            <v>150</v>
          </cell>
          <cell r="BE95">
            <v>0</v>
          </cell>
          <cell r="BF95">
            <v>0</v>
          </cell>
          <cell r="BG95">
            <v>195</v>
          </cell>
          <cell r="BH95">
            <v>0</v>
          </cell>
          <cell r="BI95">
            <v>0</v>
          </cell>
          <cell r="BJ95">
            <v>15</v>
          </cell>
          <cell r="BK95">
            <v>0</v>
          </cell>
          <cell r="BL95">
            <v>8</v>
          </cell>
          <cell r="BM95">
            <v>75</v>
          </cell>
          <cell r="BN95">
            <v>600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10698.75</v>
          </cell>
        </row>
        <row r="96">
          <cell r="C96">
            <v>5456</v>
          </cell>
          <cell r="D96" t="str">
            <v>GONZALVO, MARIVIC GONZALVO</v>
          </cell>
          <cell r="E96" t="str">
            <v>METAL STAMPING</v>
          </cell>
          <cell r="F96" t="str">
            <v>PRODUCTION</v>
          </cell>
          <cell r="G96" t="str">
            <v>Operator</v>
          </cell>
          <cell r="H96" t="str">
            <v>DL</v>
          </cell>
          <cell r="I96">
            <v>104</v>
          </cell>
          <cell r="J96">
            <v>13</v>
          </cell>
          <cell r="K96">
            <v>600</v>
          </cell>
          <cell r="L96">
            <v>7800</v>
          </cell>
          <cell r="M96">
            <v>0</v>
          </cell>
          <cell r="N96">
            <v>1.25</v>
          </cell>
          <cell r="O96">
            <v>0</v>
          </cell>
          <cell r="P96">
            <v>20</v>
          </cell>
          <cell r="Q96">
            <v>93.75</v>
          </cell>
          <cell r="R96">
            <v>1875</v>
          </cell>
          <cell r="S96">
            <v>24</v>
          </cell>
          <cell r="T96">
            <v>7.5</v>
          </cell>
          <cell r="U96">
            <v>180</v>
          </cell>
          <cell r="V96">
            <v>6</v>
          </cell>
          <cell r="W96">
            <v>9.375</v>
          </cell>
          <cell r="X96">
            <v>56.25</v>
          </cell>
          <cell r="Y96">
            <v>0</v>
          </cell>
          <cell r="Z96">
            <v>97.5</v>
          </cell>
          <cell r="AA96">
            <v>0</v>
          </cell>
          <cell r="AB96">
            <v>0</v>
          </cell>
          <cell r="AC96">
            <v>126.75</v>
          </cell>
          <cell r="AD96">
            <v>0</v>
          </cell>
          <cell r="AE96">
            <v>0</v>
          </cell>
          <cell r="AF96">
            <v>12.675000000000001</v>
          </cell>
          <cell r="AG96">
            <v>0</v>
          </cell>
          <cell r="AH96">
            <v>0</v>
          </cell>
          <cell r="AI96">
            <v>9.75</v>
          </cell>
          <cell r="AJ96">
            <v>0</v>
          </cell>
          <cell r="AK96">
            <v>0</v>
          </cell>
          <cell r="AL96">
            <v>112.5</v>
          </cell>
          <cell r="AM96">
            <v>0</v>
          </cell>
          <cell r="AN96">
            <v>0</v>
          </cell>
          <cell r="AO96">
            <v>146.25</v>
          </cell>
          <cell r="AP96">
            <v>0</v>
          </cell>
          <cell r="AQ96">
            <v>0</v>
          </cell>
          <cell r="AR96">
            <v>11.25</v>
          </cell>
          <cell r="AS96">
            <v>0</v>
          </cell>
          <cell r="AT96">
            <v>0</v>
          </cell>
          <cell r="AU96">
            <v>97.5</v>
          </cell>
          <cell r="AV96">
            <v>0</v>
          </cell>
          <cell r="AW96">
            <v>0</v>
          </cell>
          <cell r="AX96">
            <v>126.75</v>
          </cell>
          <cell r="AY96">
            <v>0</v>
          </cell>
          <cell r="AZ96">
            <v>0</v>
          </cell>
          <cell r="BA96">
            <v>9.75</v>
          </cell>
          <cell r="BB96">
            <v>0</v>
          </cell>
          <cell r="BC96">
            <v>0</v>
          </cell>
          <cell r="BD96">
            <v>150</v>
          </cell>
          <cell r="BE96">
            <v>0</v>
          </cell>
          <cell r="BF96">
            <v>0</v>
          </cell>
          <cell r="BG96">
            <v>195</v>
          </cell>
          <cell r="BH96">
            <v>0</v>
          </cell>
          <cell r="BI96">
            <v>0</v>
          </cell>
          <cell r="BJ96">
            <v>15</v>
          </cell>
          <cell r="BK96">
            <v>0</v>
          </cell>
          <cell r="BL96">
            <v>8</v>
          </cell>
          <cell r="BM96">
            <v>75</v>
          </cell>
          <cell r="BN96">
            <v>600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10511.25</v>
          </cell>
        </row>
        <row r="97">
          <cell r="C97">
            <v>14211</v>
          </cell>
          <cell r="D97" t="str">
            <v>GORDO, MA.LEONA TUSCANO</v>
          </cell>
          <cell r="E97" t="str">
            <v>METAL STAMPING</v>
          </cell>
          <cell r="F97" t="str">
            <v>PRODUCTION</v>
          </cell>
          <cell r="G97" t="str">
            <v>Operator</v>
          </cell>
          <cell r="H97" t="str">
            <v>IDL</v>
          </cell>
          <cell r="I97">
            <v>104</v>
          </cell>
          <cell r="J97">
            <v>13</v>
          </cell>
          <cell r="K97">
            <v>600</v>
          </cell>
          <cell r="L97">
            <v>7800</v>
          </cell>
          <cell r="M97">
            <v>0</v>
          </cell>
          <cell r="N97">
            <v>1.25</v>
          </cell>
          <cell r="O97">
            <v>0</v>
          </cell>
          <cell r="P97">
            <v>16</v>
          </cell>
          <cell r="Q97">
            <v>93.75</v>
          </cell>
          <cell r="R97">
            <v>1500</v>
          </cell>
          <cell r="S97">
            <v>0</v>
          </cell>
          <cell r="T97">
            <v>7.5</v>
          </cell>
          <cell r="U97">
            <v>0</v>
          </cell>
          <cell r="V97">
            <v>0</v>
          </cell>
          <cell r="W97">
            <v>9.375</v>
          </cell>
          <cell r="X97">
            <v>0</v>
          </cell>
          <cell r="Y97">
            <v>8</v>
          </cell>
          <cell r="Z97">
            <v>97.5</v>
          </cell>
          <cell r="AA97">
            <v>780</v>
          </cell>
          <cell r="AB97">
            <v>0</v>
          </cell>
          <cell r="AC97">
            <v>126.75</v>
          </cell>
          <cell r="AD97">
            <v>0</v>
          </cell>
          <cell r="AE97">
            <v>0</v>
          </cell>
          <cell r="AF97">
            <v>12.675000000000001</v>
          </cell>
          <cell r="AG97">
            <v>0</v>
          </cell>
          <cell r="AH97">
            <v>0</v>
          </cell>
          <cell r="AI97">
            <v>9.75</v>
          </cell>
          <cell r="AJ97">
            <v>0</v>
          </cell>
          <cell r="AK97">
            <v>0</v>
          </cell>
          <cell r="AL97">
            <v>112.5</v>
          </cell>
          <cell r="AM97">
            <v>0</v>
          </cell>
          <cell r="AN97">
            <v>0</v>
          </cell>
          <cell r="AO97">
            <v>146.25</v>
          </cell>
          <cell r="AP97">
            <v>0</v>
          </cell>
          <cell r="AQ97">
            <v>0</v>
          </cell>
          <cell r="AR97">
            <v>11.25</v>
          </cell>
          <cell r="AS97">
            <v>0</v>
          </cell>
          <cell r="AT97">
            <v>0</v>
          </cell>
          <cell r="AU97">
            <v>97.5</v>
          </cell>
          <cell r="AV97">
            <v>0</v>
          </cell>
          <cell r="AW97">
            <v>0</v>
          </cell>
          <cell r="AX97">
            <v>126.75</v>
          </cell>
          <cell r="AY97">
            <v>0</v>
          </cell>
          <cell r="AZ97">
            <v>0</v>
          </cell>
          <cell r="BA97">
            <v>9.75</v>
          </cell>
          <cell r="BB97">
            <v>0</v>
          </cell>
          <cell r="BC97">
            <v>0</v>
          </cell>
          <cell r="BD97">
            <v>150</v>
          </cell>
          <cell r="BE97">
            <v>0</v>
          </cell>
          <cell r="BF97">
            <v>0</v>
          </cell>
          <cell r="BG97">
            <v>195</v>
          </cell>
          <cell r="BH97">
            <v>0</v>
          </cell>
          <cell r="BI97">
            <v>0</v>
          </cell>
          <cell r="BJ97">
            <v>15</v>
          </cell>
          <cell r="BK97">
            <v>0</v>
          </cell>
          <cell r="BL97">
            <v>8</v>
          </cell>
          <cell r="BM97">
            <v>75</v>
          </cell>
          <cell r="BN97">
            <v>600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10680</v>
          </cell>
        </row>
        <row r="98">
          <cell r="C98">
            <v>14215</v>
          </cell>
          <cell r="D98" t="str">
            <v>GRUTA, CRISTOPHER OCQULA</v>
          </cell>
          <cell r="E98" t="str">
            <v>METAL STAMPING</v>
          </cell>
          <cell r="F98" t="str">
            <v>PRODUCTION</v>
          </cell>
          <cell r="G98" t="str">
            <v>Operator</v>
          </cell>
          <cell r="H98" t="str">
            <v>DL</v>
          </cell>
          <cell r="I98">
            <v>100</v>
          </cell>
          <cell r="J98">
            <v>12.5</v>
          </cell>
          <cell r="K98">
            <v>600</v>
          </cell>
          <cell r="L98">
            <v>7500</v>
          </cell>
          <cell r="M98">
            <v>1</v>
          </cell>
          <cell r="N98">
            <v>1.25</v>
          </cell>
          <cell r="O98">
            <v>-1.25</v>
          </cell>
          <cell r="P98">
            <v>18</v>
          </cell>
          <cell r="Q98">
            <v>93.75</v>
          </cell>
          <cell r="R98">
            <v>1687.5</v>
          </cell>
          <cell r="S98">
            <v>54</v>
          </cell>
          <cell r="T98">
            <v>7.5</v>
          </cell>
          <cell r="U98">
            <v>405</v>
          </cell>
          <cell r="V98">
            <v>16</v>
          </cell>
          <cell r="W98">
            <v>9.375</v>
          </cell>
          <cell r="X98">
            <v>150</v>
          </cell>
          <cell r="Y98">
            <v>0</v>
          </cell>
          <cell r="Z98">
            <v>97.5</v>
          </cell>
          <cell r="AA98">
            <v>0</v>
          </cell>
          <cell r="AB98">
            <v>0</v>
          </cell>
          <cell r="AC98">
            <v>126.75</v>
          </cell>
          <cell r="AD98">
            <v>0</v>
          </cell>
          <cell r="AE98">
            <v>0</v>
          </cell>
          <cell r="AF98">
            <v>12.675000000000001</v>
          </cell>
          <cell r="AG98">
            <v>0</v>
          </cell>
          <cell r="AH98">
            <v>0</v>
          </cell>
          <cell r="AI98">
            <v>9.75</v>
          </cell>
          <cell r="AJ98">
            <v>0</v>
          </cell>
          <cell r="AK98">
            <v>0</v>
          </cell>
          <cell r="AL98">
            <v>112.5</v>
          </cell>
          <cell r="AM98">
            <v>0</v>
          </cell>
          <cell r="AN98">
            <v>0</v>
          </cell>
          <cell r="AO98">
            <v>146.25</v>
          </cell>
          <cell r="AP98">
            <v>0</v>
          </cell>
          <cell r="AQ98">
            <v>0</v>
          </cell>
          <cell r="AR98">
            <v>11.25</v>
          </cell>
          <cell r="AS98">
            <v>0</v>
          </cell>
          <cell r="AT98">
            <v>0</v>
          </cell>
          <cell r="AU98">
            <v>97.5</v>
          </cell>
          <cell r="AV98">
            <v>0</v>
          </cell>
          <cell r="AW98">
            <v>0</v>
          </cell>
          <cell r="AX98">
            <v>126.75</v>
          </cell>
          <cell r="AY98">
            <v>0</v>
          </cell>
          <cell r="AZ98">
            <v>0</v>
          </cell>
          <cell r="BA98">
            <v>9.75</v>
          </cell>
          <cell r="BB98">
            <v>0</v>
          </cell>
          <cell r="BC98">
            <v>0</v>
          </cell>
          <cell r="BD98">
            <v>150</v>
          </cell>
          <cell r="BE98">
            <v>0</v>
          </cell>
          <cell r="BF98">
            <v>0</v>
          </cell>
          <cell r="BG98">
            <v>195</v>
          </cell>
          <cell r="BH98">
            <v>0</v>
          </cell>
          <cell r="BI98">
            <v>0</v>
          </cell>
          <cell r="BJ98">
            <v>15</v>
          </cell>
          <cell r="BK98">
            <v>0</v>
          </cell>
          <cell r="BL98">
            <v>8</v>
          </cell>
          <cell r="BM98">
            <v>75</v>
          </cell>
          <cell r="BN98">
            <v>600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10341.25</v>
          </cell>
        </row>
        <row r="99">
          <cell r="C99">
            <v>32233</v>
          </cell>
          <cell r="D99" t="str">
            <v>HABASA,REYMART DEJETO</v>
          </cell>
          <cell r="E99" t="str">
            <v>METAL STAMPING</v>
          </cell>
          <cell r="F99" t="str">
            <v>PRODUCTION</v>
          </cell>
          <cell r="G99" t="str">
            <v>Operator</v>
          </cell>
          <cell r="H99" t="str">
            <v>IDL</v>
          </cell>
          <cell r="I99">
            <v>96</v>
          </cell>
          <cell r="J99">
            <v>12</v>
          </cell>
          <cell r="K99">
            <v>600</v>
          </cell>
          <cell r="L99">
            <v>7200</v>
          </cell>
          <cell r="M99">
            <v>2</v>
          </cell>
          <cell r="N99">
            <v>1.25</v>
          </cell>
          <cell r="O99">
            <v>-2.5</v>
          </cell>
          <cell r="P99">
            <v>20</v>
          </cell>
          <cell r="Q99">
            <v>93.75</v>
          </cell>
          <cell r="R99">
            <v>1875</v>
          </cell>
          <cell r="S99">
            <v>48</v>
          </cell>
          <cell r="T99">
            <v>7.5</v>
          </cell>
          <cell r="U99">
            <v>360</v>
          </cell>
          <cell r="V99">
            <v>16</v>
          </cell>
          <cell r="W99">
            <v>9.375</v>
          </cell>
          <cell r="X99">
            <v>150</v>
          </cell>
          <cell r="Y99">
            <v>8</v>
          </cell>
          <cell r="Z99">
            <v>97.5</v>
          </cell>
          <cell r="AA99">
            <v>780</v>
          </cell>
          <cell r="AB99">
            <v>0</v>
          </cell>
          <cell r="AC99">
            <v>126.75</v>
          </cell>
          <cell r="AD99">
            <v>0</v>
          </cell>
          <cell r="AE99">
            <v>0</v>
          </cell>
          <cell r="AF99">
            <v>12.675000000000001</v>
          </cell>
          <cell r="AG99">
            <v>0</v>
          </cell>
          <cell r="AH99">
            <v>0</v>
          </cell>
          <cell r="AI99">
            <v>9.75</v>
          </cell>
          <cell r="AJ99">
            <v>0</v>
          </cell>
          <cell r="AK99">
            <v>0</v>
          </cell>
          <cell r="AL99">
            <v>112.5</v>
          </cell>
          <cell r="AM99">
            <v>0</v>
          </cell>
          <cell r="AN99">
            <v>0</v>
          </cell>
          <cell r="AO99">
            <v>146.25</v>
          </cell>
          <cell r="AP99">
            <v>0</v>
          </cell>
          <cell r="AQ99">
            <v>0</v>
          </cell>
          <cell r="AR99">
            <v>11.25</v>
          </cell>
          <cell r="AS99">
            <v>0</v>
          </cell>
          <cell r="AT99">
            <v>0</v>
          </cell>
          <cell r="AU99">
            <v>97.5</v>
          </cell>
          <cell r="AV99">
            <v>0</v>
          </cell>
          <cell r="AW99">
            <v>0</v>
          </cell>
          <cell r="AX99">
            <v>126.75</v>
          </cell>
          <cell r="AY99">
            <v>0</v>
          </cell>
          <cell r="AZ99">
            <v>0</v>
          </cell>
          <cell r="BA99">
            <v>9.75</v>
          </cell>
          <cell r="BB99">
            <v>0</v>
          </cell>
          <cell r="BC99">
            <v>0</v>
          </cell>
          <cell r="BD99">
            <v>150</v>
          </cell>
          <cell r="BE99">
            <v>0</v>
          </cell>
          <cell r="BF99">
            <v>0</v>
          </cell>
          <cell r="BG99">
            <v>195</v>
          </cell>
          <cell r="BH99">
            <v>0</v>
          </cell>
          <cell r="BI99">
            <v>0</v>
          </cell>
          <cell r="BJ99">
            <v>15</v>
          </cell>
          <cell r="BK99">
            <v>0</v>
          </cell>
          <cell r="BL99">
            <v>8</v>
          </cell>
          <cell r="BM99">
            <v>75</v>
          </cell>
          <cell r="BN99">
            <v>600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10962.5</v>
          </cell>
        </row>
        <row r="100">
          <cell r="C100">
            <v>11775</v>
          </cell>
          <cell r="D100" t="str">
            <v>HERRERA, MARCELA BRAMIDAS</v>
          </cell>
          <cell r="E100" t="str">
            <v>METAL STAMPING</v>
          </cell>
          <cell r="F100" t="str">
            <v>PRODUCTION</v>
          </cell>
          <cell r="G100" t="str">
            <v>Operator</v>
          </cell>
          <cell r="H100" t="str">
            <v>DL</v>
          </cell>
          <cell r="I100">
            <v>100</v>
          </cell>
          <cell r="J100">
            <v>12.5</v>
          </cell>
          <cell r="K100">
            <v>600</v>
          </cell>
          <cell r="L100">
            <v>7500</v>
          </cell>
          <cell r="M100">
            <v>0</v>
          </cell>
          <cell r="N100">
            <v>1.25</v>
          </cell>
          <cell r="O100">
            <v>0</v>
          </cell>
          <cell r="P100">
            <v>12</v>
          </cell>
          <cell r="Q100">
            <v>93.75</v>
          </cell>
          <cell r="R100">
            <v>1125</v>
          </cell>
          <cell r="S100">
            <v>0</v>
          </cell>
          <cell r="T100">
            <v>7.5</v>
          </cell>
          <cell r="U100">
            <v>0</v>
          </cell>
          <cell r="V100">
            <v>0</v>
          </cell>
          <cell r="W100">
            <v>9.375</v>
          </cell>
          <cell r="X100">
            <v>0</v>
          </cell>
          <cell r="Y100">
            <v>8</v>
          </cell>
          <cell r="Z100">
            <v>97.5</v>
          </cell>
          <cell r="AA100">
            <v>780</v>
          </cell>
          <cell r="AB100">
            <v>0</v>
          </cell>
          <cell r="AC100">
            <v>126.75</v>
          </cell>
          <cell r="AD100">
            <v>0</v>
          </cell>
          <cell r="AE100">
            <v>0</v>
          </cell>
          <cell r="AF100">
            <v>12.675000000000001</v>
          </cell>
          <cell r="AG100">
            <v>0</v>
          </cell>
          <cell r="AH100">
            <v>0</v>
          </cell>
          <cell r="AI100">
            <v>9.75</v>
          </cell>
          <cell r="AJ100">
            <v>0</v>
          </cell>
          <cell r="AK100">
            <v>0</v>
          </cell>
          <cell r="AL100">
            <v>112.5</v>
          </cell>
          <cell r="AM100">
            <v>0</v>
          </cell>
          <cell r="AN100">
            <v>0</v>
          </cell>
          <cell r="AO100">
            <v>146.25</v>
          </cell>
          <cell r="AP100">
            <v>0</v>
          </cell>
          <cell r="AQ100">
            <v>0</v>
          </cell>
          <cell r="AR100">
            <v>11.25</v>
          </cell>
          <cell r="AS100">
            <v>0</v>
          </cell>
          <cell r="AT100">
            <v>0</v>
          </cell>
          <cell r="AU100">
            <v>97.5</v>
          </cell>
          <cell r="AV100">
            <v>0</v>
          </cell>
          <cell r="AW100">
            <v>0</v>
          </cell>
          <cell r="AX100">
            <v>126.75</v>
          </cell>
          <cell r="AY100">
            <v>0</v>
          </cell>
          <cell r="AZ100">
            <v>0</v>
          </cell>
          <cell r="BA100">
            <v>9.75</v>
          </cell>
          <cell r="BB100">
            <v>0</v>
          </cell>
          <cell r="BC100">
            <v>0</v>
          </cell>
          <cell r="BD100">
            <v>150</v>
          </cell>
          <cell r="BE100">
            <v>0</v>
          </cell>
          <cell r="BF100">
            <v>0</v>
          </cell>
          <cell r="BG100">
            <v>195</v>
          </cell>
          <cell r="BH100">
            <v>0</v>
          </cell>
          <cell r="BI100">
            <v>0</v>
          </cell>
          <cell r="BJ100">
            <v>15</v>
          </cell>
          <cell r="BK100">
            <v>0</v>
          </cell>
          <cell r="BL100">
            <v>8</v>
          </cell>
          <cell r="BM100">
            <v>75</v>
          </cell>
          <cell r="BN100">
            <v>600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10005</v>
          </cell>
        </row>
        <row r="101">
          <cell r="C101">
            <v>11872</v>
          </cell>
          <cell r="D101" t="str">
            <v>HUGO, MA. ELIZABETH LLAGA</v>
          </cell>
          <cell r="E101" t="str">
            <v>METAL STAMPING</v>
          </cell>
          <cell r="F101" t="str">
            <v>PRODUCTION</v>
          </cell>
          <cell r="G101" t="str">
            <v>Operator</v>
          </cell>
          <cell r="H101" t="str">
            <v>DL</v>
          </cell>
          <cell r="I101">
            <v>104</v>
          </cell>
          <cell r="J101">
            <v>13</v>
          </cell>
          <cell r="K101">
            <v>600</v>
          </cell>
          <cell r="L101">
            <v>7800</v>
          </cell>
          <cell r="M101">
            <v>0</v>
          </cell>
          <cell r="N101">
            <v>1.25</v>
          </cell>
          <cell r="O101">
            <v>0</v>
          </cell>
          <cell r="P101">
            <v>18</v>
          </cell>
          <cell r="Q101">
            <v>93.75</v>
          </cell>
          <cell r="R101">
            <v>1687.5</v>
          </cell>
          <cell r="S101">
            <v>0</v>
          </cell>
          <cell r="T101">
            <v>7.5</v>
          </cell>
          <cell r="U101">
            <v>0</v>
          </cell>
          <cell r="V101">
            <v>0</v>
          </cell>
          <cell r="W101">
            <v>9.375</v>
          </cell>
          <cell r="X101">
            <v>0</v>
          </cell>
          <cell r="Y101">
            <v>8</v>
          </cell>
          <cell r="Z101">
            <v>97.5</v>
          </cell>
          <cell r="AA101">
            <v>780</v>
          </cell>
          <cell r="AB101">
            <v>0</v>
          </cell>
          <cell r="AC101">
            <v>126.75</v>
          </cell>
          <cell r="AD101">
            <v>0</v>
          </cell>
          <cell r="AE101">
            <v>0</v>
          </cell>
          <cell r="AF101">
            <v>12.675000000000001</v>
          </cell>
          <cell r="AG101">
            <v>0</v>
          </cell>
          <cell r="AH101">
            <v>0</v>
          </cell>
          <cell r="AI101">
            <v>9.75</v>
          </cell>
          <cell r="AJ101">
            <v>0</v>
          </cell>
          <cell r="AK101">
            <v>0</v>
          </cell>
          <cell r="AL101">
            <v>112.5</v>
          </cell>
          <cell r="AM101">
            <v>0</v>
          </cell>
          <cell r="AN101">
            <v>0</v>
          </cell>
          <cell r="AO101">
            <v>146.25</v>
          </cell>
          <cell r="AP101">
            <v>0</v>
          </cell>
          <cell r="AQ101">
            <v>0</v>
          </cell>
          <cell r="AR101">
            <v>11.25</v>
          </cell>
          <cell r="AS101">
            <v>0</v>
          </cell>
          <cell r="AT101">
            <v>0</v>
          </cell>
          <cell r="AU101">
            <v>97.5</v>
          </cell>
          <cell r="AV101">
            <v>0</v>
          </cell>
          <cell r="AW101">
            <v>0</v>
          </cell>
          <cell r="AX101">
            <v>126.75</v>
          </cell>
          <cell r="AY101">
            <v>0</v>
          </cell>
          <cell r="AZ101">
            <v>0</v>
          </cell>
          <cell r="BA101">
            <v>9.75</v>
          </cell>
          <cell r="BB101">
            <v>0</v>
          </cell>
          <cell r="BC101">
            <v>0</v>
          </cell>
          <cell r="BD101">
            <v>150</v>
          </cell>
          <cell r="BE101">
            <v>0</v>
          </cell>
          <cell r="BF101">
            <v>0</v>
          </cell>
          <cell r="BG101">
            <v>195</v>
          </cell>
          <cell r="BH101">
            <v>0</v>
          </cell>
          <cell r="BI101">
            <v>0</v>
          </cell>
          <cell r="BJ101">
            <v>15</v>
          </cell>
          <cell r="BK101">
            <v>0</v>
          </cell>
          <cell r="BL101">
            <v>8</v>
          </cell>
          <cell r="BM101">
            <v>75</v>
          </cell>
          <cell r="BN101">
            <v>600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10867.5</v>
          </cell>
        </row>
        <row r="102">
          <cell r="C102">
            <v>32501</v>
          </cell>
          <cell r="D102" t="str">
            <v>JAMAEL, SADAM</v>
          </cell>
          <cell r="E102" t="str">
            <v>METAL STAMPING</v>
          </cell>
          <cell r="F102" t="str">
            <v>PRODUCTION</v>
          </cell>
          <cell r="G102" t="str">
            <v>Operator</v>
          </cell>
          <cell r="H102" t="str">
            <v>DL</v>
          </cell>
          <cell r="I102">
            <v>0</v>
          </cell>
          <cell r="J102">
            <v>0</v>
          </cell>
          <cell r="K102">
            <v>600</v>
          </cell>
          <cell r="L102">
            <v>0</v>
          </cell>
          <cell r="M102">
            <v>0</v>
          </cell>
          <cell r="N102">
            <v>1.25</v>
          </cell>
          <cell r="O102">
            <v>0</v>
          </cell>
          <cell r="P102">
            <v>0</v>
          </cell>
          <cell r="Q102">
            <v>93.75</v>
          </cell>
          <cell r="R102">
            <v>0</v>
          </cell>
          <cell r="S102">
            <v>0</v>
          </cell>
          <cell r="T102">
            <v>7.5</v>
          </cell>
          <cell r="U102">
            <v>0</v>
          </cell>
          <cell r="V102">
            <v>0</v>
          </cell>
          <cell r="W102">
            <v>9.375</v>
          </cell>
          <cell r="X102">
            <v>0</v>
          </cell>
          <cell r="Y102">
            <v>0</v>
          </cell>
          <cell r="Z102">
            <v>97.5</v>
          </cell>
          <cell r="AA102">
            <v>0</v>
          </cell>
          <cell r="AB102">
            <v>0</v>
          </cell>
          <cell r="AC102">
            <v>126.75</v>
          </cell>
          <cell r="AD102">
            <v>0</v>
          </cell>
          <cell r="AE102">
            <v>0</v>
          </cell>
          <cell r="AF102">
            <v>12.675000000000001</v>
          </cell>
          <cell r="AG102">
            <v>0</v>
          </cell>
          <cell r="AH102">
            <v>0</v>
          </cell>
          <cell r="AI102">
            <v>9.75</v>
          </cell>
          <cell r="AJ102">
            <v>0</v>
          </cell>
          <cell r="AK102">
            <v>0</v>
          </cell>
          <cell r="AL102">
            <v>112.5</v>
          </cell>
          <cell r="AM102">
            <v>0</v>
          </cell>
          <cell r="AN102">
            <v>0</v>
          </cell>
          <cell r="AO102">
            <v>146.25</v>
          </cell>
          <cell r="AP102">
            <v>0</v>
          </cell>
          <cell r="AQ102">
            <v>0</v>
          </cell>
          <cell r="AR102">
            <v>11.25</v>
          </cell>
          <cell r="AS102">
            <v>0</v>
          </cell>
          <cell r="AT102">
            <v>0</v>
          </cell>
          <cell r="AU102">
            <v>97.5</v>
          </cell>
          <cell r="AV102">
            <v>0</v>
          </cell>
          <cell r="AW102">
            <v>0</v>
          </cell>
          <cell r="AX102">
            <v>126.75</v>
          </cell>
          <cell r="AY102">
            <v>0</v>
          </cell>
          <cell r="AZ102">
            <v>0</v>
          </cell>
          <cell r="BA102">
            <v>9.75</v>
          </cell>
          <cell r="BB102">
            <v>0</v>
          </cell>
          <cell r="BC102">
            <v>0</v>
          </cell>
          <cell r="BD102">
            <v>150</v>
          </cell>
          <cell r="BE102">
            <v>0</v>
          </cell>
          <cell r="BF102">
            <v>0</v>
          </cell>
          <cell r="BG102">
            <v>195</v>
          </cell>
          <cell r="BH102">
            <v>0</v>
          </cell>
          <cell r="BI102">
            <v>0</v>
          </cell>
          <cell r="BJ102">
            <v>15</v>
          </cell>
          <cell r="BK102">
            <v>0</v>
          </cell>
          <cell r="BL102">
            <v>0</v>
          </cell>
          <cell r="BM102">
            <v>75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</row>
        <row r="103">
          <cell r="C103">
            <v>13376</v>
          </cell>
          <cell r="D103" t="str">
            <v>JARIÑO, JOMAR GAMAO</v>
          </cell>
          <cell r="E103" t="str">
            <v>METAL STAMPING</v>
          </cell>
          <cell r="F103" t="str">
            <v>PRODUCTION</v>
          </cell>
          <cell r="G103" t="str">
            <v>Operator</v>
          </cell>
          <cell r="H103" t="str">
            <v>DL</v>
          </cell>
          <cell r="I103">
            <v>104</v>
          </cell>
          <cell r="J103">
            <v>13</v>
          </cell>
          <cell r="K103">
            <v>600</v>
          </cell>
          <cell r="L103">
            <v>7800</v>
          </cell>
          <cell r="M103">
            <v>0</v>
          </cell>
          <cell r="N103">
            <v>1.25</v>
          </cell>
          <cell r="O103">
            <v>0</v>
          </cell>
          <cell r="P103">
            <v>18</v>
          </cell>
          <cell r="Q103">
            <v>93.75</v>
          </cell>
          <cell r="R103">
            <v>1687.5</v>
          </cell>
          <cell r="S103">
            <v>54</v>
          </cell>
          <cell r="T103">
            <v>7.5</v>
          </cell>
          <cell r="U103">
            <v>405</v>
          </cell>
          <cell r="V103">
            <v>14</v>
          </cell>
          <cell r="W103">
            <v>9.375</v>
          </cell>
          <cell r="X103">
            <v>131.25</v>
          </cell>
          <cell r="Y103">
            <v>8</v>
          </cell>
          <cell r="Z103">
            <v>97.5</v>
          </cell>
          <cell r="AA103">
            <v>780</v>
          </cell>
          <cell r="AB103">
            <v>0</v>
          </cell>
          <cell r="AC103">
            <v>126.75</v>
          </cell>
          <cell r="AD103">
            <v>0</v>
          </cell>
          <cell r="AE103">
            <v>0</v>
          </cell>
          <cell r="AF103">
            <v>12.675000000000001</v>
          </cell>
          <cell r="AG103">
            <v>0</v>
          </cell>
          <cell r="AH103">
            <v>0</v>
          </cell>
          <cell r="AI103">
            <v>9.75</v>
          </cell>
          <cell r="AJ103">
            <v>0</v>
          </cell>
          <cell r="AK103">
            <v>0</v>
          </cell>
          <cell r="AL103">
            <v>112.5</v>
          </cell>
          <cell r="AM103">
            <v>0</v>
          </cell>
          <cell r="AN103">
            <v>0</v>
          </cell>
          <cell r="AO103">
            <v>146.25</v>
          </cell>
          <cell r="AP103">
            <v>0</v>
          </cell>
          <cell r="AQ103">
            <v>0</v>
          </cell>
          <cell r="AR103">
            <v>11.25</v>
          </cell>
          <cell r="AS103">
            <v>0</v>
          </cell>
          <cell r="AT103">
            <v>0</v>
          </cell>
          <cell r="AU103">
            <v>97.5</v>
          </cell>
          <cell r="AV103">
            <v>0</v>
          </cell>
          <cell r="AW103">
            <v>0</v>
          </cell>
          <cell r="AX103">
            <v>126.75</v>
          </cell>
          <cell r="AY103">
            <v>0</v>
          </cell>
          <cell r="AZ103">
            <v>0</v>
          </cell>
          <cell r="BA103">
            <v>9.75</v>
          </cell>
          <cell r="BB103">
            <v>0</v>
          </cell>
          <cell r="BC103">
            <v>0</v>
          </cell>
          <cell r="BD103">
            <v>150</v>
          </cell>
          <cell r="BE103">
            <v>0</v>
          </cell>
          <cell r="BF103">
            <v>0</v>
          </cell>
          <cell r="BG103">
            <v>195</v>
          </cell>
          <cell r="BH103">
            <v>0</v>
          </cell>
          <cell r="BI103">
            <v>0</v>
          </cell>
          <cell r="BJ103">
            <v>15</v>
          </cell>
          <cell r="BK103">
            <v>0</v>
          </cell>
          <cell r="BL103">
            <v>8</v>
          </cell>
          <cell r="BM103">
            <v>75</v>
          </cell>
          <cell r="BN103">
            <v>600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11403.75</v>
          </cell>
        </row>
        <row r="104">
          <cell r="C104">
            <v>6317</v>
          </cell>
          <cell r="D104" t="str">
            <v>JAWAY, JOSHUA SANGALANG</v>
          </cell>
          <cell r="E104" t="str">
            <v>METAL STAMPING</v>
          </cell>
          <cell r="F104" t="str">
            <v>PRODUCTION</v>
          </cell>
          <cell r="G104" t="str">
            <v>Operator</v>
          </cell>
          <cell r="H104" t="str">
            <v>DL</v>
          </cell>
          <cell r="I104">
            <v>104</v>
          </cell>
          <cell r="J104">
            <v>13</v>
          </cell>
          <cell r="K104">
            <v>600</v>
          </cell>
          <cell r="L104">
            <v>7800</v>
          </cell>
          <cell r="M104">
            <v>0</v>
          </cell>
          <cell r="N104">
            <v>1.25</v>
          </cell>
          <cell r="O104">
            <v>0</v>
          </cell>
          <cell r="P104">
            <v>21</v>
          </cell>
          <cell r="Q104">
            <v>93.75</v>
          </cell>
          <cell r="R104">
            <v>1968.75</v>
          </cell>
          <cell r="S104">
            <v>24</v>
          </cell>
          <cell r="T104">
            <v>7.5</v>
          </cell>
          <cell r="U104">
            <v>180</v>
          </cell>
          <cell r="V104">
            <v>6</v>
          </cell>
          <cell r="W104">
            <v>9.375</v>
          </cell>
          <cell r="X104">
            <v>56.25</v>
          </cell>
          <cell r="Y104">
            <v>0</v>
          </cell>
          <cell r="Z104">
            <v>97.5</v>
          </cell>
          <cell r="AA104">
            <v>0</v>
          </cell>
          <cell r="AB104">
            <v>0</v>
          </cell>
          <cell r="AC104">
            <v>126.75</v>
          </cell>
          <cell r="AD104">
            <v>0</v>
          </cell>
          <cell r="AE104">
            <v>0</v>
          </cell>
          <cell r="AF104">
            <v>12.675000000000001</v>
          </cell>
          <cell r="AG104">
            <v>0</v>
          </cell>
          <cell r="AH104">
            <v>0</v>
          </cell>
          <cell r="AI104">
            <v>9.75</v>
          </cell>
          <cell r="AJ104">
            <v>0</v>
          </cell>
          <cell r="AK104">
            <v>0</v>
          </cell>
          <cell r="AL104">
            <v>112.5</v>
          </cell>
          <cell r="AM104">
            <v>0</v>
          </cell>
          <cell r="AN104">
            <v>0</v>
          </cell>
          <cell r="AO104">
            <v>146.25</v>
          </cell>
          <cell r="AP104">
            <v>0</v>
          </cell>
          <cell r="AQ104">
            <v>0</v>
          </cell>
          <cell r="AR104">
            <v>11.25</v>
          </cell>
          <cell r="AS104">
            <v>0</v>
          </cell>
          <cell r="AT104">
            <v>0</v>
          </cell>
          <cell r="AU104">
            <v>97.5</v>
          </cell>
          <cell r="AV104">
            <v>0</v>
          </cell>
          <cell r="AW104">
            <v>0</v>
          </cell>
          <cell r="AX104">
            <v>126.75</v>
          </cell>
          <cell r="AY104">
            <v>0</v>
          </cell>
          <cell r="AZ104">
            <v>0</v>
          </cell>
          <cell r="BA104">
            <v>9.75</v>
          </cell>
          <cell r="BB104">
            <v>0</v>
          </cell>
          <cell r="BC104">
            <v>0</v>
          </cell>
          <cell r="BD104">
            <v>150</v>
          </cell>
          <cell r="BE104">
            <v>0</v>
          </cell>
          <cell r="BF104">
            <v>0</v>
          </cell>
          <cell r="BG104">
            <v>195</v>
          </cell>
          <cell r="BH104">
            <v>0</v>
          </cell>
          <cell r="BI104">
            <v>0</v>
          </cell>
          <cell r="BJ104">
            <v>15</v>
          </cell>
          <cell r="BK104">
            <v>0</v>
          </cell>
          <cell r="BL104">
            <v>8</v>
          </cell>
          <cell r="BM104">
            <v>75</v>
          </cell>
          <cell r="BN104">
            <v>600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10605</v>
          </cell>
        </row>
        <row r="105">
          <cell r="C105">
            <v>14233</v>
          </cell>
          <cell r="D105" t="str">
            <v>JAZMIN, GERALYN BERMAS</v>
          </cell>
          <cell r="E105" t="str">
            <v>METAL STAMPING</v>
          </cell>
          <cell r="F105" t="str">
            <v>PRODUCTION</v>
          </cell>
          <cell r="G105" t="str">
            <v>Operator</v>
          </cell>
          <cell r="H105" t="str">
            <v>DL</v>
          </cell>
          <cell r="I105">
            <v>80</v>
          </cell>
          <cell r="J105">
            <v>10</v>
          </cell>
          <cell r="K105">
            <v>600</v>
          </cell>
          <cell r="L105">
            <v>6000</v>
          </cell>
          <cell r="M105">
            <v>0</v>
          </cell>
          <cell r="N105">
            <v>1.25</v>
          </cell>
          <cell r="O105">
            <v>0</v>
          </cell>
          <cell r="P105">
            <v>14</v>
          </cell>
          <cell r="Q105">
            <v>93.75</v>
          </cell>
          <cell r="R105">
            <v>1312.5</v>
          </cell>
          <cell r="S105">
            <v>48</v>
          </cell>
          <cell r="T105">
            <v>7.5</v>
          </cell>
          <cell r="U105">
            <v>360</v>
          </cell>
          <cell r="V105">
            <v>14</v>
          </cell>
          <cell r="W105">
            <v>9.375</v>
          </cell>
          <cell r="X105">
            <v>131.25</v>
          </cell>
          <cell r="Y105">
            <v>0</v>
          </cell>
          <cell r="Z105">
            <v>97.5</v>
          </cell>
          <cell r="AA105">
            <v>0</v>
          </cell>
          <cell r="AB105">
            <v>0</v>
          </cell>
          <cell r="AC105">
            <v>126.75</v>
          </cell>
          <cell r="AD105">
            <v>0</v>
          </cell>
          <cell r="AE105">
            <v>0</v>
          </cell>
          <cell r="AF105">
            <v>12.675000000000001</v>
          </cell>
          <cell r="AG105">
            <v>0</v>
          </cell>
          <cell r="AH105">
            <v>0</v>
          </cell>
          <cell r="AI105">
            <v>9.75</v>
          </cell>
          <cell r="AJ105">
            <v>0</v>
          </cell>
          <cell r="AK105">
            <v>0</v>
          </cell>
          <cell r="AL105">
            <v>112.5</v>
          </cell>
          <cell r="AM105">
            <v>0</v>
          </cell>
          <cell r="AN105">
            <v>0</v>
          </cell>
          <cell r="AO105">
            <v>146.25</v>
          </cell>
          <cell r="AP105">
            <v>0</v>
          </cell>
          <cell r="AQ105">
            <v>0</v>
          </cell>
          <cell r="AR105">
            <v>11.25</v>
          </cell>
          <cell r="AS105">
            <v>0</v>
          </cell>
          <cell r="AT105">
            <v>0</v>
          </cell>
          <cell r="AU105">
            <v>97.5</v>
          </cell>
          <cell r="AV105">
            <v>0</v>
          </cell>
          <cell r="AW105">
            <v>0</v>
          </cell>
          <cell r="AX105">
            <v>126.75</v>
          </cell>
          <cell r="AY105">
            <v>0</v>
          </cell>
          <cell r="AZ105">
            <v>0</v>
          </cell>
          <cell r="BA105">
            <v>9.75</v>
          </cell>
          <cell r="BB105">
            <v>0</v>
          </cell>
          <cell r="BC105">
            <v>0</v>
          </cell>
          <cell r="BD105">
            <v>150</v>
          </cell>
          <cell r="BE105">
            <v>0</v>
          </cell>
          <cell r="BF105">
            <v>0</v>
          </cell>
          <cell r="BG105">
            <v>195</v>
          </cell>
          <cell r="BH105">
            <v>0</v>
          </cell>
          <cell r="BI105">
            <v>0</v>
          </cell>
          <cell r="BJ105">
            <v>15</v>
          </cell>
          <cell r="BK105">
            <v>0</v>
          </cell>
          <cell r="BL105">
            <v>8</v>
          </cell>
          <cell r="BM105">
            <v>75</v>
          </cell>
          <cell r="BN105">
            <v>600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8403.75</v>
          </cell>
        </row>
        <row r="106">
          <cell r="C106">
            <v>32393</v>
          </cell>
          <cell r="D106" t="str">
            <v>JIMENEZ,JAYSON MAGNATA</v>
          </cell>
          <cell r="E106" t="str">
            <v>METAL STAMPING</v>
          </cell>
          <cell r="F106" t="str">
            <v>PRODUCTION</v>
          </cell>
          <cell r="G106" t="str">
            <v>Operator</v>
          </cell>
          <cell r="H106" t="str">
            <v>IDL</v>
          </cell>
          <cell r="I106">
            <v>88</v>
          </cell>
          <cell r="J106">
            <v>11</v>
          </cell>
          <cell r="K106">
            <v>600</v>
          </cell>
          <cell r="L106">
            <v>6600</v>
          </cell>
          <cell r="M106">
            <v>0</v>
          </cell>
          <cell r="N106">
            <v>1.25</v>
          </cell>
          <cell r="O106">
            <v>0</v>
          </cell>
          <cell r="P106">
            <v>16</v>
          </cell>
          <cell r="Q106">
            <v>93.75</v>
          </cell>
          <cell r="R106">
            <v>1500</v>
          </cell>
          <cell r="S106">
            <v>0</v>
          </cell>
          <cell r="T106">
            <v>7.5</v>
          </cell>
          <cell r="U106">
            <v>0</v>
          </cell>
          <cell r="V106">
            <v>0</v>
          </cell>
          <cell r="W106">
            <v>9.375</v>
          </cell>
          <cell r="X106">
            <v>0</v>
          </cell>
          <cell r="Y106">
            <v>0</v>
          </cell>
          <cell r="Z106">
            <v>97.5</v>
          </cell>
          <cell r="AA106">
            <v>0</v>
          </cell>
          <cell r="AB106">
            <v>0</v>
          </cell>
          <cell r="AC106">
            <v>126.75</v>
          </cell>
          <cell r="AD106">
            <v>0</v>
          </cell>
          <cell r="AE106">
            <v>0</v>
          </cell>
          <cell r="AF106">
            <v>12.675000000000001</v>
          </cell>
          <cell r="AG106">
            <v>0</v>
          </cell>
          <cell r="AH106">
            <v>0</v>
          </cell>
          <cell r="AI106">
            <v>9.75</v>
          </cell>
          <cell r="AJ106">
            <v>0</v>
          </cell>
          <cell r="AK106">
            <v>0</v>
          </cell>
          <cell r="AL106">
            <v>112.5</v>
          </cell>
          <cell r="AM106">
            <v>0</v>
          </cell>
          <cell r="AN106">
            <v>0</v>
          </cell>
          <cell r="AO106">
            <v>146.25</v>
          </cell>
          <cell r="AP106">
            <v>0</v>
          </cell>
          <cell r="AQ106">
            <v>0</v>
          </cell>
          <cell r="AR106">
            <v>11.25</v>
          </cell>
          <cell r="AS106">
            <v>0</v>
          </cell>
          <cell r="AT106">
            <v>0</v>
          </cell>
          <cell r="AU106">
            <v>97.5</v>
          </cell>
          <cell r="AV106">
            <v>0</v>
          </cell>
          <cell r="AW106">
            <v>0</v>
          </cell>
          <cell r="AX106">
            <v>126.75</v>
          </cell>
          <cell r="AY106">
            <v>0</v>
          </cell>
          <cell r="AZ106">
            <v>0</v>
          </cell>
          <cell r="BA106">
            <v>9.75</v>
          </cell>
          <cell r="BB106">
            <v>0</v>
          </cell>
          <cell r="BC106">
            <v>0</v>
          </cell>
          <cell r="BD106">
            <v>150</v>
          </cell>
          <cell r="BE106">
            <v>0</v>
          </cell>
          <cell r="BF106">
            <v>0</v>
          </cell>
          <cell r="BG106">
            <v>195</v>
          </cell>
          <cell r="BH106">
            <v>0</v>
          </cell>
          <cell r="BI106">
            <v>0</v>
          </cell>
          <cell r="BJ106">
            <v>15</v>
          </cell>
          <cell r="BK106">
            <v>0</v>
          </cell>
          <cell r="BL106">
            <v>8</v>
          </cell>
          <cell r="BM106">
            <v>75</v>
          </cell>
          <cell r="BN106">
            <v>600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8700</v>
          </cell>
        </row>
        <row r="107">
          <cell r="C107">
            <v>32600</v>
          </cell>
          <cell r="D107" t="str">
            <v xml:space="preserve">JOBEN, CHRISTIAN </v>
          </cell>
          <cell r="E107" t="str">
            <v>METAL STAMPING</v>
          </cell>
          <cell r="F107" t="str">
            <v>PRODUCTION</v>
          </cell>
          <cell r="G107" t="str">
            <v>Operator</v>
          </cell>
          <cell r="H107" t="str">
            <v>DL</v>
          </cell>
          <cell r="I107">
            <v>40</v>
          </cell>
          <cell r="J107">
            <v>5</v>
          </cell>
          <cell r="K107">
            <v>600</v>
          </cell>
          <cell r="L107">
            <v>3000</v>
          </cell>
          <cell r="M107">
            <v>0</v>
          </cell>
          <cell r="N107">
            <v>1.25</v>
          </cell>
          <cell r="O107">
            <v>0</v>
          </cell>
          <cell r="P107">
            <v>6</v>
          </cell>
          <cell r="Q107">
            <v>93.75</v>
          </cell>
          <cell r="R107">
            <v>562.5</v>
          </cell>
          <cell r="S107">
            <v>12</v>
          </cell>
          <cell r="T107">
            <v>7.5</v>
          </cell>
          <cell r="U107">
            <v>90</v>
          </cell>
          <cell r="V107">
            <v>2</v>
          </cell>
          <cell r="W107">
            <v>9.375</v>
          </cell>
          <cell r="X107">
            <v>18.75</v>
          </cell>
          <cell r="Y107">
            <v>0</v>
          </cell>
          <cell r="Z107">
            <v>97.5</v>
          </cell>
          <cell r="AA107">
            <v>0</v>
          </cell>
          <cell r="AB107">
            <v>0</v>
          </cell>
          <cell r="AC107">
            <v>126.75</v>
          </cell>
          <cell r="AD107">
            <v>0</v>
          </cell>
          <cell r="AE107">
            <v>0</v>
          </cell>
          <cell r="AF107">
            <v>12.675000000000001</v>
          </cell>
          <cell r="AG107">
            <v>0</v>
          </cell>
          <cell r="AH107">
            <v>0</v>
          </cell>
          <cell r="AI107">
            <v>9.75</v>
          </cell>
          <cell r="AJ107">
            <v>0</v>
          </cell>
          <cell r="AK107">
            <v>0</v>
          </cell>
          <cell r="AL107">
            <v>112.5</v>
          </cell>
          <cell r="AM107">
            <v>0</v>
          </cell>
          <cell r="AN107">
            <v>0</v>
          </cell>
          <cell r="AO107">
            <v>146.25</v>
          </cell>
          <cell r="AP107">
            <v>0</v>
          </cell>
          <cell r="AQ107">
            <v>0</v>
          </cell>
          <cell r="AR107">
            <v>11.25</v>
          </cell>
          <cell r="AS107">
            <v>0</v>
          </cell>
          <cell r="AT107">
            <v>0</v>
          </cell>
          <cell r="AU107">
            <v>97.5</v>
          </cell>
          <cell r="AV107">
            <v>0</v>
          </cell>
          <cell r="AW107">
            <v>0</v>
          </cell>
          <cell r="AX107">
            <v>126.75</v>
          </cell>
          <cell r="AY107">
            <v>0</v>
          </cell>
          <cell r="AZ107">
            <v>0</v>
          </cell>
          <cell r="BA107">
            <v>9.75</v>
          </cell>
          <cell r="BB107">
            <v>0</v>
          </cell>
          <cell r="BC107">
            <v>0</v>
          </cell>
          <cell r="BD107">
            <v>150</v>
          </cell>
          <cell r="BE107">
            <v>0</v>
          </cell>
          <cell r="BF107">
            <v>0</v>
          </cell>
          <cell r="BG107">
            <v>195</v>
          </cell>
          <cell r="BH107">
            <v>0</v>
          </cell>
          <cell r="BI107">
            <v>0</v>
          </cell>
          <cell r="BJ107">
            <v>15</v>
          </cell>
          <cell r="BK107">
            <v>0</v>
          </cell>
          <cell r="BL107">
            <v>8</v>
          </cell>
          <cell r="BM107">
            <v>75</v>
          </cell>
          <cell r="BN107">
            <v>600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4271.25</v>
          </cell>
        </row>
        <row r="108">
          <cell r="C108">
            <v>11842</v>
          </cell>
          <cell r="D108" t="str">
            <v>JUNIO, JENESSA MIRAS</v>
          </cell>
          <cell r="E108" t="str">
            <v>METAL STAMPING</v>
          </cell>
          <cell r="F108" t="str">
            <v>PRODUCTION</v>
          </cell>
          <cell r="G108" t="str">
            <v>Operator</v>
          </cell>
          <cell r="H108" t="str">
            <v>DL</v>
          </cell>
          <cell r="I108">
            <v>104</v>
          </cell>
          <cell r="J108">
            <v>13</v>
          </cell>
          <cell r="K108">
            <v>600</v>
          </cell>
          <cell r="L108">
            <v>7800</v>
          </cell>
          <cell r="M108">
            <v>0</v>
          </cell>
          <cell r="N108">
            <v>1.25</v>
          </cell>
          <cell r="O108">
            <v>0</v>
          </cell>
          <cell r="P108">
            <v>16</v>
          </cell>
          <cell r="Q108">
            <v>93.75</v>
          </cell>
          <cell r="R108">
            <v>1500</v>
          </cell>
          <cell r="S108">
            <v>0</v>
          </cell>
          <cell r="T108">
            <v>7.5</v>
          </cell>
          <cell r="U108">
            <v>0</v>
          </cell>
          <cell r="V108">
            <v>0</v>
          </cell>
          <cell r="W108">
            <v>9.375</v>
          </cell>
          <cell r="X108">
            <v>0</v>
          </cell>
          <cell r="Y108">
            <v>8</v>
          </cell>
          <cell r="Z108">
            <v>97.5</v>
          </cell>
          <cell r="AA108">
            <v>780</v>
          </cell>
          <cell r="AB108">
            <v>0</v>
          </cell>
          <cell r="AC108">
            <v>126.75</v>
          </cell>
          <cell r="AD108">
            <v>0</v>
          </cell>
          <cell r="AE108">
            <v>0</v>
          </cell>
          <cell r="AF108">
            <v>12.675000000000001</v>
          </cell>
          <cell r="AG108">
            <v>0</v>
          </cell>
          <cell r="AH108">
            <v>0</v>
          </cell>
          <cell r="AI108">
            <v>9.75</v>
          </cell>
          <cell r="AJ108">
            <v>0</v>
          </cell>
          <cell r="AK108">
            <v>0</v>
          </cell>
          <cell r="AL108">
            <v>112.5</v>
          </cell>
          <cell r="AM108">
            <v>0</v>
          </cell>
          <cell r="AN108">
            <v>0</v>
          </cell>
          <cell r="AO108">
            <v>146.25</v>
          </cell>
          <cell r="AP108">
            <v>0</v>
          </cell>
          <cell r="AQ108">
            <v>0</v>
          </cell>
          <cell r="AR108">
            <v>11.25</v>
          </cell>
          <cell r="AS108">
            <v>0</v>
          </cell>
          <cell r="AT108">
            <v>0</v>
          </cell>
          <cell r="AU108">
            <v>97.5</v>
          </cell>
          <cell r="AV108">
            <v>0</v>
          </cell>
          <cell r="AW108">
            <v>0</v>
          </cell>
          <cell r="AX108">
            <v>126.75</v>
          </cell>
          <cell r="AY108">
            <v>0</v>
          </cell>
          <cell r="AZ108">
            <v>0</v>
          </cell>
          <cell r="BA108">
            <v>9.75</v>
          </cell>
          <cell r="BB108">
            <v>0</v>
          </cell>
          <cell r="BC108">
            <v>0</v>
          </cell>
          <cell r="BD108">
            <v>150</v>
          </cell>
          <cell r="BE108">
            <v>0</v>
          </cell>
          <cell r="BF108">
            <v>0</v>
          </cell>
          <cell r="BG108">
            <v>195</v>
          </cell>
          <cell r="BH108">
            <v>0</v>
          </cell>
          <cell r="BI108">
            <v>0</v>
          </cell>
          <cell r="BJ108">
            <v>15</v>
          </cell>
          <cell r="BK108">
            <v>0</v>
          </cell>
          <cell r="BL108">
            <v>8</v>
          </cell>
          <cell r="BM108">
            <v>75</v>
          </cell>
          <cell r="BN108">
            <v>600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10680</v>
          </cell>
        </row>
        <row r="109">
          <cell r="C109">
            <v>32231</v>
          </cell>
          <cell r="D109" t="str">
            <v>LANCETA,ARNOLD BRUCE</v>
          </cell>
          <cell r="E109" t="str">
            <v>METAL STAMPING</v>
          </cell>
          <cell r="F109" t="str">
            <v>PRODUCTION</v>
          </cell>
          <cell r="G109" t="str">
            <v>Operator</v>
          </cell>
          <cell r="H109" t="str">
            <v>DL</v>
          </cell>
          <cell r="I109">
            <v>64</v>
          </cell>
          <cell r="J109">
            <v>8</v>
          </cell>
          <cell r="K109">
            <v>600</v>
          </cell>
          <cell r="L109">
            <v>4800</v>
          </cell>
          <cell r="M109">
            <v>0</v>
          </cell>
          <cell r="N109">
            <v>1.25</v>
          </cell>
          <cell r="O109">
            <v>0</v>
          </cell>
          <cell r="P109">
            <v>10</v>
          </cell>
          <cell r="Q109">
            <v>93.75</v>
          </cell>
          <cell r="R109">
            <v>937.5</v>
          </cell>
          <cell r="S109">
            <v>24</v>
          </cell>
          <cell r="T109">
            <v>7.5</v>
          </cell>
          <cell r="U109">
            <v>180</v>
          </cell>
          <cell r="V109">
            <v>6</v>
          </cell>
          <cell r="W109">
            <v>9.375</v>
          </cell>
          <cell r="X109">
            <v>56.25</v>
          </cell>
          <cell r="Y109">
            <v>8</v>
          </cell>
          <cell r="Z109">
            <v>97.5</v>
          </cell>
          <cell r="AA109">
            <v>780</v>
          </cell>
          <cell r="AB109">
            <v>0</v>
          </cell>
          <cell r="AC109">
            <v>126.75</v>
          </cell>
          <cell r="AD109">
            <v>0</v>
          </cell>
          <cell r="AE109">
            <v>0</v>
          </cell>
          <cell r="AF109">
            <v>12.675000000000001</v>
          </cell>
          <cell r="AG109">
            <v>0</v>
          </cell>
          <cell r="AH109">
            <v>0</v>
          </cell>
          <cell r="AI109">
            <v>9.75</v>
          </cell>
          <cell r="AJ109">
            <v>0</v>
          </cell>
          <cell r="AK109">
            <v>0</v>
          </cell>
          <cell r="AL109">
            <v>112.5</v>
          </cell>
          <cell r="AM109">
            <v>0</v>
          </cell>
          <cell r="AN109">
            <v>0</v>
          </cell>
          <cell r="AO109">
            <v>146.25</v>
          </cell>
          <cell r="AP109">
            <v>0</v>
          </cell>
          <cell r="AQ109">
            <v>0</v>
          </cell>
          <cell r="AR109">
            <v>11.25</v>
          </cell>
          <cell r="AS109">
            <v>0</v>
          </cell>
          <cell r="AT109">
            <v>0</v>
          </cell>
          <cell r="AU109">
            <v>97.5</v>
          </cell>
          <cell r="AV109">
            <v>0</v>
          </cell>
          <cell r="AW109">
            <v>0</v>
          </cell>
          <cell r="AX109">
            <v>126.75</v>
          </cell>
          <cell r="AY109">
            <v>0</v>
          </cell>
          <cell r="AZ109">
            <v>0</v>
          </cell>
          <cell r="BA109">
            <v>9.75</v>
          </cell>
          <cell r="BB109">
            <v>0</v>
          </cell>
          <cell r="BC109">
            <v>0</v>
          </cell>
          <cell r="BD109">
            <v>150</v>
          </cell>
          <cell r="BE109">
            <v>0</v>
          </cell>
          <cell r="BF109">
            <v>0</v>
          </cell>
          <cell r="BG109">
            <v>195</v>
          </cell>
          <cell r="BH109">
            <v>0</v>
          </cell>
          <cell r="BI109">
            <v>0</v>
          </cell>
          <cell r="BJ109">
            <v>15</v>
          </cell>
          <cell r="BK109">
            <v>0</v>
          </cell>
          <cell r="BL109">
            <v>8</v>
          </cell>
          <cell r="BM109">
            <v>75</v>
          </cell>
          <cell r="BN109">
            <v>600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7353.75</v>
          </cell>
        </row>
        <row r="110">
          <cell r="C110">
            <v>12164</v>
          </cell>
          <cell r="D110" t="str">
            <v>LANZADERAS, CRISANTO VILLAGRACIA</v>
          </cell>
          <cell r="E110" t="str">
            <v>METAL STAMPING</v>
          </cell>
          <cell r="F110" t="str">
            <v>PRODUCTION</v>
          </cell>
          <cell r="G110" t="str">
            <v>Operator</v>
          </cell>
          <cell r="H110" t="str">
            <v>DL</v>
          </cell>
          <cell r="I110">
            <v>104</v>
          </cell>
          <cell r="J110">
            <v>13</v>
          </cell>
          <cell r="K110">
            <v>600</v>
          </cell>
          <cell r="L110">
            <v>7800</v>
          </cell>
          <cell r="M110">
            <v>0</v>
          </cell>
          <cell r="N110">
            <v>1.25</v>
          </cell>
          <cell r="O110">
            <v>0</v>
          </cell>
          <cell r="P110">
            <v>22</v>
          </cell>
          <cell r="Q110">
            <v>93.75</v>
          </cell>
          <cell r="R110">
            <v>2062.5</v>
          </cell>
          <cell r="S110">
            <v>54</v>
          </cell>
          <cell r="T110">
            <v>7.5</v>
          </cell>
          <cell r="U110">
            <v>405</v>
          </cell>
          <cell r="V110">
            <v>16</v>
          </cell>
          <cell r="W110">
            <v>9.375</v>
          </cell>
          <cell r="X110">
            <v>150</v>
          </cell>
          <cell r="Y110">
            <v>8</v>
          </cell>
          <cell r="Z110">
            <v>97.5</v>
          </cell>
          <cell r="AA110">
            <v>780</v>
          </cell>
          <cell r="AB110">
            <v>0</v>
          </cell>
          <cell r="AC110">
            <v>126.75</v>
          </cell>
          <cell r="AD110">
            <v>0</v>
          </cell>
          <cell r="AE110">
            <v>0</v>
          </cell>
          <cell r="AF110">
            <v>12.675000000000001</v>
          </cell>
          <cell r="AG110">
            <v>0</v>
          </cell>
          <cell r="AH110">
            <v>0</v>
          </cell>
          <cell r="AI110">
            <v>9.75</v>
          </cell>
          <cell r="AJ110">
            <v>0</v>
          </cell>
          <cell r="AK110">
            <v>0</v>
          </cell>
          <cell r="AL110">
            <v>112.5</v>
          </cell>
          <cell r="AM110">
            <v>0</v>
          </cell>
          <cell r="AN110">
            <v>0</v>
          </cell>
          <cell r="AO110">
            <v>146.25</v>
          </cell>
          <cell r="AP110">
            <v>0</v>
          </cell>
          <cell r="AQ110">
            <v>0</v>
          </cell>
          <cell r="AR110">
            <v>11.25</v>
          </cell>
          <cell r="AS110">
            <v>0</v>
          </cell>
          <cell r="AT110">
            <v>0</v>
          </cell>
          <cell r="AU110">
            <v>97.5</v>
          </cell>
          <cell r="AV110">
            <v>0</v>
          </cell>
          <cell r="AW110">
            <v>0</v>
          </cell>
          <cell r="AX110">
            <v>126.75</v>
          </cell>
          <cell r="AY110">
            <v>0</v>
          </cell>
          <cell r="AZ110">
            <v>0</v>
          </cell>
          <cell r="BA110">
            <v>9.75</v>
          </cell>
          <cell r="BB110">
            <v>0</v>
          </cell>
          <cell r="BC110">
            <v>0</v>
          </cell>
          <cell r="BD110">
            <v>150</v>
          </cell>
          <cell r="BE110">
            <v>0</v>
          </cell>
          <cell r="BF110">
            <v>0</v>
          </cell>
          <cell r="BG110">
            <v>195</v>
          </cell>
          <cell r="BH110">
            <v>0</v>
          </cell>
          <cell r="BI110">
            <v>0</v>
          </cell>
          <cell r="BJ110">
            <v>15</v>
          </cell>
          <cell r="BK110">
            <v>0</v>
          </cell>
          <cell r="BL110">
            <v>8</v>
          </cell>
          <cell r="BM110">
            <v>75</v>
          </cell>
          <cell r="BN110">
            <v>600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11797.5</v>
          </cell>
        </row>
        <row r="111">
          <cell r="C111">
            <v>32238</v>
          </cell>
          <cell r="D111" t="str">
            <v>LARGA,JADE MECCON MANGCUPANG</v>
          </cell>
          <cell r="E111" t="str">
            <v>METAL STAMPING</v>
          </cell>
          <cell r="F111" t="str">
            <v>PRODUCTION</v>
          </cell>
          <cell r="G111" t="str">
            <v>Operator</v>
          </cell>
          <cell r="H111" t="str">
            <v>IDL</v>
          </cell>
          <cell r="I111">
            <v>184</v>
          </cell>
          <cell r="J111">
            <v>23</v>
          </cell>
          <cell r="K111">
            <v>600</v>
          </cell>
          <cell r="L111">
            <v>13800</v>
          </cell>
          <cell r="M111">
            <v>0</v>
          </cell>
          <cell r="N111">
            <v>1.25</v>
          </cell>
          <cell r="O111">
            <v>0</v>
          </cell>
          <cell r="P111">
            <v>38</v>
          </cell>
          <cell r="Q111">
            <v>93.75</v>
          </cell>
          <cell r="R111">
            <v>3562.5</v>
          </cell>
          <cell r="S111">
            <v>42</v>
          </cell>
          <cell r="T111">
            <v>7.5</v>
          </cell>
          <cell r="U111">
            <v>315</v>
          </cell>
          <cell r="V111">
            <v>10</v>
          </cell>
          <cell r="W111">
            <v>9.375</v>
          </cell>
          <cell r="X111">
            <v>93.75</v>
          </cell>
          <cell r="Y111">
            <v>0</v>
          </cell>
          <cell r="Z111">
            <v>97.5</v>
          </cell>
          <cell r="AA111">
            <v>0</v>
          </cell>
          <cell r="AB111">
            <v>0</v>
          </cell>
          <cell r="AC111">
            <v>126.75</v>
          </cell>
          <cell r="AD111">
            <v>0</v>
          </cell>
          <cell r="AE111">
            <v>0</v>
          </cell>
          <cell r="AF111">
            <v>12.675000000000001</v>
          </cell>
          <cell r="AG111">
            <v>0</v>
          </cell>
          <cell r="AH111">
            <v>0</v>
          </cell>
          <cell r="AI111">
            <v>9.75</v>
          </cell>
          <cell r="AJ111">
            <v>0</v>
          </cell>
          <cell r="AK111">
            <v>0</v>
          </cell>
          <cell r="AL111">
            <v>112.5</v>
          </cell>
          <cell r="AM111">
            <v>0</v>
          </cell>
          <cell r="AN111">
            <v>0</v>
          </cell>
          <cell r="AO111">
            <v>146.25</v>
          </cell>
          <cell r="AP111">
            <v>0</v>
          </cell>
          <cell r="AQ111">
            <v>0</v>
          </cell>
          <cell r="AR111">
            <v>11.25</v>
          </cell>
          <cell r="AS111">
            <v>0</v>
          </cell>
          <cell r="AT111">
            <v>0</v>
          </cell>
          <cell r="AU111">
            <v>97.5</v>
          </cell>
          <cell r="AV111">
            <v>0</v>
          </cell>
          <cell r="AW111">
            <v>0</v>
          </cell>
          <cell r="AX111">
            <v>126.75</v>
          </cell>
          <cell r="AY111">
            <v>0</v>
          </cell>
          <cell r="AZ111">
            <v>0</v>
          </cell>
          <cell r="BA111">
            <v>9.75</v>
          </cell>
          <cell r="BB111">
            <v>0</v>
          </cell>
          <cell r="BC111">
            <v>0</v>
          </cell>
          <cell r="BD111">
            <v>150</v>
          </cell>
          <cell r="BE111">
            <v>0</v>
          </cell>
          <cell r="BF111">
            <v>0</v>
          </cell>
          <cell r="BG111">
            <v>195</v>
          </cell>
          <cell r="BH111">
            <v>0</v>
          </cell>
          <cell r="BI111">
            <v>0</v>
          </cell>
          <cell r="BJ111">
            <v>15</v>
          </cell>
          <cell r="BK111">
            <v>0</v>
          </cell>
          <cell r="BL111">
            <v>16</v>
          </cell>
          <cell r="BM111">
            <v>75</v>
          </cell>
          <cell r="BN111">
            <v>1200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18971.25</v>
          </cell>
        </row>
        <row r="112">
          <cell r="C112">
            <v>32497</v>
          </cell>
          <cell r="D112" t="str">
            <v>LATONERO, JANINE</v>
          </cell>
          <cell r="E112" t="str">
            <v>METAL STAMPING</v>
          </cell>
          <cell r="F112" t="str">
            <v>PRODUCTION</v>
          </cell>
          <cell r="G112" t="str">
            <v>Operator</v>
          </cell>
          <cell r="H112" t="str">
            <v>DL</v>
          </cell>
          <cell r="I112">
            <v>104</v>
          </cell>
          <cell r="J112">
            <v>13</v>
          </cell>
          <cell r="K112">
            <v>600</v>
          </cell>
          <cell r="L112">
            <v>7800</v>
          </cell>
          <cell r="M112">
            <v>0</v>
          </cell>
          <cell r="N112">
            <v>1.25</v>
          </cell>
          <cell r="O112">
            <v>0</v>
          </cell>
          <cell r="P112">
            <v>18</v>
          </cell>
          <cell r="Q112">
            <v>93.75</v>
          </cell>
          <cell r="R112">
            <v>1687.5</v>
          </cell>
          <cell r="S112">
            <v>54</v>
          </cell>
          <cell r="T112">
            <v>7.5</v>
          </cell>
          <cell r="U112">
            <v>405</v>
          </cell>
          <cell r="V112">
            <v>14</v>
          </cell>
          <cell r="W112">
            <v>9.375</v>
          </cell>
          <cell r="X112">
            <v>131.25</v>
          </cell>
          <cell r="Y112">
            <v>8</v>
          </cell>
          <cell r="Z112">
            <v>97.5</v>
          </cell>
          <cell r="AA112">
            <v>780</v>
          </cell>
          <cell r="AB112">
            <v>0</v>
          </cell>
          <cell r="AC112">
            <v>126.75</v>
          </cell>
          <cell r="AD112">
            <v>0</v>
          </cell>
          <cell r="AE112">
            <v>0</v>
          </cell>
          <cell r="AF112">
            <v>12.675000000000001</v>
          </cell>
          <cell r="AG112">
            <v>0</v>
          </cell>
          <cell r="AH112">
            <v>0</v>
          </cell>
          <cell r="AI112">
            <v>9.75</v>
          </cell>
          <cell r="AJ112">
            <v>0</v>
          </cell>
          <cell r="AK112">
            <v>0</v>
          </cell>
          <cell r="AL112">
            <v>112.5</v>
          </cell>
          <cell r="AM112">
            <v>0</v>
          </cell>
          <cell r="AN112">
            <v>0</v>
          </cell>
          <cell r="AO112">
            <v>146.25</v>
          </cell>
          <cell r="AP112">
            <v>0</v>
          </cell>
          <cell r="AQ112">
            <v>0</v>
          </cell>
          <cell r="AR112">
            <v>11.25</v>
          </cell>
          <cell r="AS112">
            <v>0</v>
          </cell>
          <cell r="AT112">
            <v>0</v>
          </cell>
          <cell r="AU112">
            <v>97.5</v>
          </cell>
          <cell r="AV112">
            <v>0</v>
          </cell>
          <cell r="AW112">
            <v>0</v>
          </cell>
          <cell r="AX112">
            <v>126.75</v>
          </cell>
          <cell r="AY112">
            <v>0</v>
          </cell>
          <cell r="AZ112">
            <v>0</v>
          </cell>
          <cell r="BA112">
            <v>9.75</v>
          </cell>
          <cell r="BB112">
            <v>0</v>
          </cell>
          <cell r="BC112">
            <v>0</v>
          </cell>
          <cell r="BD112">
            <v>150</v>
          </cell>
          <cell r="BE112">
            <v>0</v>
          </cell>
          <cell r="BF112">
            <v>0</v>
          </cell>
          <cell r="BG112">
            <v>195</v>
          </cell>
          <cell r="BH112">
            <v>0</v>
          </cell>
          <cell r="BI112">
            <v>0</v>
          </cell>
          <cell r="BJ112">
            <v>15</v>
          </cell>
          <cell r="BK112">
            <v>0</v>
          </cell>
          <cell r="BL112">
            <v>8</v>
          </cell>
          <cell r="BM112">
            <v>75</v>
          </cell>
          <cell r="BN112">
            <v>600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11403.75</v>
          </cell>
        </row>
        <row r="113">
          <cell r="C113">
            <v>6265</v>
          </cell>
          <cell r="D113" t="str">
            <v>LEGASPI, JONA MAICAH TOLENTINO</v>
          </cell>
          <cell r="E113" t="str">
            <v>METAL STAMPING</v>
          </cell>
          <cell r="F113" t="str">
            <v>PRODUCTION</v>
          </cell>
          <cell r="G113" t="str">
            <v>Operator</v>
          </cell>
          <cell r="H113" t="str">
            <v>DL</v>
          </cell>
          <cell r="I113">
            <v>80</v>
          </cell>
          <cell r="J113">
            <v>10</v>
          </cell>
          <cell r="K113">
            <v>600</v>
          </cell>
          <cell r="L113">
            <v>6000</v>
          </cell>
          <cell r="M113">
            <v>0</v>
          </cell>
          <cell r="N113">
            <v>1.25</v>
          </cell>
          <cell r="O113">
            <v>0</v>
          </cell>
          <cell r="P113">
            <v>12</v>
          </cell>
          <cell r="Q113">
            <v>93.75</v>
          </cell>
          <cell r="R113">
            <v>1125</v>
          </cell>
          <cell r="S113">
            <v>18</v>
          </cell>
          <cell r="T113">
            <v>7.5</v>
          </cell>
          <cell r="U113">
            <v>135</v>
          </cell>
          <cell r="V113">
            <v>4</v>
          </cell>
          <cell r="W113">
            <v>9.375</v>
          </cell>
          <cell r="X113">
            <v>37.5</v>
          </cell>
          <cell r="Y113">
            <v>0</v>
          </cell>
          <cell r="Z113">
            <v>97.5</v>
          </cell>
          <cell r="AA113">
            <v>0</v>
          </cell>
          <cell r="AB113">
            <v>0</v>
          </cell>
          <cell r="AC113">
            <v>126.75</v>
          </cell>
          <cell r="AD113">
            <v>0</v>
          </cell>
          <cell r="AE113">
            <v>0</v>
          </cell>
          <cell r="AF113">
            <v>12.675000000000001</v>
          </cell>
          <cell r="AG113">
            <v>0</v>
          </cell>
          <cell r="AH113">
            <v>0</v>
          </cell>
          <cell r="AI113">
            <v>9.75</v>
          </cell>
          <cell r="AJ113">
            <v>0</v>
          </cell>
          <cell r="AK113">
            <v>0</v>
          </cell>
          <cell r="AL113">
            <v>112.5</v>
          </cell>
          <cell r="AM113">
            <v>0</v>
          </cell>
          <cell r="AN113">
            <v>0</v>
          </cell>
          <cell r="AO113">
            <v>146.25</v>
          </cell>
          <cell r="AP113">
            <v>0</v>
          </cell>
          <cell r="AQ113">
            <v>0</v>
          </cell>
          <cell r="AR113">
            <v>11.25</v>
          </cell>
          <cell r="AS113">
            <v>0</v>
          </cell>
          <cell r="AT113">
            <v>0</v>
          </cell>
          <cell r="AU113">
            <v>97.5</v>
          </cell>
          <cell r="AV113">
            <v>0</v>
          </cell>
          <cell r="AW113">
            <v>0</v>
          </cell>
          <cell r="AX113">
            <v>126.75</v>
          </cell>
          <cell r="AY113">
            <v>0</v>
          </cell>
          <cell r="AZ113">
            <v>0</v>
          </cell>
          <cell r="BA113">
            <v>9.75</v>
          </cell>
          <cell r="BB113">
            <v>0</v>
          </cell>
          <cell r="BC113">
            <v>0</v>
          </cell>
          <cell r="BD113">
            <v>150</v>
          </cell>
          <cell r="BE113">
            <v>0</v>
          </cell>
          <cell r="BF113">
            <v>0</v>
          </cell>
          <cell r="BG113">
            <v>195</v>
          </cell>
          <cell r="BH113">
            <v>0</v>
          </cell>
          <cell r="BI113">
            <v>0</v>
          </cell>
          <cell r="BJ113">
            <v>15</v>
          </cell>
          <cell r="BK113">
            <v>0</v>
          </cell>
          <cell r="BL113">
            <v>0</v>
          </cell>
          <cell r="BM113">
            <v>75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7297.5</v>
          </cell>
        </row>
        <row r="114">
          <cell r="C114">
            <v>14251</v>
          </cell>
          <cell r="D114" t="str">
            <v>LEGASPI, KRISTINE JOY ALHAMBRA</v>
          </cell>
          <cell r="E114" t="str">
            <v>METAL STAMPING</v>
          </cell>
          <cell r="F114" t="str">
            <v>PRODUCTION</v>
          </cell>
          <cell r="G114" t="str">
            <v>Operator</v>
          </cell>
          <cell r="H114" t="str">
            <v>DL</v>
          </cell>
          <cell r="I114">
            <v>64</v>
          </cell>
          <cell r="J114">
            <v>8</v>
          </cell>
          <cell r="K114">
            <v>600</v>
          </cell>
          <cell r="L114">
            <v>4800</v>
          </cell>
          <cell r="M114">
            <v>0</v>
          </cell>
          <cell r="N114">
            <v>1.25</v>
          </cell>
          <cell r="O114">
            <v>0</v>
          </cell>
          <cell r="P114">
            <v>10</v>
          </cell>
          <cell r="Q114">
            <v>93.75</v>
          </cell>
          <cell r="R114">
            <v>937.5</v>
          </cell>
          <cell r="S114">
            <v>12</v>
          </cell>
          <cell r="T114">
            <v>7.5</v>
          </cell>
          <cell r="U114">
            <v>90</v>
          </cell>
          <cell r="V114">
            <v>2</v>
          </cell>
          <cell r="W114">
            <v>9.375</v>
          </cell>
          <cell r="X114">
            <v>18.75</v>
          </cell>
          <cell r="Y114">
            <v>0</v>
          </cell>
          <cell r="Z114">
            <v>97.5</v>
          </cell>
          <cell r="AA114">
            <v>0</v>
          </cell>
          <cell r="AB114">
            <v>0</v>
          </cell>
          <cell r="AC114">
            <v>126.75</v>
          </cell>
          <cell r="AD114">
            <v>0</v>
          </cell>
          <cell r="AE114">
            <v>0</v>
          </cell>
          <cell r="AF114">
            <v>12.675000000000001</v>
          </cell>
          <cell r="AG114">
            <v>0</v>
          </cell>
          <cell r="AH114">
            <v>0</v>
          </cell>
          <cell r="AI114">
            <v>9.75</v>
          </cell>
          <cell r="AJ114">
            <v>0</v>
          </cell>
          <cell r="AK114">
            <v>0</v>
          </cell>
          <cell r="AL114">
            <v>112.5</v>
          </cell>
          <cell r="AM114">
            <v>0</v>
          </cell>
          <cell r="AN114">
            <v>0</v>
          </cell>
          <cell r="AO114">
            <v>146.25</v>
          </cell>
          <cell r="AP114">
            <v>0</v>
          </cell>
          <cell r="AQ114">
            <v>0</v>
          </cell>
          <cell r="AR114">
            <v>11.25</v>
          </cell>
          <cell r="AS114">
            <v>0</v>
          </cell>
          <cell r="AT114">
            <v>0</v>
          </cell>
          <cell r="AU114">
            <v>97.5</v>
          </cell>
          <cell r="AV114">
            <v>0</v>
          </cell>
          <cell r="AW114">
            <v>0</v>
          </cell>
          <cell r="AX114">
            <v>126.75</v>
          </cell>
          <cell r="AY114">
            <v>0</v>
          </cell>
          <cell r="AZ114">
            <v>0</v>
          </cell>
          <cell r="BA114">
            <v>9.75</v>
          </cell>
          <cell r="BB114">
            <v>0</v>
          </cell>
          <cell r="BC114">
            <v>0</v>
          </cell>
          <cell r="BD114">
            <v>150</v>
          </cell>
          <cell r="BE114">
            <v>0</v>
          </cell>
          <cell r="BF114">
            <v>0</v>
          </cell>
          <cell r="BG114">
            <v>195</v>
          </cell>
          <cell r="BH114">
            <v>0</v>
          </cell>
          <cell r="BI114">
            <v>0</v>
          </cell>
          <cell r="BJ114">
            <v>15</v>
          </cell>
          <cell r="BK114">
            <v>0</v>
          </cell>
          <cell r="BL114">
            <v>0</v>
          </cell>
          <cell r="BM114">
            <v>75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5846.25</v>
          </cell>
        </row>
        <row r="115">
          <cell r="C115">
            <v>32246</v>
          </cell>
          <cell r="D115" t="str">
            <v>LINDO,JESTER BAGUIOSO</v>
          </cell>
          <cell r="E115" t="str">
            <v>METAL STAMPING</v>
          </cell>
          <cell r="F115" t="str">
            <v>PRODUCTION</v>
          </cell>
          <cell r="G115" t="str">
            <v>Operator</v>
          </cell>
          <cell r="H115" t="str">
            <v>DL</v>
          </cell>
          <cell r="I115">
            <v>96</v>
          </cell>
          <cell r="J115">
            <v>12</v>
          </cell>
          <cell r="K115">
            <v>600</v>
          </cell>
          <cell r="L115">
            <v>7200</v>
          </cell>
          <cell r="M115">
            <v>3</v>
          </cell>
          <cell r="N115">
            <v>1.25</v>
          </cell>
          <cell r="O115">
            <v>-3.75</v>
          </cell>
          <cell r="P115">
            <v>18</v>
          </cell>
          <cell r="Q115">
            <v>93.75</v>
          </cell>
          <cell r="R115">
            <v>1687.5</v>
          </cell>
          <cell r="S115">
            <v>48</v>
          </cell>
          <cell r="T115">
            <v>7.5</v>
          </cell>
          <cell r="U115">
            <v>360</v>
          </cell>
          <cell r="V115">
            <v>14</v>
          </cell>
          <cell r="W115">
            <v>9.375</v>
          </cell>
          <cell r="X115">
            <v>131.25</v>
          </cell>
          <cell r="Y115">
            <v>8</v>
          </cell>
          <cell r="Z115">
            <v>97.5</v>
          </cell>
          <cell r="AA115">
            <v>780</v>
          </cell>
          <cell r="AB115">
            <v>0</v>
          </cell>
          <cell r="AC115">
            <v>126.75</v>
          </cell>
          <cell r="AD115">
            <v>0</v>
          </cell>
          <cell r="AE115">
            <v>0</v>
          </cell>
          <cell r="AF115">
            <v>12.675000000000001</v>
          </cell>
          <cell r="AG115">
            <v>0</v>
          </cell>
          <cell r="AH115">
            <v>0</v>
          </cell>
          <cell r="AI115">
            <v>9.75</v>
          </cell>
          <cell r="AJ115">
            <v>0</v>
          </cell>
          <cell r="AK115">
            <v>0</v>
          </cell>
          <cell r="AL115">
            <v>112.5</v>
          </cell>
          <cell r="AM115">
            <v>0</v>
          </cell>
          <cell r="AN115">
            <v>0</v>
          </cell>
          <cell r="AO115">
            <v>146.25</v>
          </cell>
          <cell r="AP115">
            <v>0</v>
          </cell>
          <cell r="AQ115">
            <v>0</v>
          </cell>
          <cell r="AR115">
            <v>11.25</v>
          </cell>
          <cell r="AS115">
            <v>0</v>
          </cell>
          <cell r="AT115">
            <v>0</v>
          </cell>
          <cell r="AU115">
            <v>97.5</v>
          </cell>
          <cell r="AV115">
            <v>0</v>
          </cell>
          <cell r="AW115">
            <v>0</v>
          </cell>
          <cell r="AX115">
            <v>126.75</v>
          </cell>
          <cell r="AY115">
            <v>0</v>
          </cell>
          <cell r="AZ115">
            <v>0</v>
          </cell>
          <cell r="BA115">
            <v>9.75</v>
          </cell>
          <cell r="BB115">
            <v>0</v>
          </cell>
          <cell r="BC115">
            <v>0</v>
          </cell>
          <cell r="BD115">
            <v>150</v>
          </cell>
          <cell r="BE115">
            <v>0</v>
          </cell>
          <cell r="BF115">
            <v>0</v>
          </cell>
          <cell r="BG115">
            <v>195</v>
          </cell>
          <cell r="BH115">
            <v>0</v>
          </cell>
          <cell r="BI115">
            <v>0</v>
          </cell>
          <cell r="BJ115">
            <v>15</v>
          </cell>
          <cell r="BK115">
            <v>0</v>
          </cell>
          <cell r="BL115">
            <v>8</v>
          </cell>
          <cell r="BM115">
            <v>75</v>
          </cell>
          <cell r="BN115">
            <v>600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10755</v>
          </cell>
        </row>
        <row r="116">
          <cell r="C116">
            <v>14997</v>
          </cell>
          <cell r="D116" t="str">
            <v>LLANERA, SHARENA SABALBORO</v>
          </cell>
          <cell r="E116" t="str">
            <v>METAL STAMPING</v>
          </cell>
          <cell r="F116" t="str">
            <v>PRODUCTION</v>
          </cell>
          <cell r="G116" t="str">
            <v>Operator</v>
          </cell>
          <cell r="H116" t="str">
            <v>IDL</v>
          </cell>
          <cell r="I116">
            <v>88</v>
          </cell>
          <cell r="J116">
            <v>11</v>
          </cell>
          <cell r="K116">
            <v>600</v>
          </cell>
          <cell r="L116">
            <v>6600</v>
          </cell>
          <cell r="M116">
            <v>0</v>
          </cell>
          <cell r="N116">
            <v>1.25</v>
          </cell>
          <cell r="O116">
            <v>0</v>
          </cell>
          <cell r="P116">
            <v>12</v>
          </cell>
          <cell r="Q116">
            <v>93.75</v>
          </cell>
          <cell r="R116">
            <v>1125</v>
          </cell>
          <cell r="S116">
            <v>42</v>
          </cell>
          <cell r="T116">
            <v>7.5</v>
          </cell>
          <cell r="U116">
            <v>315</v>
          </cell>
          <cell r="V116">
            <v>8</v>
          </cell>
          <cell r="W116">
            <v>9.375</v>
          </cell>
          <cell r="X116">
            <v>75</v>
          </cell>
          <cell r="Y116">
            <v>8</v>
          </cell>
          <cell r="Z116">
            <v>97.5</v>
          </cell>
          <cell r="AA116">
            <v>780</v>
          </cell>
          <cell r="AB116">
            <v>0</v>
          </cell>
          <cell r="AC116">
            <v>126.75</v>
          </cell>
          <cell r="AD116">
            <v>0</v>
          </cell>
          <cell r="AE116">
            <v>0</v>
          </cell>
          <cell r="AF116">
            <v>12.675000000000001</v>
          </cell>
          <cell r="AG116">
            <v>0</v>
          </cell>
          <cell r="AH116">
            <v>0</v>
          </cell>
          <cell r="AI116">
            <v>9.75</v>
          </cell>
          <cell r="AJ116">
            <v>0</v>
          </cell>
          <cell r="AK116">
            <v>0</v>
          </cell>
          <cell r="AL116">
            <v>112.5</v>
          </cell>
          <cell r="AM116">
            <v>0</v>
          </cell>
          <cell r="AN116">
            <v>0</v>
          </cell>
          <cell r="AO116">
            <v>146.25</v>
          </cell>
          <cell r="AP116">
            <v>0</v>
          </cell>
          <cell r="AQ116">
            <v>0</v>
          </cell>
          <cell r="AR116">
            <v>11.25</v>
          </cell>
          <cell r="AS116">
            <v>0</v>
          </cell>
          <cell r="AT116">
            <v>0</v>
          </cell>
          <cell r="AU116">
            <v>97.5</v>
          </cell>
          <cell r="AV116">
            <v>0</v>
          </cell>
          <cell r="AW116">
            <v>0</v>
          </cell>
          <cell r="AX116">
            <v>126.75</v>
          </cell>
          <cell r="AY116">
            <v>0</v>
          </cell>
          <cell r="AZ116">
            <v>0</v>
          </cell>
          <cell r="BA116">
            <v>9.75</v>
          </cell>
          <cell r="BB116">
            <v>0</v>
          </cell>
          <cell r="BC116">
            <v>0</v>
          </cell>
          <cell r="BD116">
            <v>150</v>
          </cell>
          <cell r="BE116">
            <v>0</v>
          </cell>
          <cell r="BF116">
            <v>0</v>
          </cell>
          <cell r="BG116">
            <v>195</v>
          </cell>
          <cell r="BH116">
            <v>0</v>
          </cell>
          <cell r="BI116">
            <v>0</v>
          </cell>
          <cell r="BJ116">
            <v>15</v>
          </cell>
          <cell r="BK116">
            <v>0</v>
          </cell>
          <cell r="BL116">
            <v>8</v>
          </cell>
          <cell r="BM116">
            <v>75</v>
          </cell>
          <cell r="BN116">
            <v>600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9495</v>
          </cell>
        </row>
        <row r="117">
          <cell r="C117">
            <v>14267</v>
          </cell>
          <cell r="D117" t="str">
            <v>LUCING, ANALIZA AGUILAR</v>
          </cell>
          <cell r="E117" t="str">
            <v>METAL STAMPING</v>
          </cell>
          <cell r="F117" t="str">
            <v>PRODUCTION</v>
          </cell>
          <cell r="G117" t="str">
            <v>Operator</v>
          </cell>
          <cell r="H117" t="str">
            <v>DL</v>
          </cell>
          <cell r="I117">
            <v>104</v>
          </cell>
          <cell r="J117">
            <v>13</v>
          </cell>
          <cell r="K117">
            <v>600</v>
          </cell>
          <cell r="L117">
            <v>7800</v>
          </cell>
          <cell r="M117">
            <v>0</v>
          </cell>
          <cell r="N117">
            <v>1.25</v>
          </cell>
          <cell r="O117">
            <v>0</v>
          </cell>
          <cell r="P117">
            <v>22</v>
          </cell>
          <cell r="Q117">
            <v>93.75</v>
          </cell>
          <cell r="R117">
            <v>2062.5</v>
          </cell>
          <cell r="S117">
            <v>24</v>
          </cell>
          <cell r="T117">
            <v>7.5</v>
          </cell>
          <cell r="U117">
            <v>180</v>
          </cell>
          <cell r="V117">
            <v>6</v>
          </cell>
          <cell r="W117">
            <v>9.375</v>
          </cell>
          <cell r="X117">
            <v>56.25</v>
          </cell>
          <cell r="Y117">
            <v>0</v>
          </cell>
          <cell r="Z117">
            <v>97.5</v>
          </cell>
          <cell r="AA117">
            <v>0</v>
          </cell>
          <cell r="AB117">
            <v>0</v>
          </cell>
          <cell r="AC117">
            <v>126.75</v>
          </cell>
          <cell r="AD117">
            <v>0</v>
          </cell>
          <cell r="AE117">
            <v>0</v>
          </cell>
          <cell r="AF117">
            <v>12.675000000000001</v>
          </cell>
          <cell r="AG117">
            <v>0</v>
          </cell>
          <cell r="AH117">
            <v>0</v>
          </cell>
          <cell r="AI117">
            <v>9.75</v>
          </cell>
          <cell r="AJ117">
            <v>0</v>
          </cell>
          <cell r="AK117">
            <v>0</v>
          </cell>
          <cell r="AL117">
            <v>112.5</v>
          </cell>
          <cell r="AM117">
            <v>0</v>
          </cell>
          <cell r="AN117">
            <v>0</v>
          </cell>
          <cell r="AO117">
            <v>146.25</v>
          </cell>
          <cell r="AP117">
            <v>0</v>
          </cell>
          <cell r="AQ117">
            <v>0</v>
          </cell>
          <cell r="AR117">
            <v>11.25</v>
          </cell>
          <cell r="AS117">
            <v>0</v>
          </cell>
          <cell r="AT117">
            <v>0</v>
          </cell>
          <cell r="AU117">
            <v>97.5</v>
          </cell>
          <cell r="AV117">
            <v>0</v>
          </cell>
          <cell r="AW117">
            <v>0</v>
          </cell>
          <cell r="AX117">
            <v>126.75</v>
          </cell>
          <cell r="AY117">
            <v>0</v>
          </cell>
          <cell r="AZ117">
            <v>0</v>
          </cell>
          <cell r="BA117">
            <v>9.75</v>
          </cell>
          <cell r="BB117">
            <v>0</v>
          </cell>
          <cell r="BC117">
            <v>0</v>
          </cell>
          <cell r="BD117">
            <v>150</v>
          </cell>
          <cell r="BE117">
            <v>0</v>
          </cell>
          <cell r="BF117">
            <v>0</v>
          </cell>
          <cell r="BG117">
            <v>195</v>
          </cell>
          <cell r="BH117">
            <v>0</v>
          </cell>
          <cell r="BI117">
            <v>0</v>
          </cell>
          <cell r="BJ117">
            <v>15</v>
          </cell>
          <cell r="BK117">
            <v>0</v>
          </cell>
          <cell r="BL117">
            <v>8</v>
          </cell>
          <cell r="BM117">
            <v>75</v>
          </cell>
          <cell r="BN117">
            <v>600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10698.75</v>
          </cell>
        </row>
        <row r="118">
          <cell r="C118">
            <v>32504</v>
          </cell>
          <cell r="D118" t="str">
            <v>LUMBAYO, JEXON ATONG</v>
          </cell>
          <cell r="E118" t="str">
            <v>METAL STAMPING</v>
          </cell>
          <cell r="F118" t="str">
            <v>PRODUCTION</v>
          </cell>
          <cell r="G118" t="str">
            <v>Operator</v>
          </cell>
          <cell r="H118" t="str">
            <v>DL</v>
          </cell>
          <cell r="I118">
            <v>104</v>
          </cell>
          <cell r="J118">
            <v>13</v>
          </cell>
          <cell r="K118">
            <v>600</v>
          </cell>
          <cell r="L118">
            <v>7800</v>
          </cell>
          <cell r="M118">
            <v>0</v>
          </cell>
          <cell r="N118">
            <v>1.25</v>
          </cell>
          <cell r="O118">
            <v>0</v>
          </cell>
          <cell r="P118">
            <v>22</v>
          </cell>
          <cell r="Q118">
            <v>93.75</v>
          </cell>
          <cell r="R118">
            <v>2062.5</v>
          </cell>
          <cell r="S118">
            <v>24</v>
          </cell>
          <cell r="T118">
            <v>7.5</v>
          </cell>
          <cell r="U118">
            <v>180</v>
          </cell>
          <cell r="V118">
            <v>6</v>
          </cell>
          <cell r="W118">
            <v>9.375</v>
          </cell>
          <cell r="X118">
            <v>56.25</v>
          </cell>
          <cell r="Y118">
            <v>0</v>
          </cell>
          <cell r="Z118">
            <v>97.5</v>
          </cell>
          <cell r="AA118">
            <v>0</v>
          </cell>
          <cell r="AB118">
            <v>0</v>
          </cell>
          <cell r="AC118">
            <v>126.75</v>
          </cell>
          <cell r="AD118">
            <v>0</v>
          </cell>
          <cell r="AE118">
            <v>0</v>
          </cell>
          <cell r="AF118">
            <v>12.675000000000001</v>
          </cell>
          <cell r="AG118">
            <v>0</v>
          </cell>
          <cell r="AH118">
            <v>0</v>
          </cell>
          <cell r="AI118">
            <v>9.75</v>
          </cell>
          <cell r="AJ118">
            <v>0</v>
          </cell>
          <cell r="AK118">
            <v>0</v>
          </cell>
          <cell r="AL118">
            <v>112.5</v>
          </cell>
          <cell r="AM118">
            <v>0</v>
          </cell>
          <cell r="AN118">
            <v>0</v>
          </cell>
          <cell r="AO118">
            <v>146.25</v>
          </cell>
          <cell r="AP118">
            <v>0</v>
          </cell>
          <cell r="AQ118">
            <v>0</v>
          </cell>
          <cell r="AR118">
            <v>11.25</v>
          </cell>
          <cell r="AS118">
            <v>0</v>
          </cell>
          <cell r="AT118">
            <v>0</v>
          </cell>
          <cell r="AU118">
            <v>97.5</v>
          </cell>
          <cell r="AV118">
            <v>0</v>
          </cell>
          <cell r="AW118">
            <v>0</v>
          </cell>
          <cell r="AX118">
            <v>126.75</v>
          </cell>
          <cell r="AY118">
            <v>0</v>
          </cell>
          <cell r="AZ118">
            <v>0</v>
          </cell>
          <cell r="BA118">
            <v>9.75</v>
          </cell>
          <cell r="BB118">
            <v>0</v>
          </cell>
          <cell r="BC118">
            <v>0</v>
          </cell>
          <cell r="BD118">
            <v>150</v>
          </cell>
          <cell r="BE118">
            <v>0</v>
          </cell>
          <cell r="BF118">
            <v>0</v>
          </cell>
          <cell r="BG118">
            <v>195</v>
          </cell>
          <cell r="BH118">
            <v>0</v>
          </cell>
          <cell r="BI118">
            <v>0</v>
          </cell>
          <cell r="BJ118">
            <v>15</v>
          </cell>
          <cell r="BK118">
            <v>0</v>
          </cell>
          <cell r="BL118">
            <v>8</v>
          </cell>
          <cell r="BM118">
            <v>75</v>
          </cell>
          <cell r="BN118">
            <v>600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10698.75</v>
          </cell>
        </row>
        <row r="119">
          <cell r="C119">
            <v>8158</v>
          </cell>
          <cell r="D119" t="str">
            <v>MACALALAD, MARY JOY FERRER</v>
          </cell>
          <cell r="E119" t="str">
            <v>METAL STAMPING</v>
          </cell>
          <cell r="F119" t="str">
            <v>PRODUCTION</v>
          </cell>
          <cell r="G119" t="str">
            <v>Operator</v>
          </cell>
          <cell r="H119" t="str">
            <v>DL</v>
          </cell>
          <cell r="I119">
            <v>104</v>
          </cell>
          <cell r="J119">
            <v>13</v>
          </cell>
          <cell r="K119">
            <v>600</v>
          </cell>
          <cell r="L119">
            <v>7800</v>
          </cell>
          <cell r="M119">
            <v>0</v>
          </cell>
          <cell r="N119">
            <v>1.25</v>
          </cell>
          <cell r="O119">
            <v>0</v>
          </cell>
          <cell r="P119">
            <v>18</v>
          </cell>
          <cell r="Q119">
            <v>93.75</v>
          </cell>
          <cell r="R119">
            <v>1687.5</v>
          </cell>
          <cell r="S119">
            <v>54</v>
          </cell>
          <cell r="T119">
            <v>7.5</v>
          </cell>
          <cell r="U119">
            <v>405</v>
          </cell>
          <cell r="V119">
            <v>14</v>
          </cell>
          <cell r="W119">
            <v>9.375</v>
          </cell>
          <cell r="X119">
            <v>131.25</v>
          </cell>
          <cell r="Y119">
            <v>8</v>
          </cell>
          <cell r="Z119">
            <v>97.5</v>
          </cell>
          <cell r="AA119">
            <v>780</v>
          </cell>
          <cell r="AB119">
            <v>0</v>
          </cell>
          <cell r="AC119">
            <v>126.75</v>
          </cell>
          <cell r="AD119">
            <v>0</v>
          </cell>
          <cell r="AE119">
            <v>0</v>
          </cell>
          <cell r="AF119">
            <v>12.675000000000001</v>
          </cell>
          <cell r="AG119">
            <v>0</v>
          </cell>
          <cell r="AH119">
            <v>0</v>
          </cell>
          <cell r="AI119">
            <v>9.75</v>
          </cell>
          <cell r="AJ119">
            <v>0</v>
          </cell>
          <cell r="AK119">
            <v>0</v>
          </cell>
          <cell r="AL119">
            <v>112.5</v>
          </cell>
          <cell r="AM119">
            <v>0</v>
          </cell>
          <cell r="AN119">
            <v>0</v>
          </cell>
          <cell r="AO119">
            <v>146.25</v>
          </cell>
          <cell r="AP119">
            <v>0</v>
          </cell>
          <cell r="AQ119">
            <v>0</v>
          </cell>
          <cell r="AR119">
            <v>11.25</v>
          </cell>
          <cell r="AS119">
            <v>0</v>
          </cell>
          <cell r="AT119">
            <v>0</v>
          </cell>
          <cell r="AU119">
            <v>97.5</v>
          </cell>
          <cell r="AV119">
            <v>0</v>
          </cell>
          <cell r="AW119">
            <v>0</v>
          </cell>
          <cell r="AX119">
            <v>126.75</v>
          </cell>
          <cell r="AY119">
            <v>0</v>
          </cell>
          <cell r="AZ119">
            <v>0</v>
          </cell>
          <cell r="BA119">
            <v>9.75</v>
          </cell>
          <cell r="BB119">
            <v>0</v>
          </cell>
          <cell r="BC119">
            <v>0</v>
          </cell>
          <cell r="BD119">
            <v>150</v>
          </cell>
          <cell r="BE119">
            <v>0</v>
          </cell>
          <cell r="BF119">
            <v>0</v>
          </cell>
          <cell r="BG119">
            <v>195</v>
          </cell>
          <cell r="BH119">
            <v>0</v>
          </cell>
          <cell r="BI119">
            <v>0</v>
          </cell>
          <cell r="BJ119">
            <v>15</v>
          </cell>
          <cell r="BK119">
            <v>0</v>
          </cell>
          <cell r="BL119">
            <v>8</v>
          </cell>
          <cell r="BM119">
            <v>75</v>
          </cell>
          <cell r="BN119">
            <v>600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11403.75</v>
          </cell>
        </row>
        <row r="120">
          <cell r="C120">
            <v>14270</v>
          </cell>
          <cell r="D120" t="str">
            <v>MACATANGAY, HONEY JANE CAHAYON</v>
          </cell>
          <cell r="E120" t="str">
            <v>METAL STAMPING</v>
          </cell>
          <cell r="F120" t="str">
            <v>PRODUCTION</v>
          </cell>
          <cell r="G120" t="str">
            <v>Operator</v>
          </cell>
          <cell r="H120" t="str">
            <v>DL</v>
          </cell>
          <cell r="I120">
            <v>104</v>
          </cell>
          <cell r="J120">
            <v>13</v>
          </cell>
          <cell r="K120">
            <v>600</v>
          </cell>
          <cell r="L120">
            <v>7800</v>
          </cell>
          <cell r="M120">
            <v>0</v>
          </cell>
          <cell r="N120">
            <v>1.25</v>
          </cell>
          <cell r="O120">
            <v>0</v>
          </cell>
          <cell r="P120">
            <v>18</v>
          </cell>
          <cell r="Q120">
            <v>93.75</v>
          </cell>
          <cell r="R120">
            <v>1687.5</v>
          </cell>
          <cell r="S120">
            <v>54</v>
          </cell>
          <cell r="T120">
            <v>7.5</v>
          </cell>
          <cell r="U120">
            <v>405</v>
          </cell>
          <cell r="V120">
            <v>14</v>
          </cell>
          <cell r="W120">
            <v>9.375</v>
          </cell>
          <cell r="X120">
            <v>131.25</v>
          </cell>
          <cell r="Y120">
            <v>8</v>
          </cell>
          <cell r="Z120">
            <v>97.5</v>
          </cell>
          <cell r="AA120">
            <v>780</v>
          </cell>
          <cell r="AB120">
            <v>0</v>
          </cell>
          <cell r="AC120">
            <v>126.75</v>
          </cell>
          <cell r="AD120">
            <v>0</v>
          </cell>
          <cell r="AE120">
            <v>0</v>
          </cell>
          <cell r="AF120">
            <v>12.675000000000001</v>
          </cell>
          <cell r="AG120">
            <v>0</v>
          </cell>
          <cell r="AH120">
            <v>0</v>
          </cell>
          <cell r="AI120">
            <v>9.75</v>
          </cell>
          <cell r="AJ120">
            <v>0</v>
          </cell>
          <cell r="AK120">
            <v>0</v>
          </cell>
          <cell r="AL120">
            <v>112.5</v>
          </cell>
          <cell r="AM120">
            <v>0</v>
          </cell>
          <cell r="AN120">
            <v>0</v>
          </cell>
          <cell r="AO120">
            <v>146.25</v>
          </cell>
          <cell r="AP120">
            <v>0</v>
          </cell>
          <cell r="AQ120">
            <v>0</v>
          </cell>
          <cell r="AR120">
            <v>11.25</v>
          </cell>
          <cell r="AS120">
            <v>0</v>
          </cell>
          <cell r="AT120">
            <v>0</v>
          </cell>
          <cell r="AU120">
            <v>97.5</v>
          </cell>
          <cell r="AV120">
            <v>0</v>
          </cell>
          <cell r="AW120">
            <v>0</v>
          </cell>
          <cell r="AX120">
            <v>126.75</v>
          </cell>
          <cell r="AY120">
            <v>0</v>
          </cell>
          <cell r="AZ120">
            <v>0</v>
          </cell>
          <cell r="BA120">
            <v>9.75</v>
          </cell>
          <cell r="BB120">
            <v>0</v>
          </cell>
          <cell r="BC120">
            <v>0</v>
          </cell>
          <cell r="BD120">
            <v>150</v>
          </cell>
          <cell r="BE120">
            <v>0</v>
          </cell>
          <cell r="BF120">
            <v>0</v>
          </cell>
          <cell r="BG120">
            <v>195</v>
          </cell>
          <cell r="BH120">
            <v>0</v>
          </cell>
          <cell r="BI120">
            <v>0</v>
          </cell>
          <cell r="BJ120">
            <v>15</v>
          </cell>
          <cell r="BK120">
            <v>0</v>
          </cell>
          <cell r="BL120">
            <v>8</v>
          </cell>
          <cell r="BM120">
            <v>75</v>
          </cell>
          <cell r="BN120">
            <v>600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11403.75</v>
          </cell>
        </row>
        <row r="121">
          <cell r="C121">
            <v>30246</v>
          </cell>
          <cell r="D121" t="str">
            <v>MAGALONA, JUN-ROSE PARAN</v>
          </cell>
          <cell r="E121" t="str">
            <v>METAL STAMPING</v>
          </cell>
          <cell r="F121" t="str">
            <v>PRODUCTION</v>
          </cell>
          <cell r="G121" t="str">
            <v>Operator</v>
          </cell>
          <cell r="H121" t="str">
            <v>DL</v>
          </cell>
          <cell r="I121">
            <v>100</v>
          </cell>
          <cell r="J121">
            <v>12.5</v>
          </cell>
          <cell r="K121">
            <v>600</v>
          </cell>
          <cell r="L121">
            <v>7500</v>
          </cell>
          <cell r="M121">
            <v>0</v>
          </cell>
          <cell r="N121">
            <v>1.25</v>
          </cell>
          <cell r="O121">
            <v>0</v>
          </cell>
          <cell r="P121">
            <v>6</v>
          </cell>
          <cell r="Q121">
            <v>93.75</v>
          </cell>
          <cell r="R121">
            <v>562.5</v>
          </cell>
          <cell r="S121">
            <v>0</v>
          </cell>
          <cell r="T121">
            <v>7.5</v>
          </cell>
          <cell r="U121">
            <v>0</v>
          </cell>
          <cell r="V121">
            <v>0</v>
          </cell>
          <cell r="W121">
            <v>9.375</v>
          </cell>
          <cell r="X121">
            <v>0</v>
          </cell>
          <cell r="Y121">
            <v>8</v>
          </cell>
          <cell r="Z121">
            <v>97.5</v>
          </cell>
          <cell r="AA121">
            <v>780</v>
          </cell>
          <cell r="AB121">
            <v>0</v>
          </cell>
          <cell r="AC121">
            <v>126.75</v>
          </cell>
          <cell r="AD121">
            <v>0</v>
          </cell>
          <cell r="AE121">
            <v>0</v>
          </cell>
          <cell r="AF121">
            <v>12.675000000000001</v>
          </cell>
          <cell r="AG121">
            <v>0</v>
          </cell>
          <cell r="AH121">
            <v>0</v>
          </cell>
          <cell r="AI121">
            <v>9.75</v>
          </cell>
          <cell r="AJ121">
            <v>0</v>
          </cell>
          <cell r="AK121">
            <v>0</v>
          </cell>
          <cell r="AL121">
            <v>112.5</v>
          </cell>
          <cell r="AM121">
            <v>0</v>
          </cell>
          <cell r="AN121">
            <v>0</v>
          </cell>
          <cell r="AO121">
            <v>146.25</v>
          </cell>
          <cell r="AP121">
            <v>0</v>
          </cell>
          <cell r="AQ121">
            <v>0</v>
          </cell>
          <cell r="AR121">
            <v>11.25</v>
          </cell>
          <cell r="AS121">
            <v>0</v>
          </cell>
          <cell r="AT121">
            <v>0</v>
          </cell>
          <cell r="AU121">
            <v>97.5</v>
          </cell>
          <cell r="AV121">
            <v>0</v>
          </cell>
          <cell r="AW121">
            <v>0</v>
          </cell>
          <cell r="AX121">
            <v>126.75</v>
          </cell>
          <cell r="AY121">
            <v>0</v>
          </cell>
          <cell r="AZ121">
            <v>0</v>
          </cell>
          <cell r="BA121">
            <v>9.75</v>
          </cell>
          <cell r="BB121">
            <v>0</v>
          </cell>
          <cell r="BC121">
            <v>0</v>
          </cell>
          <cell r="BD121">
            <v>150</v>
          </cell>
          <cell r="BE121">
            <v>0</v>
          </cell>
          <cell r="BF121">
            <v>0</v>
          </cell>
          <cell r="BG121">
            <v>195</v>
          </cell>
          <cell r="BH121">
            <v>0</v>
          </cell>
          <cell r="BI121">
            <v>0</v>
          </cell>
          <cell r="BJ121">
            <v>15</v>
          </cell>
          <cell r="BK121">
            <v>0</v>
          </cell>
          <cell r="BL121">
            <v>8</v>
          </cell>
          <cell r="BM121">
            <v>75</v>
          </cell>
          <cell r="BN121">
            <v>600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9442.5</v>
          </cell>
        </row>
        <row r="122">
          <cell r="C122">
            <v>14273</v>
          </cell>
          <cell r="D122" t="str">
            <v>MAGPANTAY, MYDELYN PASIA</v>
          </cell>
          <cell r="E122" t="str">
            <v>METAL STAMPING</v>
          </cell>
          <cell r="F122" t="str">
            <v>PRODUCTION</v>
          </cell>
          <cell r="G122" t="str">
            <v>Operator</v>
          </cell>
          <cell r="H122" t="str">
            <v>DL</v>
          </cell>
          <cell r="I122">
            <v>104</v>
          </cell>
          <cell r="J122">
            <v>13</v>
          </cell>
          <cell r="K122">
            <v>600</v>
          </cell>
          <cell r="L122">
            <v>7800</v>
          </cell>
          <cell r="M122">
            <v>0</v>
          </cell>
          <cell r="N122">
            <v>1.25</v>
          </cell>
          <cell r="O122">
            <v>0</v>
          </cell>
          <cell r="P122">
            <v>18</v>
          </cell>
          <cell r="Q122">
            <v>93.75</v>
          </cell>
          <cell r="R122">
            <v>1687.5</v>
          </cell>
          <cell r="S122">
            <v>54</v>
          </cell>
          <cell r="T122">
            <v>7.5</v>
          </cell>
          <cell r="U122">
            <v>405</v>
          </cell>
          <cell r="V122">
            <v>14</v>
          </cell>
          <cell r="W122">
            <v>9.375</v>
          </cell>
          <cell r="X122">
            <v>131.25</v>
          </cell>
          <cell r="Y122">
            <v>8</v>
          </cell>
          <cell r="Z122">
            <v>97.5</v>
          </cell>
          <cell r="AA122">
            <v>780</v>
          </cell>
          <cell r="AB122">
            <v>0</v>
          </cell>
          <cell r="AC122">
            <v>126.75</v>
          </cell>
          <cell r="AD122">
            <v>0</v>
          </cell>
          <cell r="AE122">
            <v>0</v>
          </cell>
          <cell r="AF122">
            <v>12.675000000000001</v>
          </cell>
          <cell r="AG122">
            <v>0</v>
          </cell>
          <cell r="AH122">
            <v>0</v>
          </cell>
          <cell r="AI122">
            <v>9.75</v>
          </cell>
          <cell r="AJ122">
            <v>0</v>
          </cell>
          <cell r="AK122">
            <v>0</v>
          </cell>
          <cell r="AL122">
            <v>112.5</v>
          </cell>
          <cell r="AM122">
            <v>0</v>
          </cell>
          <cell r="AN122">
            <v>0</v>
          </cell>
          <cell r="AO122">
            <v>146.25</v>
          </cell>
          <cell r="AP122">
            <v>0</v>
          </cell>
          <cell r="AQ122">
            <v>0</v>
          </cell>
          <cell r="AR122">
            <v>11.25</v>
          </cell>
          <cell r="AS122">
            <v>0</v>
          </cell>
          <cell r="AT122">
            <v>0</v>
          </cell>
          <cell r="AU122">
            <v>97.5</v>
          </cell>
          <cell r="AV122">
            <v>0</v>
          </cell>
          <cell r="AW122">
            <v>0</v>
          </cell>
          <cell r="AX122">
            <v>126.75</v>
          </cell>
          <cell r="AY122">
            <v>0</v>
          </cell>
          <cell r="AZ122">
            <v>0</v>
          </cell>
          <cell r="BA122">
            <v>9.75</v>
          </cell>
          <cell r="BB122">
            <v>0</v>
          </cell>
          <cell r="BC122">
            <v>0</v>
          </cell>
          <cell r="BD122">
            <v>150</v>
          </cell>
          <cell r="BE122">
            <v>0</v>
          </cell>
          <cell r="BF122">
            <v>0</v>
          </cell>
          <cell r="BG122">
            <v>195</v>
          </cell>
          <cell r="BH122">
            <v>0</v>
          </cell>
          <cell r="BI122">
            <v>0</v>
          </cell>
          <cell r="BJ122">
            <v>15</v>
          </cell>
          <cell r="BK122">
            <v>0</v>
          </cell>
          <cell r="BL122">
            <v>8</v>
          </cell>
          <cell r="BM122">
            <v>75</v>
          </cell>
          <cell r="BN122">
            <v>600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11403.75</v>
          </cell>
        </row>
        <row r="123">
          <cell r="C123">
            <v>14275</v>
          </cell>
          <cell r="D123" t="str">
            <v>MAGPAO, JOVEN DINOLAN</v>
          </cell>
          <cell r="E123" t="str">
            <v>METAL STAMPING</v>
          </cell>
          <cell r="F123" t="str">
            <v>PRODUCTION</v>
          </cell>
          <cell r="G123" t="str">
            <v>Operator</v>
          </cell>
          <cell r="H123" t="str">
            <v>DL</v>
          </cell>
          <cell r="I123">
            <v>104</v>
          </cell>
          <cell r="J123">
            <v>13</v>
          </cell>
          <cell r="K123">
            <v>600</v>
          </cell>
          <cell r="L123">
            <v>7800</v>
          </cell>
          <cell r="M123">
            <v>0</v>
          </cell>
          <cell r="N123">
            <v>1.25</v>
          </cell>
          <cell r="O123">
            <v>0</v>
          </cell>
          <cell r="P123">
            <v>22</v>
          </cell>
          <cell r="Q123">
            <v>93.75</v>
          </cell>
          <cell r="R123">
            <v>2062.5</v>
          </cell>
          <cell r="S123">
            <v>24</v>
          </cell>
          <cell r="T123">
            <v>7.5</v>
          </cell>
          <cell r="U123">
            <v>180</v>
          </cell>
          <cell r="V123">
            <v>6</v>
          </cell>
          <cell r="W123">
            <v>9.375</v>
          </cell>
          <cell r="X123">
            <v>56.25</v>
          </cell>
          <cell r="Y123">
            <v>0</v>
          </cell>
          <cell r="Z123">
            <v>97.5</v>
          </cell>
          <cell r="AA123">
            <v>0</v>
          </cell>
          <cell r="AB123">
            <v>0</v>
          </cell>
          <cell r="AC123">
            <v>126.75</v>
          </cell>
          <cell r="AD123">
            <v>0</v>
          </cell>
          <cell r="AE123">
            <v>0</v>
          </cell>
          <cell r="AF123">
            <v>12.675000000000001</v>
          </cell>
          <cell r="AG123">
            <v>0</v>
          </cell>
          <cell r="AH123">
            <v>0</v>
          </cell>
          <cell r="AI123">
            <v>9.75</v>
          </cell>
          <cell r="AJ123">
            <v>0</v>
          </cell>
          <cell r="AK123">
            <v>0</v>
          </cell>
          <cell r="AL123">
            <v>112.5</v>
          </cell>
          <cell r="AM123">
            <v>0</v>
          </cell>
          <cell r="AN123">
            <v>0</v>
          </cell>
          <cell r="AO123">
            <v>146.25</v>
          </cell>
          <cell r="AP123">
            <v>0</v>
          </cell>
          <cell r="AQ123">
            <v>0</v>
          </cell>
          <cell r="AR123">
            <v>11.25</v>
          </cell>
          <cell r="AS123">
            <v>0</v>
          </cell>
          <cell r="AT123">
            <v>0</v>
          </cell>
          <cell r="AU123">
            <v>97.5</v>
          </cell>
          <cell r="AV123">
            <v>0</v>
          </cell>
          <cell r="AW123">
            <v>0</v>
          </cell>
          <cell r="AX123">
            <v>126.75</v>
          </cell>
          <cell r="AY123">
            <v>0</v>
          </cell>
          <cell r="AZ123">
            <v>0</v>
          </cell>
          <cell r="BA123">
            <v>9.75</v>
          </cell>
          <cell r="BB123">
            <v>0</v>
          </cell>
          <cell r="BC123">
            <v>0</v>
          </cell>
          <cell r="BD123">
            <v>150</v>
          </cell>
          <cell r="BE123">
            <v>0</v>
          </cell>
          <cell r="BF123">
            <v>0</v>
          </cell>
          <cell r="BG123">
            <v>195</v>
          </cell>
          <cell r="BH123">
            <v>0</v>
          </cell>
          <cell r="BI123">
            <v>0</v>
          </cell>
          <cell r="BJ123">
            <v>15</v>
          </cell>
          <cell r="BK123">
            <v>0</v>
          </cell>
          <cell r="BL123">
            <v>8</v>
          </cell>
          <cell r="BM123">
            <v>75</v>
          </cell>
          <cell r="BN123">
            <v>600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10698.75</v>
          </cell>
        </row>
        <row r="124">
          <cell r="C124">
            <v>32396</v>
          </cell>
          <cell r="D124" t="str">
            <v>MALIGALIG,JOHN PAUL MENDOZA</v>
          </cell>
          <cell r="E124" t="str">
            <v>METAL STAMPING</v>
          </cell>
          <cell r="F124" t="str">
            <v>PRODUCTION</v>
          </cell>
          <cell r="G124" t="str">
            <v>Operator</v>
          </cell>
          <cell r="H124" t="str">
            <v>IDL</v>
          </cell>
          <cell r="I124">
            <v>40</v>
          </cell>
          <cell r="J124">
            <v>5</v>
          </cell>
          <cell r="K124">
            <v>600</v>
          </cell>
          <cell r="L124">
            <v>3000</v>
          </cell>
          <cell r="M124">
            <v>0</v>
          </cell>
          <cell r="N124">
            <v>1.25</v>
          </cell>
          <cell r="O124">
            <v>0</v>
          </cell>
          <cell r="P124">
            <v>6</v>
          </cell>
          <cell r="Q124">
            <v>93.75</v>
          </cell>
          <cell r="R124">
            <v>562.5</v>
          </cell>
          <cell r="S124">
            <v>12</v>
          </cell>
          <cell r="T124">
            <v>7.5</v>
          </cell>
          <cell r="U124">
            <v>90</v>
          </cell>
          <cell r="V124">
            <v>2</v>
          </cell>
          <cell r="W124">
            <v>9.375</v>
          </cell>
          <cell r="X124">
            <v>18.75</v>
          </cell>
          <cell r="Y124">
            <v>0</v>
          </cell>
          <cell r="Z124">
            <v>97.5</v>
          </cell>
          <cell r="AA124">
            <v>0</v>
          </cell>
          <cell r="AB124">
            <v>0</v>
          </cell>
          <cell r="AC124">
            <v>126.75</v>
          </cell>
          <cell r="AD124">
            <v>0</v>
          </cell>
          <cell r="AE124">
            <v>0</v>
          </cell>
          <cell r="AF124">
            <v>12.675000000000001</v>
          </cell>
          <cell r="AG124">
            <v>0</v>
          </cell>
          <cell r="AH124">
            <v>0</v>
          </cell>
          <cell r="AI124">
            <v>9.75</v>
          </cell>
          <cell r="AJ124">
            <v>0</v>
          </cell>
          <cell r="AK124">
            <v>0</v>
          </cell>
          <cell r="AL124">
            <v>112.5</v>
          </cell>
          <cell r="AM124">
            <v>0</v>
          </cell>
          <cell r="AN124">
            <v>0</v>
          </cell>
          <cell r="AO124">
            <v>146.25</v>
          </cell>
          <cell r="AP124">
            <v>0</v>
          </cell>
          <cell r="AQ124">
            <v>0</v>
          </cell>
          <cell r="AR124">
            <v>11.25</v>
          </cell>
          <cell r="AS124">
            <v>0</v>
          </cell>
          <cell r="AT124">
            <v>0</v>
          </cell>
          <cell r="AU124">
            <v>97.5</v>
          </cell>
          <cell r="AV124">
            <v>0</v>
          </cell>
          <cell r="AW124">
            <v>0</v>
          </cell>
          <cell r="AX124">
            <v>126.75</v>
          </cell>
          <cell r="AY124">
            <v>0</v>
          </cell>
          <cell r="AZ124">
            <v>0</v>
          </cell>
          <cell r="BA124">
            <v>9.75</v>
          </cell>
          <cell r="BB124">
            <v>0</v>
          </cell>
          <cell r="BC124">
            <v>0</v>
          </cell>
          <cell r="BD124">
            <v>150</v>
          </cell>
          <cell r="BE124">
            <v>0</v>
          </cell>
          <cell r="BF124">
            <v>0</v>
          </cell>
          <cell r="BG124">
            <v>195</v>
          </cell>
          <cell r="BH124">
            <v>0</v>
          </cell>
          <cell r="BI124">
            <v>0</v>
          </cell>
          <cell r="BJ124">
            <v>15</v>
          </cell>
          <cell r="BK124">
            <v>0</v>
          </cell>
          <cell r="BL124">
            <v>8</v>
          </cell>
          <cell r="BM124">
            <v>75</v>
          </cell>
          <cell r="BN124">
            <v>600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4271.25</v>
          </cell>
        </row>
        <row r="125">
          <cell r="C125">
            <v>14283</v>
          </cell>
          <cell r="D125" t="str">
            <v>MANALO, CHARRYVELL MADRONIO</v>
          </cell>
          <cell r="E125" t="str">
            <v>METAL STAMPING</v>
          </cell>
          <cell r="F125" t="str">
            <v>PRODUCTION</v>
          </cell>
          <cell r="G125" t="str">
            <v>Operator</v>
          </cell>
          <cell r="H125" t="str">
            <v>IDL</v>
          </cell>
          <cell r="I125">
            <v>96</v>
          </cell>
          <cell r="J125">
            <v>12</v>
          </cell>
          <cell r="K125">
            <v>600</v>
          </cell>
          <cell r="L125">
            <v>7200</v>
          </cell>
          <cell r="M125">
            <v>0</v>
          </cell>
          <cell r="N125">
            <v>1.25</v>
          </cell>
          <cell r="O125">
            <v>0</v>
          </cell>
          <cell r="P125">
            <v>20</v>
          </cell>
          <cell r="Q125">
            <v>93.75</v>
          </cell>
          <cell r="R125">
            <v>1875</v>
          </cell>
          <cell r="S125">
            <v>18</v>
          </cell>
          <cell r="T125">
            <v>7.5</v>
          </cell>
          <cell r="U125">
            <v>135</v>
          </cell>
          <cell r="V125">
            <v>6</v>
          </cell>
          <cell r="W125">
            <v>9.375</v>
          </cell>
          <cell r="X125">
            <v>56.25</v>
          </cell>
          <cell r="Y125">
            <v>0</v>
          </cell>
          <cell r="Z125">
            <v>97.5</v>
          </cell>
          <cell r="AA125">
            <v>0</v>
          </cell>
          <cell r="AB125">
            <v>0</v>
          </cell>
          <cell r="AC125">
            <v>126.75</v>
          </cell>
          <cell r="AD125">
            <v>0</v>
          </cell>
          <cell r="AE125">
            <v>0</v>
          </cell>
          <cell r="AF125">
            <v>12.675000000000001</v>
          </cell>
          <cell r="AG125">
            <v>0</v>
          </cell>
          <cell r="AH125">
            <v>0</v>
          </cell>
          <cell r="AI125">
            <v>9.75</v>
          </cell>
          <cell r="AJ125">
            <v>0</v>
          </cell>
          <cell r="AK125">
            <v>0</v>
          </cell>
          <cell r="AL125">
            <v>112.5</v>
          </cell>
          <cell r="AM125">
            <v>0</v>
          </cell>
          <cell r="AN125">
            <v>0</v>
          </cell>
          <cell r="AO125">
            <v>146.25</v>
          </cell>
          <cell r="AP125">
            <v>0</v>
          </cell>
          <cell r="AQ125">
            <v>0</v>
          </cell>
          <cell r="AR125">
            <v>11.25</v>
          </cell>
          <cell r="AS125">
            <v>0</v>
          </cell>
          <cell r="AT125">
            <v>0</v>
          </cell>
          <cell r="AU125">
            <v>97.5</v>
          </cell>
          <cell r="AV125">
            <v>0</v>
          </cell>
          <cell r="AW125">
            <v>0</v>
          </cell>
          <cell r="AX125">
            <v>126.75</v>
          </cell>
          <cell r="AY125">
            <v>0</v>
          </cell>
          <cell r="AZ125">
            <v>0</v>
          </cell>
          <cell r="BA125">
            <v>9.75</v>
          </cell>
          <cell r="BB125">
            <v>0</v>
          </cell>
          <cell r="BC125">
            <v>0</v>
          </cell>
          <cell r="BD125">
            <v>150</v>
          </cell>
          <cell r="BE125">
            <v>0</v>
          </cell>
          <cell r="BF125">
            <v>0</v>
          </cell>
          <cell r="BG125">
            <v>195</v>
          </cell>
          <cell r="BH125">
            <v>0</v>
          </cell>
          <cell r="BI125">
            <v>0</v>
          </cell>
          <cell r="BJ125">
            <v>15</v>
          </cell>
          <cell r="BK125">
            <v>0</v>
          </cell>
          <cell r="BL125">
            <v>8</v>
          </cell>
          <cell r="BM125">
            <v>75</v>
          </cell>
          <cell r="BN125">
            <v>600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9866.25</v>
          </cell>
        </row>
        <row r="126">
          <cell r="C126">
            <v>14284</v>
          </cell>
          <cell r="D126" t="str">
            <v>MANALO, JACKQUILINE CAMO</v>
          </cell>
          <cell r="E126" t="str">
            <v>METAL STAMPING</v>
          </cell>
          <cell r="F126" t="str">
            <v>PRODUCTION</v>
          </cell>
          <cell r="G126" t="str">
            <v>Operator</v>
          </cell>
          <cell r="H126" t="str">
            <v>DL</v>
          </cell>
          <cell r="I126">
            <v>96</v>
          </cell>
          <cell r="J126">
            <v>12</v>
          </cell>
          <cell r="K126">
            <v>600</v>
          </cell>
          <cell r="L126">
            <v>7200</v>
          </cell>
          <cell r="M126">
            <v>0</v>
          </cell>
          <cell r="N126">
            <v>1.25</v>
          </cell>
          <cell r="O126">
            <v>0</v>
          </cell>
          <cell r="P126">
            <v>18</v>
          </cell>
          <cell r="Q126">
            <v>93.75</v>
          </cell>
          <cell r="R126">
            <v>1687.5</v>
          </cell>
          <cell r="S126">
            <v>24</v>
          </cell>
          <cell r="T126">
            <v>7.5</v>
          </cell>
          <cell r="U126">
            <v>180</v>
          </cell>
          <cell r="V126">
            <v>6</v>
          </cell>
          <cell r="W126">
            <v>9.375</v>
          </cell>
          <cell r="X126">
            <v>56.25</v>
          </cell>
          <cell r="Y126">
            <v>0</v>
          </cell>
          <cell r="Z126">
            <v>97.5</v>
          </cell>
          <cell r="AA126">
            <v>0</v>
          </cell>
          <cell r="AB126">
            <v>0</v>
          </cell>
          <cell r="AC126">
            <v>126.75</v>
          </cell>
          <cell r="AD126">
            <v>0</v>
          </cell>
          <cell r="AE126">
            <v>0</v>
          </cell>
          <cell r="AF126">
            <v>12.675000000000001</v>
          </cell>
          <cell r="AG126">
            <v>0</v>
          </cell>
          <cell r="AH126">
            <v>0</v>
          </cell>
          <cell r="AI126">
            <v>9.75</v>
          </cell>
          <cell r="AJ126">
            <v>0</v>
          </cell>
          <cell r="AK126">
            <v>0</v>
          </cell>
          <cell r="AL126">
            <v>112.5</v>
          </cell>
          <cell r="AM126">
            <v>0</v>
          </cell>
          <cell r="AN126">
            <v>0</v>
          </cell>
          <cell r="AO126">
            <v>146.25</v>
          </cell>
          <cell r="AP126">
            <v>0</v>
          </cell>
          <cell r="AQ126">
            <v>0</v>
          </cell>
          <cell r="AR126">
            <v>11.25</v>
          </cell>
          <cell r="AS126">
            <v>0</v>
          </cell>
          <cell r="AT126">
            <v>0</v>
          </cell>
          <cell r="AU126">
            <v>97.5</v>
          </cell>
          <cell r="AV126">
            <v>0</v>
          </cell>
          <cell r="AW126">
            <v>0</v>
          </cell>
          <cell r="AX126">
            <v>126.75</v>
          </cell>
          <cell r="AY126">
            <v>0</v>
          </cell>
          <cell r="AZ126">
            <v>0</v>
          </cell>
          <cell r="BA126">
            <v>9.75</v>
          </cell>
          <cell r="BB126">
            <v>0</v>
          </cell>
          <cell r="BC126">
            <v>0</v>
          </cell>
          <cell r="BD126">
            <v>150</v>
          </cell>
          <cell r="BE126">
            <v>0</v>
          </cell>
          <cell r="BF126">
            <v>0</v>
          </cell>
          <cell r="BG126">
            <v>195</v>
          </cell>
          <cell r="BH126">
            <v>0</v>
          </cell>
          <cell r="BI126">
            <v>0</v>
          </cell>
          <cell r="BJ126">
            <v>15</v>
          </cell>
          <cell r="BK126">
            <v>0</v>
          </cell>
          <cell r="BL126">
            <v>8</v>
          </cell>
          <cell r="BM126">
            <v>75</v>
          </cell>
          <cell r="BN126">
            <v>600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9723.75</v>
          </cell>
        </row>
        <row r="127">
          <cell r="C127">
            <v>14285</v>
          </cell>
          <cell r="D127" t="str">
            <v>MANALO, JOHN LESTER ROMERO</v>
          </cell>
          <cell r="E127" t="str">
            <v>METAL STAMPING</v>
          </cell>
          <cell r="F127" t="str">
            <v>PRODUCTION</v>
          </cell>
          <cell r="G127" t="str">
            <v>Operator</v>
          </cell>
          <cell r="H127" t="str">
            <v>IDL</v>
          </cell>
          <cell r="I127">
            <v>104</v>
          </cell>
          <cell r="J127">
            <v>13</v>
          </cell>
          <cell r="K127">
            <v>600</v>
          </cell>
          <cell r="L127">
            <v>7800</v>
          </cell>
          <cell r="M127">
            <v>0</v>
          </cell>
          <cell r="N127">
            <v>1.25</v>
          </cell>
          <cell r="O127">
            <v>0</v>
          </cell>
          <cell r="P127">
            <v>20</v>
          </cell>
          <cell r="Q127">
            <v>93.75</v>
          </cell>
          <cell r="R127">
            <v>1875</v>
          </cell>
          <cell r="S127">
            <v>24</v>
          </cell>
          <cell r="T127">
            <v>7.5</v>
          </cell>
          <cell r="U127">
            <v>180</v>
          </cell>
          <cell r="V127">
            <v>6</v>
          </cell>
          <cell r="W127">
            <v>9.375</v>
          </cell>
          <cell r="X127">
            <v>56.25</v>
          </cell>
          <cell r="Y127">
            <v>0</v>
          </cell>
          <cell r="Z127">
            <v>97.5</v>
          </cell>
          <cell r="AA127">
            <v>0</v>
          </cell>
          <cell r="AB127">
            <v>0</v>
          </cell>
          <cell r="AC127">
            <v>126.75</v>
          </cell>
          <cell r="AD127">
            <v>0</v>
          </cell>
          <cell r="AE127">
            <v>0</v>
          </cell>
          <cell r="AF127">
            <v>12.675000000000001</v>
          </cell>
          <cell r="AG127">
            <v>0</v>
          </cell>
          <cell r="AH127">
            <v>0</v>
          </cell>
          <cell r="AI127">
            <v>9.75</v>
          </cell>
          <cell r="AJ127">
            <v>0</v>
          </cell>
          <cell r="AK127">
            <v>0</v>
          </cell>
          <cell r="AL127">
            <v>112.5</v>
          </cell>
          <cell r="AM127">
            <v>0</v>
          </cell>
          <cell r="AN127">
            <v>0</v>
          </cell>
          <cell r="AO127">
            <v>146.25</v>
          </cell>
          <cell r="AP127">
            <v>0</v>
          </cell>
          <cell r="AQ127">
            <v>0</v>
          </cell>
          <cell r="AR127">
            <v>11.25</v>
          </cell>
          <cell r="AS127">
            <v>0</v>
          </cell>
          <cell r="AT127">
            <v>0</v>
          </cell>
          <cell r="AU127">
            <v>97.5</v>
          </cell>
          <cell r="AV127">
            <v>0</v>
          </cell>
          <cell r="AW127">
            <v>0</v>
          </cell>
          <cell r="AX127">
            <v>126.75</v>
          </cell>
          <cell r="AY127">
            <v>0</v>
          </cell>
          <cell r="AZ127">
            <v>0</v>
          </cell>
          <cell r="BA127">
            <v>9.75</v>
          </cell>
          <cell r="BB127">
            <v>0</v>
          </cell>
          <cell r="BC127">
            <v>0</v>
          </cell>
          <cell r="BD127">
            <v>150</v>
          </cell>
          <cell r="BE127">
            <v>0</v>
          </cell>
          <cell r="BF127">
            <v>0</v>
          </cell>
          <cell r="BG127">
            <v>195</v>
          </cell>
          <cell r="BH127">
            <v>0</v>
          </cell>
          <cell r="BI127">
            <v>0</v>
          </cell>
          <cell r="BJ127">
            <v>15</v>
          </cell>
          <cell r="BK127">
            <v>0</v>
          </cell>
          <cell r="BL127">
            <v>8</v>
          </cell>
          <cell r="BM127">
            <v>75</v>
          </cell>
          <cell r="BN127">
            <v>600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10511.25</v>
          </cell>
        </row>
        <row r="128">
          <cell r="C128">
            <v>11806</v>
          </cell>
          <cell r="D128" t="str">
            <v>MANCILLA, JOHN RAFAEL TONGA</v>
          </cell>
          <cell r="E128" t="str">
            <v>METAL STAMPING</v>
          </cell>
          <cell r="F128" t="str">
            <v>PRODUCTION</v>
          </cell>
          <cell r="G128" t="str">
            <v>Operator</v>
          </cell>
          <cell r="H128" t="str">
            <v>IDL</v>
          </cell>
          <cell r="I128">
            <v>40</v>
          </cell>
          <cell r="J128">
            <v>5</v>
          </cell>
          <cell r="K128">
            <v>600</v>
          </cell>
          <cell r="L128">
            <v>3000</v>
          </cell>
          <cell r="M128">
            <v>7</v>
          </cell>
          <cell r="N128">
            <v>1.25</v>
          </cell>
          <cell r="O128">
            <v>-8.75</v>
          </cell>
          <cell r="P128">
            <v>8</v>
          </cell>
          <cell r="Q128">
            <v>93.75</v>
          </cell>
          <cell r="R128">
            <v>750</v>
          </cell>
          <cell r="S128">
            <v>18</v>
          </cell>
          <cell r="T128">
            <v>7.5</v>
          </cell>
          <cell r="U128">
            <v>135</v>
          </cell>
          <cell r="V128">
            <v>4</v>
          </cell>
          <cell r="W128">
            <v>9.375</v>
          </cell>
          <cell r="X128">
            <v>37.5</v>
          </cell>
          <cell r="Y128">
            <v>0</v>
          </cell>
          <cell r="Z128">
            <v>97.5</v>
          </cell>
          <cell r="AA128">
            <v>0</v>
          </cell>
          <cell r="AB128">
            <v>0</v>
          </cell>
          <cell r="AC128">
            <v>126.75</v>
          </cell>
          <cell r="AD128">
            <v>0</v>
          </cell>
          <cell r="AE128">
            <v>0</v>
          </cell>
          <cell r="AF128">
            <v>12.675000000000001</v>
          </cell>
          <cell r="AG128">
            <v>0</v>
          </cell>
          <cell r="AH128">
            <v>0</v>
          </cell>
          <cell r="AI128">
            <v>9.75</v>
          </cell>
          <cell r="AJ128">
            <v>0</v>
          </cell>
          <cell r="AK128">
            <v>0</v>
          </cell>
          <cell r="AL128">
            <v>112.5</v>
          </cell>
          <cell r="AM128">
            <v>0</v>
          </cell>
          <cell r="AN128">
            <v>0</v>
          </cell>
          <cell r="AO128">
            <v>146.25</v>
          </cell>
          <cell r="AP128">
            <v>0</v>
          </cell>
          <cell r="AQ128">
            <v>0</v>
          </cell>
          <cell r="AR128">
            <v>11.25</v>
          </cell>
          <cell r="AS128">
            <v>0</v>
          </cell>
          <cell r="AT128">
            <v>0</v>
          </cell>
          <cell r="AU128">
            <v>97.5</v>
          </cell>
          <cell r="AV128">
            <v>0</v>
          </cell>
          <cell r="AW128">
            <v>0</v>
          </cell>
          <cell r="AX128">
            <v>126.75</v>
          </cell>
          <cell r="AY128">
            <v>0</v>
          </cell>
          <cell r="AZ128">
            <v>0</v>
          </cell>
          <cell r="BA128">
            <v>9.75</v>
          </cell>
          <cell r="BB128">
            <v>0</v>
          </cell>
          <cell r="BC128">
            <v>0</v>
          </cell>
          <cell r="BD128">
            <v>150</v>
          </cell>
          <cell r="BE128">
            <v>0</v>
          </cell>
          <cell r="BF128">
            <v>0</v>
          </cell>
          <cell r="BG128">
            <v>195</v>
          </cell>
          <cell r="BH128">
            <v>0</v>
          </cell>
          <cell r="BI128">
            <v>0</v>
          </cell>
          <cell r="BJ128">
            <v>15</v>
          </cell>
          <cell r="BK128">
            <v>0</v>
          </cell>
          <cell r="BL128">
            <v>8</v>
          </cell>
          <cell r="BM128">
            <v>75</v>
          </cell>
          <cell r="BN128">
            <v>600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4513.75</v>
          </cell>
        </row>
        <row r="129">
          <cell r="C129">
            <v>14288</v>
          </cell>
          <cell r="D129" t="str">
            <v>MANGARIALES, GERARDOJR CAMPOS</v>
          </cell>
          <cell r="E129" t="str">
            <v>METAL STAMPING</v>
          </cell>
          <cell r="F129" t="str">
            <v>PRODUCTION</v>
          </cell>
          <cell r="G129" t="str">
            <v>Operator</v>
          </cell>
          <cell r="H129" t="str">
            <v>DL</v>
          </cell>
          <cell r="I129">
            <v>84</v>
          </cell>
          <cell r="J129">
            <v>10.5</v>
          </cell>
          <cell r="K129">
            <v>600</v>
          </cell>
          <cell r="L129">
            <v>6300</v>
          </cell>
          <cell r="M129">
            <v>18</v>
          </cell>
          <cell r="N129">
            <v>1.25</v>
          </cell>
          <cell r="O129">
            <v>-22.5</v>
          </cell>
          <cell r="P129">
            <v>37</v>
          </cell>
          <cell r="Q129">
            <v>93.75</v>
          </cell>
          <cell r="R129">
            <v>3468.75</v>
          </cell>
          <cell r="S129">
            <v>62</v>
          </cell>
          <cell r="T129">
            <v>7.5</v>
          </cell>
          <cell r="U129">
            <v>465</v>
          </cell>
          <cell r="V129">
            <v>20</v>
          </cell>
          <cell r="W129">
            <v>9.375</v>
          </cell>
          <cell r="X129">
            <v>187.5</v>
          </cell>
          <cell r="Y129">
            <v>0</v>
          </cell>
          <cell r="Z129">
            <v>97.5</v>
          </cell>
          <cell r="AA129">
            <v>0</v>
          </cell>
          <cell r="AB129">
            <v>0</v>
          </cell>
          <cell r="AC129">
            <v>126.75</v>
          </cell>
          <cell r="AD129">
            <v>0</v>
          </cell>
          <cell r="AE129">
            <v>0</v>
          </cell>
          <cell r="AF129">
            <v>12.675000000000001</v>
          </cell>
          <cell r="AG129">
            <v>0</v>
          </cell>
          <cell r="AH129">
            <v>0</v>
          </cell>
          <cell r="AI129">
            <v>9.75</v>
          </cell>
          <cell r="AJ129">
            <v>0</v>
          </cell>
          <cell r="AK129">
            <v>0</v>
          </cell>
          <cell r="AL129">
            <v>112.5</v>
          </cell>
          <cell r="AM129">
            <v>0</v>
          </cell>
          <cell r="AN129">
            <v>0</v>
          </cell>
          <cell r="AO129">
            <v>146.25</v>
          </cell>
          <cell r="AP129">
            <v>0</v>
          </cell>
          <cell r="AQ129">
            <v>0</v>
          </cell>
          <cell r="AR129">
            <v>11.25</v>
          </cell>
          <cell r="AS129">
            <v>0</v>
          </cell>
          <cell r="AT129">
            <v>0</v>
          </cell>
          <cell r="AU129">
            <v>97.5</v>
          </cell>
          <cell r="AV129">
            <v>0</v>
          </cell>
          <cell r="AW129">
            <v>0</v>
          </cell>
          <cell r="AX129">
            <v>126.75</v>
          </cell>
          <cell r="AY129">
            <v>0</v>
          </cell>
          <cell r="AZ129">
            <v>0</v>
          </cell>
          <cell r="BA129">
            <v>9.75</v>
          </cell>
          <cell r="BB129">
            <v>0</v>
          </cell>
          <cell r="BC129">
            <v>0</v>
          </cell>
          <cell r="BD129">
            <v>150</v>
          </cell>
          <cell r="BE129">
            <v>0</v>
          </cell>
          <cell r="BF129">
            <v>0</v>
          </cell>
          <cell r="BG129">
            <v>195</v>
          </cell>
          <cell r="BH129">
            <v>0</v>
          </cell>
          <cell r="BI129">
            <v>0</v>
          </cell>
          <cell r="BJ129">
            <v>15</v>
          </cell>
          <cell r="BK129">
            <v>0</v>
          </cell>
          <cell r="BL129">
            <v>8</v>
          </cell>
          <cell r="BM129">
            <v>75</v>
          </cell>
          <cell r="BN129">
            <v>600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10998.75</v>
          </cell>
        </row>
        <row r="130">
          <cell r="C130">
            <v>32505</v>
          </cell>
          <cell r="D130" t="str">
            <v>MANITO, AEJAY</v>
          </cell>
          <cell r="E130" t="str">
            <v>METAL STAMPING</v>
          </cell>
          <cell r="F130" t="str">
            <v>PRODUCTION</v>
          </cell>
          <cell r="G130" t="str">
            <v>Operator</v>
          </cell>
          <cell r="H130" t="str">
            <v>DL</v>
          </cell>
          <cell r="I130">
            <v>88</v>
          </cell>
          <cell r="J130">
            <v>11</v>
          </cell>
          <cell r="K130">
            <v>600</v>
          </cell>
          <cell r="L130">
            <v>6600</v>
          </cell>
          <cell r="M130">
            <v>4</v>
          </cell>
          <cell r="N130">
            <v>1.25</v>
          </cell>
          <cell r="O130">
            <v>-5</v>
          </cell>
          <cell r="P130">
            <v>14</v>
          </cell>
          <cell r="Q130">
            <v>93.75</v>
          </cell>
          <cell r="R130">
            <v>1312.5</v>
          </cell>
          <cell r="S130">
            <v>42</v>
          </cell>
          <cell r="T130">
            <v>7.5</v>
          </cell>
          <cell r="U130">
            <v>315</v>
          </cell>
          <cell r="V130">
            <v>12</v>
          </cell>
          <cell r="W130">
            <v>9.375</v>
          </cell>
          <cell r="X130">
            <v>112.5</v>
          </cell>
          <cell r="Y130">
            <v>8</v>
          </cell>
          <cell r="Z130">
            <v>97.5</v>
          </cell>
          <cell r="AA130">
            <v>780</v>
          </cell>
          <cell r="AB130">
            <v>0</v>
          </cell>
          <cell r="AC130">
            <v>126.75</v>
          </cell>
          <cell r="AD130">
            <v>0</v>
          </cell>
          <cell r="AE130">
            <v>0</v>
          </cell>
          <cell r="AF130">
            <v>12.675000000000001</v>
          </cell>
          <cell r="AG130">
            <v>0</v>
          </cell>
          <cell r="AH130">
            <v>0</v>
          </cell>
          <cell r="AI130">
            <v>9.75</v>
          </cell>
          <cell r="AJ130">
            <v>0</v>
          </cell>
          <cell r="AK130">
            <v>0</v>
          </cell>
          <cell r="AL130">
            <v>112.5</v>
          </cell>
          <cell r="AM130">
            <v>0</v>
          </cell>
          <cell r="AN130">
            <v>0</v>
          </cell>
          <cell r="AO130">
            <v>146.25</v>
          </cell>
          <cell r="AP130">
            <v>0</v>
          </cell>
          <cell r="AQ130">
            <v>0</v>
          </cell>
          <cell r="AR130">
            <v>11.25</v>
          </cell>
          <cell r="AS130">
            <v>0</v>
          </cell>
          <cell r="AT130">
            <v>0</v>
          </cell>
          <cell r="AU130">
            <v>97.5</v>
          </cell>
          <cell r="AV130">
            <v>0</v>
          </cell>
          <cell r="AW130">
            <v>0</v>
          </cell>
          <cell r="AX130">
            <v>126.75</v>
          </cell>
          <cell r="AY130">
            <v>0</v>
          </cell>
          <cell r="AZ130">
            <v>0</v>
          </cell>
          <cell r="BA130">
            <v>9.75</v>
          </cell>
          <cell r="BB130">
            <v>0</v>
          </cell>
          <cell r="BC130">
            <v>0</v>
          </cell>
          <cell r="BD130">
            <v>150</v>
          </cell>
          <cell r="BE130">
            <v>0</v>
          </cell>
          <cell r="BF130">
            <v>0</v>
          </cell>
          <cell r="BG130">
            <v>195</v>
          </cell>
          <cell r="BH130">
            <v>0</v>
          </cell>
          <cell r="BI130">
            <v>0</v>
          </cell>
          <cell r="BJ130">
            <v>15</v>
          </cell>
          <cell r="BK130">
            <v>0</v>
          </cell>
          <cell r="BL130">
            <v>8</v>
          </cell>
          <cell r="BM130">
            <v>75</v>
          </cell>
          <cell r="BN130">
            <v>600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9715</v>
          </cell>
        </row>
        <row r="131">
          <cell r="C131">
            <v>32488</v>
          </cell>
          <cell r="D131" t="str">
            <v>MANLONGAT, AMYLITA JAMILLA</v>
          </cell>
          <cell r="E131" t="str">
            <v>METAL STAMPING</v>
          </cell>
          <cell r="F131" t="str">
            <v>PRODUCTION</v>
          </cell>
          <cell r="G131" t="str">
            <v>Operator</v>
          </cell>
          <cell r="H131" t="str">
            <v>DL</v>
          </cell>
          <cell r="I131">
            <v>104</v>
          </cell>
          <cell r="J131">
            <v>13</v>
          </cell>
          <cell r="K131">
            <v>600</v>
          </cell>
          <cell r="L131">
            <v>7800</v>
          </cell>
          <cell r="M131">
            <v>3</v>
          </cell>
          <cell r="N131">
            <v>1.25</v>
          </cell>
          <cell r="O131">
            <v>-3.75</v>
          </cell>
          <cell r="P131">
            <v>10</v>
          </cell>
          <cell r="Q131">
            <v>93.75</v>
          </cell>
          <cell r="R131">
            <v>937.5</v>
          </cell>
          <cell r="S131">
            <v>0</v>
          </cell>
          <cell r="T131">
            <v>7.5</v>
          </cell>
          <cell r="U131">
            <v>0</v>
          </cell>
          <cell r="V131">
            <v>0</v>
          </cell>
          <cell r="W131">
            <v>9.375</v>
          </cell>
          <cell r="X131">
            <v>0</v>
          </cell>
          <cell r="Y131">
            <v>8</v>
          </cell>
          <cell r="Z131">
            <v>97.5</v>
          </cell>
          <cell r="AA131">
            <v>780</v>
          </cell>
          <cell r="AB131">
            <v>0</v>
          </cell>
          <cell r="AC131">
            <v>126.75</v>
          </cell>
          <cell r="AD131">
            <v>0</v>
          </cell>
          <cell r="AE131">
            <v>0</v>
          </cell>
          <cell r="AF131">
            <v>12.675000000000001</v>
          </cell>
          <cell r="AG131">
            <v>0</v>
          </cell>
          <cell r="AH131">
            <v>0</v>
          </cell>
          <cell r="AI131">
            <v>9.75</v>
          </cell>
          <cell r="AJ131">
            <v>0</v>
          </cell>
          <cell r="AK131">
            <v>0</v>
          </cell>
          <cell r="AL131">
            <v>112.5</v>
          </cell>
          <cell r="AM131">
            <v>0</v>
          </cell>
          <cell r="AN131">
            <v>0</v>
          </cell>
          <cell r="AO131">
            <v>146.25</v>
          </cell>
          <cell r="AP131">
            <v>0</v>
          </cell>
          <cell r="AQ131">
            <v>0</v>
          </cell>
          <cell r="AR131">
            <v>11.25</v>
          </cell>
          <cell r="AS131">
            <v>0</v>
          </cell>
          <cell r="AT131">
            <v>0</v>
          </cell>
          <cell r="AU131">
            <v>97.5</v>
          </cell>
          <cell r="AV131">
            <v>0</v>
          </cell>
          <cell r="AW131">
            <v>0</v>
          </cell>
          <cell r="AX131">
            <v>126.75</v>
          </cell>
          <cell r="AY131">
            <v>0</v>
          </cell>
          <cell r="AZ131">
            <v>0</v>
          </cell>
          <cell r="BA131">
            <v>9.75</v>
          </cell>
          <cell r="BB131">
            <v>0</v>
          </cell>
          <cell r="BC131">
            <v>0</v>
          </cell>
          <cell r="BD131">
            <v>150</v>
          </cell>
          <cell r="BE131">
            <v>0</v>
          </cell>
          <cell r="BF131">
            <v>0</v>
          </cell>
          <cell r="BG131">
            <v>195</v>
          </cell>
          <cell r="BH131">
            <v>0</v>
          </cell>
          <cell r="BI131">
            <v>0</v>
          </cell>
          <cell r="BJ131">
            <v>15</v>
          </cell>
          <cell r="BK131">
            <v>0</v>
          </cell>
          <cell r="BL131">
            <v>8</v>
          </cell>
          <cell r="BM131">
            <v>75</v>
          </cell>
          <cell r="BN131">
            <v>600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10113.75</v>
          </cell>
        </row>
        <row r="132">
          <cell r="C132">
            <v>32517</v>
          </cell>
          <cell r="D132" t="str">
            <v>MANZANILLA, EDDYLYN</v>
          </cell>
          <cell r="E132" t="str">
            <v>METAL STAMPING</v>
          </cell>
          <cell r="F132" t="str">
            <v>PRODUCTION</v>
          </cell>
          <cell r="G132" t="str">
            <v>Operator</v>
          </cell>
          <cell r="H132" t="str">
            <v>DL</v>
          </cell>
          <cell r="I132">
            <v>0</v>
          </cell>
          <cell r="J132">
            <v>0</v>
          </cell>
          <cell r="K132">
            <v>600</v>
          </cell>
          <cell r="L132">
            <v>0</v>
          </cell>
          <cell r="M132">
            <v>0</v>
          </cell>
          <cell r="N132">
            <v>1.25</v>
          </cell>
          <cell r="O132">
            <v>0</v>
          </cell>
          <cell r="P132">
            <v>0</v>
          </cell>
          <cell r="Q132">
            <v>93.75</v>
          </cell>
          <cell r="R132">
            <v>0</v>
          </cell>
          <cell r="S132">
            <v>0</v>
          </cell>
          <cell r="T132">
            <v>7.5</v>
          </cell>
          <cell r="U132">
            <v>0</v>
          </cell>
          <cell r="V132">
            <v>0</v>
          </cell>
          <cell r="W132">
            <v>9.375</v>
          </cell>
          <cell r="X132">
            <v>0</v>
          </cell>
          <cell r="Y132">
            <v>0</v>
          </cell>
          <cell r="Z132">
            <v>97.5</v>
          </cell>
          <cell r="AA132">
            <v>0</v>
          </cell>
          <cell r="AB132">
            <v>0</v>
          </cell>
          <cell r="AC132">
            <v>126.75</v>
          </cell>
          <cell r="AD132">
            <v>0</v>
          </cell>
          <cell r="AE132">
            <v>0</v>
          </cell>
          <cell r="AF132">
            <v>12.675000000000001</v>
          </cell>
          <cell r="AG132">
            <v>0</v>
          </cell>
          <cell r="AH132">
            <v>0</v>
          </cell>
          <cell r="AI132">
            <v>9.75</v>
          </cell>
          <cell r="AJ132">
            <v>0</v>
          </cell>
          <cell r="AK132">
            <v>0</v>
          </cell>
          <cell r="AL132">
            <v>112.5</v>
          </cell>
          <cell r="AM132">
            <v>0</v>
          </cell>
          <cell r="AN132">
            <v>0</v>
          </cell>
          <cell r="AO132">
            <v>146.25</v>
          </cell>
          <cell r="AP132">
            <v>0</v>
          </cell>
          <cell r="AQ132">
            <v>0</v>
          </cell>
          <cell r="AR132">
            <v>11.25</v>
          </cell>
          <cell r="AS132">
            <v>0</v>
          </cell>
          <cell r="AT132">
            <v>0</v>
          </cell>
          <cell r="AU132">
            <v>97.5</v>
          </cell>
          <cell r="AV132">
            <v>0</v>
          </cell>
          <cell r="AW132">
            <v>0</v>
          </cell>
          <cell r="AX132">
            <v>126.75</v>
          </cell>
          <cell r="AY132">
            <v>0</v>
          </cell>
          <cell r="AZ132">
            <v>0</v>
          </cell>
          <cell r="BA132">
            <v>9.75</v>
          </cell>
          <cell r="BB132">
            <v>0</v>
          </cell>
          <cell r="BC132">
            <v>0</v>
          </cell>
          <cell r="BD132">
            <v>150</v>
          </cell>
          <cell r="BE132">
            <v>0</v>
          </cell>
          <cell r="BF132">
            <v>0</v>
          </cell>
          <cell r="BG132">
            <v>195</v>
          </cell>
          <cell r="BH132">
            <v>0</v>
          </cell>
          <cell r="BI132">
            <v>0</v>
          </cell>
          <cell r="BJ132">
            <v>15</v>
          </cell>
          <cell r="BK132">
            <v>0</v>
          </cell>
          <cell r="BL132">
            <v>0</v>
          </cell>
          <cell r="BM132">
            <v>75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</row>
        <row r="133">
          <cell r="C133">
            <v>14291</v>
          </cell>
          <cell r="D133" t="str">
            <v>MAQUINIANA, REYMAR BIO</v>
          </cell>
          <cell r="E133" t="str">
            <v>METAL STAMPING</v>
          </cell>
          <cell r="F133" t="str">
            <v>PRODUCTION</v>
          </cell>
          <cell r="G133" t="str">
            <v>Operator</v>
          </cell>
          <cell r="H133" t="str">
            <v>IDL</v>
          </cell>
          <cell r="I133">
            <v>104</v>
          </cell>
          <cell r="J133">
            <v>13</v>
          </cell>
          <cell r="K133">
            <v>600</v>
          </cell>
          <cell r="L133">
            <v>7800</v>
          </cell>
          <cell r="M133">
            <v>0</v>
          </cell>
          <cell r="N133">
            <v>1.25</v>
          </cell>
          <cell r="O133">
            <v>0</v>
          </cell>
          <cell r="P133">
            <v>20</v>
          </cell>
          <cell r="Q133">
            <v>93.75</v>
          </cell>
          <cell r="R133">
            <v>1875</v>
          </cell>
          <cell r="S133">
            <v>54</v>
          </cell>
          <cell r="T133">
            <v>7.5</v>
          </cell>
          <cell r="U133">
            <v>405</v>
          </cell>
          <cell r="V133">
            <v>16</v>
          </cell>
          <cell r="W133">
            <v>9.375</v>
          </cell>
          <cell r="X133">
            <v>150</v>
          </cell>
          <cell r="Y133">
            <v>8</v>
          </cell>
          <cell r="Z133">
            <v>97.5</v>
          </cell>
          <cell r="AA133">
            <v>780</v>
          </cell>
          <cell r="AB133">
            <v>0</v>
          </cell>
          <cell r="AC133">
            <v>126.75</v>
          </cell>
          <cell r="AD133">
            <v>0</v>
          </cell>
          <cell r="AE133">
            <v>0</v>
          </cell>
          <cell r="AF133">
            <v>12.675000000000001</v>
          </cell>
          <cell r="AG133">
            <v>0</v>
          </cell>
          <cell r="AH133">
            <v>0</v>
          </cell>
          <cell r="AI133">
            <v>9.75</v>
          </cell>
          <cell r="AJ133">
            <v>0</v>
          </cell>
          <cell r="AK133">
            <v>0</v>
          </cell>
          <cell r="AL133">
            <v>112.5</v>
          </cell>
          <cell r="AM133">
            <v>0</v>
          </cell>
          <cell r="AN133">
            <v>0</v>
          </cell>
          <cell r="AO133">
            <v>146.25</v>
          </cell>
          <cell r="AP133">
            <v>0</v>
          </cell>
          <cell r="AQ133">
            <v>0</v>
          </cell>
          <cell r="AR133">
            <v>11.25</v>
          </cell>
          <cell r="AS133">
            <v>0</v>
          </cell>
          <cell r="AT133">
            <v>0</v>
          </cell>
          <cell r="AU133">
            <v>97.5</v>
          </cell>
          <cell r="AV133">
            <v>0</v>
          </cell>
          <cell r="AW133">
            <v>0</v>
          </cell>
          <cell r="AX133">
            <v>126.75</v>
          </cell>
          <cell r="AY133">
            <v>0</v>
          </cell>
          <cell r="AZ133">
            <v>0</v>
          </cell>
          <cell r="BA133">
            <v>9.75</v>
          </cell>
          <cell r="BB133">
            <v>0</v>
          </cell>
          <cell r="BC133">
            <v>0</v>
          </cell>
          <cell r="BD133">
            <v>150</v>
          </cell>
          <cell r="BE133">
            <v>0</v>
          </cell>
          <cell r="BF133">
            <v>0</v>
          </cell>
          <cell r="BG133">
            <v>195</v>
          </cell>
          <cell r="BH133">
            <v>0</v>
          </cell>
          <cell r="BI133">
            <v>0</v>
          </cell>
          <cell r="BJ133">
            <v>15</v>
          </cell>
          <cell r="BK133">
            <v>0</v>
          </cell>
          <cell r="BL133">
            <v>8</v>
          </cell>
          <cell r="BM133">
            <v>75</v>
          </cell>
          <cell r="BN133">
            <v>600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11610</v>
          </cell>
        </row>
        <row r="134">
          <cell r="C134">
            <v>32495</v>
          </cell>
          <cell r="D134" t="str">
            <v>MARQUEZ, DAN ADHEL</v>
          </cell>
          <cell r="E134" t="str">
            <v>METAL STAMPING</v>
          </cell>
          <cell r="F134" t="str">
            <v>PRODUCTION</v>
          </cell>
          <cell r="G134" t="str">
            <v>Operator</v>
          </cell>
          <cell r="H134" t="str">
            <v>DL</v>
          </cell>
          <cell r="I134">
            <v>56</v>
          </cell>
          <cell r="J134">
            <v>7</v>
          </cell>
          <cell r="K134">
            <v>600</v>
          </cell>
          <cell r="L134">
            <v>4200</v>
          </cell>
          <cell r="M134">
            <v>3</v>
          </cell>
          <cell r="N134">
            <v>1.25</v>
          </cell>
          <cell r="O134">
            <v>-3.75</v>
          </cell>
          <cell r="P134">
            <v>6</v>
          </cell>
          <cell r="Q134">
            <v>93.75</v>
          </cell>
          <cell r="R134">
            <v>562.5</v>
          </cell>
          <cell r="S134">
            <v>18</v>
          </cell>
          <cell r="T134">
            <v>7.5</v>
          </cell>
          <cell r="U134">
            <v>135</v>
          </cell>
          <cell r="V134">
            <v>2</v>
          </cell>
          <cell r="W134">
            <v>9.375</v>
          </cell>
          <cell r="X134">
            <v>18.75</v>
          </cell>
          <cell r="Y134">
            <v>8</v>
          </cell>
          <cell r="Z134">
            <v>97.5</v>
          </cell>
          <cell r="AA134">
            <v>780</v>
          </cell>
          <cell r="AB134">
            <v>0</v>
          </cell>
          <cell r="AC134">
            <v>126.75</v>
          </cell>
          <cell r="AD134">
            <v>0</v>
          </cell>
          <cell r="AE134">
            <v>0</v>
          </cell>
          <cell r="AF134">
            <v>12.675000000000001</v>
          </cell>
          <cell r="AG134">
            <v>0</v>
          </cell>
          <cell r="AH134">
            <v>0</v>
          </cell>
          <cell r="AI134">
            <v>9.75</v>
          </cell>
          <cell r="AJ134">
            <v>0</v>
          </cell>
          <cell r="AK134">
            <v>0</v>
          </cell>
          <cell r="AL134">
            <v>112.5</v>
          </cell>
          <cell r="AM134">
            <v>0</v>
          </cell>
          <cell r="AN134">
            <v>0</v>
          </cell>
          <cell r="AO134">
            <v>146.25</v>
          </cell>
          <cell r="AP134">
            <v>0</v>
          </cell>
          <cell r="AQ134">
            <v>0</v>
          </cell>
          <cell r="AR134">
            <v>11.25</v>
          </cell>
          <cell r="AS134">
            <v>0</v>
          </cell>
          <cell r="AT134">
            <v>0</v>
          </cell>
          <cell r="AU134">
            <v>97.5</v>
          </cell>
          <cell r="AV134">
            <v>0</v>
          </cell>
          <cell r="AW134">
            <v>0</v>
          </cell>
          <cell r="AX134">
            <v>126.75</v>
          </cell>
          <cell r="AY134">
            <v>0</v>
          </cell>
          <cell r="AZ134">
            <v>0</v>
          </cell>
          <cell r="BA134">
            <v>9.75</v>
          </cell>
          <cell r="BB134">
            <v>0</v>
          </cell>
          <cell r="BC134">
            <v>0</v>
          </cell>
          <cell r="BD134">
            <v>150</v>
          </cell>
          <cell r="BE134">
            <v>0</v>
          </cell>
          <cell r="BF134">
            <v>0</v>
          </cell>
          <cell r="BG134">
            <v>195</v>
          </cell>
          <cell r="BH134">
            <v>0</v>
          </cell>
          <cell r="BI134">
            <v>0</v>
          </cell>
          <cell r="BJ134">
            <v>15</v>
          </cell>
          <cell r="BK134">
            <v>0</v>
          </cell>
          <cell r="BL134">
            <v>8</v>
          </cell>
          <cell r="BM134">
            <v>75</v>
          </cell>
          <cell r="BN134">
            <v>600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6292.5</v>
          </cell>
        </row>
        <row r="135">
          <cell r="C135">
            <v>32496</v>
          </cell>
          <cell r="D135" t="str">
            <v>MARQUEZ, DAN ARON</v>
          </cell>
          <cell r="E135" t="str">
            <v>METAL STAMPING</v>
          </cell>
          <cell r="F135" t="str">
            <v>PRODUCTION</v>
          </cell>
          <cell r="G135" t="str">
            <v>Operator</v>
          </cell>
          <cell r="H135" t="str">
            <v>IDL</v>
          </cell>
          <cell r="I135">
            <v>56</v>
          </cell>
          <cell r="J135">
            <v>7</v>
          </cell>
          <cell r="K135">
            <v>600</v>
          </cell>
          <cell r="L135">
            <v>4200</v>
          </cell>
          <cell r="M135">
            <v>2</v>
          </cell>
          <cell r="N135">
            <v>1.25</v>
          </cell>
          <cell r="O135">
            <v>-2.5</v>
          </cell>
          <cell r="P135">
            <v>10</v>
          </cell>
          <cell r="Q135">
            <v>93.75</v>
          </cell>
          <cell r="R135">
            <v>937.5</v>
          </cell>
          <cell r="S135">
            <v>18</v>
          </cell>
          <cell r="T135">
            <v>7.5</v>
          </cell>
          <cell r="U135">
            <v>135</v>
          </cell>
          <cell r="V135">
            <v>6</v>
          </cell>
          <cell r="W135">
            <v>9.375</v>
          </cell>
          <cell r="X135">
            <v>56.25</v>
          </cell>
          <cell r="Y135">
            <v>8</v>
          </cell>
          <cell r="Z135">
            <v>97.5</v>
          </cell>
          <cell r="AA135">
            <v>780</v>
          </cell>
          <cell r="AB135">
            <v>0</v>
          </cell>
          <cell r="AC135">
            <v>126.75</v>
          </cell>
          <cell r="AD135">
            <v>0</v>
          </cell>
          <cell r="AE135">
            <v>0</v>
          </cell>
          <cell r="AF135">
            <v>12.675000000000001</v>
          </cell>
          <cell r="AG135">
            <v>0</v>
          </cell>
          <cell r="AH135">
            <v>0</v>
          </cell>
          <cell r="AI135">
            <v>9.75</v>
          </cell>
          <cell r="AJ135">
            <v>0</v>
          </cell>
          <cell r="AK135">
            <v>0</v>
          </cell>
          <cell r="AL135">
            <v>112.5</v>
          </cell>
          <cell r="AM135">
            <v>0</v>
          </cell>
          <cell r="AN135">
            <v>0</v>
          </cell>
          <cell r="AO135">
            <v>146.25</v>
          </cell>
          <cell r="AP135">
            <v>0</v>
          </cell>
          <cell r="AQ135">
            <v>0</v>
          </cell>
          <cell r="AR135">
            <v>11.25</v>
          </cell>
          <cell r="AS135">
            <v>0</v>
          </cell>
          <cell r="AT135">
            <v>0</v>
          </cell>
          <cell r="AU135">
            <v>97.5</v>
          </cell>
          <cell r="AV135">
            <v>0</v>
          </cell>
          <cell r="AW135">
            <v>0</v>
          </cell>
          <cell r="AX135">
            <v>126.75</v>
          </cell>
          <cell r="AY135">
            <v>0</v>
          </cell>
          <cell r="AZ135">
            <v>0</v>
          </cell>
          <cell r="BA135">
            <v>9.75</v>
          </cell>
          <cell r="BB135">
            <v>0</v>
          </cell>
          <cell r="BC135">
            <v>0</v>
          </cell>
          <cell r="BD135">
            <v>150</v>
          </cell>
          <cell r="BE135">
            <v>0</v>
          </cell>
          <cell r="BF135">
            <v>0</v>
          </cell>
          <cell r="BG135">
            <v>195</v>
          </cell>
          <cell r="BH135">
            <v>0</v>
          </cell>
          <cell r="BI135">
            <v>0</v>
          </cell>
          <cell r="BJ135">
            <v>15</v>
          </cell>
          <cell r="BK135">
            <v>0</v>
          </cell>
          <cell r="BL135">
            <v>8</v>
          </cell>
          <cell r="BM135">
            <v>75</v>
          </cell>
          <cell r="BN135">
            <v>600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6706.25</v>
          </cell>
        </row>
        <row r="136">
          <cell r="C136">
            <v>32397</v>
          </cell>
          <cell r="D136" t="str">
            <v>MASANGKAY,JHON PAUL GALICIA</v>
          </cell>
          <cell r="E136" t="str">
            <v>METAL STAMPING</v>
          </cell>
          <cell r="F136" t="str">
            <v>PRODUCTION</v>
          </cell>
          <cell r="G136" t="str">
            <v>Operator</v>
          </cell>
          <cell r="H136" t="str">
            <v>DL</v>
          </cell>
          <cell r="I136">
            <v>92</v>
          </cell>
          <cell r="J136">
            <v>11.5</v>
          </cell>
          <cell r="K136">
            <v>600</v>
          </cell>
          <cell r="L136">
            <v>6900</v>
          </cell>
          <cell r="M136">
            <v>0</v>
          </cell>
          <cell r="N136">
            <v>1.25</v>
          </cell>
          <cell r="O136">
            <v>0</v>
          </cell>
          <cell r="P136">
            <v>16</v>
          </cell>
          <cell r="Q136">
            <v>93.75</v>
          </cell>
          <cell r="R136">
            <v>1500</v>
          </cell>
          <cell r="S136">
            <v>0</v>
          </cell>
          <cell r="T136">
            <v>7.5</v>
          </cell>
          <cell r="U136">
            <v>0</v>
          </cell>
          <cell r="V136">
            <v>0</v>
          </cell>
          <cell r="W136">
            <v>9.375</v>
          </cell>
          <cell r="X136">
            <v>0</v>
          </cell>
          <cell r="Y136">
            <v>8</v>
          </cell>
          <cell r="Z136">
            <v>97.5</v>
          </cell>
          <cell r="AA136">
            <v>780</v>
          </cell>
          <cell r="AB136">
            <v>0</v>
          </cell>
          <cell r="AC136">
            <v>126.75</v>
          </cell>
          <cell r="AD136">
            <v>0</v>
          </cell>
          <cell r="AE136">
            <v>0</v>
          </cell>
          <cell r="AF136">
            <v>12.675000000000001</v>
          </cell>
          <cell r="AG136">
            <v>0</v>
          </cell>
          <cell r="AH136">
            <v>0</v>
          </cell>
          <cell r="AI136">
            <v>9.75</v>
          </cell>
          <cell r="AJ136">
            <v>0</v>
          </cell>
          <cell r="AK136">
            <v>0</v>
          </cell>
          <cell r="AL136">
            <v>112.5</v>
          </cell>
          <cell r="AM136">
            <v>0</v>
          </cell>
          <cell r="AN136">
            <v>0</v>
          </cell>
          <cell r="AO136">
            <v>146.25</v>
          </cell>
          <cell r="AP136">
            <v>0</v>
          </cell>
          <cell r="AQ136">
            <v>0</v>
          </cell>
          <cell r="AR136">
            <v>11.25</v>
          </cell>
          <cell r="AS136">
            <v>0</v>
          </cell>
          <cell r="AT136">
            <v>0</v>
          </cell>
          <cell r="AU136">
            <v>97.5</v>
          </cell>
          <cell r="AV136">
            <v>0</v>
          </cell>
          <cell r="AW136">
            <v>0</v>
          </cell>
          <cell r="AX136">
            <v>126.75</v>
          </cell>
          <cell r="AY136">
            <v>0</v>
          </cell>
          <cell r="AZ136">
            <v>0</v>
          </cell>
          <cell r="BA136">
            <v>9.75</v>
          </cell>
          <cell r="BB136">
            <v>0</v>
          </cell>
          <cell r="BC136">
            <v>0</v>
          </cell>
          <cell r="BD136">
            <v>150</v>
          </cell>
          <cell r="BE136">
            <v>0</v>
          </cell>
          <cell r="BF136">
            <v>0</v>
          </cell>
          <cell r="BG136">
            <v>195</v>
          </cell>
          <cell r="BH136">
            <v>0</v>
          </cell>
          <cell r="BI136">
            <v>0</v>
          </cell>
          <cell r="BJ136">
            <v>15</v>
          </cell>
          <cell r="BK136">
            <v>0</v>
          </cell>
          <cell r="BL136">
            <v>8</v>
          </cell>
          <cell r="BM136">
            <v>75</v>
          </cell>
          <cell r="BN136">
            <v>600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9780</v>
          </cell>
        </row>
        <row r="137">
          <cell r="C137">
            <v>11834</v>
          </cell>
          <cell r="D137" t="str">
            <v>MASAPOL, MARY JOY SANCHEZ</v>
          </cell>
          <cell r="E137" t="str">
            <v>METAL STAMPING</v>
          </cell>
          <cell r="F137" t="str">
            <v>PRODUCTION</v>
          </cell>
          <cell r="G137" t="str">
            <v>Operator</v>
          </cell>
          <cell r="H137" t="str">
            <v>IDL</v>
          </cell>
          <cell r="I137">
            <v>104</v>
          </cell>
          <cell r="J137">
            <v>13</v>
          </cell>
          <cell r="K137">
            <v>600</v>
          </cell>
          <cell r="L137">
            <v>7800</v>
          </cell>
          <cell r="M137">
            <v>0</v>
          </cell>
          <cell r="N137">
            <v>1.25</v>
          </cell>
          <cell r="O137">
            <v>0</v>
          </cell>
          <cell r="P137">
            <v>18</v>
          </cell>
          <cell r="Q137">
            <v>93.75</v>
          </cell>
          <cell r="R137">
            <v>1687.5</v>
          </cell>
          <cell r="S137">
            <v>0</v>
          </cell>
          <cell r="T137">
            <v>7.5</v>
          </cell>
          <cell r="U137">
            <v>0</v>
          </cell>
          <cell r="V137">
            <v>0</v>
          </cell>
          <cell r="W137">
            <v>9.375</v>
          </cell>
          <cell r="X137">
            <v>0</v>
          </cell>
          <cell r="Y137">
            <v>8</v>
          </cell>
          <cell r="Z137">
            <v>97.5</v>
          </cell>
          <cell r="AA137">
            <v>780</v>
          </cell>
          <cell r="AB137">
            <v>0</v>
          </cell>
          <cell r="AC137">
            <v>126.75</v>
          </cell>
          <cell r="AD137">
            <v>0</v>
          </cell>
          <cell r="AE137">
            <v>0</v>
          </cell>
          <cell r="AF137">
            <v>12.675000000000001</v>
          </cell>
          <cell r="AG137">
            <v>0</v>
          </cell>
          <cell r="AH137">
            <v>0</v>
          </cell>
          <cell r="AI137">
            <v>9.75</v>
          </cell>
          <cell r="AJ137">
            <v>0</v>
          </cell>
          <cell r="AK137">
            <v>0</v>
          </cell>
          <cell r="AL137">
            <v>112.5</v>
          </cell>
          <cell r="AM137">
            <v>0</v>
          </cell>
          <cell r="AN137">
            <v>0</v>
          </cell>
          <cell r="AO137">
            <v>146.25</v>
          </cell>
          <cell r="AP137">
            <v>0</v>
          </cell>
          <cell r="AQ137">
            <v>0</v>
          </cell>
          <cell r="AR137">
            <v>11.25</v>
          </cell>
          <cell r="AS137">
            <v>0</v>
          </cell>
          <cell r="AT137">
            <v>0</v>
          </cell>
          <cell r="AU137">
            <v>97.5</v>
          </cell>
          <cell r="AV137">
            <v>0</v>
          </cell>
          <cell r="AW137">
            <v>0</v>
          </cell>
          <cell r="AX137">
            <v>126.75</v>
          </cell>
          <cell r="AY137">
            <v>0</v>
          </cell>
          <cell r="AZ137">
            <v>0</v>
          </cell>
          <cell r="BA137">
            <v>9.75</v>
          </cell>
          <cell r="BB137">
            <v>0</v>
          </cell>
          <cell r="BC137">
            <v>0</v>
          </cell>
          <cell r="BD137">
            <v>150</v>
          </cell>
          <cell r="BE137">
            <v>0</v>
          </cell>
          <cell r="BF137">
            <v>0</v>
          </cell>
          <cell r="BG137">
            <v>195</v>
          </cell>
          <cell r="BH137">
            <v>0</v>
          </cell>
          <cell r="BI137">
            <v>0</v>
          </cell>
          <cell r="BJ137">
            <v>15</v>
          </cell>
          <cell r="BK137">
            <v>0</v>
          </cell>
          <cell r="BL137">
            <v>8</v>
          </cell>
          <cell r="BM137">
            <v>75</v>
          </cell>
          <cell r="BN137">
            <v>600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10867.5</v>
          </cell>
        </row>
        <row r="138">
          <cell r="C138">
            <v>30223</v>
          </cell>
          <cell r="D138" t="str">
            <v>MAUR, EDWIN BORJAL</v>
          </cell>
          <cell r="E138" t="str">
            <v>METAL STAMPING</v>
          </cell>
          <cell r="F138" t="str">
            <v>PRODUCTION</v>
          </cell>
          <cell r="G138" t="str">
            <v>Operator</v>
          </cell>
          <cell r="H138" t="str">
            <v>DL</v>
          </cell>
          <cell r="I138">
            <v>96</v>
          </cell>
          <cell r="J138">
            <v>12</v>
          </cell>
          <cell r="K138">
            <v>600</v>
          </cell>
          <cell r="L138">
            <v>7200</v>
          </cell>
          <cell r="M138">
            <v>15</v>
          </cell>
          <cell r="N138">
            <v>1.25</v>
          </cell>
          <cell r="O138">
            <v>-18.75</v>
          </cell>
          <cell r="P138">
            <v>22</v>
          </cell>
          <cell r="Q138">
            <v>93.75</v>
          </cell>
          <cell r="R138">
            <v>2062.5</v>
          </cell>
          <cell r="S138">
            <v>0</v>
          </cell>
          <cell r="T138">
            <v>7.5</v>
          </cell>
          <cell r="U138">
            <v>0</v>
          </cell>
          <cell r="V138">
            <v>0</v>
          </cell>
          <cell r="W138">
            <v>9.375</v>
          </cell>
          <cell r="X138">
            <v>0</v>
          </cell>
          <cell r="Y138">
            <v>8</v>
          </cell>
          <cell r="Z138">
            <v>97.5</v>
          </cell>
          <cell r="AA138">
            <v>780</v>
          </cell>
          <cell r="AB138">
            <v>0</v>
          </cell>
          <cell r="AC138">
            <v>126.75</v>
          </cell>
          <cell r="AD138">
            <v>0</v>
          </cell>
          <cell r="AE138">
            <v>0</v>
          </cell>
          <cell r="AF138">
            <v>12.675000000000001</v>
          </cell>
          <cell r="AG138">
            <v>0</v>
          </cell>
          <cell r="AH138">
            <v>0</v>
          </cell>
          <cell r="AI138">
            <v>9.75</v>
          </cell>
          <cell r="AJ138">
            <v>0</v>
          </cell>
          <cell r="AK138">
            <v>0</v>
          </cell>
          <cell r="AL138">
            <v>112.5</v>
          </cell>
          <cell r="AM138">
            <v>0</v>
          </cell>
          <cell r="AN138">
            <v>0</v>
          </cell>
          <cell r="AO138">
            <v>146.25</v>
          </cell>
          <cell r="AP138">
            <v>0</v>
          </cell>
          <cell r="AQ138">
            <v>0</v>
          </cell>
          <cell r="AR138">
            <v>11.25</v>
          </cell>
          <cell r="AS138">
            <v>0</v>
          </cell>
          <cell r="AT138">
            <v>0</v>
          </cell>
          <cell r="AU138">
            <v>97.5</v>
          </cell>
          <cell r="AV138">
            <v>0</v>
          </cell>
          <cell r="AW138">
            <v>0</v>
          </cell>
          <cell r="AX138">
            <v>126.75</v>
          </cell>
          <cell r="AY138">
            <v>0</v>
          </cell>
          <cell r="AZ138">
            <v>0</v>
          </cell>
          <cell r="BA138">
            <v>9.75</v>
          </cell>
          <cell r="BB138">
            <v>0</v>
          </cell>
          <cell r="BC138">
            <v>0</v>
          </cell>
          <cell r="BD138">
            <v>150</v>
          </cell>
          <cell r="BE138">
            <v>0</v>
          </cell>
          <cell r="BF138">
            <v>0</v>
          </cell>
          <cell r="BG138">
            <v>195</v>
          </cell>
          <cell r="BH138">
            <v>0</v>
          </cell>
          <cell r="BI138">
            <v>0</v>
          </cell>
          <cell r="BJ138">
            <v>15</v>
          </cell>
          <cell r="BK138">
            <v>0</v>
          </cell>
          <cell r="BL138">
            <v>8</v>
          </cell>
          <cell r="BM138">
            <v>75</v>
          </cell>
          <cell r="BN138">
            <v>600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10623.75</v>
          </cell>
        </row>
        <row r="139">
          <cell r="C139">
            <v>14565</v>
          </cell>
          <cell r="D139" t="str">
            <v>MAYUGA, RYAN HACUMAN</v>
          </cell>
          <cell r="E139" t="str">
            <v>METAL STAMPING</v>
          </cell>
          <cell r="F139" t="str">
            <v>PRODUCTION</v>
          </cell>
          <cell r="G139" t="str">
            <v>Operator</v>
          </cell>
          <cell r="H139" t="str">
            <v>IDL</v>
          </cell>
          <cell r="I139">
            <v>64</v>
          </cell>
          <cell r="J139">
            <v>8</v>
          </cell>
          <cell r="K139">
            <v>600</v>
          </cell>
          <cell r="L139">
            <v>4800</v>
          </cell>
          <cell r="M139">
            <v>2</v>
          </cell>
          <cell r="N139">
            <v>1.25</v>
          </cell>
          <cell r="O139">
            <v>-2.5</v>
          </cell>
          <cell r="P139">
            <v>10</v>
          </cell>
          <cell r="Q139">
            <v>93.75</v>
          </cell>
          <cell r="R139">
            <v>937.5</v>
          </cell>
          <cell r="S139">
            <v>24</v>
          </cell>
          <cell r="T139">
            <v>7.5</v>
          </cell>
          <cell r="U139">
            <v>180</v>
          </cell>
          <cell r="V139">
            <v>6</v>
          </cell>
          <cell r="W139">
            <v>9.375</v>
          </cell>
          <cell r="X139">
            <v>56.25</v>
          </cell>
          <cell r="Y139">
            <v>8</v>
          </cell>
          <cell r="Z139">
            <v>97.5</v>
          </cell>
          <cell r="AA139">
            <v>780</v>
          </cell>
          <cell r="AB139">
            <v>0</v>
          </cell>
          <cell r="AC139">
            <v>126.75</v>
          </cell>
          <cell r="AD139">
            <v>0</v>
          </cell>
          <cell r="AE139">
            <v>0</v>
          </cell>
          <cell r="AF139">
            <v>12.675000000000001</v>
          </cell>
          <cell r="AG139">
            <v>0</v>
          </cell>
          <cell r="AH139">
            <v>0</v>
          </cell>
          <cell r="AI139">
            <v>9.75</v>
          </cell>
          <cell r="AJ139">
            <v>0</v>
          </cell>
          <cell r="AK139">
            <v>0</v>
          </cell>
          <cell r="AL139">
            <v>112.5</v>
          </cell>
          <cell r="AM139">
            <v>0</v>
          </cell>
          <cell r="AN139">
            <v>0</v>
          </cell>
          <cell r="AO139">
            <v>146.25</v>
          </cell>
          <cell r="AP139">
            <v>0</v>
          </cell>
          <cell r="AQ139">
            <v>0</v>
          </cell>
          <cell r="AR139">
            <v>11.25</v>
          </cell>
          <cell r="AS139">
            <v>0</v>
          </cell>
          <cell r="AT139">
            <v>0</v>
          </cell>
          <cell r="AU139">
            <v>97.5</v>
          </cell>
          <cell r="AV139">
            <v>0</v>
          </cell>
          <cell r="AW139">
            <v>0</v>
          </cell>
          <cell r="AX139">
            <v>126.75</v>
          </cell>
          <cell r="AY139">
            <v>0</v>
          </cell>
          <cell r="AZ139">
            <v>0</v>
          </cell>
          <cell r="BA139">
            <v>9.75</v>
          </cell>
          <cell r="BB139">
            <v>0</v>
          </cell>
          <cell r="BC139">
            <v>0</v>
          </cell>
          <cell r="BD139">
            <v>150</v>
          </cell>
          <cell r="BE139">
            <v>0</v>
          </cell>
          <cell r="BF139">
            <v>0</v>
          </cell>
          <cell r="BG139">
            <v>195</v>
          </cell>
          <cell r="BH139">
            <v>0</v>
          </cell>
          <cell r="BI139">
            <v>0</v>
          </cell>
          <cell r="BJ139">
            <v>15</v>
          </cell>
          <cell r="BK139">
            <v>0</v>
          </cell>
          <cell r="BL139">
            <v>8</v>
          </cell>
          <cell r="BM139">
            <v>75</v>
          </cell>
          <cell r="BN139">
            <v>600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7351.25</v>
          </cell>
        </row>
        <row r="140">
          <cell r="C140">
            <v>30356</v>
          </cell>
          <cell r="D140" t="str">
            <v>MELGAR, BILLY REY WATIWAT</v>
          </cell>
          <cell r="E140" t="str">
            <v>METAL STAMPING</v>
          </cell>
          <cell r="F140" t="str">
            <v>PRODUCTION</v>
          </cell>
          <cell r="G140" t="str">
            <v>Operator</v>
          </cell>
          <cell r="H140" t="str">
            <v>DL</v>
          </cell>
          <cell r="I140">
            <v>104</v>
          </cell>
          <cell r="J140">
            <v>13</v>
          </cell>
          <cell r="K140">
            <v>600</v>
          </cell>
          <cell r="L140">
            <v>7800</v>
          </cell>
          <cell r="M140">
            <v>0</v>
          </cell>
          <cell r="N140">
            <v>1.25</v>
          </cell>
          <cell r="O140">
            <v>0</v>
          </cell>
          <cell r="P140">
            <v>20</v>
          </cell>
          <cell r="Q140">
            <v>93.75</v>
          </cell>
          <cell r="R140">
            <v>1875</v>
          </cell>
          <cell r="S140">
            <v>54</v>
          </cell>
          <cell r="T140">
            <v>7.5</v>
          </cell>
          <cell r="U140">
            <v>405</v>
          </cell>
          <cell r="V140">
            <v>16</v>
          </cell>
          <cell r="W140">
            <v>9.375</v>
          </cell>
          <cell r="X140">
            <v>150</v>
          </cell>
          <cell r="Y140">
            <v>0</v>
          </cell>
          <cell r="Z140">
            <v>97.5</v>
          </cell>
          <cell r="AA140">
            <v>0</v>
          </cell>
          <cell r="AB140">
            <v>0</v>
          </cell>
          <cell r="AC140">
            <v>126.75</v>
          </cell>
          <cell r="AD140">
            <v>0</v>
          </cell>
          <cell r="AE140">
            <v>0</v>
          </cell>
          <cell r="AF140">
            <v>12.675000000000001</v>
          </cell>
          <cell r="AG140">
            <v>0</v>
          </cell>
          <cell r="AH140">
            <v>0</v>
          </cell>
          <cell r="AI140">
            <v>9.75</v>
          </cell>
          <cell r="AJ140">
            <v>0</v>
          </cell>
          <cell r="AK140">
            <v>0</v>
          </cell>
          <cell r="AL140">
            <v>112.5</v>
          </cell>
          <cell r="AM140">
            <v>0</v>
          </cell>
          <cell r="AN140">
            <v>0</v>
          </cell>
          <cell r="AO140">
            <v>146.25</v>
          </cell>
          <cell r="AP140">
            <v>0</v>
          </cell>
          <cell r="AQ140">
            <v>0</v>
          </cell>
          <cell r="AR140">
            <v>11.25</v>
          </cell>
          <cell r="AS140">
            <v>0</v>
          </cell>
          <cell r="AT140">
            <v>0</v>
          </cell>
          <cell r="AU140">
            <v>97.5</v>
          </cell>
          <cell r="AV140">
            <v>0</v>
          </cell>
          <cell r="AW140">
            <v>0</v>
          </cell>
          <cell r="AX140">
            <v>126.75</v>
          </cell>
          <cell r="AY140">
            <v>0</v>
          </cell>
          <cell r="AZ140">
            <v>0</v>
          </cell>
          <cell r="BA140">
            <v>9.75</v>
          </cell>
          <cell r="BB140">
            <v>0</v>
          </cell>
          <cell r="BC140">
            <v>0</v>
          </cell>
          <cell r="BD140">
            <v>150</v>
          </cell>
          <cell r="BE140">
            <v>0</v>
          </cell>
          <cell r="BF140">
            <v>0</v>
          </cell>
          <cell r="BG140">
            <v>195</v>
          </cell>
          <cell r="BH140">
            <v>0</v>
          </cell>
          <cell r="BI140">
            <v>0</v>
          </cell>
          <cell r="BJ140">
            <v>15</v>
          </cell>
          <cell r="BK140">
            <v>0</v>
          </cell>
          <cell r="BL140">
            <v>8</v>
          </cell>
          <cell r="BM140">
            <v>75</v>
          </cell>
          <cell r="BN140">
            <v>600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10830</v>
          </cell>
        </row>
        <row r="141">
          <cell r="C141">
            <v>11829</v>
          </cell>
          <cell r="D141" t="str">
            <v>MELITANTE, MARICAR SUENO</v>
          </cell>
          <cell r="E141" t="str">
            <v>METAL STAMPING</v>
          </cell>
          <cell r="F141" t="str">
            <v>PRODUCTION</v>
          </cell>
          <cell r="G141" t="str">
            <v>Operator</v>
          </cell>
          <cell r="H141" t="str">
            <v>IDL</v>
          </cell>
          <cell r="I141">
            <v>104</v>
          </cell>
          <cell r="J141">
            <v>13</v>
          </cell>
          <cell r="K141">
            <v>600</v>
          </cell>
          <cell r="L141">
            <v>7800</v>
          </cell>
          <cell r="M141">
            <v>0</v>
          </cell>
          <cell r="N141">
            <v>1.25</v>
          </cell>
          <cell r="O141">
            <v>0</v>
          </cell>
          <cell r="P141">
            <v>18</v>
          </cell>
          <cell r="Q141">
            <v>93.75</v>
          </cell>
          <cell r="R141">
            <v>1687.5</v>
          </cell>
          <cell r="S141">
            <v>0</v>
          </cell>
          <cell r="T141">
            <v>7.5</v>
          </cell>
          <cell r="U141">
            <v>0</v>
          </cell>
          <cell r="V141">
            <v>0</v>
          </cell>
          <cell r="W141">
            <v>9.375</v>
          </cell>
          <cell r="X141">
            <v>0</v>
          </cell>
          <cell r="Y141">
            <v>8</v>
          </cell>
          <cell r="Z141">
            <v>97.5</v>
          </cell>
          <cell r="AA141">
            <v>780</v>
          </cell>
          <cell r="AB141">
            <v>0</v>
          </cell>
          <cell r="AC141">
            <v>126.75</v>
          </cell>
          <cell r="AD141">
            <v>0</v>
          </cell>
          <cell r="AE141">
            <v>0</v>
          </cell>
          <cell r="AF141">
            <v>12.675000000000001</v>
          </cell>
          <cell r="AG141">
            <v>0</v>
          </cell>
          <cell r="AH141">
            <v>0</v>
          </cell>
          <cell r="AI141">
            <v>9.75</v>
          </cell>
          <cell r="AJ141">
            <v>0</v>
          </cell>
          <cell r="AK141">
            <v>0</v>
          </cell>
          <cell r="AL141">
            <v>112.5</v>
          </cell>
          <cell r="AM141">
            <v>0</v>
          </cell>
          <cell r="AN141">
            <v>0</v>
          </cell>
          <cell r="AO141">
            <v>146.25</v>
          </cell>
          <cell r="AP141">
            <v>0</v>
          </cell>
          <cell r="AQ141">
            <v>0</v>
          </cell>
          <cell r="AR141">
            <v>11.25</v>
          </cell>
          <cell r="AS141">
            <v>0</v>
          </cell>
          <cell r="AT141">
            <v>0</v>
          </cell>
          <cell r="AU141">
            <v>97.5</v>
          </cell>
          <cell r="AV141">
            <v>0</v>
          </cell>
          <cell r="AW141">
            <v>0</v>
          </cell>
          <cell r="AX141">
            <v>126.75</v>
          </cell>
          <cell r="AY141">
            <v>0</v>
          </cell>
          <cell r="AZ141">
            <v>0</v>
          </cell>
          <cell r="BA141">
            <v>9.75</v>
          </cell>
          <cell r="BB141">
            <v>0</v>
          </cell>
          <cell r="BC141">
            <v>0</v>
          </cell>
          <cell r="BD141">
            <v>150</v>
          </cell>
          <cell r="BE141">
            <v>0</v>
          </cell>
          <cell r="BF141">
            <v>0</v>
          </cell>
          <cell r="BG141">
            <v>195</v>
          </cell>
          <cell r="BH141">
            <v>0</v>
          </cell>
          <cell r="BI141">
            <v>0</v>
          </cell>
          <cell r="BJ141">
            <v>15</v>
          </cell>
          <cell r="BK141">
            <v>0</v>
          </cell>
          <cell r="BL141">
            <v>8</v>
          </cell>
          <cell r="BM141">
            <v>75</v>
          </cell>
          <cell r="BN141">
            <v>600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10867.5</v>
          </cell>
        </row>
        <row r="142">
          <cell r="C142">
            <v>14556</v>
          </cell>
          <cell r="D142" t="str">
            <v>MENDOZA, JAYSON CASTILLO</v>
          </cell>
          <cell r="E142" t="str">
            <v>METAL STAMPING</v>
          </cell>
          <cell r="F142" t="str">
            <v>PRODUCTION</v>
          </cell>
          <cell r="G142" t="str">
            <v>Operator</v>
          </cell>
          <cell r="H142" t="str">
            <v>DL</v>
          </cell>
          <cell r="I142">
            <v>88</v>
          </cell>
          <cell r="J142">
            <v>11</v>
          </cell>
          <cell r="K142">
            <v>600</v>
          </cell>
          <cell r="L142">
            <v>6600</v>
          </cell>
          <cell r="M142">
            <v>7</v>
          </cell>
          <cell r="N142">
            <v>1.25</v>
          </cell>
          <cell r="O142">
            <v>-8.75</v>
          </cell>
          <cell r="P142">
            <v>18</v>
          </cell>
          <cell r="Q142">
            <v>93.75</v>
          </cell>
          <cell r="R142">
            <v>1687.5</v>
          </cell>
          <cell r="S142">
            <v>18</v>
          </cell>
          <cell r="T142">
            <v>7.5</v>
          </cell>
          <cell r="U142">
            <v>135</v>
          </cell>
          <cell r="V142">
            <v>6</v>
          </cell>
          <cell r="W142">
            <v>9.375</v>
          </cell>
          <cell r="X142">
            <v>56.25</v>
          </cell>
          <cell r="Y142">
            <v>0</v>
          </cell>
          <cell r="Z142">
            <v>97.5</v>
          </cell>
          <cell r="AA142">
            <v>0</v>
          </cell>
          <cell r="AB142">
            <v>0</v>
          </cell>
          <cell r="AC142">
            <v>126.75</v>
          </cell>
          <cell r="AD142">
            <v>0</v>
          </cell>
          <cell r="AE142">
            <v>0</v>
          </cell>
          <cell r="AF142">
            <v>12.675000000000001</v>
          </cell>
          <cell r="AG142">
            <v>0</v>
          </cell>
          <cell r="AH142">
            <v>0</v>
          </cell>
          <cell r="AI142">
            <v>9.75</v>
          </cell>
          <cell r="AJ142">
            <v>0</v>
          </cell>
          <cell r="AK142">
            <v>0</v>
          </cell>
          <cell r="AL142">
            <v>112.5</v>
          </cell>
          <cell r="AM142">
            <v>0</v>
          </cell>
          <cell r="AN142">
            <v>0</v>
          </cell>
          <cell r="AO142">
            <v>146.25</v>
          </cell>
          <cell r="AP142">
            <v>0</v>
          </cell>
          <cell r="AQ142">
            <v>0</v>
          </cell>
          <cell r="AR142">
            <v>11.25</v>
          </cell>
          <cell r="AS142">
            <v>0</v>
          </cell>
          <cell r="AT142">
            <v>0</v>
          </cell>
          <cell r="AU142">
            <v>97.5</v>
          </cell>
          <cell r="AV142">
            <v>0</v>
          </cell>
          <cell r="AW142">
            <v>0</v>
          </cell>
          <cell r="AX142">
            <v>126.75</v>
          </cell>
          <cell r="AY142">
            <v>0</v>
          </cell>
          <cell r="AZ142">
            <v>0</v>
          </cell>
          <cell r="BA142">
            <v>9.75</v>
          </cell>
          <cell r="BB142">
            <v>0</v>
          </cell>
          <cell r="BC142">
            <v>0</v>
          </cell>
          <cell r="BD142">
            <v>150</v>
          </cell>
          <cell r="BE142">
            <v>0</v>
          </cell>
          <cell r="BF142">
            <v>0</v>
          </cell>
          <cell r="BG142">
            <v>195</v>
          </cell>
          <cell r="BH142">
            <v>0</v>
          </cell>
          <cell r="BI142">
            <v>0</v>
          </cell>
          <cell r="BJ142">
            <v>15</v>
          </cell>
          <cell r="BK142">
            <v>0</v>
          </cell>
          <cell r="BL142">
            <v>8</v>
          </cell>
          <cell r="BM142">
            <v>75</v>
          </cell>
          <cell r="BN142">
            <v>600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9070</v>
          </cell>
        </row>
        <row r="143">
          <cell r="C143">
            <v>32398</v>
          </cell>
          <cell r="D143" t="str">
            <v>MOJECO,NOLAN VERANO</v>
          </cell>
          <cell r="E143" t="str">
            <v>METAL STAMPING</v>
          </cell>
          <cell r="F143" t="str">
            <v>PRODUCTION</v>
          </cell>
          <cell r="G143" t="str">
            <v>Operator</v>
          </cell>
          <cell r="H143" t="str">
            <v>DL</v>
          </cell>
          <cell r="I143">
            <v>99</v>
          </cell>
          <cell r="J143">
            <v>12.375</v>
          </cell>
          <cell r="K143">
            <v>600</v>
          </cell>
          <cell r="L143">
            <v>7425</v>
          </cell>
          <cell r="M143">
            <v>0</v>
          </cell>
          <cell r="N143">
            <v>1.25</v>
          </cell>
          <cell r="O143">
            <v>0</v>
          </cell>
          <cell r="P143">
            <v>20</v>
          </cell>
          <cell r="Q143">
            <v>93.75</v>
          </cell>
          <cell r="R143">
            <v>1875</v>
          </cell>
          <cell r="S143">
            <v>0</v>
          </cell>
          <cell r="T143">
            <v>7.5</v>
          </cell>
          <cell r="U143">
            <v>0</v>
          </cell>
          <cell r="V143">
            <v>0</v>
          </cell>
          <cell r="W143">
            <v>9.375</v>
          </cell>
          <cell r="X143">
            <v>0</v>
          </cell>
          <cell r="Y143">
            <v>8</v>
          </cell>
          <cell r="Z143">
            <v>97.5</v>
          </cell>
          <cell r="AA143">
            <v>780</v>
          </cell>
          <cell r="AB143">
            <v>0</v>
          </cell>
          <cell r="AC143">
            <v>126.75</v>
          </cell>
          <cell r="AD143">
            <v>0</v>
          </cell>
          <cell r="AE143">
            <v>0</v>
          </cell>
          <cell r="AF143">
            <v>12.675000000000001</v>
          </cell>
          <cell r="AG143">
            <v>0</v>
          </cell>
          <cell r="AH143">
            <v>0</v>
          </cell>
          <cell r="AI143">
            <v>9.75</v>
          </cell>
          <cell r="AJ143">
            <v>0</v>
          </cell>
          <cell r="AK143">
            <v>0</v>
          </cell>
          <cell r="AL143">
            <v>112.5</v>
          </cell>
          <cell r="AM143">
            <v>0</v>
          </cell>
          <cell r="AN143">
            <v>0</v>
          </cell>
          <cell r="AO143">
            <v>146.25</v>
          </cell>
          <cell r="AP143">
            <v>0</v>
          </cell>
          <cell r="AQ143">
            <v>0</v>
          </cell>
          <cell r="AR143">
            <v>11.25</v>
          </cell>
          <cell r="AS143">
            <v>0</v>
          </cell>
          <cell r="AT143">
            <v>0</v>
          </cell>
          <cell r="AU143">
            <v>97.5</v>
          </cell>
          <cell r="AV143">
            <v>0</v>
          </cell>
          <cell r="AW143">
            <v>0</v>
          </cell>
          <cell r="AX143">
            <v>126.75</v>
          </cell>
          <cell r="AY143">
            <v>0</v>
          </cell>
          <cell r="AZ143">
            <v>0</v>
          </cell>
          <cell r="BA143">
            <v>9.75</v>
          </cell>
          <cell r="BB143">
            <v>0</v>
          </cell>
          <cell r="BC143">
            <v>0</v>
          </cell>
          <cell r="BD143">
            <v>150</v>
          </cell>
          <cell r="BE143">
            <v>0</v>
          </cell>
          <cell r="BF143">
            <v>0</v>
          </cell>
          <cell r="BG143">
            <v>195</v>
          </cell>
          <cell r="BH143">
            <v>0</v>
          </cell>
          <cell r="BI143">
            <v>0</v>
          </cell>
          <cell r="BJ143">
            <v>15</v>
          </cell>
          <cell r="BK143">
            <v>0</v>
          </cell>
          <cell r="BL143">
            <v>8</v>
          </cell>
          <cell r="BM143">
            <v>75</v>
          </cell>
          <cell r="BN143">
            <v>600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10680</v>
          </cell>
        </row>
        <row r="144">
          <cell r="C144">
            <v>32237</v>
          </cell>
          <cell r="D144" t="str">
            <v>MONTIANO JR.,RONER MANGCUPANG</v>
          </cell>
          <cell r="E144" t="str">
            <v>METAL STAMPING</v>
          </cell>
          <cell r="F144" t="str">
            <v>PRODUCTION</v>
          </cell>
          <cell r="G144" t="str">
            <v>Operator</v>
          </cell>
          <cell r="H144" t="str">
            <v>DL</v>
          </cell>
          <cell r="I144">
            <v>104</v>
          </cell>
          <cell r="J144">
            <v>13</v>
          </cell>
          <cell r="K144">
            <v>600</v>
          </cell>
          <cell r="L144">
            <v>7800</v>
          </cell>
          <cell r="M144">
            <v>0</v>
          </cell>
          <cell r="N144">
            <v>1.25</v>
          </cell>
          <cell r="O144">
            <v>0</v>
          </cell>
          <cell r="P144">
            <v>22</v>
          </cell>
          <cell r="Q144">
            <v>93.75</v>
          </cell>
          <cell r="R144">
            <v>2062.5</v>
          </cell>
          <cell r="S144">
            <v>24</v>
          </cell>
          <cell r="T144">
            <v>7.5</v>
          </cell>
          <cell r="U144">
            <v>180</v>
          </cell>
          <cell r="V144">
            <v>6</v>
          </cell>
          <cell r="W144">
            <v>9.375</v>
          </cell>
          <cell r="X144">
            <v>56.25</v>
          </cell>
          <cell r="Y144">
            <v>0</v>
          </cell>
          <cell r="Z144">
            <v>97.5</v>
          </cell>
          <cell r="AA144">
            <v>0</v>
          </cell>
          <cell r="AB144">
            <v>0</v>
          </cell>
          <cell r="AC144">
            <v>126.75</v>
          </cell>
          <cell r="AD144">
            <v>0</v>
          </cell>
          <cell r="AE144">
            <v>0</v>
          </cell>
          <cell r="AF144">
            <v>12.675000000000001</v>
          </cell>
          <cell r="AG144">
            <v>0</v>
          </cell>
          <cell r="AH144">
            <v>0</v>
          </cell>
          <cell r="AI144">
            <v>9.75</v>
          </cell>
          <cell r="AJ144">
            <v>0</v>
          </cell>
          <cell r="AK144">
            <v>0</v>
          </cell>
          <cell r="AL144">
            <v>112.5</v>
          </cell>
          <cell r="AM144">
            <v>0</v>
          </cell>
          <cell r="AN144">
            <v>0</v>
          </cell>
          <cell r="AO144">
            <v>146.25</v>
          </cell>
          <cell r="AP144">
            <v>0</v>
          </cell>
          <cell r="AQ144">
            <v>0</v>
          </cell>
          <cell r="AR144">
            <v>11.25</v>
          </cell>
          <cell r="AS144">
            <v>0</v>
          </cell>
          <cell r="AT144">
            <v>0</v>
          </cell>
          <cell r="AU144">
            <v>97.5</v>
          </cell>
          <cell r="AV144">
            <v>0</v>
          </cell>
          <cell r="AW144">
            <v>0</v>
          </cell>
          <cell r="AX144">
            <v>126.75</v>
          </cell>
          <cell r="AY144">
            <v>0</v>
          </cell>
          <cell r="AZ144">
            <v>0</v>
          </cell>
          <cell r="BA144">
            <v>9.75</v>
          </cell>
          <cell r="BB144">
            <v>0</v>
          </cell>
          <cell r="BC144">
            <v>0</v>
          </cell>
          <cell r="BD144">
            <v>150</v>
          </cell>
          <cell r="BE144">
            <v>0</v>
          </cell>
          <cell r="BF144">
            <v>0</v>
          </cell>
          <cell r="BG144">
            <v>195</v>
          </cell>
          <cell r="BH144">
            <v>0</v>
          </cell>
          <cell r="BI144">
            <v>0</v>
          </cell>
          <cell r="BJ144">
            <v>15</v>
          </cell>
          <cell r="BK144">
            <v>0</v>
          </cell>
          <cell r="BL144">
            <v>8</v>
          </cell>
          <cell r="BM144">
            <v>75</v>
          </cell>
          <cell r="BN144">
            <v>600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10698.75</v>
          </cell>
        </row>
        <row r="145">
          <cell r="C145">
            <v>32515</v>
          </cell>
          <cell r="D145" t="str">
            <v xml:space="preserve">MORETE, JOHN DOMINIC </v>
          </cell>
          <cell r="E145" t="str">
            <v>METAL STAMPING</v>
          </cell>
          <cell r="F145" t="str">
            <v>PRODUCTION</v>
          </cell>
          <cell r="G145" t="str">
            <v>Operator</v>
          </cell>
          <cell r="H145" t="str">
            <v>DL</v>
          </cell>
          <cell r="I145">
            <v>96</v>
          </cell>
          <cell r="J145">
            <v>12</v>
          </cell>
          <cell r="K145">
            <v>600</v>
          </cell>
          <cell r="L145">
            <v>7200</v>
          </cell>
          <cell r="M145">
            <v>7</v>
          </cell>
          <cell r="N145">
            <v>1.25</v>
          </cell>
          <cell r="O145">
            <v>-8.75</v>
          </cell>
          <cell r="P145">
            <v>16</v>
          </cell>
          <cell r="Q145">
            <v>93.75</v>
          </cell>
          <cell r="R145">
            <v>1500</v>
          </cell>
          <cell r="S145">
            <v>24</v>
          </cell>
          <cell r="T145">
            <v>7.5</v>
          </cell>
          <cell r="U145">
            <v>180</v>
          </cell>
          <cell r="V145">
            <v>4</v>
          </cell>
          <cell r="W145">
            <v>9.375</v>
          </cell>
          <cell r="X145">
            <v>37.5</v>
          </cell>
          <cell r="Y145">
            <v>0</v>
          </cell>
          <cell r="Z145">
            <v>97.5</v>
          </cell>
          <cell r="AA145">
            <v>0</v>
          </cell>
          <cell r="AB145">
            <v>0</v>
          </cell>
          <cell r="AC145">
            <v>126.75</v>
          </cell>
          <cell r="AD145">
            <v>0</v>
          </cell>
          <cell r="AE145">
            <v>0</v>
          </cell>
          <cell r="AF145">
            <v>12.675000000000001</v>
          </cell>
          <cell r="AG145">
            <v>0</v>
          </cell>
          <cell r="AH145">
            <v>0</v>
          </cell>
          <cell r="AI145">
            <v>9.75</v>
          </cell>
          <cell r="AJ145">
            <v>0</v>
          </cell>
          <cell r="AK145">
            <v>0</v>
          </cell>
          <cell r="AL145">
            <v>112.5</v>
          </cell>
          <cell r="AM145">
            <v>0</v>
          </cell>
          <cell r="AN145">
            <v>0</v>
          </cell>
          <cell r="AO145">
            <v>146.25</v>
          </cell>
          <cell r="AP145">
            <v>0</v>
          </cell>
          <cell r="AQ145">
            <v>0</v>
          </cell>
          <cell r="AR145">
            <v>11.25</v>
          </cell>
          <cell r="AS145">
            <v>0</v>
          </cell>
          <cell r="AT145">
            <v>0</v>
          </cell>
          <cell r="AU145">
            <v>97.5</v>
          </cell>
          <cell r="AV145">
            <v>0</v>
          </cell>
          <cell r="AW145">
            <v>0</v>
          </cell>
          <cell r="AX145">
            <v>126.75</v>
          </cell>
          <cell r="AY145">
            <v>0</v>
          </cell>
          <cell r="AZ145">
            <v>0</v>
          </cell>
          <cell r="BA145">
            <v>9.75</v>
          </cell>
          <cell r="BB145">
            <v>0</v>
          </cell>
          <cell r="BC145">
            <v>0</v>
          </cell>
          <cell r="BD145">
            <v>150</v>
          </cell>
          <cell r="BE145">
            <v>0</v>
          </cell>
          <cell r="BF145">
            <v>0</v>
          </cell>
          <cell r="BG145">
            <v>195</v>
          </cell>
          <cell r="BH145">
            <v>0</v>
          </cell>
          <cell r="BI145">
            <v>0</v>
          </cell>
          <cell r="BJ145">
            <v>15</v>
          </cell>
          <cell r="BK145">
            <v>0</v>
          </cell>
          <cell r="BL145">
            <v>8</v>
          </cell>
          <cell r="BM145">
            <v>75</v>
          </cell>
          <cell r="BN145">
            <v>600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9508.75</v>
          </cell>
        </row>
        <row r="146">
          <cell r="C146">
            <v>32252</v>
          </cell>
          <cell r="D146" t="str">
            <v>MOTOL,JOHN GLENDEL DE QUITO</v>
          </cell>
          <cell r="E146" t="str">
            <v>METAL STAMPING</v>
          </cell>
          <cell r="F146" t="str">
            <v>PRODUCTION</v>
          </cell>
          <cell r="G146" t="str">
            <v>Operator</v>
          </cell>
          <cell r="H146" t="str">
            <v>DL</v>
          </cell>
          <cell r="I146">
            <v>104</v>
          </cell>
          <cell r="J146">
            <v>13</v>
          </cell>
          <cell r="K146">
            <v>600</v>
          </cell>
          <cell r="L146">
            <v>7800</v>
          </cell>
          <cell r="M146">
            <v>0</v>
          </cell>
          <cell r="N146">
            <v>1.25</v>
          </cell>
          <cell r="O146">
            <v>0</v>
          </cell>
          <cell r="P146">
            <v>22</v>
          </cell>
          <cell r="Q146">
            <v>93.75</v>
          </cell>
          <cell r="R146">
            <v>2062.5</v>
          </cell>
          <cell r="S146">
            <v>24</v>
          </cell>
          <cell r="T146">
            <v>7.5</v>
          </cell>
          <cell r="U146">
            <v>180</v>
          </cell>
          <cell r="V146">
            <v>6</v>
          </cell>
          <cell r="W146">
            <v>9.375</v>
          </cell>
          <cell r="X146">
            <v>56.25</v>
          </cell>
          <cell r="Y146">
            <v>0</v>
          </cell>
          <cell r="Z146">
            <v>97.5</v>
          </cell>
          <cell r="AA146">
            <v>0</v>
          </cell>
          <cell r="AB146">
            <v>0</v>
          </cell>
          <cell r="AC146">
            <v>126.75</v>
          </cell>
          <cell r="AD146">
            <v>0</v>
          </cell>
          <cell r="AE146">
            <v>0</v>
          </cell>
          <cell r="AF146">
            <v>12.675000000000001</v>
          </cell>
          <cell r="AG146">
            <v>0</v>
          </cell>
          <cell r="AH146">
            <v>0</v>
          </cell>
          <cell r="AI146">
            <v>9.75</v>
          </cell>
          <cell r="AJ146">
            <v>0</v>
          </cell>
          <cell r="AK146">
            <v>0</v>
          </cell>
          <cell r="AL146">
            <v>112.5</v>
          </cell>
          <cell r="AM146">
            <v>0</v>
          </cell>
          <cell r="AN146">
            <v>0</v>
          </cell>
          <cell r="AO146">
            <v>146.25</v>
          </cell>
          <cell r="AP146">
            <v>0</v>
          </cell>
          <cell r="AQ146">
            <v>0</v>
          </cell>
          <cell r="AR146">
            <v>11.25</v>
          </cell>
          <cell r="AS146">
            <v>0</v>
          </cell>
          <cell r="AT146">
            <v>0</v>
          </cell>
          <cell r="AU146">
            <v>97.5</v>
          </cell>
          <cell r="AV146">
            <v>0</v>
          </cell>
          <cell r="AW146">
            <v>0</v>
          </cell>
          <cell r="AX146">
            <v>126.75</v>
          </cell>
          <cell r="AY146">
            <v>0</v>
          </cell>
          <cell r="AZ146">
            <v>0</v>
          </cell>
          <cell r="BA146">
            <v>9.75</v>
          </cell>
          <cell r="BB146">
            <v>0</v>
          </cell>
          <cell r="BC146">
            <v>0</v>
          </cell>
          <cell r="BD146">
            <v>150</v>
          </cell>
          <cell r="BE146">
            <v>0</v>
          </cell>
          <cell r="BF146">
            <v>0</v>
          </cell>
          <cell r="BG146">
            <v>195</v>
          </cell>
          <cell r="BH146">
            <v>0</v>
          </cell>
          <cell r="BI146">
            <v>0</v>
          </cell>
          <cell r="BJ146">
            <v>15</v>
          </cell>
          <cell r="BK146">
            <v>0</v>
          </cell>
          <cell r="BL146">
            <v>8</v>
          </cell>
          <cell r="BM146">
            <v>75</v>
          </cell>
          <cell r="BN146">
            <v>600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10698.75</v>
          </cell>
        </row>
        <row r="147">
          <cell r="C147">
            <v>14915</v>
          </cell>
          <cell r="D147" t="str">
            <v>NATINGGA, PRECIOUS GOTERA</v>
          </cell>
          <cell r="E147" t="str">
            <v>METAL STAMPING</v>
          </cell>
          <cell r="F147" t="str">
            <v>PRODUCTION</v>
          </cell>
          <cell r="G147" t="str">
            <v>Operator</v>
          </cell>
          <cell r="H147" t="str">
            <v>IDL</v>
          </cell>
          <cell r="I147">
            <v>64</v>
          </cell>
          <cell r="J147">
            <v>8</v>
          </cell>
          <cell r="K147">
            <v>600</v>
          </cell>
          <cell r="L147">
            <v>4800</v>
          </cell>
          <cell r="M147">
            <v>0</v>
          </cell>
          <cell r="N147">
            <v>1.25</v>
          </cell>
          <cell r="O147">
            <v>0</v>
          </cell>
          <cell r="P147">
            <v>6</v>
          </cell>
          <cell r="Q147">
            <v>93.75</v>
          </cell>
          <cell r="R147">
            <v>562.5</v>
          </cell>
          <cell r="S147">
            <v>24</v>
          </cell>
          <cell r="T147">
            <v>7.5</v>
          </cell>
          <cell r="U147">
            <v>180</v>
          </cell>
          <cell r="V147">
            <v>6</v>
          </cell>
          <cell r="W147">
            <v>9.375</v>
          </cell>
          <cell r="X147">
            <v>56.25</v>
          </cell>
          <cell r="Y147">
            <v>8</v>
          </cell>
          <cell r="Z147">
            <v>97.5</v>
          </cell>
          <cell r="AA147">
            <v>780</v>
          </cell>
          <cell r="AB147">
            <v>0</v>
          </cell>
          <cell r="AC147">
            <v>126.75</v>
          </cell>
          <cell r="AD147">
            <v>0</v>
          </cell>
          <cell r="AE147">
            <v>0</v>
          </cell>
          <cell r="AF147">
            <v>12.675000000000001</v>
          </cell>
          <cell r="AG147">
            <v>0</v>
          </cell>
          <cell r="AH147">
            <v>0</v>
          </cell>
          <cell r="AI147">
            <v>9.75</v>
          </cell>
          <cell r="AJ147">
            <v>0</v>
          </cell>
          <cell r="AK147">
            <v>0</v>
          </cell>
          <cell r="AL147">
            <v>112.5</v>
          </cell>
          <cell r="AM147">
            <v>0</v>
          </cell>
          <cell r="AN147">
            <v>0</v>
          </cell>
          <cell r="AO147">
            <v>146.25</v>
          </cell>
          <cell r="AP147">
            <v>0</v>
          </cell>
          <cell r="AQ147">
            <v>0</v>
          </cell>
          <cell r="AR147">
            <v>11.25</v>
          </cell>
          <cell r="AS147">
            <v>0</v>
          </cell>
          <cell r="AT147">
            <v>0</v>
          </cell>
          <cell r="AU147">
            <v>97.5</v>
          </cell>
          <cell r="AV147">
            <v>0</v>
          </cell>
          <cell r="AW147">
            <v>0</v>
          </cell>
          <cell r="AX147">
            <v>126.75</v>
          </cell>
          <cell r="AY147">
            <v>0</v>
          </cell>
          <cell r="AZ147">
            <v>0</v>
          </cell>
          <cell r="BA147">
            <v>9.75</v>
          </cell>
          <cell r="BB147">
            <v>0</v>
          </cell>
          <cell r="BC147">
            <v>0</v>
          </cell>
          <cell r="BD147">
            <v>150</v>
          </cell>
          <cell r="BE147">
            <v>0</v>
          </cell>
          <cell r="BF147">
            <v>0</v>
          </cell>
          <cell r="BG147">
            <v>195</v>
          </cell>
          <cell r="BH147">
            <v>0</v>
          </cell>
          <cell r="BI147">
            <v>0</v>
          </cell>
          <cell r="BJ147">
            <v>15</v>
          </cell>
          <cell r="BK147">
            <v>0</v>
          </cell>
          <cell r="BL147">
            <v>8</v>
          </cell>
          <cell r="BM147">
            <v>75</v>
          </cell>
          <cell r="BN147">
            <v>600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6978.75</v>
          </cell>
        </row>
        <row r="148">
          <cell r="C148">
            <v>14326</v>
          </cell>
          <cell r="D148" t="str">
            <v>NAZARITA, CHERRY MAE BADINAS</v>
          </cell>
          <cell r="E148" t="str">
            <v>METAL STAMPING</v>
          </cell>
          <cell r="F148" t="str">
            <v>PRODUCTION</v>
          </cell>
          <cell r="G148" t="str">
            <v>Operator</v>
          </cell>
          <cell r="H148" t="str">
            <v>IDL</v>
          </cell>
          <cell r="I148">
            <v>104</v>
          </cell>
          <cell r="J148">
            <v>13</v>
          </cell>
          <cell r="K148">
            <v>600</v>
          </cell>
          <cell r="L148">
            <v>7800</v>
          </cell>
          <cell r="M148">
            <v>0</v>
          </cell>
          <cell r="N148">
            <v>1.25</v>
          </cell>
          <cell r="O148">
            <v>0</v>
          </cell>
          <cell r="P148">
            <v>16</v>
          </cell>
          <cell r="Q148">
            <v>93.75</v>
          </cell>
          <cell r="R148">
            <v>1500</v>
          </cell>
          <cell r="S148">
            <v>54</v>
          </cell>
          <cell r="T148">
            <v>7.5</v>
          </cell>
          <cell r="U148">
            <v>405</v>
          </cell>
          <cell r="V148">
            <v>14</v>
          </cell>
          <cell r="W148">
            <v>9.375</v>
          </cell>
          <cell r="X148">
            <v>131.25</v>
          </cell>
          <cell r="Y148">
            <v>8</v>
          </cell>
          <cell r="Z148">
            <v>97.5</v>
          </cell>
          <cell r="AA148">
            <v>780</v>
          </cell>
          <cell r="AB148">
            <v>0</v>
          </cell>
          <cell r="AC148">
            <v>126.75</v>
          </cell>
          <cell r="AD148">
            <v>0</v>
          </cell>
          <cell r="AE148">
            <v>0</v>
          </cell>
          <cell r="AF148">
            <v>12.675000000000001</v>
          </cell>
          <cell r="AG148">
            <v>0</v>
          </cell>
          <cell r="AH148">
            <v>0</v>
          </cell>
          <cell r="AI148">
            <v>9.75</v>
          </cell>
          <cell r="AJ148">
            <v>0</v>
          </cell>
          <cell r="AK148">
            <v>0</v>
          </cell>
          <cell r="AL148">
            <v>112.5</v>
          </cell>
          <cell r="AM148">
            <v>0</v>
          </cell>
          <cell r="AN148">
            <v>0</v>
          </cell>
          <cell r="AO148">
            <v>146.25</v>
          </cell>
          <cell r="AP148">
            <v>0</v>
          </cell>
          <cell r="AQ148">
            <v>0</v>
          </cell>
          <cell r="AR148">
            <v>11.25</v>
          </cell>
          <cell r="AS148">
            <v>0</v>
          </cell>
          <cell r="AT148">
            <v>0</v>
          </cell>
          <cell r="AU148">
            <v>97.5</v>
          </cell>
          <cell r="AV148">
            <v>0</v>
          </cell>
          <cell r="AW148">
            <v>0</v>
          </cell>
          <cell r="AX148">
            <v>126.75</v>
          </cell>
          <cell r="AY148">
            <v>0</v>
          </cell>
          <cell r="AZ148">
            <v>0</v>
          </cell>
          <cell r="BA148">
            <v>9.75</v>
          </cell>
          <cell r="BB148">
            <v>0</v>
          </cell>
          <cell r="BC148">
            <v>0</v>
          </cell>
          <cell r="BD148">
            <v>150</v>
          </cell>
          <cell r="BE148">
            <v>0</v>
          </cell>
          <cell r="BF148">
            <v>0</v>
          </cell>
          <cell r="BG148">
            <v>195</v>
          </cell>
          <cell r="BH148">
            <v>0</v>
          </cell>
          <cell r="BI148">
            <v>0</v>
          </cell>
          <cell r="BJ148">
            <v>15</v>
          </cell>
          <cell r="BK148">
            <v>0</v>
          </cell>
          <cell r="BL148">
            <v>8</v>
          </cell>
          <cell r="BM148">
            <v>75</v>
          </cell>
          <cell r="BN148">
            <v>600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11216.25</v>
          </cell>
        </row>
        <row r="149">
          <cell r="C149">
            <v>14328</v>
          </cell>
          <cell r="D149" t="str">
            <v>NIALLA, JENNY MAE BRAVO</v>
          </cell>
          <cell r="E149" t="str">
            <v>METAL STAMPING</v>
          </cell>
          <cell r="F149" t="str">
            <v>PRODUCTION</v>
          </cell>
          <cell r="G149" t="str">
            <v>Operator</v>
          </cell>
          <cell r="H149" t="str">
            <v>DL</v>
          </cell>
          <cell r="I149">
            <v>104</v>
          </cell>
          <cell r="J149">
            <v>13</v>
          </cell>
          <cell r="K149">
            <v>600</v>
          </cell>
          <cell r="L149">
            <v>7800</v>
          </cell>
          <cell r="M149">
            <v>0</v>
          </cell>
          <cell r="N149">
            <v>1.25</v>
          </cell>
          <cell r="O149">
            <v>0</v>
          </cell>
          <cell r="P149">
            <v>22</v>
          </cell>
          <cell r="Q149">
            <v>93.75</v>
          </cell>
          <cell r="R149">
            <v>2062.5</v>
          </cell>
          <cell r="S149">
            <v>24</v>
          </cell>
          <cell r="T149">
            <v>7.5</v>
          </cell>
          <cell r="U149">
            <v>180</v>
          </cell>
          <cell r="V149">
            <v>6</v>
          </cell>
          <cell r="W149">
            <v>9.375</v>
          </cell>
          <cell r="X149">
            <v>56.25</v>
          </cell>
          <cell r="Y149">
            <v>0</v>
          </cell>
          <cell r="Z149">
            <v>97.5</v>
          </cell>
          <cell r="AA149">
            <v>0</v>
          </cell>
          <cell r="AB149">
            <v>0</v>
          </cell>
          <cell r="AC149">
            <v>126.75</v>
          </cell>
          <cell r="AD149">
            <v>0</v>
          </cell>
          <cell r="AE149">
            <v>0</v>
          </cell>
          <cell r="AF149">
            <v>12.675000000000001</v>
          </cell>
          <cell r="AG149">
            <v>0</v>
          </cell>
          <cell r="AH149">
            <v>0</v>
          </cell>
          <cell r="AI149">
            <v>9.75</v>
          </cell>
          <cell r="AJ149">
            <v>0</v>
          </cell>
          <cell r="AK149">
            <v>0</v>
          </cell>
          <cell r="AL149">
            <v>112.5</v>
          </cell>
          <cell r="AM149">
            <v>0</v>
          </cell>
          <cell r="AN149">
            <v>0</v>
          </cell>
          <cell r="AO149">
            <v>146.25</v>
          </cell>
          <cell r="AP149">
            <v>0</v>
          </cell>
          <cell r="AQ149">
            <v>0</v>
          </cell>
          <cell r="AR149">
            <v>11.25</v>
          </cell>
          <cell r="AS149">
            <v>0</v>
          </cell>
          <cell r="AT149">
            <v>0</v>
          </cell>
          <cell r="AU149">
            <v>97.5</v>
          </cell>
          <cell r="AV149">
            <v>0</v>
          </cell>
          <cell r="AW149">
            <v>0</v>
          </cell>
          <cell r="AX149">
            <v>126.75</v>
          </cell>
          <cell r="AY149">
            <v>0</v>
          </cell>
          <cell r="AZ149">
            <v>0</v>
          </cell>
          <cell r="BA149">
            <v>9.75</v>
          </cell>
          <cell r="BB149">
            <v>0</v>
          </cell>
          <cell r="BC149">
            <v>0</v>
          </cell>
          <cell r="BD149">
            <v>150</v>
          </cell>
          <cell r="BE149">
            <v>0</v>
          </cell>
          <cell r="BF149">
            <v>0</v>
          </cell>
          <cell r="BG149">
            <v>195</v>
          </cell>
          <cell r="BH149">
            <v>0</v>
          </cell>
          <cell r="BI149">
            <v>0</v>
          </cell>
          <cell r="BJ149">
            <v>15</v>
          </cell>
          <cell r="BK149">
            <v>0</v>
          </cell>
          <cell r="BL149">
            <v>8</v>
          </cell>
          <cell r="BM149">
            <v>75</v>
          </cell>
          <cell r="BN149">
            <v>600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10698.75</v>
          </cell>
        </row>
        <row r="150">
          <cell r="C150">
            <v>10997</v>
          </cell>
          <cell r="D150" t="str">
            <v>NICOLAS, JOEY CAMIGLA</v>
          </cell>
          <cell r="E150" t="str">
            <v>METAL STAMPING</v>
          </cell>
          <cell r="F150" t="str">
            <v>PRODUCTION</v>
          </cell>
          <cell r="G150" t="str">
            <v>Operator</v>
          </cell>
          <cell r="H150" t="str">
            <v>DL</v>
          </cell>
          <cell r="I150">
            <v>104</v>
          </cell>
          <cell r="J150">
            <v>13</v>
          </cell>
          <cell r="K150">
            <v>600</v>
          </cell>
          <cell r="L150">
            <v>7800</v>
          </cell>
          <cell r="M150">
            <v>0</v>
          </cell>
          <cell r="N150">
            <v>1.25</v>
          </cell>
          <cell r="O150">
            <v>0</v>
          </cell>
          <cell r="P150">
            <v>10</v>
          </cell>
          <cell r="Q150">
            <v>93.75</v>
          </cell>
          <cell r="R150">
            <v>937.5</v>
          </cell>
          <cell r="S150">
            <v>54</v>
          </cell>
          <cell r="T150">
            <v>7.5</v>
          </cell>
          <cell r="U150">
            <v>405</v>
          </cell>
          <cell r="V150">
            <v>8</v>
          </cell>
          <cell r="W150">
            <v>9.375</v>
          </cell>
          <cell r="X150">
            <v>75</v>
          </cell>
          <cell r="Y150">
            <v>8</v>
          </cell>
          <cell r="Z150">
            <v>97.5</v>
          </cell>
          <cell r="AA150">
            <v>780</v>
          </cell>
          <cell r="AB150">
            <v>0</v>
          </cell>
          <cell r="AC150">
            <v>126.75</v>
          </cell>
          <cell r="AD150">
            <v>0</v>
          </cell>
          <cell r="AE150">
            <v>0</v>
          </cell>
          <cell r="AF150">
            <v>12.675000000000001</v>
          </cell>
          <cell r="AG150">
            <v>0</v>
          </cell>
          <cell r="AH150">
            <v>0</v>
          </cell>
          <cell r="AI150">
            <v>9.75</v>
          </cell>
          <cell r="AJ150">
            <v>0</v>
          </cell>
          <cell r="AK150">
            <v>0</v>
          </cell>
          <cell r="AL150">
            <v>112.5</v>
          </cell>
          <cell r="AM150">
            <v>0</v>
          </cell>
          <cell r="AN150">
            <v>0</v>
          </cell>
          <cell r="AO150">
            <v>146.25</v>
          </cell>
          <cell r="AP150">
            <v>0</v>
          </cell>
          <cell r="AQ150">
            <v>0</v>
          </cell>
          <cell r="AR150">
            <v>11.25</v>
          </cell>
          <cell r="AS150">
            <v>0</v>
          </cell>
          <cell r="AT150">
            <v>0</v>
          </cell>
          <cell r="AU150">
            <v>97.5</v>
          </cell>
          <cell r="AV150">
            <v>0</v>
          </cell>
          <cell r="AW150">
            <v>0</v>
          </cell>
          <cell r="AX150">
            <v>126.75</v>
          </cell>
          <cell r="AY150">
            <v>0</v>
          </cell>
          <cell r="AZ150">
            <v>0</v>
          </cell>
          <cell r="BA150">
            <v>9.75</v>
          </cell>
          <cell r="BB150">
            <v>0</v>
          </cell>
          <cell r="BC150">
            <v>0</v>
          </cell>
          <cell r="BD150">
            <v>150</v>
          </cell>
          <cell r="BE150">
            <v>0</v>
          </cell>
          <cell r="BF150">
            <v>0</v>
          </cell>
          <cell r="BG150">
            <v>195</v>
          </cell>
          <cell r="BH150">
            <v>0</v>
          </cell>
          <cell r="BI150">
            <v>0</v>
          </cell>
          <cell r="BJ150">
            <v>15</v>
          </cell>
          <cell r="BK150">
            <v>0</v>
          </cell>
          <cell r="BL150">
            <v>8</v>
          </cell>
          <cell r="BM150">
            <v>75</v>
          </cell>
          <cell r="BN150">
            <v>600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10597.5</v>
          </cell>
        </row>
        <row r="151">
          <cell r="C151">
            <v>32249</v>
          </cell>
          <cell r="D151" t="str">
            <v>NIÑO,JHON MARCK MADRIDANO</v>
          </cell>
          <cell r="E151" t="str">
            <v>METAL STAMPING</v>
          </cell>
          <cell r="F151" t="str">
            <v>PRODUCTION</v>
          </cell>
          <cell r="G151" t="str">
            <v>Operator</v>
          </cell>
          <cell r="H151" t="str">
            <v>DL</v>
          </cell>
          <cell r="I151">
            <v>104</v>
          </cell>
          <cell r="J151">
            <v>13</v>
          </cell>
          <cell r="K151">
            <v>600</v>
          </cell>
          <cell r="L151">
            <v>7800</v>
          </cell>
          <cell r="M151">
            <v>0</v>
          </cell>
          <cell r="N151">
            <v>1.25</v>
          </cell>
          <cell r="O151">
            <v>0</v>
          </cell>
          <cell r="P151">
            <v>22</v>
          </cell>
          <cell r="Q151">
            <v>93.75</v>
          </cell>
          <cell r="R151">
            <v>2062.5</v>
          </cell>
          <cell r="S151">
            <v>24</v>
          </cell>
          <cell r="T151">
            <v>7.5</v>
          </cell>
          <cell r="U151">
            <v>180</v>
          </cell>
          <cell r="V151">
            <v>6</v>
          </cell>
          <cell r="W151">
            <v>9.375</v>
          </cell>
          <cell r="X151">
            <v>56.25</v>
          </cell>
          <cell r="Y151">
            <v>0</v>
          </cell>
          <cell r="Z151">
            <v>97.5</v>
          </cell>
          <cell r="AA151">
            <v>0</v>
          </cell>
          <cell r="AB151">
            <v>0</v>
          </cell>
          <cell r="AC151">
            <v>126.75</v>
          </cell>
          <cell r="AD151">
            <v>0</v>
          </cell>
          <cell r="AE151">
            <v>0</v>
          </cell>
          <cell r="AF151">
            <v>12.675000000000001</v>
          </cell>
          <cell r="AG151">
            <v>0</v>
          </cell>
          <cell r="AH151">
            <v>0</v>
          </cell>
          <cell r="AI151">
            <v>9.75</v>
          </cell>
          <cell r="AJ151">
            <v>0</v>
          </cell>
          <cell r="AK151">
            <v>0</v>
          </cell>
          <cell r="AL151">
            <v>112.5</v>
          </cell>
          <cell r="AM151">
            <v>0</v>
          </cell>
          <cell r="AN151">
            <v>0</v>
          </cell>
          <cell r="AO151">
            <v>146.25</v>
          </cell>
          <cell r="AP151">
            <v>0</v>
          </cell>
          <cell r="AQ151">
            <v>0</v>
          </cell>
          <cell r="AR151">
            <v>11.25</v>
          </cell>
          <cell r="AS151">
            <v>0</v>
          </cell>
          <cell r="AT151">
            <v>0</v>
          </cell>
          <cell r="AU151">
            <v>97.5</v>
          </cell>
          <cell r="AV151">
            <v>0</v>
          </cell>
          <cell r="AW151">
            <v>0</v>
          </cell>
          <cell r="AX151">
            <v>126.75</v>
          </cell>
          <cell r="AY151">
            <v>0</v>
          </cell>
          <cell r="AZ151">
            <v>0</v>
          </cell>
          <cell r="BA151">
            <v>9.75</v>
          </cell>
          <cell r="BB151">
            <v>0</v>
          </cell>
          <cell r="BC151">
            <v>0</v>
          </cell>
          <cell r="BD151">
            <v>150</v>
          </cell>
          <cell r="BE151">
            <v>0</v>
          </cell>
          <cell r="BF151">
            <v>0</v>
          </cell>
          <cell r="BG151">
            <v>195</v>
          </cell>
          <cell r="BH151">
            <v>0</v>
          </cell>
          <cell r="BI151">
            <v>0</v>
          </cell>
          <cell r="BJ151">
            <v>15</v>
          </cell>
          <cell r="BK151">
            <v>0</v>
          </cell>
          <cell r="BL151">
            <v>8</v>
          </cell>
          <cell r="BM151">
            <v>75</v>
          </cell>
          <cell r="BN151">
            <v>600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10698.75</v>
          </cell>
        </row>
        <row r="152">
          <cell r="C152">
            <v>14331</v>
          </cell>
          <cell r="D152" t="str">
            <v>OBILES, RYAN TATO</v>
          </cell>
          <cell r="E152" t="str">
            <v>METAL STAMPING</v>
          </cell>
          <cell r="F152" t="str">
            <v>PRODUCTION</v>
          </cell>
          <cell r="G152" t="str">
            <v>Operator</v>
          </cell>
          <cell r="H152" t="str">
            <v>DL</v>
          </cell>
          <cell r="I152">
            <v>104</v>
          </cell>
          <cell r="J152">
            <v>13</v>
          </cell>
          <cell r="K152">
            <v>600</v>
          </cell>
          <cell r="L152">
            <v>7800</v>
          </cell>
          <cell r="M152">
            <v>0</v>
          </cell>
          <cell r="N152">
            <v>1.25</v>
          </cell>
          <cell r="O152">
            <v>0</v>
          </cell>
          <cell r="P152">
            <v>24</v>
          </cell>
          <cell r="Q152">
            <v>93.75</v>
          </cell>
          <cell r="R152">
            <v>2250</v>
          </cell>
          <cell r="S152">
            <v>42</v>
          </cell>
          <cell r="T152">
            <v>7.5</v>
          </cell>
          <cell r="U152">
            <v>315</v>
          </cell>
          <cell r="V152">
            <v>12</v>
          </cell>
          <cell r="W152">
            <v>9.375</v>
          </cell>
          <cell r="X152">
            <v>112.5</v>
          </cell>
          <cell r="Y152">
            <v>8</v>
          </cell>
          <cell r="Z152">
            <v>97.5</v>
          </cell>
          <cell r="AA152">
            <v>780</v>
          </cell>
          <cell r="AB152">
            <v>0</v>
          </cell>
          <cell r="AC152">
            <v>126.75</v>
          </cell>
          <cell r="AD152">
            <v>0</v>
          </cell>
          <cell r="AE152">
            <v>0</v>
          </cell>
          <cell r="AF152">
            <v>12.675000000000001</v>
          </cell>
          <cell r="AG152">
            <v>0</v>
          </cell>
          <cell r="AH152">
            <v>0</v>
          </cell>
          <cell r="AI152">
            <v>9.75</v>
          </cell>
          <cell r="AJ152">
            <v>0</v>
          </cell>
          <cell r="AK152">
            <v>0</v>
          </cell>
          <cell r="AL152">
            <v>112.5</v>
          </cell>
          <cell r="AM152">
            <v>0</v>
          </cell>
          <cell r="AN152">
            <v>0</v>
          </cell>
          <cell r="AO152">
            <v>146.25</v>
          </cell>
          <cell r="AP152">
            <v>0</v>
          </cell>
          <cell r="AQ152">
            <v>0</v>
          </cell>
          <cell r="AR152">
            <v>11.25</v>
          </cell>
          <cell r="AS152">
            <v>0</v>
          </cell>
          <cell r="AT152">
            <v>0</v>
          </cell>
          <cell r="AU152">
            <v>97.5</v>
          </cell>
          <cell r="AV152">
            <v>0</v>
          </cell>
          <cell r="AW152">
            <v>0</v>
          </cell>
          <cell r="AX152">
            <v>126.75</v>
          </cell>
          <cell r="AY152">
            <v>0</v>
          </cell>
          <cell r="AZ152">
            <v>0</v>
          </cell>
          <cell r="BA152">
            <v>9.75</v>
          </cell>
          <cell r="BB152">
            <v>0</v>
          </cell>
          <cell r="BC152">
            <v>0</v>
          </cell>
          <cell r="BD152">
            <v>150</v>
          </cell>
          <cell r="BE152">
            <v>0</v>
          </cell>
          <cell r="BF152">
            <v>0</v>
          </cell>
          <cell r="BG152">
            <v>195</v>
          </cell>
          <cell r="BH152">
            <v>0</v>
          </cell>
          <cell r="BI152">
            <v>0</v>
          </cell>
          <cell r="BJ152">
            <v>15</v>
          </cell>
          <cell r="BK152">
            <v>0</v>
          </cell>
          <cell r="BL152">
            <v>8</v>
          </cell>
          <cell r="BM152">
            <v>75</v>
          </cell>
          <cell r="BN152">
            <v>600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11857.5</v>
          </cell>
        </row>
        <row r="153">
          <cell r="C153">
            <v>10424</v>
          </cell>
          <cell r="D153" t="str">
            <v>OCHEA, ADELFA ABRIGO</v>
          </cell>
          <cell r="E153" t="str">
            <v>METAL STAMPING</v>
          </cell>
          <cell r="F153" t="str">
            <v>PRODUCTION</v>
          </cell>
          <cell r="G153" t="str">
            <v>Operator</v>
          </cell>
          <cell r="H153" t="str">
            <v>IDL</v>
          </cell>
          <cell r="I153">
            <v>104</v>
          </cell>
          <cell r="J153">
            <v>13</v>
          </cell>
          <cell r="K153">
            <v>600</v>
          </cell>
          <cell r="L153">
            <v>7800</v>
          </cell>
          <cell r="M153">
            <v>0</v>
          </cell>
          <cell r="N153">
            <v>1.25</v>
          </cell>
          <cell r="O153">
            <v>0</v>
          </cell>
          <cell r="P153">
            <v>22</v>
          </cell>
          <cell r="Q153">
            <v>93.75</v>
          </cell>
          <cell r="R153">
            <v>2062.5</v>
          </cell>
          <cell r="S153">
            <v>24</v>
          </cell>
          <cell r="T153">
            <v>7.5</v>
          </cell>
          <cell r="U153">
            <v>180</v>
          </cell>
          <cell r="V153">
            <v>6</v>
          </cell>
          <cell r="W153">
            <v>9.375</v>
          </cell>
          <cell r="X153">
            <v>56.25</v>
          </cell>
          <cell r="Y153">
            <v>0</v>
          </cell>
          <cell r="Z153">
            <v>97.5</v>
          </cell>
          <cell r="AA153">
            <v>0</v>
          </cell>
          <cell r="AB153">
            <v>0</v>
          </cell>
          <cell r="AC153">
            <v>126.75</v>
          </cell>
          <cell r="AD153">
            <v>0</v>
          </cell>
          <cell r="AE153">
            <v>0</v>
          </cell>
          <cell r="AF153">
            <v>12.675000000000001</v>
          </cell>
          <cell r="AG153">
            <v>0</v>
          </cell>
          <cell r="AH153">
            <v>0</v>
          </cell>
          <cell r="AI153">
            <v>9.75</v>
          </cell>
          <cell r="AJ153">
            <v>0</v>
          </cell>
          <cell r="AK153">
            <v>0</v>
          </cell>
          <cell r="AL153">
            <v>112.5</v>
          </cell>
          <cell r="AM153">
            <v>0</v>
          </cell>
          <cell r="AN153">
            <v>0</v>
          </cell>
          <cell r="AO153">
            <v>146.25</v>
          </cell>
          <cell r="AP153">
            <v>0</v>
          </cell>
          <cell r="AQ153">
            <v>0</v>
          </cell>
          <cell r="AR153">
            <v>11.25</v>
          </cell>
          <cell r="AS153">
            <v>0</v>
          </cell>
          <cell r="AT153">
            <v>0</v>
          </cell>
          <cell r="AU153">
            <v>97.5</v>
          </cell>
          <cell r="AV153">
            <v>0</v>
          </cell>
          <cell r="AW153">
            <v>0</v>
          </cell>
          <cell r="AX153">
            <v>126.75</v>
          </cell>
          <cell r="AY153">
            <v>0</v>
          </cell>
          <cell r="AZ153">
            <v>0</v>
          </cell>
          <cell r="BA153">
            <v>9.75</v>
          </cell>
          <cell r="BB153">
            <v>0</v>
          </cell>
          <cell r="BC153">
            <v>0</v>
          </cell>
          <cell r="BD153">
            <v>150</v>
          </cell>
          <cell r="BE153">
            <v>0</v>
          </cell>
          <cell r="BF153">
            <v>0</v>
          </cell>
          <cell r="BG153">
            <v>195</v>
          </cell>
          <cell r="BH153">
            <v>0</v>
          </cell>
          <cell r="BI153">
            <v>0</v>
          </cell>
          <cell r="BJ153">
            <v>15</v>
          </cell>
          <cell r="BK153">
            <v>0</v>
          </cell>
          <cell r="BL153">
            <v>8</v>
          </cell>
          <cell r="BM153">
            <v>75</v>
          </cell>
          <cell r="BN153">
            <v>600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10698.75</v>
          </cell>
        </row>
        <row r="154">
          <cell r="C154">
            <v>8176</v>
          </cell>
          <cell r="D154" t="str">
            <v>OCLARINO, EDENA SAN BUENAVENTURA</v>
          </cell>
          <cell r="E154" t="str">
            <v>METAL STAMPING</v>
          </cell>
          <cell r="F154" t="str">
            <v>PRODUCTION</v>
          </cell>
          <cell r="G154" t="str">
            <v>Operator</v>
          </cell>
          <cell r="H154" t="str">
            <v>IDL</v>
          </cell>
          <cell r="I154">
            <v>56</v>
          </cell>
          <cell r="J154">
            <v>7</v>
          </cell>
          <cell r="K154">
            <v>600</v>
          </cell>
          <cell r="L154">
            <v>4200</v>
          </cell>
          <cell r="M154">
            <v>0</v>
          </cell>
          <cell r="N154">
            <v>1.25</v>
          </cell>
          <cell r="O154">
            <v>0</v>
          </cell>
          <cell r="P154">
            <v>12</v>
          </cell>
          <cell r="Q154">
            <v>93.75</v>
          </cell>
          <cell r="R154">
            <v>1125</v>
          </cell>
          <cell r="S154">
            <v>0</v>
          </cell>
          <cell r="T154">
            <v>7.5</v>
          </cell>
          <cell r="U154">
            <v>0</v>
          </cell>
          <cell r="V154">
            <v>0</v>
          </cell>
          <cell r="W154">
            <v>9.375</v>
          </cell>
          <cell r="X154">
            <v>0</v>
          </cell>
          <cell r="Y154">
            <v>0</v>
          </cell>
          <cell r="Z154">
            <v>97.5</v>
          </cell>
          <cell r="AA154">
            <v>0</v>
          </cell>
          <cell r="AB154">
            <v>0</v>
          </cell>
          <cell r="AC154">
            <v>126.75</v>
          </cell>
          <cell r="AD154">
            <v>0</v>
          </cell>
          <cell r="AE154">
            <v>0</v>
          </cell>
          <cell r="AF154">
            <v>12.675000000000001</v>
          </cell>
          <cell r="AG154">
            <v>0</v>
          </cell>
          <cell r="AH154">
            <v>0</v>
          </cell>
          <cell r="AI154">
            <v>9.75</v>
          </cell>
          <cell r="AJ154">
            <v>0</v>
          </cell>
          <cell r="AK154">
            <v>0</v>
          </cell>
          <cell r="AL154">
            <v>112.5</v>
          </cell>
          <cell r="AM154">
            <v>0</v>
          </cell>
          <cell r="AN154">
            <v>0</v>
          </cell>
          <cell r="AO154">
            <v>146.25</v>
          </cell>
          <cell r="AP154">
            <v>0</v>
          </cell>
          <cell r="AQ154">
            <v>0</v>
          </cell>
          <cell r="AR154">
            <v>11.25</v>
          </cell>
          <cell r="AS154">
            <v>0</v>
          </cell>
          <cell r="AT154">
            <v>0</v>
          </cell>
          <cell r="AU154">
            <v>97.5</v>
          </cell>
          <cell r="AV154">
            <v>0</v>
          </cell>
          <cell r="AW154">
            <v>0</v>
          </cell>
          <cell r="AX154">
            <v>126.75</v>
          </cell>
          <cell r="AY154">
            <v>0</v>
          </cell>
          <cell r="AZ154">
            <v>0</v>
          </cell>
          <cell r="BA154">
            <v>9.75</v>
          </cell>
          <cell r="BB154">
            <v>0</v>
          </cell>
          <cell r="BC154">
            <v>0</v>
          </cell>
          <cell r="BD154">
            <v>150</v>
          </cell>
          <cell r="BE154">
            <v>0</v>
          </cell>
          <cell r="BF154">
            <v>0</v>
          </cell>
          <cell r="BG154">
            <v>195</v>
          </cell>
          <cell r="BH154">
            <v>0</v>
          </cell>
          <cell r="BI154">
            <v>0</v>
          </cell>
          <cell r="BJ154">
            <v>15</v>
          </cell>
          <cell r="BK154">
            <v>0</v>
          </cell>
          <cell r="BL154">
            <v>0</v>
          </cell>
          <cell r="BM154">
            <v>75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5325</v>
          </cell>
        </row>
        <row r="155">
          <cell r="C155">
            <v>32500</v>
          </cell>
          <cell r="D155" t="str">
            <v>ODO, LOVELY ROSE</v>
          </cell>
          <cell r="E155" t="str">
            <v>METAL STAMPING</v>
          </cell>
          <cell r="F155" t="str">
            <v>PRODUCTION</v>
          </cell>
          <cell r="G155" t="str">
            <v>Operator</v>
          </cell>
          <cell r="H155" t="str">
            <v>DL</v>
          </cell>
          <cell r="I155">
            <v>104</v>
          </cell>
          <cell r="J155">
            <v>13</v>
          </cell>
          <cell r="K155">
            <v>600</v>
          </cell>
          <cell r="L155">
            <v>7800</v>
          </cell>
          <cell r="M155">
            <v>0</v>
          </cell>
          <cell r="N155">
            <v>1.25</v>
          </cell>
          <cell r="O155">
            <v>0</v>
          </cell>
          <cell r="P155">
            <v>18</v>
          </cell>
          <cell r="Q155">
            <v>93.75</v>
          </cell>
          <cell r="R155">
            <v>1687.5</v>
          </cell>
          <cell r="S155">
            <v>54</v>
          </cell>
          <cell r="T155">
            <v>7.5</v>
          </cell>
          <cell r="U155">
            <v>405</v>
          </cell>
          <cell r="V155">
            <v>16</v>
          </cell>
          <cell r="W155">
            <v>9.375</v>
          </cell>
          <cell r="X155">
            <v>150</v>
          </cell>
          <cell r="Y155">
            <v>8</v>
          </cell>
          <cell r="Z155">
            <v>97.5</v>
          </cell>
          <cell r="AA155">
            <v>780</v>
          </cell>
          <cell r="AB155">
            <v>0</v>
          </cell>
          <cell r="AC155">
            <v>126.75</v>
          </cell>
          <cell r="AD155">
            <v>0</v>
          </cell>
          <cell r="AE155">
            <v>0</v>
          </cell>
          <cell r="AF155">
            <v>12.675000000000001</v>
          </cell>
          <cell r="AG155">
            <v>0</v>
          </cell>
          <cell r="AH155">
            <v>0</v>
          </cell>
          <cell r="AI155">
            <v>9.75</v>
          </cell>
          <cell r="AJ155">
            <v>0</v>
          </cell>
          <cell r="AK155">
            <v>0</v>
          </cell>
          <cell r="AL155">
            <v>112.5</v>
          </cell>
          <cell r="AM155">
            <v>0</v>
          </cell>
          <cell r="AN155">
            <v>0</v>
          </cell>
          <cell r="AO155">
            <v>146.25</v>
          </cell>
          <cell r="AP155">
            <v>0</v>
          </cell>
          <cell r="AQ155">
            <v>0</v>
          </cell>
          <cell r="AR155">
            <v>11.25</v>
          </cell>
          <cell r="AS155">
            <v>0</v>
          </cell>
          <cell r="AT155">
            <v>0</v>
          </cell>
          <cell r="AU155">
            <v>97.5</v>
          </cell>
          <cell r="AV155">
            <v>0</v>
          </cell>
          <cell r="AW155">
            <v>0</v>
          </cell>
          <cell r="AX155">
            <v>126.75</v>
          </cell>
          <cell r="AY155">
            <v>0</v>
          </cell>
          <cell r="AZ155">
            <v>0</v>
          </cell>
          <cell r="BA155">
            <v>9.75</v>
          </cell>
          <cell r="BB155">
            <v>0</v>
          </cell>
          <cell r="BC155">
            <v>0</v>
          </cell>
          <cell r="BD155">
            <v>150</v>
          </cell>
          <cell r="BE155">
            <v>0</v>
          </cell>
          <cell r="BF155">
            <v>0</v>
          </cell>
          <cell r="BG155">
            <v>195</v>
          </cell>
          <cell r="BH155">
            <v>0</v>
          </cell>
          <cell r="BI155">
            <v>0</v>
          </cell>
          <cell r="BJ155">
            <v>15</v>
          </cell>
          <cell r="BK155">
            <v>0</v>
          </cell>
          <cell r="BL155">
            <v>8</v>
          </cell>
          <cell r="BM155">
            <v>75</v>
          </cell>
          <cell r="BN155">
            <v>600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11422.5</v>
          </cell>
        </row>
        <row r="156">
          <cell r="C156">
            <v>11742</v>
          </cell>
          <cell r="D156" t="str">
            <v>ORDENIZA, LORNA SALAMANGGA</v>
          </cell>
          <cell r="E156" t="str">
            <v>METAL STAMPING</v>
          </cell>
          <cell r="F156" t="str">
            <v>PRODUCTION</v>
          </cell>
          <cell r="G156" t="str">
            <v>Operator</v>
          </cell>
          <cell r="H156" t="str">
            <v>DL</v>
          </cell>
          <cell r="I156">
            <v>104</v>
          </cell>
          <cell r="J156">
            <v>13</v>
          </cell>
          <cell r="K156">
            <v>600</v>
          </cell>
          <cell r="L156">
            <v>7800</v>
          </cell>
          <cell r="M156">
            <v>0</v>
          </cell>
          <cell r="N156">
            <v>1.25</v>
          </cell>
          <cell r="O156">
            <v>0</v>
          </cell>
          <cell r="P156">
            <v>14</v>
          </cell>
          <cell r="Q156">
            <v>93.75</v>
          </cell>
          <cell r="R156">
            <v>1312.5</v>
          </cell>
          <cell r="S156">
            <v>0</v>
          </cell>
          <cell r="T156">
            <v>7.5</v>
          </cell>
          <cell r="U156">
            <v>0</v>
          </cell>
          <cell r="V156">
            <v>0</v>
          </cell>
          <cell r="W156">
            <v>9.375</v>
          </cell>
          <cell r="X156">
            <v>0</v>
          </cell>
          <cell r="Y156">
            <v>8</v>
          </cell>
          <cell r="Z156">
            <v>97.5</v>
          </cell>
          <cell r="AA156">
            <v>780</v>
          </cell>
          <cell r="AB156">
            <v>0</v>
          </cell>
          <cell r="AC156">
            <v>126.75</v>
          </cell>
          <cell r="AD156">
            <v>0</v>
          </cell>
          <cell r="AE156">
            <v>0</v>
          </cell>
          <cell r="AF156">
            <v>12.675000000000001</v>
          </cell>
          <cell r="AG156">
            <v>0</v>
          </cell>
          <cell r="AH156">
            <v>0</v>
          </cell>
          <cell r="AI156">
            <v>9.75</v>
          </cell>
          <cell r="AJ156">
            <v>0</v>
          </cell>
          <cell r="AK156">
            <v>0</v>
          </cell>
          <cell r="AL156">
            <v>112.5</v>
          </cell>
          <cell r="AM156">
            <v>0</v>
          </cell>
          <cell r="AN156">
            <v>0</v>
          </cell>
          <cell r="AO156">
            <v>146.25</v>
          </cell>
          <cell r="AP156">
            <v>0</v>
          </cell>
          <cell r="AQ156">
            <v>0</v>
          </cell>
          <cell r="AR156">
            <v>11.25</v>
          </cell>
          <cell r="AS156">
            <v>0</v>
          </cell>
          <cell r="AT156">
            <v>0</v>
          </cell>
          <cell r="AU156">
            <v>97.5</v>
          </cell>
          <cell r="AV156">
            <v>0</v>
          </cell>
          <cell r="AW156">
            <v>0</v>
          </cell>
          <cell r="AX156">
            <v>126.75</v>
          </cell>
          <cell r="AY156">
            <v>0</v>
          </cell>
          <cell r="AZ156">
            <v>0</v>
          </cell>
          <cell r="BA156">
            <v>9.75</v>
          </cell>
          <cell r="BB156">
            <v>0</v>
          </cell>
          <cell r="BC156">
            <v>0</v>
          </cell>
          <cell r="BD156">
            <v>150</v>
          </cell>
          <cell r="BE156">
            <v>0</v>
          </cell>
          <cell r="BF156">
            <v>0</v>
          </cell>
          <cell r="BG156">
            <v>195</v>
          </cell>
          <cell r="BH156">
            <v>0</v>
          </cell>
          <cell r="BI156">
            <v>0</v>
          </cell>
          <cell r="BJ156">
            <v>15</v>
          </cell>
          <cell r="BK156">
            <v>0</v>
          </cell>
          <cell r="BL156">
            <v>8</v>
          </cell>
          <cell r="BM156">
            <v>75</v>
          </cell>
          <cell r="BN156">
            <v>600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10492.5</v>
          </cell>
        </row>
        <row r="157">
          <cell r="C157">
            <v>32454</v>
          </cell>
          <cell r="D157" t="str">
            <v>ORINAS, FRANCIS OCAMPO</v>
          </cell>
          <cell r="E157" t="str">
            <v>METAL STAMPING</v>
          </cell>
          <cell r="F157" t="str">
            <v>PRODUCTION</v>
          </cell>
          <cell r="G157" t="str">
            <v>Operator</v>
          </cell>
          <cell r="H157" t="str">
            <v>IDL</v>
          </cell>
          <cell r="I157">
            <v>96</v>
          </cell>
          <cell r="J157">
            <v>12</v>
          </cell>
          <cell r="K157">
            <v>600</v>
          </cell>
          <cell r="L157">
            <v>7200</v>
          </cell>
          <cell r="M157">
            <v>0</v>
          </cell>
          <cell r="N157">
            <v>1.25</v>
          </cell>
          <cell r="O157">
            <v>0</v>
          </cell>
          <cell r="P157">
            <v>20</v>
          </cell>
          <cell r="Q157">
            <v>93.75</v>
          </cell>
          <cell r="R157">
            <v>1875</v>
          </cell>
          <cell r="S157">
            <v>18</v>
          </cell>
          <cell r="T157">
            <v>7.5</v>
          </cell>
          <cell r="U157">
            <v>135</v>
          </cell>
          <cell r="V157">
            <v>4</v>
          </cell>
          <cell r="W157">
            <v>9.375</v>
          </cell>
          <cell r="X157">
            <v>37.5</v>
          </cell>
          <cell r="Y157">
            <v>0</v>
          </cell>
          <cell r="Z157">
            <v>97.5</v>
          </cell>
          <cell r="AA157">
            <v>0</v>
          </cell>
          <cell r="AB157">
            <v>0</v>
          </cell>
          <cell r="AC157">
            <v>126.75</v>
          </cell>
          <cell r="AD157">
            <v>0</v>
          </cell>
          <cell r="AE157">
            <v>0</v>
          </cell>
          <cell r="AF157">
            <v>12.675000000000001</v>
          </cell>
          <cell r="AG157">
            <v>0</v>
          </cell>
          <cell r="AH157">
            <v>0</v>
          </cell>
          <cell r="AI157">
            <v>9.75</v>
          </cell>
          <cell r="AJ157">
            <v>0</v>
          </cell>
          <cell r="AK157">
            <v>0</v>
          </cell>
          <cell r="AL157">
            <v>112.5</v>
          </cell>
          <cell r="AM157">
            <v>0</v>
          </cell>
          <cell r="AN157">
            <v>0</v>
          </cell>
          <cell r="AO157">
            <v>146.25</v>
          </cell>
          <cell r="AP157">
            <v>0</v>
          </cell>
          <cell r="AQ157">
            <v>0</v>
          </cell>
          <cell r="AR157">
            <v>11.25</v>
          </cell>
          <cell r="AS157">
            <v>0</v>
          </cell>
          <cell r="AT157">
            <v>0</v>
          </cell>
          <cell r="AU157">
            <v>97.5</v>
          </cell>
          <cell r="AV157">
            <v>0</v>
          </cell>
          <cell r="AW157">
            <v>0</v>
          </cell>
          <cell r="AX157">
            <v>126.75</v>
          </cell>
          <cell r="AY157">
            <v>0</v>
          </cell>
          <cell r="AZ157">
            <v>0</v>
          </cell>
          <cell r="BA157">
            <v>9.75</v>
          </cell>
          <cell r="BB157">
            <v>0</v>
          </cell>
          <cell r="BC157">
            <v>0</v>
          </cell>
          <cell r="BD157">
            <v>150</v>
          </cell>
          <cell r="BE157">
            <v>0</v>
          </cell>
          <cell r="BF157">
            <v>0</v>
          </cell>
          <cell r="BG157">
            <v>195</v>
          </cell>
          <cell r="BH157">
            <v>0</v>
          </cell>
          <cell r="BI157">
            <v>0</v>
          </cell>
          <cell r="BJ157">
            <v>15</v>
          </cell>
          <cell r="BK157">
            <v>0</v>
          </cell>
          <cell r="BL157">
            <v>8</v>
          </cell>
          <cell r="BM157">
            <v>75</v>
          </cell>
          <cell r="BN157">
            <v>600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9847.5</v>
          </cell>
        </row>
        <row r="158">
          <cell r="C158">
            <v>32494</v>
          </cell>
          <cell r="D158" t="str">
            <v>ORTIZ, NEOMIE</v>
          </cell>
          <cell r="E158" t="str">
            <v>METAL STAMPING</v>
          </cell>
          <cell r="F158" t="str">
            <v>PRODUCTION</v>
          </cell>
          <cell r="G158" t="str">
            <v>Operator</v>
          </cell>
          <cell r="H158" t="str">
            <v>IDL</v>
          </cell>
          <cell r="I158">
            <v>104</v>
          </cell>
          <cell r="J158">
            <v>13</v>
          </cell>
          <cell r="K158">
            <v>600</v>
          </cell>
          <cell r="L158">
            <v>7800</v>
          </cell>
          <cell r="M158">
            <v>0</v>
          </cell>
          <cell r="N158">
            <v>1.25</v>
          </cell>
          <cell r="O158">
            <v>0</v>
          </cell>
          <cell r="P158">
            <v>12</v>
          </cell>
          <cell r="Q158">
            <v>93.75</v>
          </cell>
          <cell r="R158">
            <v>1125</v>
          </cell>
          <cell r="S158">
            <v>0</v>
          </cell>
          <cell r="T158">
            <v>7.5</v>
          </cell>
          <cell r="U158">
            <v>0</v>
          </cell>
          <cell r="V158">
            <v>0</v>
          </cell>
          <cell r="W158">
            <v>9.375</v>
          </cell>
          <cell r="X158">
            <v>0</v>
          </cell>
          <cell r="Y158">
            <v>8</v>
          </cell>
          <cell r="Z158">
            <v>97.5</v>
          </cell>
          <cell r="AA158">
            <v>780</v>
          </cell>
          <cell r="AB158">
            <v>0</v>
          </cell>
          <cell r="AC158">
            <v>126.75</v>
          </cell>
          <cell r="AD158">
            <v>0</v>
          </cell>
          <cell r="AE158">
            <v>0</v>
          </cell>
          <cell r="AF158">
            <v>12.675000000000001</v>
          </cell>
          <cell r="AG158">
            <v>0</v>
          </cell>
          <cell r="AH158">
            <v>0</v>
          </cell>
          <cell r="AI158">
            <v>9.75</v>
          </cell>
          <cell r="AJ158">
            <v>0</v>
          </cell>
          <cell r="AK158">
            <v>0</v>
          </cell>
          <cell r="AL158">
            <v>112.5</v>
          </cell>
          <cell r="AM158">
            <v>0</v>
          </cell>
          <cell r="AN158">
            <v>0</v>
          </cell>
          <cell r="AO158">
            <v>146.25</v>
          </cell>
          <cell r="AP158">
            <v>0</v>
          </cell>
          <cell r="AQ158">
            <v>0</v>
          </cell>
          <cell r="AR158">
            <v>11.25</v>
          </cell>
          <cell r="AS158">
            <v>0</v>
          </cell>
          <cell r="AT158">
            <v>0</v>
          </cell>
          <cell r="AU158">
            <v>97.5</v>
          </cell>
          <cell r="AV158">
            <v>0</v>
          </cell>
          <cell r="AW158">
            <v>0</v>
          </cell>
          <cell r="AX158">
            <v>126.75</v>
          </cell>
          <cell r="AY158">
            <v>0</v>
          </cell>
          <cell r="AZ158">
            <v>0</v>
          </cell>
          <cell r="BA158">
            <v>9.75</v>
          </cell>
          <cell r="BB158">
            <v>0</v>
          </cell>
          <cell r="BC158">
            <v>0</v>
          </cell>
          <cell r="BD158">
            <v>150</v>
          </cell>
          <cell r="BE158">
            <v>0</v>
          </cell>
          <cell r="BF158">
            <v>0</v>
          </cell>
          <cell r="BG158">
            <v>195</v>
          </cell>
          <cell r="BH158">
            <v>0</v>
          </cell>
          <cell r="BI158">
            <v>0</v>
          </cell>
          <cell r="BJ158">
            <v>15</v>
          </cell>
          <cell r="BK158">
            <v>0</v>
          </cell>
          <cell r="BL158">
            <v>8</v>
          </cell>
          <cell r="BM158">
            <v>75</v>
          </cell>
          <cell r="BN158">
            <v>600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10305</v>
          </cell>
        </row>
        <row r="159">
          <cell r="C159">
            <v>6244</v>
          </cell>
          <cell r="D159" t="str">
            <v>PAGCALIWANGAN, JESSA LEYESA</v>
          </cell>
          <cell r="E159" t="str">
            <v>METAL STAMPING</v>
          </cell>
          <cell r="F159" t="str">
            <v>PRODUCTION</v>
          </cell>
          <cell r="G159" t="str">
            <v>Operator</v>
          </cell>
          <cell r="H159" t="str">
            <v>IDL</v>
          </cell>
          <cell r="I159">
            <v>104</v>
          </cell>
          <cell r="J159">
            <v>13</v>
          </cell>
          <cell r="K159">
            <v>600</v>
          </cell>
          <cell r="L159">
            <v>7800</v>
          </cell>
          <cell r="M159">
            <v>0</v>
          </cell>
          <cell r="N159">
            <v>1.25</v>
          </cell>
          <cell r="O159">
            <v>0</v>
          </cell>
          <cell r="P159">
            <v>22</v>
          </cell>
          <cell r="Q159">
            <v>93.75</v>
          </cell>
          <cell r="R159">
            <v>2062.5</v>
          </cell>
          <cell r="S159">
            <v>24</v>
          </cell>
          <cell r="T159">
            <v>7.5</v>
          </cell>
          <cell r="U159">
            <v>180</v>
          </cell>
          <cell r="V159">
            <v>6</v>
          </cell>
          <cell r="W159">
            <v>9.375</v>
          </cell>
          <cell r="X159">
            <v>56.25</v>
          </cell>
          <cell r="Y159">
            <v>0</v>
          </cell>
          <cell r="Z159">
            <v>97.5</v>
          </cell>
          <cell r="AA159">
            <v>0</v>
          </cell>
          <cell r="AB159">
            <v>0</v>
          </cell>
          <cell r="AC159">
            <v>126.75</v>
          </cell>
          <cell r="AD159">
            <v>0</v>
          </cell>
          <cell r="AE159">
            <v>0</v>
          </cell>
          <cell r="AF159">
            <v>12.675000000000001</v>
          </cell>
          <cell r="AG159">
            <v>0</v>
          </cell>
          <cell r="AH159">
            <v>0</v>
          </cell>
          <cell r="AI159">
            <v>9.75</v>
          </cell>
          <cell r="AJ159">
            <v>0</v>
          </cell>
          <cell r="AK159">
            <v>0</v>
          </cell>
          <cell r="AL159">
            <v>112.5</v>
          </cell>
          <cell r="AM159">
            <v>0</v>
          </cell>
          <cell r="AN159">
            <v>0</v>
          </cell>
          <cell r="AO159">
            <v>146.25</v>
          </cell>
          <cell r="AP159">
            <v>0</v>
          </cell>
          <cell r="AQ159">
            <v>0</v>
          </cell>
          <cell r="AR159">
            <v>11.25</v>
          </cell>
          <cell r="AS159">
            <v>0</v>
          </cell>
          <cell r="AT159">
            <v>0</v>
          </cell>
          <cell r="AU159">
            <v>97.5</v>
          </cell>
          <cell r="AV159">
            <v>0</v>
          </cell>
          <cell r="AW159">
            <v>0</v>
          </cell>
          <cell r="AX159">
            <v>126.75</v>
          </cell>
          <cell r="AY159">
            <v>0</v>
          </cell>
          <cell r="AZ159">
            <v>0</v>
          </cell>
          <cell r="BA159">
            <v>9.75</v>
          </cell>
          <cell r="BB159">
            <v>0</v>
          </cell>
          <cell r="BC159">
            <v>0</v>
          </cell>
          <cell r="BD159">
            <v>150</v>
          </cell>
          <cell r="BE159">
            <v>0</v>
          </cell>
          <cell r="BF159">
            <v>0</v>
          </cell>
          <cell r="BG159">
            <v>195</v>
          </cell>
          <cell r="BH159">
            <v>0</v>
          </cell>
          <cell r="BI159">
            <v>0</v>
          </cell>
          <cell r="BJ159">
            <v>15</v>
          </cell>
          <cell r="BK159">
            <v>0</v>
          </cell>
          <cell r="BL159">
            <v>8</v>
          </cell>
          <cell r="BM159">
            <v>75</v>
          </cell>
          <cell r="BN159">
            <v>600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10698.75</v>
          </cell>
        </row>
        <row r="160">
          <cell r="C160">
            <v>32232</v>
          </cell>
          <cell r="D160" t="str">
            <v>PAJO,NILE JOHN MONARES</v>
          </cell>
          <cell r="E160" t="str">
            <v>METAL STAMPING</v>
          </cell>
          <cell r="F160" t="str">
            <v>PRODUCTION</v>
          </cell>
          <cell r="G160" t="str">
            <v>Operator</v>
          </cell>
          <cell r="H160" t="str">
            <v>DL</v>
          </cell>
          <cell r="I160">
            <v>96</v>
          </cell>
          <cell r="J160">
            <v>12</v>
          </cell>
          <cell r="K160">
            <v>600</v>
          </cell>
          <cell r="L160">
            <v>7200</v>
          </cell>
          <cell r="M160">
            <v>48</v>
          </cell>
          <cell r="N160">
            <v>1.25</v>
          </cell>
          <cell r="O160">
            <v>-60</v>
          </cell>
          <cell r="P160">
            <v>18</v>
          </cell>
          <cell r="Q160">
            <v>93.75</v>
          </cell>
          <cell r="R160">
            <v>1687.5</v>
          </cell>
          <cell r="S160">
            <v>48</v>
          </cell>
          <cell r="T160">
            <v>7.5</v>
          </cell>
          <cell r="U160">
            <v>360</v>
          </cell>
          <cell r="V160">
            <v>14</v>
          </cell>
          <cell r="W160">
            <v>9.375</v>
          </cell>
          <cell r="X160">
            <v>131.25</v>
          </cell>
          <cell r="Y160">
            <v>8</v>
          </cell>
          <cell r="Z160">
            <v>97.5</v>
          </cell>
          <cell r="AA160">
            <v>780</v>
          </cell>
          <cell r="AB160">
            <v>0</v>
          </cell>
          <cell r="AC160">
            <v>126.75</v>
          </cell>
          <cell r="AD160">
            <v>0</v>
          </cell>
          <cell r="AE160">
            <v>0</v>
          </cell>
          <cell r="AF160">
            <v>12.675000000000001</v>
          </cell>
          <cell r="AG160">
            <v>0</v>
          </cell>
          <cell r="AH160">
            <v>0</v>
          </cell>
          <cell r="AI160">
            <v>9.75</v>
          </cell>
          <cell r="AJ160">
            <v>0</v>
          </cell>
          <cell r="AK160">
            <v>0</v>
          </cell>
          <cell r="AL160">
            <v>112.5</v>
          </cell>
          <cell r="AM160">
            <v>0</v>
          </cell>
          <cell r="AN160">
            <v>0</v>
          </cell>
          <cell r="AO160">
            <v>146.25</v>
          </cell>
          <cell r="AP160">
            <v>0</v>
          </cell>
          <cell r="AQ160">
            <v>0</v>
          </cell>
          <cell r="AR160">
            <v>11.25</v>
          </cell>
          <cell r="AS160">
            <v>0</v>
          </cell>
          <cell r="AT160">
            <v>0</v>
          </cell>
          <cell r="AU160">
            <v>97.5</v>
          </cell>
          <cell r="AV160">
            <v>0</v>
          </cell>
          <cell r="AW160">
            <v>0</v>
          </cell>
          <cell r="AX160">
            <v>126.75</v>
          </cell>
          <cell r="AY160">
            <v>0</v>
          </cell>
          <cell r="AZ160">
            <v>0</v>
          </cell>
          <cell r="BA160">
            <v>9.75</v>
          </cell>
          <cell r="BB160">
            <v>0</v>
          </cell>
          <cell r="BC160">
            <v>8</v>
          </cell>
          <cell r="BD160">
            <v>150</v>
          </cell>
          <cell r="BE160">
            <v>1200</v>
          </cell>
          <cell r="BF160">
            <v>0</v>
          </cell>
          <cell r="BG160">
            <v>195</v>
          </cell>
          <cell r="BH160">
            <v>0</v>
          </cell>
          <cell r="BI160">
            <v>0</v>
          </cell>
          <cell r="BJ160">
            <v>15</v>
          </cell>
          <cell r="BK160">
            <v>0</v>
          </cell>
          <cell r="BL160">
            <v>0</v>
          </cell>
          <cell r="BM160">
            <v>75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11298.75</v>
          </cell>
        </row>
        <row r="161">
          <cell r="C161">
            <v>32236</v>
          </cell>
          <cell r="D161" t="str">
            <v>PALTEP,MARK GERALD MOLINA</v>
          </cell>
          <cell r="E161" t="str">
            <v>METAL STAMPING</v>
          </cell>
          <cell r="F161" t="str">
            <v>PRODUCTION</v>
          </cell>
          <cell r="G161" t="str">
            <v>Operator</v>
          </cell>
          <cell r="H161" t="str">
            <v>DL</v>
          </cell>
          <cell r="I161">
            <v>104</v>
          </cell>
          <cell r="J161">
            <v>13</v>
          </cell>
          <cell r="K161">
            <v>600</v>
          </cell>
          <cell r="L161">
            <v>7800</v>
          </cell>
          <cell r="M161">
            <v>0</v>
          </cell>
          <cell r="N161">
            <v>1.25</v>
          </cell>
          <cell r="O161">
            <v>0</v>
          </cell>
          <cell r="P161">
            <v>20</v>
          </cell>
          <cell r="Q161">
            <v>93.75</v>
          </cell>
          <cell r="R161">
            <v>1875</v>
          </cell>
          <cell r="S161">
            <v>0</v>
          </cell>
          <cell r="T161">
            <v>7.5</v>
          </cell>
          <cell r="U161">
            <v>0</v>
          </cell>
          <cell r="V161">
            <v>0</v>
          </cell>
          <cell r="W161">
            <v>9.375</v>
          </cell>
          <cell r="X161">
            <v>0</v>
          </cell>
          <cell r="Y161">
            <v>8</v>
          </cell>
          <cell r="Z161">
            <v>97.5</v>
          </cell>
          <cell r="AA161">
            <v>780</v>
          </cell>
          <cell r="AB161">
            <v>0</v>
          </cell>
          <cell r="AC161">
            <v>126.75</v>
          </cell>
          <cell r="AD161">
            <v>0</v>
          </cell>
          <cell r="AE161">
            <v>0</v>
          </cell>
          <cell r="AF161">
            <v>12.675000000000001</v>
          </cell>
          <cell r="AG161">
            <v>0</v>
          </cell>
          <cell r="AH161">
            <v>0</v>
          </cell>
          <cell r="AI161">
            <v>9.75</v>
          </cell>
          <cell r="AJ161">
            <v>0</v>
          </cell>
          <cell r="AK161">
            <v>0</v>
          </cell>
          <cell r="AL161">
            <v>112.5</v>
          </cell>
          <cell r="AM161">
            <v>0</v>
          </cell>
          <cell r="AN161">
            <v>0</v>
          </cell>
          <cell r="AO161">
            <v>146.25</v>
          </cell>
          <cell r="AP161">
            <v>0</v>
          </cell>
          <cell r="AQ161">
            <v>0</v>
          </cell>
          <cell r="AR161">
            <v>11.25</v>
          </cell>
          <cell r="AS161">
            <v>0</v>
          </cell>
          <cell r="AT161">
            <v>0</v>
          </cell>
          <cell r="AU161">
            <v>97.5</v>
          </cell>
          <cell r="AV161">
            <v>0</v>
          </cell>
          <cell r="AW161">
            <v>0</v>
          </cell>
          <cell r="AX161">
            <v>126.75</v>
          </cell>
          <cell r="AY161">
            <v>0</v>
          </cell>
          <cell r="AZ161">
            <v>0</v>
          </cell>
          <cell r="BA161">
            <v>9.75</v>
          </cell>
          <cell r="BB161">
            <v>0</v>
          </cell>
          <cell r="BC161">
            <v>8</v>
          </cell>
          <cell r="BD161">
            <v>150</v>
          </cell>
          <cell r="BE161">
            <v>1200</v>
          </cell>
          <cell r="BF161">
            <v>0</v>
          </cell>
          <cell r="BG161">
            <v>195</v>
          </cell>
          <cell r="BH161">
            <v>0</v>
          </cell>
          <cell r="BI161">
            <v>0</v>
          </cell>
          <cell r="BJ161">
            <v>15</v>
          </cell>
          <cell r="BK161">
            <v>0</v>
          </cell>
          <cell r="BL161">
            <v>0</v>
          </cell>
          <cell r="BM161">
            <v>75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11655</v>
          </cell>
        </row>
        <row r="162">
          <cell r="C162">
            <v>30680</v>
          </cell>
          <cell r="D162" t="str">
            <v>PAMADA, JAMES BENAVIDEZ</v>
          </cell>
          <cell r="E162" t="str">
            <v>METAL STAMPING</v>
          </cell>
          <cell r="F162" t="str">
            <v>PRODUCTION</v>
          </cell>
          <cell r="G162" t="str">
            <v>Operator</v>
          </cell>
          <cell r="H162" t="str">
            <v>IDL</v>
          </cell>
          <cell r="I162">
            <v>96</v>
          </cell>
          <cell r="J162">
            <v>12</v>
          </cell>
          <cell r="K162">
            <v>600</v>
          </cell>
          <cell r="L162">
            <v>7200</v>
          </cell>
          <cell r="M162">
            <v>0</v>
          </cell>
          <cell r="N162">
            <v>1.25</v>
          </cell>
          <cell r="O162">
            <v>0</v>
          </cell>
          <cell r="P162">
            <v>16</v>
          </cell>
          <cell r="Q162">
            <v>93.75</v>
          </cell>
          <cell r="R162">
            <v>1500</v>
          </cell>
          <cell r="S162">
            <v>24</v>
          </cell>
          <cell r="T162">
            <v>7.5</v>
          </cell>
          <cell r="U162">
            <v>180</v>
          </cell>
          <cell r="V162">
            <v>6</v>
          </cell>
          <cell r="W162">
            <v>9.375</v>
          </cell>
          <cell r="X162">
            <v>56.25</v>
          </cell>
          <cell r="Y162">
            <v>0</v>
          </cell>
          <cell r="Z162">
            <v>97.5</v>
          </cell>
          <cell r="AA162">
            <v>0</v>
          </cell>
          <cell r="AB162">
            <v>0</v>
          </cell>
          <cell r="AC162">
            <v>126.75</v>
          </cell>
          <cell r="AD162">
            <v>0</v>
          </cell>
          <cell r="AE162">
            <v>0</v>
          </cell>
          <cell r="AF162">
            <v>12.675000000000001</v>
          </cell>
          <cell r="AG162">
            <v>0</v>
          </cell>
          <cell r="AH162">
            <v>0</v>
          </cell>
          <cell r="AI162">
            <v>9.75</v>
          </cell>
          <cell r="AJ162">
            <v>0</v>
          </cell>
          <cell r="AK162">
            <v>0</v>
          </cell>
          <cell r="AL162">
            <v>112.5</v>
          </cell>
          <cell r="AM162">
            <v>0</v>
          </cell>
          <cell r="AN162">
            <v>0</v>
          </cell>
          <cell r="AO162">
            <v>146.25</v>
          </cell>
          <cell r="AP162">
            <v>0</v>
          </cell>
          <cell r="AQ162">
            <v>0</v>
          </cell>
          <cell r="AR162">
            <v>11.25</v>
          </cell>
          <cell r="AS162">
            <v>0</v>
          </cell>
          <cell r="AT162">
            <v>0</v>
          </cell>
          <cell r="AU162">
            <v>97.5</v>
          </cell>
          <cell r="AV162">
            <v>0</v>
          </cell>
          <cell r="AW162">
            <v>0</v>
          </cell>
          <cell r="AX162">
            <v>126.75</v>
          </cell>
          <cell r="AY162">
            <v>0</v>
          </cell>
          <cell r="AZ162">
            <v>0</v>
          </cell>
          <cell r="BA162">
            <v>9.75</v>
          </cell>
          <cell r="BB162">
            <v>0</v>
          </cell>
          <cell r="BC162">
            <v>0</v>
          </cell>
          <cell r="BD162">
            <v>150</v>
          </cell>
          <cell r="BE162">
            <v>0</v>
          </cell>
          <cell r="BF162">
            <v>0</v>
          </cell>
          <cell r="BG162">
            <v>195</v>
          </cell>
          <cell r="BH162">
            <v>0</v>
          </cell>
          <cell r="BI162">
            <v>0</v>
          </cell>
          <cell r="BJ162">
            <v>15</v>
          </cell>
          <cell r="BK162">
            <v>0</v>
          </cell>
          <cell r="BL162">
            <v>8</v>
          </cell>
          <cell r="BM162">
            <v>75</v>
          </cell>
          <cell r="BN162">
            <v>600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9536.25</v>
          </cell>
        </row>
        <row r="163">
          <cell r="C163">
            <v>12460</v>
          </cell>
          <cell r="D163" t="str">
            <v>PAMPLONA, HAZEL</v>
          </cell>
          <cell r="E163" t="str">
            <v>METAL STAMPING</v>
          </cell>
          <cell r="F163" t="str">
            <v>PRODUCTION</v>
          </cell>
          <cell r="G163" t="str">
            <v>Operator</v>
          </cell>
          <cell r="H163" t="str">
            <v>IDL</v>
          </cell>
          <cell r="I163">
            <v>104</v>
          </cell>
          <cell r="J163">
            <v>13</v>
          </cell>
          <cell r="K163">
            <v>600</v>
          </cell>
          <cell r="L163">
            <v>7800</v>
          </cell>
          <cell r="M163">
            <v>0</v>
          </cell>
          <cell r="N163">
            <v>1.25</v>
          </cell>
          <cell r="O163">
            <v>0</v>
          </cell>
          <cell r="P163">
            <v>22</v>
          </cell>
          <cell r="Q163">
            <v>93.75</v>
          </cell>
          <cell r="R163">
            <v>2062.5</v>
          </cell>
          <cell r="S163">
            <v>24</v>
          </cell>
          <cell r="T163">
            <v>7.5</v>
          </cell>
          <cell r="U163">
            <v>180</v>
          </cell>
          <cell r="V163">
            <v>6</v>
          </cell>
          <cell r="W163">
            <v>9.375</v>
          </cell>
          <cell r="X163">
            <v>56.25</v>
          </cell>
          <cell r="Y163">
            <v>0</v>
          </cell>
          <cell r="Z163">
            <v>97.5</v>
          </cell>
          <cell r="AA163">
            <v>0</v>
          </cell>
          <cell r="AB163">
            <v>0</v>
          </cell>
          <cell r="AC163">
            <v>126.75</v>
          </cell>
          <cell r="AD163">
            <v>0</v>
          </cell>
          <cell r="AE163">
            <v>0</v>
          </cell>
          <cell r="AF163">
            <v>12.675000000000001</v>
          </cell>
          <cell r="AG163">
            <v>0</v>
          </cell>
          <cell r="AH163">
            <v>0</v>
          </cell>
          <cell r="AI163">
            <v>9.75</v>
          </cell>
          <cell r="AJ163">
            <v>0</v>
          </cell>
          <cell r="AK163">
            <v>0</v>
          </cell>
          <cell r="AL163">
            <v>112.5</v>
          </cell>
          <cell r="AM163">
            <v>0</v>
          </cell>
          <cell r="AN163">
            <v>0</v>
          </cell>
          <cell r="AO163">
            <v>146.25</v>
          </cell>
          <cell r="AP163">
            <v>0</v>
          </cell>
          <cell r="AQ163">
            <v>0</v>
          </cell>
          <cell r="AR163">
            <v>11.25</v>
          </cell>
          <cell r="AS163">
            <v>0</v>
          </cell>
          <cell r="AT163">
            <v>0</v>
          </cell>
          <cell r="AU163">
            <v>97.5</v>
          </cell>
          <cell r="AV163">
            <v>0</v>
          </cell>
          <cell r="AW163">
            <v>0</v>
          </cell>
          <cell r="AX163">
            <v>126.75</v>
          </cell>
          <cell r="AY163">
            <v>0</v>
          </cell>
          <cell r="AZ163">
            <v>0</v>
          </cell>
          <cell r="BA163">
            <v>9.75</v>
          </cell>
          <cell r="BB163">
            <v>0</v>
          </cell>
          <cell r="BC163">
            <v>0</v>
          </cell>
          <cell r="BD163">
            <v>150</v>
          </cell>
          <cell r="BE163">
            <v>0</v>
          </cell>
          <cell r="BF163">
            <v>0</v>
          </cell>
          <cell r="BG163">
            <v>195</v>
          </cell>
          <cell r="BH163">
            <v>0</v>
          </cell>
          <cell r="BI163">
            <v>0</v>
          </cell>
          <cell r="BJ163">
            <v>15</v>
          </cell>
          <cell r="BK163">
            <v>0</v>
          </cell>
          <cell r="BL163">
            <v>8</v>
          </cell>
          <cell r="BM163">
            <v>75</v>
          </cell>
          <cell r="BN163">
            <v>600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10698.75</v>
          </cell>
        </row>
        <row r="164">
          <cell r="C164">
            <v>30019</v>
          </cell>
          <cell r="D164" t="str">
            <v>PANTA, JERICK</v>
          </cell>
          <cell r="E164" t="str">
            <v>METAL STAMPING</v>
          </cell>
          <cell r="F164" t="str">
            <v>PRODUCTION</v>
          </cell>
          <cell r="G164" t="str">
            <v>Operator</v>
          </cell>
          <cell r="H164" t="str">
            <v>IDL</v>
          </cell>
          <cell r="I164">
            <v>32</v>
          </cell>
          <cell r="J164">
            <v>4</v>
          </cell>
          <cell r="K164">
            <v>600</v>
          </cell>
          <cell r="L164">
            <v>2400</v>
          </cell>
          <cell r="M164">
            <v>0</v>
          </cell>
          <cell r="N164">
            <v>1.25</v>
          </cell>
          <cell r="O164">
            <v>0</v>
          </cell>
          <cell r="P164">
            <v>4</v>
          </cell>
          <cell r="Q164">
            <v>93.75</v>
          </cell>
          <cell r="R164">
            <v>375</v>
          </cell>
          <cell r="S164">
            <v>0</v>
          </cell>
          <cell r="T164">
            <v>7.5</v>
          </cell>
          <cell r="U164">
            <v>0</v>
          </cell>
          <cell r="V164">
            <v>0</v>
          </cell>
          <cell r="W164">
            <v>9.375</v>
          </cell>
          <cell r="X164">
            <v>0</v>
          </cell>
          <cell r="Y164">
            <v>0</v>
          </cell>
          <cell r="Z164">
            <v>97.5</v>
          </cell>
          <cell r="AA164">
            <v>0</v>
          </cell>
          <cell r="AB164">
            <v>0</v>
          </cell>
          <cell r="AC164">
            <v>126.75</v>
          </cell>
          <cell r="AD164">
            <v>0</v>
          </cell>
          <cell r="AE164">
            <v>0</v>
          </cell>
          <cell r="AF164">
            <v>12.675000000000001</v>
          </cell>
          <cell r="AG164">
            <v>0</v>
          </cell>
          <cell r="AH164">
            <v>0</v>
          </cell>
          <cell r="AI164">
            <v>9.75</v>
          </cell>
          <cell r="AJ164">
            <v>0</v>
          </cell>
          <cell r="AK164">
            <v>0</v>
          </cell>
          <cell r="AL164">
            <v>112.5</v>
          </cell>
          <cell r="AM164">
            <v>0</v>
          </cell>
          <cell r="AN164">
            <v>0</v>
          </cell>
          <cell r="AO164">
            <v>146.25</v>
          </cell>
          <cell r="AP164">
            <v>0</v>
          </cell>
          <cell r="AQ164">
            <v>0</v>
          </cell>
          <cell r="AR164">
            <v>11.25</v>
          </cell>
          <cell r="AS164">
            <v>0</v>
          </cell>
          <cell r="AT164">
            <v>0</v>
          </cell>
          <cell r="AU164">
            <v>97.5</v>
          </cell>
          <cell r="AV164">
            <v>0</v>
          </cell>
          <cell r="AW164">
            <v>0</v>
          </cell>
          <cell r="AX164">
            <v>126.75</v>
          </cell>
          <cell r="AY164">
            <v>0</v>
          </cell>
          <cell r="AZ164">
            <v>0</v>
          </cell>
          <cell r="BA164">
            <v>9.75</v>
          </cell>
          <cell r="BB164">
            <v>0</v>
          </cell>
          <cell r="BC164">
            <v>0</v>
          </cell>
          <cell r="BD164">
            <v>150</v>
          </cell>
          <cell r="BE164">
            <v>0</v>
          </cell>
          <cell r="BF164">
            <v>0</v>
          </cell>
          <cell r="BG164">
            <v>195</v>
          </cell>
          <cell r="BH164">
            <v>0</v>
          </cell>
          <cell r="BI164">
            <v>0</v>
          </cell>
          <cell r="BJ164">
            <v>15</v>
          </cell>
          <cell r="BK164">
            <v>0</v>
          </cell>
          <cell r="BL164">
            <v>8</v>
          </cell>
          <cell r="BM164">
            <v>75</v>
          </cell>
          <cell r="BN164">
            <v>600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3375</v>
          </cell>
        </row>
        <row r="165">
          <cell r="C165">
            <v>32506</v>
          </cell>
          <cell r="D165" t="str">
            <v xml:space="preserve">PARAN, JOSEPHINE </v>
          </cell>
          <cell r="E165" t="str">
            <v>METAL STAMPING</v>
          </cell>
          <cell r="F165" t="str">
            <v>PRODUCTION</v>
          </cell>
          <cell r="G165" t="str">
            <v>Operator</v>
          </cell>
          <cell r="H165" t="str">
            <v>IDL</v>
          </cell>
          <cell r="I165">
            <v>104</v>
          </cell>
          <cell r="J165">
            <v>13</v>
          </cell>
          <cell r="K165">
            <v>600</v>
          </cell>
          <cell r="L165">
            <v>7800</v>
          </cell>
          <cell r="M165">
            <v>0</v>
          </cell>
          <cell r="N165">
            <v>1.25</v>
          </cell>
          <cell r="O165">
            <v>0</v>
          </cell>
          <cell r="P165">
            <v>22</v>
          </cell>
          <cell r="Q165">
            <v>93.75</v>
          </cell>
          <cell r="R165">
            <v>2062.5</v>
          </cell>
          <cell r="S165">
            <v>24</v>
          </cell>
          <cell r="T165">
            <v>7.5</v>
          </cell>
          <cell r="U165">
            <v>180</v>
          </cell>
          <cell r="V165">
            <v>6</v>
          </cell>
          <cell r="W165">
            <v>9.375</v>
          </cell>
          <cell r="X165">
            <v>56.25</v>
          </cell>
          <cell r="Y165">
            <v>0</v>
          </cell>
          <cell r="Z165">
            <v>97.5</v>
          </cell>
          <cell r="AA165">
            <v>0</v>
          </cell>
          <cell r="AB165">
            <v>0</v>
          </cell>
          <cell r="AC165">
            <v>126.75</v>
          </cell>
          <cell r="AD165">
            <v>0</v>
          </cell>
          <cell r="AE165">
            <v>0</v>
          </cell>
          <cell r="AF165">
            <v>12.675000000000001</v>
          </cell>
          <cell r="AG165">
            <v>0</v>
          </cell>
          <cell r="AH165">
            <v>0</v>
          </cell>
          <cell r="AI165">
            <v>9.75</v>
          </cell>
          <cell r="AJ165">
            <v>0</v>
          </cell>
          <cell r="AK165">
            <v>0</v>
          </cell>
          <cell r="AL165">
            <v>112.5</v>
          </cell>
          <cell r="AM165">
            <v>0</v>
          </cell>
          <cell r="AN165">
            <v>0</v>
          </cell>
          <cell r="AO165">
            <v>146.25</v>
          </cell>
          <cell r="AP165">
            <v>0</v>
          </cell>
          <cell r="AQ165">
            <v>0</v>
          </cell>
          <cell r="AR165">
            <v>11.25</v>
          </cell>
          <cell r="AS165">
            <v>0</v>
          </cell>
          <cell r="AT165">
            <v>0</v>
          </cell>
          <cell r="AU165">
            <v>97.5</v>
          </cell>
          <cell r="AV165">
            <v>0</v>
          </cell>
          <cell r="AW165">
            <v>0</v>
          </cell>
          <cell r="AX165">
            <v>126.75</v>
          </cell>
          <cell r="AY165">
            <v>0</v>
          </cell>
          <cell r="AZ165">
            <v>0</v>
          </cell>
          <cell r="BA165">
            <v>9.75</v>
          </cell>
          <cell r="BB165">
            <v>0</v>
          </cell>
          <cell r="BC165">
            <v>0</v>
          </cell>
          <cell r="BD165">
            <v>150</v>
          </cell>
          <cell r="BE165">
            <v>0</v>
          </cell>
          <cell r="BF165">
            <v>0</v>
          </cell>
          <cell r="BG165">
            <v>195</v>
          </cell>
          <cell r="BH165">
            <v>0</v>
          </cell>
          <cell r="BI165">
            <v>0</v>
          </cell>
          <cell r="BJ165">
            <v>15</v>
          </cell>
          <cell r="BK165">
            <v>0</v>
          </cell>
          <cell r="BL165">
            <v>8</v>
          </cell>
          <cell r="BM165">
            <v>75</v>
          </cell>
          <cell r="BN165">
            <v>600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10698.75</v>
          </cell>
        </row>
        <row r="166">
          <cell r="C166">
            <v>30292</v>
          </cell>
          <cell r="D166" t="str">
            <v>PASCUA, RECHELLE MACALALAY</v>
          </cell>
          <cell r="E166" t="str">
            <v>METAL STAMPING</v>
          </cell>
          <cell r="F166" t="str">
            <v>PRODUCTION</v>
          </cell>
          <cell r="G166" t="str">
            <v>Operator</v>
          </cell>
          <cell r="H166" t="str">
            <v>IDL</v>
          </cell>
          <cell r="I166">
            <v>104</v>
          </cell>
          <cell r="J166">
            <v>13</v>
          </cell>
          <cell r="K166">
            <v>600</v>
          </cell>
          <cell r="L166">
            <v>7800</v>
          </cell>
          <cell r="M166">
            <v>0</v>
          </cell>
          <cell r="N166">
            <v>1.25</v>
          </cell>
          <cell r="O166">
            <v>0</v>
          </cell>
          <cell r="P166">
            <v>14</v>
          </cell>
          <cell r="Q166">
            <v>93.75</v>
          </cell>
          <cell r="R166">
            <v>1312.5</v>
          </cell>
          <cell r="S166">
            <v>0</v>
          </cell>
          <cell r="T166">
            <v>7.5</v>
          </cell>
          <cell r="U166">
            <v>0</v>
          </cell>
          <cell r="V166">
            <v>0</v>
          </cell>
          <cell r="W166">
            <v>9.375</v>
          </cell>
          <cell r="X166">
            <v>0</v>
          </cell>
          <cell r="Y166">
            <v>8</v>
          </cell>
          <cell r="Z166">
            <v>97.5</v>
          </cell>
          <cell r="AA166">
            <v>780</v>
          </cell>
          <cell r="AB166">
            <v>0</v>
          </cell>
          <cell r="AC166">
            <v>126.75</v>
          </cell>
          <cell r="AD166">
            <v>0</v>
          </cell>
          <cell r="AE166">
            <v>0</v>
          </cell>
          <cell r="AF166">
            <v>12.675000000000001</v>
          </cell>
          <cell r="AG166">
            <v>0</v>
          </cell>
          <cell r="AH166">
            <v>0</v>
          </cell>
          <cell r="AI166">
            <v>9.75</v>
          </cell>
          <cell r="AJ166">
            <v>0</v>
          </cell>
          <cell r="AK166">
            <v>0</v>
          </cell>
          <cell r="AL166">
            <v>112.5</v>
          </cell>
          <cell r="AM166">
            <v>0</v>
          </cell>
          <cell r="AN166">
            <v>0</v>
          </cell>
          <cell r="AO166">
            <v>146.25</v>
          </cell>
          <cell r="AP166">
            <v>0</v>
          </cell>
          <cell r="AQ166">
            <v>0</v>
          </cell>
          <cell r="AR166">
            <v>11.25</v>
          </cell>
          <cell r="AS166">
            <v>0</v>
          </cell>
          <cell r="AT166">
            <v>0</v>
          </cell>
          <cell r="AU166">
            <v>97.5</v>
          </cell>
          <cell r="AV166">
            <v>0</v>
          </cell>
          <cell r="AW166">
            <v>0</v>
          </cell>
          <cell r="AX166">
            <v>126.75</v>
          </cell>
          <cell r="AY166">
            <v>0</v>
          </cell>
          <cell r="AZ166">
            <v>0</v>
          </cell>
          <cell r="BA166">
            <v>9.75</v>
          </cell>
          <cell r="BB166">
            <v>0</v>
          </cell>
          <cell r="BC166">
            <v>0</v>
          </cell>
          <cell r="BD166">
            <v>150</v>
          </cell>
          <cell r="BE166">
            <v>0</v>
          </cell>
          <cell r="BF166">
            <v>0</v>
          </cell>
          <cell r="BG166">
            <v>195</v>
          </cell>
          <cell r="BH166">
            <v>0</v>
          </cell>
          <cell r="BI166">
            <v>0</v>
          </cell>
          <cell r="BJ166">
            <v>15</v>
          </cell>
          <cell r="BK166">
            <v>0</v>
          </cell>
          <cell r="BL166">
            <v>8</v>
          </cell>
          <cell r="BM166">
            <v>75</v>
          </cell>
          <cell r="BN166">
            <v>600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10492.5</v>
          </cell>
        </row>
        <row r="167">
          <cell r="C167">
            <v>7966</v>
          </cell>
          <cell r="D167" t="str">
            <v>PAVORITO, KIMBERLY ESTRELLA</v>
          </cell>
          <cell r="E167" t="str">
            <v>METAL STAMPING</v>
          </cell>
          <cell r="F167" t="str">
            <v>PRODUCTION</v>
          </cell>
          <cell r="G167" t="str">
            <v>Operator</v>
          </cell>
          <cell r="H167" t="str">
            <v>DL</v>
          </cell>
          <cell r="I167">
            <v>104</v>
          </cell>
          <cell r="J167">
            <v>13</v>
          </cell>
          <cell r="K167">
            <v>600</v>
          </cell>
          <cell r="L167">
            <v>7800</v>
          </cell>
          <cell r="M167">
            <v>0</v>
          </cell>
          <cell r="N167">
            <v>1.25</v>
          </cell>
          <cell r="O167">
            <v>0</v>
          </cell>
          <cell r="P167">
            <v>20</v>
          </cell>
          <cell r="Q167">
            <v>93.75</v>
          </cell>
          <cell r="R167">
            <v>1875</v>
          </cell>
          <cell r="S167">
            <v>24</v>
          </cell>
          <cell r="T167">
            <v>7.5</v>
          </cell>
          <cell r="U167">
            <v>180</v>
          </cell>
          <cell r="V167">
            <v>6</v>
          </cell>
          <cell r="W167">
            <v>9.375</v>
          </cell>
          <cell r="X167">
            <v>56.25</v>
          </cell>
          <cell r="Y167">
            <v>0</v>
          </cell>
          <cell r="Z167">
            <v>97.5</v>
          </cell>
          <cell r="AA167">
            <v>0</v>
          </cell>
          <cell r="AB167">
            <v>0</v>
          </cell>
          <cell r="AC167">
            <v>126.75</v>
          </cell>
          <cell r="AD167">
            <v>0</v>
          </cell>
          <cell r="AE167">
            <v>0</v>
          </cell>
          <cell r="AF167">
            <v>12.675000000000001</v>
          </cell>
          <cell r="AG167">
            <v>0</v>
          </cell>
          <cell r="AH167">
            <v>0</v>
          </cell>
          <cell r="AI167">
            <v>9.75</v>
          </cell>
          <cell r="AJ167">
            <v>0</v>
          </cell>
          <cell r="AK167">
            <v>0</v>
          </cell>
          <cell r="AL167">
            <v>112.5</v>
          </cell>
          <cell r="AM167">
            <v>0</v>
          </cell>
          <cell r="AN167">
            <v>0</v>
          </cell>
          <cell r="AO167">
            <v>146.25</v>
          </cell>
          <cell r="AP167">
            <v>0</v>
          </cell>
          <cell r="AQ167">
            <v>0</v>
          </cell>
          <cell r="AR167">
            <v>11.25</v>
          </cell>
          <cell r="AS167">
            <v>0</v>
          </cell>
          <cell r="AT167">
            <v>0</v>
          </cell>
          <cell r="AU167">
            <v>97.5</v>
          </cell>
          <cell r="AV167">
            <v>0</v>
          </cell>
          <cell r="AW167">
            <v>0</v>
          </cell>
          <cell r="AX167">
            <v>126.75</v>
          </cell>
          <cell r="AY167">
            <v>0</v>
          </cell>
          <cell r="AZ167">
            <v>0</v>
          </cell>
          <cell r="BA167">
            <v>9.75</v>
          </cell>
          <cell r="BB167">
            <v>0</v>
          </cell>
          <cell r="BC167">
            <v>0</v>
          </cell>
          <cell r="BD167">
            <v>150</v>
          </cell>
          <cell r="BE167">
            <v>0</v>
          </cell>
          <cell r="BF167">
            <v>0</v>
          </cell>
          <cell r="BG167">
            <v>195</v>
          </cell>
          <cell r="BH167">
            <v>0</v>
          </cell>
          <cell r="BI167">
            <v>0</v>
          </cell>
          <cell r="BJ167">
            <v>15</v>
          </cell>
          <cell r="BK167">
            <v>0</v>
          </cell>
          <cell r="BL167">
            <v>8</v>
          </cell>
          <cell r="BM167">
            <v>75</v>
          </cell>
          <cell r="BN167">
            <v>600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10511.25</v>
          </cell>
        </row>
        <row r="168">
          <cell r="C168">
            <v>14835</v>
          </cell>
          <cell r="D168" t="str">
            <v>PAYOPAS, KYLA MARIE SANICO</v>
          </cell>
          <cell r="E168" t="str">
            <v>METAL STAMPING</v>
          </cell>
          <cell r="F168" t="str">
            <v>PRODUCTION</v>
          </cell>
          <cell r="G168" t="str">
            <v>Operator</v>
          </cell>
          <cell r="H168" t="str">
            <v>DL</v>
          </cell>
          <cell r="I168">
            <v>104</v>
          </cell>
          <cell r="J168">
            <v>13</v>
          </cell>
          <cell r="K168">
            <v>600</v>
          </cell>
          <cell r="L168">
            <v>7800</v>
          </cell>
          <cell r="M168">
            <v>0</v>
          </cell>
          <cell r="N168">
            <v>1.25</v>
          </cell>
          <cell r="O168">
            <v>0</v>
          </cell>
          <cell r="P168">
            <v>16</v>
          </cell>
          <cell r="Q168">
            <v>93.75</v>
          </cell>
          <cell r="R168">
            <v>1500</v>
          </cell>
          <cell r="S168">
            <v>54</v>
          </cell>
          <cell r="T168">
            <v>7.5</v>
          </cell>
          <cell r="U168">
            <v>405</v>
          </cell>
          <cell r="V168">
            <v>12</v>
          </cell>
          <cell r="W168">
            <v>9.375</v>
          </cell>
          <cell r="X168">
            <v>112.5</v>
          </cell>
          <cell r="Y168">
            <v>8</v>
          </cell>
          <cell r="Z168">
            <v>97.5</v>
          </cell>
          <cell r="AA168">
            <v>780</v>
          </cell>
          <cell r="AB168">
            <v>0</v>
          </cell>
          <cell r="AC168">
            <v>126.75</v>
          </cell>
          <cell r="AD168">
            <v>0</v>
          </cell>
          <cell r="AE168">
            <v>0</v>
          </cell>
          <cell r="AF168">
            <v>12.675000000000001</v>
          </cell>
          <cell r="AG168">
            <v>0</v>
          </cell>
          <cell r="AH168">
            <v>0</v>
          </cell>
          <cell r="AI168">
            <v>9.75</v>
          </cell>
          <cell r="AJ168">
            <v>0</v>
          </cell>
          <cell r="AK168">
            <v>0</v>
          </cell>
          <cell r="AL168">
            <v>112.5</v>
          </cell>
          <cell r="AM168">
            <v>0</v>
          </cell>
          <cell r="AN168">
            <v>0</v>
          </cell>
          <cell r="AO168">
            <v>146.25</v>
          </cell>
          <cell r="AP168">
            <v>0</v>
          </cell>
          <cell r="AQ168">
            <v>0</v>
          </cell>
          <cell r="AR168">
            <v>11.25</v>
          </cell>
          <cell r="AS168">
            <v>0</v>
          </cell>
          <cell r="AT168">
            <v>0</v>
          </cell>
          <cell r="AU168">
            <v>97.5</v>
          </cell>
          <cell r="AV168">
            <v>0</v>
          </cell>
          <cell r="AW168">
            <v>0</v>
          </cell>
          <cell r="AX168">
            <v>126.75</v>
          </cell>
          <cell r="AY168">
            <v>0</v>
          </cell>
          <cell r="AZ168">
            <v>0</v>
          </cell>
          <cell r="BA168">
            <v>9.75</v>
          </cell>
          <cell r="BB168">
            <v>0</v>
          </cell>
          <cell r="BC168">
            <v>0</v>
          </cell>
          <cell r="BD168">
            <v>150</v>
          </cell>
          <cell r="BE168">
            <v>0</v>
          </cell>
          <cell r="BF168">
            <v>0</v>
          </cell>
          <cell r="BG168">
            <v>195</v>
          </cell>
          <cell r="BH168">
            <v>0</v>
          </cell>
          <cell r="BI168">
            <v>0</v>
          </cell>
          <cell r="BJ168">
            <v>15</v>
          </cell>
          <cell r="BK168">
            <v>0</v>
          </cell>
          <cell r="BL168">
            <v>8</v>
          </cell>
          <cell r="BM168">
            <v>75</v>
          </cell>
          <cell r="BN168">
            <v>600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11197.5</v>
          </cell>
        </row>
        <row r="169">
          <cell r="C169">
            <v>14357</v>
          </cell>
          <cell r="D169" t="str">
            <v>PAZ, ROCHELLE PEREZ</v>
          </cell>
          <cell r="E169" t="str">
            <v>METAL STAMPING</v>
          </cell>
          <cell r="F169" t="str">
            <v>PRODUCTION</v>
          </cell>
          <cell r="G169" t="str">
            <v>Operator</v>
          </cell>
          <cell r="H169" t="str">
            <v>IDL</v>
          </cell>
          <cell r="I169">
            <v>104</v>
          </cell>
          <cell r="J169">
            <v>13</v>
          </cell>
          <cell r="K169">
            <v>600</v>
          </cell>
          <cell r="L169">
            <v>7800</v>
          </cell>
          <cell r="M169">
            <v>0</v>
          </cell>
          <cell r="N169">
            <v>1.25</v>
          </cell>
          <cell r="O169">
            <v>0</v>
          </cell>
          <cell r="P169">
            <v>16</v>
          </cell>
          <cell r="Q169">
            <v>93.75</v>
          </cell>
          <cell r="R169">
            <v>1500</v>
          </cell>
          <cell r="S169">
            <v>0</v>
          </cell>
          <cell r="T169">
            <v>7.5</v>
          </cell>
          <cell r="U169">
            <v>0</v>
          </cell>
          <cell r="V169">
            <v>0</v>
          </cell>
          <cell r="W169">
            <v>9.375</v>
          </cell>
          <cell r="X169">
            <v>0</v>
          </cell>
          <cell r="Y169">
            <v>8</v>
          </cell>
          <cell r="Z169">
            <v>97.5</v>
          </cell>
          <cell r="AA169">
            <v>780</v>
          </cell>
          <cell r="AB169">
            <v>0</v>
          </cell>
          <cell r="AC169">
            <v>126.75</v>
          </cell>
          <cell r="AD169">
            <v>0</v>
          </cell>
          <cell r="AE169">
            <v>0</v>
          </cell>
          <cell r="AF169">
            <v>12.675000000000001</v>
          </cell>
          <cell r="AG169">
            <v>0</v>
          </cell>
          <cell r="AH169">
            <v>0</v>
          </cell>
          <cell r="AI169">
            <v>9.75</v>
          </cell>
          <cell r="AJ169">
            <v>0</v>
          </cell>
          <cell r="AK169">
            <v>0</v>
          </cell>
          <cell r="AL169">
            <v>112.5</v>
          </cell>
          <cell r="AM169">
            <v>0</v>
          </cell>
          <cell r="AN169">
            <v>0</v>
          </cell>
          <cell r="AO169">
            <v>146.25</v>
          </cell>
          <cell r="AP169">
            <v>0</v>
          </cell>
          <cell r="AQ169">
            <v>0</v>
          </cell>
          <cell r="AR169">
            <v>11.25</v>
          </cell>
          <cell r="AS169">
            <v>0</v>
          </cell>
          <cell r="AT169">
            <v>0</v>
          </cell>
          <cell r="AU169">
            <v>97.5</v>
          </cell>
          <cell r="AV169">
            <v>0</v>
          </cell>
          <cell r="AW169">
            <v>0</v>
          </cell>
          <cell r="AX169">
            <v>126.75</v>
          </cell>
          <cell r="AY169">
            <v>0</v>
          </cell>
          <cell r="AZ169">
            <v>0</v>
          </cell>
          <cell r="BA169">
            <v>9.75</v>
          </cell>
          <cell r="BB169">
            <v>0</v>
          </cell>
          <cell r="BC169">
            <v>0</v>
          </cell>
          <cell r="BD169">
            <v>150</v>
          </cell>
          <cell r="BE169">
            <v>0</v>
          </cell>
          <cell r="BF169">
            <v>0</v>
          </cell>
          <cell r="BG169">
            <v>195</v>
          </cell>
          <cell r="BH169">
            <v>0</v>
          </cell>
          <cell r="BI169">
            <v>0</v>
          </cell>
          <cell r="BJ169">
            <v>15</v>
          </cell>
          <cell r="BK169">
            <v>0</v>
          </cell>
          <cell r="BL169">
            <v>8</v>
          </cell>
          <cell r="BM169">
            <v>75</v>
          </cell>
          <cell r="BN169">
            <v>600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10680</v>
          </cell>
        </row>
        <row r="170">
          <cell r="C170">
            <v>14824</v>
          </cell>
          <cell r="D170" t="str">
            <v>PEREZ, ROLLY MOTEL</v>
          </cell>
          <cell r="E170" t="str">
            <v>METAL STAMPING</v>
          </cell>
          <cell r="F170" t="str">
            <v>PRODUCTION</v>
          </cell>
          <cell r="G170" t="str">
            <v>Operator</v>
          </cell>
          <cell r="H170" t="str">
            <v>DL</v>
          </cell>
          <cell r="I170">
            <v>88</v>
          </cell>
          <cell r="J170">
            <v>11</v>
          </cell>
          <cell r="K170">
            <v>600</v>
          </cell>
          <cell r="L170">
            <v>6600</v>
          </cell>
          <cell r="M170">
            <v>0</v>
          </cell>
          <cell r="N170">
            <v>1.25</v>
          </cell>
          <cell r="O170">
            <v>0</v>
          </cell>
          <cell r="P170">
            <v>12</v>
          </cell>
          <cell r="Q170">
            <v>93.75</v>
          </cell>
          <cell r="R170">
            <v>1125</v>
          </cell>
          <cell r="S170">
            <v>0</v>
          </cell>
          <cell r="T170">
            <v>7.5</v>
          </cell>
          <cell r="U170">
            <v>0</v>
          </cell>
          <cell r="V170">
            <v>0</v>
          </cell>
          <cell r="W170">
            <v>9.375</v>
          </cell>
          <cell r="X170">
            <v>0</v>
          </cell>
          <cell r="Y170">
            <v>8</v>
          </cell>
          <cell r="Z170">
            <v>97.5</v>
          </cell>
          <cell r="AA170">
            <v>780</v>
          </cell>
          <cell r="AB170">
            <v>0</v>
          </cell>
          <cell r="AC170">
            <v>126.75</v>
          </cell>
          <cell r="AD170">
            <v>0</v>
          </cell>
          <cell r="AE170">
            <v>0</v>
          </cell>
          <cell r="AF170">
            <v>12.675000000000001</v>
          </cell>
          <cell r="AG170">
            <v>0</v>
          </cell>
          <cell r="AH170">
            <v>0</v>
          </cell>
          <cell r="AI170">
            <v>9.75</v>
          </cell>
          <cell r="AJ170">
            <v>0</v>
          </cell>
          <cell r="AK170">
            <v>0</v>
          </cell>
          <cell r="AL170">
            <v>112.5</v>
          </cell>
          <cell r="AM170">
            <v>0</v>
          </cell>
          <cell r="AN170">
            <v>0</v>
          </cell>
          <cell r="AO170">
            <v>146.25</v>
          </cell>
          <cell r="AP170">
            <v>0</v>
          </cell>
          <cell r="AQ170">
            <v>0</v>
          </cell>
          <cell r="AR170">
            <v>11.25</v>
          </cell>
          <cell r="AS170">
            <v>0</v>
          </cell>
          <cell r="AT170">
            <v>0</v>
          </cell>
          <cell r="AU170">
            <v>97.5</v>
          </cell>
          <cell r="AV170">
            <v>0</v>
          </cell>
          <cell r="AW170">
            <v>0</v>
          </cell>
          <cell r="AX170">
            <v>126.75</v>
          </cell>
          <cell r="AY170">
            <v>0</v>
          </cell>
          <cell r="AZ170">
            <v>0</v>
          </cell>
          <cell r="BA170">
            <v>9.75</v>
          </cell>
          <cell r="BB170">
            <v>0</v>
          </cell>
          <cell r="BC170">
            <v>0</v>
          </cell>
          <cell r="BD170">
            <v>150</v>
          </cell>
          <cell r="BE170">
            <v>0</v>
          </cell>
          <cell r="BF170">
            <v>0</v>
          </cell>
          <cell r="BG170">
            <v>195</v>
          </cell>
          <cell r="BH170">
            <v>0</v>
          </cell>
          <cell r="BI170">
            <v>0</v>
          </cell>
          <cell r="BJ170">
            <v>15</v>
          </cell>
          <cell r="BK170">
            <v>0</v>
          </cell>
          <cell r="BL170">
            <v>8</v>
          </cell>
          <cell r="BM170">
            <v>75</v>
          </cell>
          <cell r="BN170">
            <v>600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9105</v>
          </cell>
        </row>
        <row r="171">
          <cell r="C171">
            <v>30611</v>
          </cell>
          <cell r="D171" t="str">
            <v>PISUENA, JAE ANN ESPIRITU</v>
          </cell>
          <cell r="E171" t="str">
            <v>METAL STAMPING</v>
          </cell>
          <cell r="F171" t="str">
            <v>PRODUCTION</v>
          </cell>
          <cell r="G171" t="str">
            <v>Operator</v>
          </cell>
          <cell r="H171" t="str">
            <v>IDL</v>
          </cell>
          <cell r="I171">
            <v>104</v>
          </cell>
          <cell r="J171">
            <v>13</v>
          </cell>
          <cell r="K171">
            <v>600</v>
          </cell>
          <cell r="L171">
            <v>7800</v>
          </cell>
          <cell r="M171">
            <v>0</v>
          </cell>
          <cell r="N171">
            <v>1.25</v>
          </cell>
          <cell r="O171">
            <v>0</v>
          </cell>
          <cell r="P171">
            <v>18</v>
          </cell>
          <cell r="Q171">
            <v>93.75</v>
          </cell>
          <cell r="R171">
            <v>1687.5</v>
          </cell>
          <cell r="S171">
            <v>54</v>
          </cell>
          <cell r="T171">
            <v>7.5</v>
          </cell>
          <cell r="U171">
            <v>405</v>
          </cell>
          <cell r="V171">
            <v>14</v>
          </cell>
          <cell r="W171">
            <v>9.375</v>
          </cell>
          <cell r="X171">
            <v>131.25</v>
          </cell>
          <cell r="Y171">
            <v>8</v>
          </cell>
          <cell r="Z171">
            <v>97.5</v>
          </cell>
          <cell r="AA171">
            <v>780</v>
          </cell>
          <cell r="AB171">
            <v>0</v>
          </cell>
          <cell r="AC171">
            <v>126.75</v>
          </cell>
          <cell r="AD171">
            <v>0</v>
          </cell>
          <cell r="AE171">
            <v>0</v>
          </cell>
          <cell r="AF171">
            <v>12.675000000000001</v>
          </cell>
          <cell r="AG171">
            <v>0</v>
          </cell>
          <cell r="AH171">
            <v>0</v>
          </cell>
          <cell r="AI171">
            <v>9.75</v>
          </cell>
          <cell r="AJ171">
            <v>0</v>
          </cell>
          <cell r="AK171">
            <v>0</v>
          </cell>
          <cell r="AL171">
            <v>112.5</v>
          </cell>
          <cell r="AM171">
            <v>0</v>
          </cell>
          <cell r="AN171">
            <v>0</v>
          </cell>
          <cell r="AO171">
            <v>146.25</v>
          </cell>
          <cell r="AP171">
            <v>0</v>
          </cell>
          <cell r="AQ171">
            <v>0</v>
          </cell>
          <cell r="AR171">
            <v>11.25</v>
          </cell>
          <cell r="AS171">
            <v>0</v>
          </cell>
          <cell r="AT171">
            <v>0</v>
          </cell>
          <cell r="AU171">
            <v>97.5</v>
          </cell>
          <cell r="AV171">
            <v>0</v>
          </cell>
          <cell r="AW171">
            <v>0</v>
          </cell>
          <cell r="AX171">
            <v>126.75</v>
          </cell>
          <cell r="AY171">
            <v>0</v>
          </cell>
          <cell r="AZ171">
            <v>0</v>
          </cell>
          <cell r="BA171">
            <v>9.75</v>
          </cell>
          <cell r="BB171">
            <v>0</v>
          </cell>
          <cell r="BC171">
            <v>0</v>
          </cell>
          <cell r="BD171">
            <v>150</v>
          </cell>
          <cell r="BE171">
            <v>0</v>
          </cell>
          <cell r="BF171">
            <v>0</v>
          </cell>
          <cell r="BG171">
            <v>195</v>
          </cell>
          <cell r="BH171">
            <v>0</v>
          </cell>
          <cell r="BI171">
            <v>0</v>
          </cell>
          <cell r="BJ171">
            <v>15</v>
          </cell>
          <cell r="BK171">
            <v>0</v>
          </cell>
          <cell r="BL171">
            <v>8</v>
          </cell>
          <cell r="BM171">
            <v>75</v>
          </cell>
          <cell r="BN171">
            <v>600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11403.75</v>
          </cell>
        </row>
        <row r="172">
          <cell r="C172">
            <v>14360</v>
          </cell>
          <cell r="D172" t="str">
            <v>PLAMBERHIN, MARIA ROSE ABAO</v>
          </cell>
          <cell r="E172" t="str">
            <v>METAL STAMPING</v>
          </cell>
          <cell r="F172" t="str">
            <v>PRODUCTION</v>
          </cell>
          <cell r="G172" t="str">
            <v>Operator</v>
          </cell>
          <cell r="H172" t="str">
            <v>DL</v>
          </cell>
          <cell r="I172">
            <v>104</v>
          </cell>
          <cell r="J172">
            <v>13</v>
          </cell>
          <cell r="K172">
            <v>600</v>
          </cell>
          <cell r="L172">
            <v>7800</v>
          </cell>
          <cell r="M172">
            <v>0</v>
          </cell>
          <cell r="N172">
            <v>1.25</v>
          </cell>
          <cell r="O172">
            <v>0</v>
          </cell>
          <cell r="P172">
            <v>18</v>
          </cell>
          <cell r="Q172">
            <v>93.75</v>
          </cell>
          <cell r="R172">
            <v>1687.5</v>
          </cell>
          <cell r="S172">
            <v>54</v>
          </cell>
          <cell r="T172">
            <v>7.5</v>
          </cell>
          <cell r="U172">
            <v>405</v>
          </cell>
          <cell r="V172">
            <v>14</v>
          </cell>
          <cell r="W172">
            <v>9.375</v>
          </cell>
          <cell r="X172">
            <v>131.25</v>
          </cell>
          <cell r="Y172">
            <v>8</v>
          </cell>
          <cell r="Z172">
            <v>97.5</v>
          </cell>
          <cell r="AA172">
            <v>780</v>
          </cell>
          <cell r="AB172">
            <v>0</v>
          </cell>
          <cell r="AC172">
            <v>126.75</v>
          </cell>
          <cell r="AD172">
            <v>0</v>
          </cell>
          <cell r="AE172">
            <v>0</v>
          </cell>
          <cell r="AF172">
            <v>12.675000000000001</v>
          </cell>
          <cell r="AG172">
            <v>0</v>
          </cell>
          <cell r="AH172">
            <v>0</v>
          </cell>
          <cell r="AI172">
            <v>9.75</v>
          </cell>
          <cell r="AJ172">
            <v>0</v>
          </cell>
          <cell r="AK172">
            <v>0</v>
          </cell>
          <cell r="AL172">
            <v>112.5</v>
          </cell>
          <cell r="AM172">
            <v>0</v>
          </cell>
          <cell r="AN172">
            <v>0</v>
          </cell>
          <cell r="AO172">
            <v>146.25</v>
          </cell>
          <cell r="AP172">
            <v>0</v>
          </cell>
          <cell r="AQ172">
            <v>0</v>
          </cell>
          <cell r="AR172">
            <v>11.25</v>
          </cell>
          <cell r="AS172">
            <v>0</v>
          </cell>
          <cell r="AT172">
            <v>0</v>
          </cell>
          <cell r="AU172">
            <v>97.5</v>
          </cell>
          <cell r="AV172">
            <v>0</v>
          </cell>
          <cell r="AW172">
            <v>0</v>
          </cell>
          <cell r="AX172">
            <v>126.75</v>
          </cell>
          <cell r="AY172">
            <v>0</v>
          </cell>
          <cell r="AZ172">
            <v>0</v>
          </cell>
          <cell r="BA172">
            <v>9.75</v>
          </cell>
          <cell r="BB172">
            <v>0</v>
          </cell>
          <cell r="BC172">
            <v>0</v>
          </cell>
          <cell r="BD172">
            <v>150</v>
          </cell>
          <cell r="BE172">
            <v>0</v>
          </cell>
          <cell r="BF172">
            <v>0</v>
          </cell>
          <cell r="BG172">
            <v>195</v>
          </cell>
          <cell r="BH172">
            <v>0</v>
          </cell>
          <cell r="BI172">
            <v>0</v>
          </cell>
          <cell r="BJ172">
            <v>15</v>
          </cell>
          <cell r="BK172">
            <v>0</v>
          </cell>
          <cell r="BL172">
            <v>8</v>
          </cell>
          <cell r="BM172">
            <v>75</v>
          </cell>
          <cell r="BN172">
            <v>600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11403.75</v>
          </cell>
        </row>
        <row r="173">
          <cell r="C173">
            <v>32460</v>
          </cell>
          <cell r="D173" t="str">
            <v xml:space="preserve">PRADO, MARY GRACE </v>
          </cell>
          <cell r="E173" t="str">
            <v>METAL STAMPING</v>
          </cell>
          <cell r="F173" t="str">
            <v>PRODUCTION</v>
          </cell>
          <cell r="G173" t="str">
            <v>Operator</v>
          </cell>
          <cell r="H173" t="str">
            <v>DL</v>
          </cell>
          <cell r="I173">
            <v>104</v>
          </cell>
          <cell r="J173">
            <v>13</v>
          </cell>
          <cell r="K173">
            <v>600</v>
          </cell>
          <cell r="L173">
            <v>7800</v>
          </cell>
          <cell r="M173">
            <v>0</v>
          </cell>
          <cell r="N173">
            <v>1.25</v>
          </cell>
          <cell r="O173">
            <v>0</v>
          </cell>
          <cell r="P173">
            <v>10</v>
          </cell>
          <cell r="Q173">
            <v>93.75</v>
          </cell>
          <cell r="R173">
            <v>937.5</v>
          </cell>
          <cell r="S173">
            <v>0</v>
          </cell>
          <cell r="T173">
            <v>7.5</v>
          </cell>
          <cell r="U173">
            <v>0</v>
          </cell>
          <cell r="V173">
            <v>0</v>
          </cell>
          <cell r="W173">
            <v>9.375</v>
          </cell>
          <cell r="X173">
            <v>0</v>
          </cell>
          <cell r="Y173">
            <v>8</v>
          </cell>
          <cell r="Z173">
            <v>97.5</v>
          </cell>
          <cell r="AA173">
            <v>780</v>
          </cell>
          <cell r="AB173">
            <v>0</v>
          </cell>
          <cell r="AC173">
            <v>126.75</v>
          </cell>
          <cell r="AD173">
            <v>0</v>
          </cell>
          <cell r="AE173">
            <v>0</v>
          </cell>
          <cell r="AF173">
            <v>12.675000000000001</v>
          </cell>
          <cell r="AG173">
            <v>0</v>
          </cell>
          <cell r="AH173">
            <v>0</v>
          </cell>
          <cell r="AI173">
            <v>9.75</v>
          </cell>
          <cell r="AJ173">
            <v>0</v>
          </cell>
          <cell r="AK173">
            <v>0</v>
          </cell>
          <cell r="AL173">
            <v>112.5</v>
          </cell>
          <cell r="AM173">
            <v>0</v>
          </cell>
          <cell r="AN173">
            <v>0</v>
          </cell>
          <cell r="AO173">
            <v>146.25</v>
          </cell>
          <cell r="AP173">
            <v>0</v>
          </cell>
          <cell r="AQ173">
            <v>0</v>
          </cell>
          <cell r="AR173">
            <v>11.25</v>
          </cell>
          <cell r="AS173">
            <v>0</v>
          </cell>
          <cell r="AT173">
            <v>0</v>
          </cell>
          <cell r="AU173">
            <v>97.5</v>
          </cell>
          <cell r="AV173">
            <v>0</v>
          </cell>
          <cell r="AW173">
            <v>0</v>
          </cell>
          <cell r="AX173">
            <v>126.75</v>
          </cell>
          <cell r="AY173">
            <v>0</v>
          </cell>
          <cell r="AZ173">
            <v>0</v>
          </cell>
          <cell r="BA173">
            <v>9.75</v>
          </cell>
          <cell r="BB173">
            <v>0</v>
          </cell>
          <cell r="BC173">
            <v>0</v>
          </cell>
          <cell r="BD173">
            <v>150</v>
          </cell>
          <cell r="BE173">
            <v>0</v>
          </cell>
          <cell r="BF173">
            <v>0</v>
          </cell>
          <cell r="BG173">
            <v>195</v>
          </cell>
          <cell r="BH173">
            <v>0</v>
          </cell>
          <cell r="BI173">
            <v>0</v>
          </cell>
          <cell r="BJ173">
            <v>15</v>
          </cell>
          <cell r="BK173">
            <v>0</v>
          </cell>
          <cell r="BL173">
            <v>8</v>
          </cell>
          <cell r="BM173">
            <v>75</v>
          </cell>
          <cell r="BN173">
            <v>600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10117.5</v>
          </cell>
        </row>
        <row r="174">
          <cell r="C174">
            <v>32462</v>
          </cell>
          <cell r="D174" t="str">
            <v>PREJULA, JOE MAR</v>
          </cell>
          <cell r="E174" t="str">
            <v>METAL STAMPING</v>
          </cell>
          <cell r="F174" t="str">
            <v>PRODUCTION</v>
          </cell>
          <cell r="G174" t="str">
            <v>Operator</v>
          </cell>
          <cell r="H174" t="str">
            <v>DL</v>
          </cell>
          <cell r="I174">
            <v>0</v>
          </cell>
          <cell r="J174">
            <v>0</v>
          </cell>
          <cell r="K174">
            <v>600</v>
          </cell>
          <cell r="L174">
            <v>0</v>
          </cell>
          <cell r="M174">
            <v>0</v>
          </cell>
          <cell r="N174">
            <v>1.25</v>
          </cell>
          <cell r="O174">
            <v>0</v>
          </cell>
          <cell r="P174">
            <v>0</v>
          </cell>
          <cell r="Q174">
            <v>93.75</v>
          </cell>
          <cell r="R174">
            <v>0</v>
          </cell>
          <cell r="S174">
            <v>0</v>
          </cell>
          <cell r="T174">
            <v>7.5</v>
          </cell>
          <cell r="U174">
            <v>0</v>
          </cell>
          <cell r="V174">
            <v>0</v>
          </cell>
          <cell r="W174">
            <v>9.375</v>
          </cell>
          <cell r="X174">
            <v>0</v>
          </cell>
          <cell r="Y174">
            <v>0</v>
          </cell>
          <cell r="Z174">
            <v>97.5</v>
          </cell>
          <cell r="AA174">
            <v>0</v>
          </cell>
          <cell r="AB174">
            <v>0</v>
          </cell>
          <cell r="AC174">
            <v>126.75</v>
          </cell>
          <cell r="AD174">
            <v>0</v>
          </cell>
          <cell r="AE174">
            <v>0</v>
          </cell>
          <cell r="AF174">
            <v>12.675000000000001</v>
          </cell>
          <cell r="AG174">
            <v>0</v>
          </cell>
          <cell r="AH174">
            <v>0</v>
          </cell>
          <cell r="AI174">
            <v>9.75</v>
          </cell>
          <cell r="AJ174">
            <v>0</v>
          </cell>
          <cell r="AK174">
            <v>0</v>
          </cell>
          <cell r="AL174">
            <v>112.5</v>
          </cell>
          <cell r="AM174">
            <v>0</v>
          </cell>
          <cell r="AN174">
            <v>0</v>
          </cell>
          <cell r="AO174">
            <v>146.25</v>
          </cell>
          <cell r="AP174">
            <v>0</v>
          </cell>
          <cell r="AQ174">
            <v>0</v>
          </cell>
          <cell r="AR174">
            <v>11.25</v>
          </cell>
          <cell r="AS174">
            <v>0</v>
          </cell>
          <cell r="AT174">
            <v>0</v>
          </cell>
          <cell r="AU174">
            <v>97.5</v>
          </cell>
          <cell r="AV174">
            <v>0</v>
          </cell>
          <cell r="AW174">
            <v>0</v>
          </cell>
          <cell r="AX174">
            <v>126.75</v>
          </cell>
          <cell r="AY174">
            <v>0</v>
          </cell>
          <cell r="AZ174">
            <v>0</v>
          </cell>
          <cell r="BA174">
            <v>9.75</v>
          </cell>
          <cell r="BB174">
            <v>0</v>
          </cell>
          <cell r="BC174">
            <v>0</v>
          </cell>
          <cell r="BD174">
            <v>150</v>
          </cell>
          <cell r="BE174">
            <v>0</v>
          </cell>
          <cell r="BF174">
            <v>0</v>
          </cell>
          <cell r="BG174">
            <v>195</v>
          </cell>
          <cell r="BH174">
            <v>0</v>
          </cell>
          <cell r="BI174">
            <v>0</v>
          </cell>
          <cell r="BJ174">
            <v>15</v>
          </cell>
          <cell r="BK174">
            <v>0</v>
          </cell>
          <cell r="BL174">
            <v>0</v>
          </cell>
          <cell r="BM174">
            <v>75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</row>
        <row r="175">
          <cell r="C175">
            <v>32458</v>
          </cell>
          <cell r="D175" t="str">
            <v>PUNZALAN, ANGELICA MAE</v>
          </cell>
          <cell r="E175" t="str">
            <v>METAL STAMPING</v>
          </cell>
          <cell r="F175" t="str">
            <v>PRODUCTION</v>
          </cell>
          <cell r="G175" t="str">
            <v>Operator</v>
          </cell>
          <cell r="H175" t="str">
            <v>DL</v>
          </cell>
          <cell r="I175">
            <v>104</v>
          </cell>
          <cell r="J175">
            <v>13</v>
          </cell>
          <cell r="K175">
            <v>600</v>
          </cell>
          <cell r="L175">
            <v>7800</v>
          </cell>
          <cell r="M175">
            <v>0</v>
          </cell>
          <cell r="N175">
            <v>1.25</v>
          </cell>
          <cell r="O175">
            <v>0</v>
          </cell>
          <cell r="P175">
            <v>12</v>
          </cell>
          <cell r="Q175">
            <v>93.75</v>
          </cell>
          <cell r="R175">
            <v>1125</v>
          </cell>
          <cell r="S175">
            <v>0</v>
          </cell>
          <cell r="T175">
            <v>7.5</v>
          </cell>
          <cell r="U175">
            <v>0</v>
          </cell>
          <cell r="V175">
            <v>0</v>
          </cell>
          <cell r="W175">
            <v>9.375</v>
          </cell>
          <cell r="X175">
            <v>0</v>
          </cell>
          <cell r="Y175">
            <v>8</v>
          </cell>
          <cell r="Z175">
            <v>97.5</v>
          </cell>
          <cell r="AA175">
            <v>780</v>
          </cell>
          <cell r="AB175">
            <v>0</v>
          </cell>
          <cell r="AC175">
            <v>126.75</v>
          </cell>
          <cell r="AD175">
            <v>0</v>
          </cell>
          <cell r="AE175">
            <v>0</v>
          </cell>
          <cell r="AF175">
            <v>12.675000000000001</v>
          </cell>
          <cell r="AG175">
            <v>0</v>
          </cell>
          <cell r="AH175">
            <v>0</v>
          </cell>
          <cell r="AI175">
            <v>9.75</v>
          </cell>
          <cell r="AJ175">
            <v>0</v>
          </cell>
          <cell r="AK175">
            <v>0</v>
          </cell>
          <cell r="AL175">
            <v>112.5</v>
          </cell>
          <cell r="AM175">
            <v>0</v>
          </cell>
          <cell r="AN175">
            <v>0</v>
          </cell>
          <cell r="AO175">
            <v>146.25</v>
          </cell>
          <cell r="AP175">
            <v>0</v>
          </cell>
          <cell r="AQ175">
            <v>0</v>
          </cell>
          <cell r="AR175">
            <v>11.25</v>
          </cell>
          <cell r="AS175">
            <v>0</v>
          </cell>
          <cell r="AT175">
            <v>0</v>
          </cell>
          <cell r="AU175">
            <v>97.5</v>
          </cell>
          <cell r="AV175">
            <v>0</v>
          </cell>
          <cell r="AW175">
            <v>0</v>
          </cell>
          <cell r="AX175">
            <v>126.75</v>
          </cell>
          <cell r="AY175">
            <v>0</v>
          </cell>
          <cell r="AZ175">
            <v>0</v>
          </cell>
          <cell r="BA175">
            <v>9.75</v>
          </cell>
          <cell r="BB175">
            <v>0</v>
          </cell>
          <cell r="BC175">
            <v>0</v>
          </cell>
          <cell r="BD175">
            <v>150</v>
          </cell>
          <cell r="BE175">
            <v>0</v>
          </cell>
          <cell r="BF175">
            <v>0</v>
          </cell>
          <cell r="BG175">
            <v>195</v>
          </cell>
          <cell r="BH175">
            <v>0</v>
          </cell>
          <cell r="BI175">
            <v>0</v>
          </cell>
          <cell r="BJ175">
            <v>15</v>
          </cell>
          <cell r="BK175">
            <v>0</v>
          </cell>
          <cell r="BL175">
            <v>8</v>
          </cell>
          <cell r="BM175">
            <v>75</v>
          </cell>
          <cell r="BN175">
            <v>600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10305</v>
          </cell>
        </row>
        <row r="176">
          <cell r="C176">
            <v>7244</v>
          </cell>
          <cell r="D176" t="str">
            <v>RAALI, ANALIN AWAN</v>
          </cell>
          <cell r="E176" t="str">
            <v>METAL STAMPING</v>
          </cell>
          <cell r="F176" t="str">
            <v>PRODUCTION</v>
          </cell>
          <cell r="G176" t="str">
            <v>Operator</v>
          </cell>
          <cell r="H176" t="str">
            <v>DL</v>
          </cell>
          <cell r="I176">
            <v>104</v>
          </cell>
          <cell r="J176">
            <v>13</v>
          </cell>
          <cell r="K176">
            <v>600</v>
          </cell>
          <cell r="L176">
            <v>7800</v>
          </cell>
          <cell r="M176">
            <v>0</v>
          </cell>
          <cell r="N176">
            <v>1.25</v>
          </cell>
          <cell r="O176">
            <v>0</v>
          </cell>
          <cell r="P176">
            <v>16</v>
          </cell>
          <cell r="Q176">
            <v>93.75</v>
          </cell>
          <cell r="R176">
            <v>1500</v>
          </cell>
          <cell r="S176">
            <v>0</v>
          </cell>
          <cell r="T176">
            <v>7.5</v>
          </cell>
          <cell r="U176">
            <v>0</v>
          </cell>
          <cell r="V176">
            <v>0</v>
          </cell>
          <cell r="W176">
            <v>9.375</v>
          </cell>
          <cell r="X176">
            <v>0</v>
          </cell>
          <cell r="Y176">
            <v>0</v>
          </cell>
          <cell r="Z176">
            <v>97.5</v>
          </cell>
          <cell r="AA176">
            <v>0</v>
          </cell>
          <cell r="AB176">
            <v>0</v>
          </cell>
          <cell r="AC176">
            <v>126.75</v>
          </cell>
          <cell r="AD176">
            <v>0</v>
          </cell>
          <cell r="AE176">
            <v>0</v>
          </cell>
          <cell r="AF176">
            <v>12.675000000000001</v>
          </cell>
          <cell r="AG176">
            <v>0</v>
          </cell>
          <cell r="AH176">
            <v>0</v>
          </cell>
          <cell r="AI176">
            <v>9.75</v>
          </cell>
          <cell r="AJ176">
            <v>0</v>
          </cell>
          <cell r="AK176">
            <v>0</v>
          </cell>
          <cell r="AL176">
            <v>112.5</v>
          </cell>
          <cell r="AM176">
            <v>0</v>
          </cell>
          <cell r="AN176">
            <v>0</v>
          </cell>
          <cell r="AO176">
            <v>146.25</v>
          </cell>
          <cell r="AP176">
            <v>0</v>
          </cell>
          <cell r="AQ176">
            <v>0</v>
          </cell>
          <cell r="AR176">
            <v>11.25</v>
          </cell>
          <cell r="AS176">
            <v>0</v>
          </cell>
          <cell r="AT176">
            <v>0</v>
          </cell>
          <cell r="AU176">
            <v>97.5</v>
          </cell>
          <cell r="AV176">
            <v>0</v>
          </cell>
          <cell r="AW176">
            <v>0</v>
          </cell>
          <cell r="AX176">
            <v>126.75</v>
          </cell>
          <cell r="AY176">
            <v>0</v>
          </cell>
          <cell r="AZ176">
            <v>0</v>
          </cell>
          <cell r="BA176">
            <v>9.75</v>
          </cell>
          <cell r="BB176">
            <v>0</v>
          </cell>
          <cell r="BC176">
            <v>0</v>
          </cell>
          <cell r="BD176">
            <v>150</v>
          </cell>
          <cell r="BE176">
            <v>0</v>
          </cell>
          <cell r="BF176">
            <v>0</v>
          </cell>
          <cell r="BG176">
            <v>195</v>
          </cell>
          <cell r="BH176">
            <v>0</v>
          </cell>
          <cell r="BI176">
            <v>0</v>
          </cell>
          <cell r="BJ176">
            <v>15</v>
          </cell>
          <cell r="BK176">
            <v>0</v>
          </cell>
          <cell r="BL176">
            <v>8</v>
          </cell>
          <cell r="BM176">
            <v>75</v>
          </cell>
          <cell r="BN176">
            <v>600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9900</v>
          </cell>
        </row>
        <row r="177">
          <cell r="C177">
            <v>12110</v>
          </cell>
          <cell r="D177" t="str">
            <v>RABAJA, JOCELYN DULAY</v>
          </cell>
          <cell r="E177" t="str">
            <v>METAL STAMPING</v>
          </cell>
          <cell r="F177" t="str">
            <v>PRODUCTION</v>
          </cell>
          <cell r="G177" t="str">
            <v>Operator</v>
          </cell>
          <cell r="H177" t="str">
            <v>IDL</v>
          </cell>
          <cell r="I177">
            <v>96</v>
          </cell>
          <cell r="J177">
            <v>12</v>
          </cell>
          <cell r="K177">
            <v>600</v>
          </cell>
          <cell r="L177">
            <v>7200</v>
          </cell>
          <cell r="M177">
            <v>0</v>
          </cell>
          <cell r="N177">
            <v>1.25</v>
          </cell>
          <cell r="O177">
            <v>0</v>
          </cell>
          <cell r="P177">
            <v>14</v>
          </cell>
          <cell r="Q177">
            <v>93.75</v>
          </cell>
          <cell r="R177">
            <v>1312.5</v>
          </cell>
          <cell r="S177">
            <v>0</v>
          </cell>
          <cell r="T177">
            <v>7.5</v>
          </cell>
          <cell r="U177">
            <v>0</v>
          </cell>
          <cell r="V177">
            <v>0</v>
          </cell>
          <cell r="W177">
            <v>9.375</v>
          </cell>
          <cell r="X177">
            <v>0</v>
          </cell>
          <cell r="Y177">
            <v>8</v>
          </cell>
          <cell r="Z177">
            <v>97.5</v>
          </cell>
          <cell r="AA177">
            <v>780</v>
          </cell>
          <cell r="AB177">
            <v>0</v>
          </cell>
          <cell r="AC177">
            <v>126.75</v>
          </cell>
          <cell r="AD177">
            <v>0</v>
          </cell>
          <cell r="AE177">
            <v>0</v>
          </cell>
          <cell r="AF177">
            <v>12.675000000000001</v>
          </cell>
          <cell r="AG177">
            <v>0</v>
          </cell>
          <cell r="AH177">
            <v>0</v>
          </cell>
          <cell r="AI177">
            <v>9.75</v>
          </cell>
          <cell r="AJ177">
            <v>0</v>
          </cell>
          <cell r="AK177">
            <v>0</v>
          </cell>
          <cell r="AL177">
            <v>112.5</v>
          </cell>
          <cell r="AM177">
            <v>0</v>
          </cell>
          <cell r="AN177">
            <v>0</v>
          </cell>
          <cell r="AO177">
            <v>146.25</v>
          </cell>
          <cell r="AP177">
            <v>0</v>
          </cell>
          <cell r="AQ177">
            <v>0</v>
          </cell>
          <cell r="AR177">
            <v>11.25</v>
          </cell>
          <cell r="AS177">
            <v>0</v>
          </cell>
          <cell r="AT177">
            <v>0</v>
          </cell>
          <cell r="AU177">
            <v>97.5</v>
          </cell>
          <cell r="AV177">
            <v>0</v>
          </cell>
          <cell r="AW177">
            <v>0</v>
          </cell>
          <cell r="AX177">
            <v>126.75</v>
          </cell>
          <cell r="AY177">
            <v>0</v>
          </cell>
          <cell r="AZ177">
            <v>0</v>
          </cell>
          <cell r="BA177">
            <v>9.75</v>
          </cell>
          <cell r="BB177">
            <v>0</v>
          </cell>
          <cell r="BC177">
            <v>0</v>
          </cell>
          <cell r="BD177">
            <v>150</v>
          </cell>
          <cell r="BE177">
            <v>0</v>
          </cell>
          <cell r="BF177">
            <v>0</v>
          </cell>
          <cell r="BG177">
            <v>195</v>
          </cell>
          <cell r="BH177">
            <v>0</v>
          </cell>
          <cell r="BI177">
            <v>0</v>
          </cell>
          <cell r="BJ177">
            <v>15</v>
          </cell>
          <cell r="BK177">
            <v>0</v>
          </cell>
          <cell r="BL177">
            <v>8</v>
          </cell>
          <cell r="BM177">
            <v>75</v>
          </cell>
          <cell r="BN177">
            <v>600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9892.5</v>
          </cell>
        </row>
        <row r="178">
          <cell r="C178">
            <v>32599</v>
          </cell>
          <cell r="D178" t="str">
            <v>RAGAS, MORENA MALABRIGA</v>
          </cell>
          <cell r="E178" t="str">
            <v>METAL STAMPING</v>
          </cell>
          <cell r="F178" t="str">
            <v>PRODUCTION</v>
          </cell>
          <cell r="G178" t="str">
            <v>Operator</v>
          </cell>
          <cell r="H178" t="str">
            <v>DL</v>
          </cell>
          <cell r="I178">
            <v>104</v>
          </cell>
          <cell r="J178">
            <v>13</v>
          </cell>
          <cell r="K178">
            <v>600</v>
          </cell>
          <cell r="L178">
            <v>7800</v>
          </cell>
          <cell r="M178">
            <v>0</v>
          </cell>
          <cell r="N178">
            <v>1.25</v>
          </cell>
          <cell r="O178">
            <v>0</v>
          </cell>
          <cell r="P178">
            <v>23</v>
          </cell>
          <cell r="Q178">
            <v>93.75</v>
          </cell>
          <cell r="R178">
            <v>2156.25</v>
          </cell>
          <cell r="S178">
            <v>0</v>
          </cell>
          <cell r="T178">
            <v>7.5</v>
          </cell>
          <cell r="U178">
            <v>0</v>
          </cell>
          <cell r="V178">
            <v>0</v>
          </cell>
          <cell r="W178">
            <v>9.375</v>
          </cell>
          <cell r="X178">
            <v>0</v>
          </cell>
          <cell r="Y178">
            <v>8</v>
          </cell>
          <cell r="Z178">
            <v>97.5</v>
          </cell>
          <cell r="AA178">
            <v>780</v>
          </cell>
          <cell r="AB178">
            <v>0</v>
          </cell>
          <cell r="AC178">
            <v>126.75</v>
          </cell>
          <cell r="AD178">
            <v>0</v>
          </cell>
          <cell r="AE178">
            <v>0</v>
          </cell>
          <cell r="AF178">
            <v>12.675000000000001</v>
          </cell>
          <cell r="AG178">
            <v>0</v>
          </cell>
          <cell r="AH178">
            <v>0</v>
          </cell>
          <cell r="AI178">
            <v>9.75</v>
          </cell>
          <cell r="AJ178">
            <v>0</v>
          </cell>
          <cell r="AK178">
            <v>0</v>
          </cell>
          <cell r="AL178">
            <v>112.5</v>
          </cell>
          <cell r="AM178">
            <v>0</v>
          </cell>
          <cell r="AN178">
            <v>0</v>
          </cell>
          <cell r="AO178">
            <v>146.25</v>
          </cell>
          <cell r="AP178">
            <v>0</v>
          </cell>
          <cell r="AQ178">
            <v>0</v>
          </cell>
          <cell r="AR178">
            <v>11.25</v>
          </cell>
          <cell r="AS178">
            <v>0</v>
          </cell>
          <cell r="AT178">
            <v>0</v>
          </cell>
          <cell r="AU178">
            <v>97.5</v>
          </cell>
          <cell r="AV178">
            <v>0</v>
          </cell>
          <cell r="AW178">
            <v>0</v>
          </cell>
          <cell r="AX178">
            <v>126.75</v>
          </cell>
          <cell r="AY178">
            <v>0</v>
          </cell>
          <cell r="AZ178">
            <v>0</v>
          </cell>
          <cell r="BA178">
            <v>9.75</v>
          </cell>
          <cell r="BB178">
            <v>0</v>
          </cell>
          <cell r="BC178">
            <v>0</v>
          </cell>
          <cell r="BD178">
            <v>150</v>
          </cell>
          <cell r="BE178">
            <v>0</v>
          </cell>
          <cell r="BF178">
            <v>0</v>
          </cell>
          <cell r="BG178">
            <v>195</v>
          </cell>
          <cell r="BH178">
            <v>0</v>
          </cell>
          <cell r="BI178">
            <v>0</v>
          </cell>
          <cell r="BJ178">
            <v>15</v>
          </cell>
          <cell r="BK178">
            <v>0</v>
          </cell>
          <cell r="BL178">
            <v>8</v>
          </cell>
          <cell r="BM178">
            <v>75</v>
          </cell>
          <cell r="BN178">
            <v>600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11336.25</v>
          </cell>
        </row>
        <row r="179">
          <cell r="C179">
            <v>14370</v>
          </cell>
          <cell r="D179" t="str">
            <v>RAMOS, JAIRO FABELLAR</v>
          </cell>
          <cell r="E179" t="str">
            <v>METAL STAMPING</v>
          </cell>
          <cell r="F179" t="str">
            <v>PRODUCTION</v>
          </cell>
          <cell r="G179" t="str">
            <v>Operator</v>
          </cell>
          <cell r="H179" t="str">
            <v>DL</v>
          </cell>
          <cell r="I179">
            <v>104</v>
          </cell>
          <cell r="J179">
            <v>13</v>
          </cell>
          <cell r="K179">
            <v>600</v>
          </cell>
          <cell r="L179">
            <v>7800</v>
          </cell>
          <cell r="M179">
            <v>0</v>
          </cell>
          <cell r="N179">
            <v>1.25</v>
          </cell>
          <cell r="O179">
            <v>0</v>
          </cell>
          <cell r="P179">
            <v>17.5</v>
          </cell>
          <cell r="Q179">
            <v>93.75</v>
          </cell>
          <cell r="R179">
            <v>1640.625</v>
          </cell>
          <cell r="S179">
            <v>0</v>
          </cell>
          <cell r="T179">
            <v>7.5</v>
          </cell>
          <cell r="U179">
            <v>0</v>
          </cell>
          <cell r="V179">
            <v>0</v>
          </cell>
          <cell r="W179">
            <v>9.375</v>
          </cell>
          <cell r="X179">
            <v>0</v>
          </cell>
          <cell r="Y179">
            <v>8</v>
          </cell>
          <cell r="Z179">
            <v>97.5</v>
          </cell>
          <cell r="AA179">
            <v>780</v>
          </cell>
          <cell r="AB179">
            <v>0</v>
          </cell>
          <cell r="AC179">
            <v>126.75</v>
          </cell>
          <cell r="AD179">
            <v>0</v>
          </cell>
          <cell r="AE179">
            <v>0</v>
          </cell>
          <cell r="AF179">
            <v>12.675000000000001</v>
          </cell>
          <cell r="AG179">
            <v>0</v>
          </cell>
          <cell r="AH179">
            <v>0</v>
          </cell>
          <cell r="AI179">
            <v>9.75</v>
          </cell>
          <cell r="AJ179">
            <v>0</v>
          </cell>
          <cell r="AK179">
            <v>0</v>
          </cell>
          <cell r="AL179">
            <v>112.5</v>
          </cell>
          <cell r="AM179">
            <v>0</v>
          </cell>
          <cell r="AN179">
            <v>0</v>
          </cell>
          <cell r="AO179">
            <v>146.25</v>
          </cell>
          <cell r="AP179">
            <v>0</v>
          </cell>
          <cell r="AQ179">
            <v>0</v>
          </cell>
          <cell r="AR179">
            <v>11.25</v>
          </cell>
          <cell r="AS179">
            <v>0</v>
          </cell>
          <cell r="AT179">
            <v>0</v>
          </cell>
          <cell r="AU179">
            <v>97.5</v>
          </cell>
          <cell r="AV179">
            <v>0</v>
          </cell>
          <cell r="AW179">
            <v>0</v>
          </cell>
          <cell r="AX179">
            <v>126.75</v>
          </cell>
          <cell r="AY179">
            <v>0</v>
          </cell>
          <cell r="AZ179">
            <v>0</v>
          </cell>
          <cell r="BA179">
            <v>9.75</v>
          </cell>
          <cell r="BB179">
            <v>0</v>
          </cell>
          <cell r="BC179">
            <v>0</v>
          </cell>
          <cell r="BD179">
            <v>150</v>
          </cell>
          <cell r="BE179">
            <v>0</v>
          </cell>
          <cell r="BF179">
            <v>0</v>
          </cell>
          <cell r="BG179">
            <v>195</v>
          </cell>
          <cell r="BH179">
            <v>0</v>
          </cell>
          <cell r="BI179">
            <v>0</v>
          </cell>
          <cell r="BJ179">
            <v>15</v>
          </cell>
          <cell r="BK179">
            <v>0</v>
          </cell>
          <cell r="BL179">
            <v>8</v>
          </cell>
          <cell r="BM179">
            <v>75</v>
          </cell>
          <cell r="BN179">
            <v>600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10820.625</v>
          </cell>
        </row>
        <row r="180">
          <cell r="C180">
            <v>10876</v>
          </cell>
          <cell r="D180" t="str">
            <v>RAMOS, MARIE RACHIELLE DUMO</v>
          </cell>
          <cell r="E180" t="str">
            <v>METAL STAMPING</v>
          </cell>
          <cell r="F180" t="str">
            <v>PRODUCTION</v>
          </cell>
          <cell r="G180" t="str">
            <v>Operator</v>
          </cell>
          <cell r="H180" t="str">
            <v>DL</v>
          </cell>
          <cell r="I180">
            <v>96</v>
          </cell>
          <cell r="J180">
            <v>12</v>
          </cell>
          <cell r="K180">
            <v>600</v>
          </cell>
          <cell r="L180">
            <v>7200</v>
          </cell>
          <cell r="M180">
            <v>0</v>
          </cell>
          <cell r="N180">
            <v>1.25</v>
          </cell>
          <cell r="O180">
            <v>0</v>
          </cell>
          <cell r="P180">
            <v>20</v>
          </cell>
          <cell r="Q180">
            <v>93.75</v>
          </cell>
          <cell r="R180">
            <v>1875</v>
          </cell>
          <cell r="S180">
            <v>54</v>
          </cell>
          <cell r="T180">
            <v>7.5</v>
          </cell>
          <cell r="U180">
            <v>405</v>
          </cell>
          <cell r="V180">
            <v>16</v>
          </cell>
          <cell r="W180">
            <v>9.375</v>
          </cell>
          <cell r="X180">
            <v>150</v>
          </cell>
          <cell r="Y180">
            <v>0</v>
          </cell>
          <cell r="Z180">
            <v>97.5</v>
          </cell>
          <cell r="AA180">
            <v>0</v>
          </cell>
          <cell r="AB180">
            <v>0</v>
          </cell>
          <cell r="AC180">
            <v>126.75</v>
          </cell>
          <cell r="AD180">
            <v>0</v>
          </cell>
          <cell r="AE180">
            <v>0</v>
          </cell>
          <cell r="AF180">
            <v>12.675000000000001</v>
          </cell>
          <cell r="AG180">
            <v>0</v>
          </cell>
          <cell r="AH180">
            <v>0</v>
          </cell>
          <cell r="AI180">
            <v>9.75</v>
          </cell>
          <cell r="AJ180">
            <v>0</v>
          </cell>
          <cell r="AK180">
            <v>0</v>
          </cell>
          <cell r="AL180">
            <v>112.5</v>
          </cell>
          <cell r="AM180">
            <v>0</v>
          </cell>
          <cell r="AN180">
            <v>0</v>
          </cell>
          <cell r="AO180">
            <v>146.25</v>
          </cell>
          <cell r="AP180">
            <v>0</v>
          </cell>
          <cell r="AQ180">
            <v>0</v>
          </cell>
          <cell r="AR180">
            <v>11.25</v>
          </cell>
          <cell r="AS180">
            <v>0</v>
          </cell>
          <cell r="AT180">
            <v>0</v>
          </cell>
          <cell r="AU180">
            <v>97.5</v>
          </cell>
          <cell r="AV180">
            <v>0</v>
          </cell>
          <cell r="AW180">
            <v>0</v>
          </cell>
          <cell r="AX180">
            <v>126.75</v>
          </cell>
          <cell r="AY180">
            <v>0</v>
          </cell>
          <cell r="AZ180">
            <v>0</v>
          </cell>
          <cell r="BA180">
            <v>9.75</v>
          </cell>
          <cell r="BB180">
            <v>0</v>
          </cell>
          <cell r="BC180">
            <v>0</v>
          </cell>
          <cell r="BD180">
            <v>150</v>
          </cell>
          <cell r="BE180">
            <v>0</v>
          </cell>
          <cell r="BF180">
            <v>0</v>
          </cell>
          <cell r="BG180">
            <v>195</v>
          </cell>
          <cell r="BH180">
            <v>0</v>
          </cell>
          <cell r="BI180">
            <v>0</v>
          </cell>
          <cell r="BJ180">
            <v>15</v>
          </cell>
          <cell r="BK180">
            <v>0</v>
          </cell>
          <cell r="BL180">
            <v>8</v>
          </cell>
          <cell r="BM180">
            <v>75</v>
          </cell>
          <cell r="BN180">
            <v>600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10230</v>
          </cell>
        </row>
        <row r="181">
          <cell r="C181">
            <v>14372</v>
          </cell>
          <cell r="D181" t="str">
            <v>RAVADAVIA, JONALYN PALOYO</v>
          </cell>
          <cell r="E181" t="str">
            <v>METAL STAMPING</v>
          </cell>
          <cell r="F181" t="str">
            <v>PRODUCTION</v>
          </cell>
          <cell r="G181" t="str">
            <v>Operator</v>
          </cell>
          <cell r="H181" t="str">
            <v>IDL</v>
          </cell>
          <cell r="I181">
            <v>104</v>
          </cell>
          <cell r="J181">
            <v>13</v>
          </cell>
          <cell r="K181">
            <v>600</v>
          </cell>
          <cell r="L181">
            <v>7800</v>
          </cell>
          <cell r="M181">
            <v>0</v>
          </cell>
          <cell r="N181">
            <v>1.25</v>
          </cell>
          <cell r="O181">
            <v>0</v>
          </cell>
          <cell r="P181">
            <v>18</v>
          </cell>
          <cell r="Q181">
            <v>93.75</v>
          </cell>
          <cell r="R181">
            <v>1687.5</v>
          </cell>
          <cell r="S181">
            <v>24</v>
          </cell>
          <cell r="T181">
            <v>7.5</v>
          </cell>
          <cell r="U181">
            <v>180</v>
          </cell>
          <cell r="V181">
            <v>4</v>
          </cell>
          <cell r="W181">
            <v>9.375</v>
          </cell>
          <cell r="X181">
            <v>37.5</v>
          </cell>
          <cell r="Y181">
            <v>0</v>
          </cell>
          <cell r="Z181">
            <v>97.5</v>
          </cell>
          <cell r="AA181">
            <v>0</v>
          </cell>
          <cell r="AB181">
            <v>0</v>
          </cell>
          <cell r="AC181">
            <v>126.75</v>
          </cell>
          <cell r="AD181">
            <v>0</v>
          </cell>
          <cell r="AE181">
            <v>0</v>
          </cell>
          <cell r="AF181">
            <v>12.675000000000001</v>
          </cell>
          <cell r="AG181">
            <v>0</v>
          </cell>
          <cell r="AH181">
            <v>0</v>
          </cell>
          <cell r="AI181">
            <v>9.75</v>
          </cell>
          <cell r="AJ181">
            <v>0</v>
          </cell>
          <cell r="AK181">
            <v>0</v>
          </cell>
          <cell r="AL181">
            <v>112.5</v>
          </cell>
          <cell r="AM181">
            <v>0</v>
          </cell>
          <cell r="AN181">
            <v>0</v>
          </cell>
          <cell r="AO181">
            <v>146.25</v>
          </cell>
          <cell r="AP181">
            <v>0</v>
          </cell>
          <cell r="AQ181">
            <v>0</v>
          </cell>
          <cell r="AR181">
            <v>11.25</v>
          </cell>
          <cell r="AS181">
            <v>0</v>
          </cell>
          <cell r="AT181">
            <v>0</v>
          </cell>
          <cell r="AU181">
            <v>97.5</v>
          </cell>
          <cell r="AV181">
            <v>0</v>
          </cell>
          <cell r="AW181">
            <v>0</v>
          </cell>
          <cell r="AX181">
            <v>126.75</v>
          </cell>
          <cell r="AY181">
            <v>0</v>
          </cell>
          <cell r="AZ181">
            <v>0</v>
          </cell>
          <cell r="BA181">
            <v>9.75</v>
          </cell>
          <cell r="BB181">
            <v>0</v>
          </cell>
          <cell r="BC181">
            <v>0</v>
          </cell>
          <cell r="BD181">
            <v>150</v>
          </cell>
          <cell r="BE181">
            <v>0</v>
          </cell>
          <cell r="BF181">
            <v>0</v>
          </cell>
          <cell r="BG181">
            <v>195</v>
          </cell>
          <cell r="BH181">
            <v>0</v>
          </cell>
          <cell r="BI181">
            <v>0</v>
          </cell>
          <cell r="BJ181">
            <v>15</v>
          </cell>
          <cell r="BK181">
            <v>0</v>
          </cell>
          <cell r="BL181">
            <v>8</v>
          </cell>
          <cell r="BM181">
            <v>75</v>
          </cell>
          <cell r="BN181">
            <v>600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10305</v>
          </cell>
        </row>
        <row r="182">
          <cell r="C182">
            <v>14373</v>
          </cell>
          <cell r="D182" t="str">
            <v>RAYOS, BRYAN JAMES MANALO</v>
          </cell>
          <cell r="E182" t="str">
            <v>METAL STAMPING</v>
          </cell>
          <cell r="F182" t="str">
            <v>PRODUCTION</v>
          </cell>
          <cell r="G182" t="str">
            <v>Operator</v>
          </cell>
          <cell r="H182" t="str">
            <v>DL</v>
          </cell>
          <cell r="I182">
            <v>104</v>
          </cell>
          <cell r="J182">
            <v>13</v>
          </cell>
          <cell r="K182">
            <v>600</v>
          </cell>
          <cell r="L182">
            <v>7800</v>
          </cell>
          <cell r="M182">
            <v>15</v>
          </cell>
          <cell r="N182">
            <v>1.25</v>
          </cell>
          <cell r="O182">
            <v>-18.75</v>
          </cell>
          <cell r="P182">
            <v>20</v>
          </cell>
          <cell r="Q182">
            <v>93.75</v>
          </cell>
          <cell r="R182">
            <v>1875</v>
          </cell>
          <cell r="S182">
            <v>36</v>
          </cell>
          <cell r="T182">
            <v>7.5</v>
          </cell>
          <cell r="U182">
            <v>270</v>
          </cell>
          <cell r="V182">
            <v>8</v>
          </cell>
          <cell r="W182">
            <v>9.375</v>
          </cell>
          <cell r="X182">
            <v>75</v>
          </cell>
          <cell r="Y182">
            <v>8</v>
          </cell>
          <cell r="Z182">
            <v>97.5</v>
          </cell>
          <cell r="AA182">
            <v>780</v>
          </cell>
          <cell r="AB182">
            <v>0</v>
          </cell>
          <cell r="AC182">
            <v>126.75</v>
          </cell>
          <cell r="AD182">
            <v>0</v>
          </cell>
          <cell r="AE182">
            <v>0</v>
          </cell>
          <cell r="AF182">
            <v>12.675000000000001</v>
          </cell>
          <cell r="AG182">
            <v>0</v>
          </cell>
          <cell r="AH182">
            <v>0</v>
          </cell>
          <cell r="AI182">
            <v>9.75</v>
          </cell>
          <cell r="AJ182">
            <v>0</v>
          </cell>
          <cell r="AK182">
            <v>0</v>
          </cell>
          <cell r="AL182">
            <v>112.5</v>
          </cell>
          <cell r="AM182">
            <v>0</v>
          </cell>
          <cell r="AN182">
            <v>0</v>
          </cell>
          <cell r="AO182">
            <v>146.25</v>
          </cell>
          <cell r="AP182">
            <v>0</v>
          </cell>
          <cell r="AQ182">
            <v>0</v>
          </cell>
          <cell r="AR182">
            <v>11.25</v>
          </cell>
          <cell r="AS182">
            <v>0</v>
          </cell>
          <cell r="AT182">
            <v>0</v>
          </cell>
          <cell r="AU182">
            <v>97.5</v>
          </cell>
          <cell r="AV182">
            <v>0</v>
          </cell>
          <cell r="AW182">
            <v>0</v>
          </cell>
          <cell r="AX182">
            <v>126.75</v>
          </cell>
          <cell r="AY182">
            <v>0</v>
          </cell>
          <cell r="AZ182">
            <v>0</v>
          </cell>
          <cell r="BA182">
            <v>9.75</v>
          </cell>
          <cell r="BB182">
            <v>0</v>
          </cell>
          <cell r="BC182">
            <v>0</v>
          </cell>
          <cell r="BD182">
            <v>150</v>
          </cell>
          <cell r="BE182">
            <v>0</v>
          </cell>
          <cell r="BF182">
            <v>0</v>
          </cell>
          <cell r="BG182">
            <v>195</v>
          </cell>
          <cell r="BH182">
            <v>0</v>
          </cell>
          <cell r="BI182">
            <v>0</v>
          </cell>
          <cell r="BJ182">
            <v>15</v>
          </cell>
          <cell r="BK182">
            <v>0</v>
          </cell>
          <cell r="BL182">
            <v>8</v>
          </cell>
          <cell r="BM182">
            <v>75</v>
          </cell>
          <cell r="BN182">
            <v>600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11381.25</v>
          </cell>
        </row>
        <row r="183">
          <cell r="C183">
            <v>14375</v>
          </cell>
          <cell r="D183" t="str">
            <v>REGALADO, LUDGER BLADY CANLAS</v>
          </cell>
          <cell r="E183" t="str">
            <v>METAL STAMPING</v>
          </cell>
          <cell r="F183" t="str">
            <v>PRODUCTION</v>
          </cell>
          <cell r="G183" t="str">
            <v>Operator</v>
          </cell>
          <cell r="H183" t="str">
            <v>DL</v>
          </cell>
          <cell r="I183">
            <v>0</v>
          </cell>
          <cell r="J183">
            <v>0</v>
          </cell>
          <cell r="K183">
            <v>600</v>
          </cell>
          <cell r="L183">
            <v>0</v>
          </cell>
          <cell r="M183">
            <v>0</v>
          </cell>
          <cell r="N183">
            <v>1.25</v>
          </cell>
          <cell r="O183">
            <v>0</v>
          </cell>
          <cell r="P183">
            <v>0</v>
          </cell>
          <cell r="Q183">
            <v>93.75</v>
          </cell>
          <cell r="R183">
            <v>0</v>
          </cell>
          <cell r="S183">
            <v>0</v>
          </cell>
          <cell r="T183">
            <v>7.5</v>
          </cell>
          <cell r="U183">
            <v>0</v>
          </cell>
          <cell r="V183">
            <v>0</v>
          </cell>
          <cell r="W183">
            <v>9.375</v>
          </cell>
          <cell r="X183">
            <v>0</v>
          </cell>
          <cell r="Y183">
            <v>0</v>
          </cell>
          <cell r="Z183">
            <v>97.5</v>
          </cell>
          <cell r="AA183">
            <v>0</v>
          </cell>
          <cell r="AB183">
            <v>0</v>
          </cell>
          <cell r="AC183">
            <v>126.75</v>
          </cell>
          <cell r="AD183">
            <v>0</v>
          </cell>
          <cell r="AE183">
            <v>0</v>
          </cell>
          <cell r="AF183">
            <v>12.675000000000001</v>
          </cell>
          <cell r="AG183">
            <v>0</v>
          </cell>
          <cell r="AH183">
            <v>0</v>
          </cell>
          <cell r="AI183">
            <v>9.75</v>
          </cell>
          <cell r="AJ183">
            <v>0</v>
          </cell>
          <cell r="AK183">
            <v>0</v>
          </cell>
          <cell r="AL183">
            <v>112.5</v>
          </cell>
          <cell r="AM183">
            <v>0</v>
          </cell>
          <cell r="AN183">
            <v>0</v>
          </cell>
          <cell r="AO183">
            <v>146.25</v>
          </cell>
          <cell r="AP183">
            <v>0</v>
          </cell>
          <cell r="AQ183">
            <v>0</v>
          </cell>
          <cell r="AR183">
            <v>11.25</v>
          </cell>
          <cell r="AS183">
            <v>0</v>
          </cell>
          <cell r="AT183">
            <v>0</v>
          </cell>
          <cell r="AU183">
            <v>97.5</v>
          </cell>
          <cell r="AV183">
            <v>0</v>
          </cell>
          <cell r="AW183">
            <v>0</v>
          </cell>
          <cell r="AX183">
            <v>126.75</v>
          </cell>
          <cell r="AY183">
            <v>0</v>
          </cell>
          <cell r="AZ183">
            <v>0</v>
          </cell>
          <cell r="BA183">
            <v>9.75</v>
          </cell>
          <cell r="BB183">
            <v>0</v>
          </cell>
          <cell r="BC183">
            <v>0</v>
          </cell>
          <cell r="BD183">
            <v>150</v>
          </cell>
          <cell r="BE183">
            <v>0</v>
          </cell>
          <cell r="BF183">
            <v>0</v>
          </cell>
          <cell r="BG183">
            <v>195</v>
          </cell>
          <cell r="BH183">
            <v>0</v>
          </cell>
          <cell r="BI183">
            <v>0</v>
          </cell>
          <cell r="BJ183">
            <v>15</v>
          </cell>
          <cell r="BK183">
            <v>0</v>
          </cell>
          <cell r="BL183">
            <v>0</v>
          </cell>
          <cell r="BM183">
            <v>75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</row>
        <row r="184">
          <cell r="C184">
            <v>14377</v>
          </cell>
          <cell r="D184" t="str">
            <v>REGLOS , FE MANONGSONG</v>
          </cell>
          <cell r="E184" t="str">
            <v>METAL STAMPING</v>
          </cell>
          <cell r="F184" t="str">
            <v>PRODUCTION</v>
          </cell>
          <cell r="G184" t="str">
            <v>Operator</v>
          </cell>
          <cell r="H184" t="str">
            <v>DL</v>
          </cell>
          <cell r="I184">
            <v>0</v>
          </cell>
          <cell r="J184">
            <v>0</v>
          </cell>
          <cell r="K184">
            <v>600</v>
          </cell>
          <cell r="L184">
            <v>0</v>
          </cell>
          <cell r="M184">
            <v>0</v>
          </cell>
          <cell r="N184">
            <v>1.25</v>
          </cell>
          <cell r="O184">
            <v>0</v>
          </cell>
          <cell r="P184">
            <v>0</v>
          </cell>
          <cell r="Q184">
            <v>93.75</v>
          </cell>
          <cell r="R184">
            <v>0</v>
          </cell>
          <cell r="S184">
            <v>0</v>
          </cell>
          <cell r="T184">
            <v>7.5</v>
          </cell>
          <cell r="U184">
            <v>0</v>
          </cell>
          <cell r="V184">
            <v>0</v>
          </cell>
          <cell r="W184">
            <v>9.375</v>
          </cell>
          <cell r="X184">
            <v>0</v>
          </cell>
          <cell r="Y184">
            <v>0</v>
          </cell>
          <cell r="Z184">
            <v>97.5</v>
          </cell>
          <cell r="AA184">
            <v>0</v>
          </cell>
          <cell r="AB184">
            <v>0</v>
          </cell>
          <cell r="AC184">
            <v>126.75</v>
          </cell>
          <cell r="AD184">
            <v>0</v>
          </cell>
          <cell r="AE184">
            <v>0</v>
          </cell>
          <cell r="AF184">
            <v>12.675000000000001</v>
          </cell>
          <cell r="AG184">
            <v>0</v>
          </cell>
          <cell r="AH184">
            <v>0</v>
          </cell>
          <cell r="AI184">
            <v>9.75</v>
          </cell>
          <cell r="AJ184">
            <v>0</v>
          </cell>
          <cell r="AK184">
            <v>0</v>
          </cell>
          <cell r="AL184">
            <v>112.5</v>
          </cell>
          <cell r="AM184">
            <v>0</v>
          </cell>
          <cell r="AN184">
            <v>0</v>
          </cell>
          <cell r="AO184">
            <v>146.25</v>
          </cell>
          <cell r="AP184">
            <v>0</v>
          </cell>
          <cell r="AQ184">
            <v>0</v>
          </cell>
          <cell r="AR184">
            <v>11.25</v>
          </cell>
          <cell r="AS184">
            <v>0</v>
          </cell>
          <cell r="AT184">
            <v>0</v>
          </cell>
          <cell r="AU184">
            <v>97.5</v>
          </cell>
          <cell r="AV184">
            <v>0</v>
          </cell>
          <cell r="AW184">
            <v>0</v>
          </cell>
          <cell r="AX184">
            <v>126.75</v>
          </cell>
          <cell r="AY184">
            <v>0</v>
          </cell>
          <cell r="AZ184">
            <v>0</v>
          </cell>
          <cell r="BA184">
            <v>9.75</v>
          </cell>
          <cell r="BB184">
            <v>0</v>
          </cell>
          <cell r="BC184">
            <v>0</v>
          </cell>
          <cell r="BD184">
            <v>150</v>
          </cell>
          <cell r="BE184">
            <v>0</v>
          </cell>
          <cell r="BF184">
            <v>0</v>
          </cell>
          <cell r="BG184">
            <v>195</v>
          </cell>
          <cell r="BH184">
            <v>0</v>
          </cell>
          <cell r="BI184">
            <v>0</v>
          </cell>
          <cell r="BJ184">
            <v>15</v>
          </cell>
          <cell r="BK184">
            <v>0</v>
          </cell>
          <cell r="BL184">
            <v>0</v>
          </cell>
          <cell r="BM184">
            <v>75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</row>
        <row r="185">
          <cell r="C185">
            <v>3866</v>
          </cell>
          <cell r="D185" t="str">
            <v>REMENTILLA, JANICE LUNAR</v>
          </cell>
          <cell r="E185" t="str">
            <v>METAL STAMPING</v>
          </cell>
          <cell r="F185" t="str">
            <v>PRODUCTION</v>
          </cell>
          <cell r="G185" t="str">
            <v>Operator</v>
          </cell>
          <cell r="H185" t="str">
            <v>DL</v>
          </cell>
          <cell r="I185">
            <v>104</v>
          </cell>
          <cell r="J185">
            <v>13</v>
          </cell>
          <cell r="K185">
            <v>600</v>
          </cell>
          <cell r="L185">
            <v>7800</v>
          </cell>
          <cell r="M185">
            <v>0</v>
          </cell>
          <cell r="N185">
            <v>1.25</v>
          </cell>
          <cell r="O185">
            <v>0</v>
          </cell>
          <cell r="P185">
            <v>22</v>
          </cell>
          <cell r="Q185">
            <v>93.75</v>
          </cell>
          <cell r="R185">
            <v>2062.5</v>
          </cell>
          <cell r="S185">
            <v>24</v>
          </cell>
          <cell r="T185">
            <v>7.5</v>
          </cell>
          <cell r="U185">
            <v>180</v>
          </cell>
          <cell r="V185">
            <v>6</v>
          </cell>
          <cell r="W185">
            <v>9.375</v>
          </cell>
          <cell r="X185">
            <v>56.25</v>
          </cell>
          <cell r="Y185">
            <v>0</v>
          </cell>
          <cell r="Z185">
            <v>97.5</v>
          </cell>
          <cell r="AA185">
            <v>0</v>
          </cell>
          <cell r="AB185">
            <v>0</v>
          </cell>
          <cell r="AC185">
            <v>126.75</v>
          </cell>
          <cell r="AD185">
            <v>0</v>
          </cell>
          <cell r="AE185">
            <v>0</v>
          </cell>
          <cell r="AF185">
            <v>12.675000000000001</v>
          </cell>
          <cell r="AG185">
            <v>0</v>
          </cell>
          <cell r="AH185">
            <v>0</v>
          </cell>
          <cell r="AI185">
            <v>9.75</v>
          </cell>
          <cell r="AJ185">
            <v>0</v>
          </cell>
          <cell r="AK185">
            <v>0</v>
          </cell>
          <cell r="AL185">
            <v>112.5</v>
          </cell>
          <cell r="AM185">
            <v>0</v>
          </cell>
          <cell r="AN185">
            <v>0</v>
          </cell>
          <cell r="AO185">
            <v>146.25</v>
          </cell>
          <cell r="AP185">
            <v>0</v>
          </cell>
          <cell r="AQ185">
            <v>0</v>
          </cell>
          <cell r="AR185">
            <v>11.25</v>
          </cell>
          <cell r="AS185">
            <v>0</v>
          </cell>
          <cell r="AT185">
            <v>0</v>
          </cell>
          <cell r="AU185">
            <v>97.5</v>
          </cell>
          <cell r="AV185">
            <v>0</v>
          </cell>
          <cell r="AW185">
            <v>0</v>
          </cell>
          <cell r="AX185">
            <v>126.75</v>
          </cell>
          <cell r="AY185">
            <v>0</v>
          </cell>
          <cell r="AZ185">
            <v>0</v>
          </cell>
          <cell r="BA185">
            <v>9.75</v>
          </cell>
          <cell r="BB185">
            <v>0</v>
          </cell>
          <cell r="BC185">
            <v>0</v>
          </cell>
          <cell r="BD185">
            <v>150</v>
          </cell>
          <cell r="BE185">
            <v>0</v>
          </cell>
          <cell r="BF185">
            <v>0</v>
          </cell>
          <cell r="BG185">
            <v>195</v>
          </cell>
          <cell r="BH185">
            <v>0</v>
          </cell>
          <cell r="BI185">
            <v>0</v>
          </cell>
          <cell r="BJ185">
            <v>15</v>
          </cell>
          <cell r="BK185">
            <v>0</v>
          </cell>
          <cell r="BL185">
            <v>8</v>
          </cell>
          <cell r="BM185">
            <v>75</v>
          </cell>
          <cell r="BN185">
            <v>600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10698.75</v>
          </cell>
        </row>
        <row r="186">
          <cell r="C186">
            <v>14383</v>
          </cell>
          <cell r="D186" t="str">
            <v>RICAFRENTE, ALDION VALERIO</v>
          </cell>
          <cell r="E186" t="str">
            <v>METAL STAMPING</v>
          </cell>
          <cell r="F186" t="str">
            <v>PRODUCTION</v>
          </cell>
          <cell r="G186" t="str">
            <v>Operator</v>
          </cell>
          <cell r="H186" t="str">
            <v>DL</v>
          </cell>
          <cell r="I186">
            <v>104</v>
          </cell>
          <cell r="J186">
            <v>13</v>
          </cell>
          <cell r="K186">
            <v>600</v>
          </cell>
          <cell r="L186">
            <v>7800</v>
          </cell>
          <cell r="M186">
            <v>5</v>
          </cell>
          <cell r="N186">
            <v>1.25</v>
          </cell>
          <cell r="O186">
            <v>-6.25</v>
          </cell>
          <cell r="P186">
            <v>81.5</v>
          </cell>
          <cell r="Q186">
            <v>93.75</v>
          </cell>
          <cell r="R186">
            <v>7640.625</v>
          </cell>
          <cell r="S186">
            <v>0</v>
          </cell>
          <cell r="T186">
            <v>7.5</v>
          </cell>
          <cell r="U186">
            <v>0</v>
          </cell>
          <cell r="V186">
            <v>21</v>
          </cell>
          <cell r="W186">
            <v>9.375</v>
          </cell>
          <cell r="X186">
            <v>196.875</v>
          </cell>
          <cell r="Y186">
            <v>8</v>
          </cell>
          <cell r="Z186">
            <v>97.5</v>
          </cell>
          <cell r="AA186">
            <v>780</v>
          </cell>
          <cell r="AB186">
            <v>0</v>
          </cell>
          <cell r="AC186">
            <v>126.75</v>
          </cell>
          <cell r="AD186">
            <v>0</v>
          </cell>
          <cell r="AE186">
            <v>0</v>
          </cell>
          <cell r="AF186">
            <v>12.675000000000001</v>
          </cell>
          <cell r="AG186">
            <v>0</v>
          </cell>
          <cell r="AH186">
            <v>0</v>
          </cell>
          <cell r="AI186">
            <v>9.75</v>
          </cell>
          <cell r="AJ186">
            <v>0</v>
          </cell>
          <cell r="AK186">
            <v>0</v>
          </cell>
          <cell r="AL186">
            <v>112.5</v>
          </cell>
          <cell r="AM186">
            <v>0</v>
          </cell>
          <cell r="AN186">
            <v>0</v>
          </cell>
          <cell r="AO186">
            <v>146.25</v>
          </cell>
          <cell r="AP186">
            <v>0</v>
          </cell>
          <cell r="AQ186">
            <v>0</v>
          </cell>
          <cell r="AR186">
            <v>11.25</v>
          </cell>
          <cell r="AS186">
            <v>0</v>
          </cell>
          <cell r="AT186">
            <v>0</v>
          </cell>
          <cell r="AU186">
            <v>97.5</v>
          </cell>
          <cell r="AV186">
            <v>0</v>
          </cell>
          <cell r="AW186">
            <v>0</v>
          </cell>
          <cell r="AX186">
            <v>126.75</v>
          </cell>
          <cell r="AY186">
            <v>0</v>
          </cell>
          <cell r="AZ186">
            <v>0</v>
          </cell>
          <cell r="BA186">
            <v>9.75</v>
          </cell>
          <cell r="BB186">
            <v>0</v>
          </cell>
          <cell r="BC186">
            <v>8</v>
          </cell>
          <cell r="BD186">
            <v>150</v>
          </cell>
          <cell r="BE186">
            <v>1200</v>
          </cell>
          <cell r="BF186">
            <v>0</v>
          </cell>
          <cell r="BG186">
            <v>195</v>
          </cell>
          <cell r="BH186">
            <v>0</v>
          </cell>
          <cell r="BI186">
            <v>0</v>
          </cell>
          <cell r="BJ186">
            <v>15</v>
          </cell>
          <cell r="BK186">
            <v>0</v>
          </cell>
          <cell r="BL186">
            <v>0</v>
          </cell>
          <cell r="BM186">
            <v>75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17611.25</v>
          </cell>
        </row>
        <row r="187">
          <cell r="C187">
            <v>32248</v>
          </cell>
          <cell r="D187" t="str">
            <v>RICAMATA,MARK JUN SAGUID</v>
          </cell>
          <cell r="E187" t="str">
            <v>METAL STAMPING</v>
          </cell>
          <cell r="F187" t="str">
            <v>PRODUCTION</v>
          </cell>
          <cell r="G187" t="str">
            <v>Operator</v>
          </cell>
          <cell r="H187" t="str">
            <v>DL</v>
          </cell>
          <cell r="I187">
            <v>8</v>
          </cell>
          <cell r="J187">
            <v>1</v>
          </cell>
          <cell r="K187">
            <v>600</v>
          </cell>
          <cell r="L187">
            <v>600</v>
          </cell>
          <cell r="M187">
            <v>0</v>
          </cell>
          <cell r="N187">
            <v>1.25</v>
          </cell>
          <cell r="O187">
            <v>0</v>
          </cell>
          <cell r="P187">
            <v>2</v>
          </cell>
          <cell r="Q187">
            <v>93.75</v>
          </cell>
          <cell r="R187">
            <v>187.5</v>
          </cell>
          <cell r="S187">
            <v>6</v>
          </cell>
          <cell r="T187">
            <v>7.5</v>
          </cell>
          <cell r="U187">
            <v>45</v>
          </cell>
          <cell r="V187">
            <v>2</v>
          </cell>
          <cell r="W187">
            <v>9.375</v>
          </cell>
          <cell r="X187">
            <v>18.75</v>
          </cell>
          <cell r="Y187">
            <v>0</v>
          </cell>
          <cell r="Z187">
            <v>97.5</v>
          </cell>
          <cell r="AA187">
            <v>0</v>
          </cell>
          <cell r="AB187">
            <v>0</v>
          </cell>
          <cell r="AC187">
            <v>126.75</v>
          </cell>
          <cell r="AD187">
            <v>0</v>
          </cell>
          <cell r="AE187">
            <v>0</v>
          </cell>
          <cell r="AF187">
            <v>12.675000000000001</v>
          </cell>
          <cell r="AG187">
            <v>0</v>
          </cell>
          <cell r="AH187">
            <v>0</v>
          </cell>
          <cell r="AI187">
            <v>9.75</v>
          </cell>
          <cell r="AJ187">
            <v>0</v>
          </cell>
          <cell r="AK187">
            <v>0</v>
          </cell>
          <cell r="AL187">
            <v>112.5</v>
          </cell>
          <cell r="AM187">
            <v>0</v>
          </cell>
          <cell r="AN187">
            <v>0</v>
          </cell>
          <cell r="AO187">
            <v>146.25</v>
          </cell>
          <cell r="AP187">
            <v>0</v>
          </cell>
          <cell r="AQ187">
            <v>0</v>
          </cell>
          <cell r="AR187">
            <v>11.25</v>
          </cell>
          <cell r="AS187">
            <v>0</v>
          </cell>
          <cell r="AT187">
            <v>0</v>
          </cell>
          <cell r="AU187">
            <v>97.5</v>
          </cell>
          <cell r="AV187">
            <v>0</v>
          </cell>
          <cell r="AW187">
            <v>0</v>
          </cell>
          <cell r="AX187">
            <v>126.75</v>
          </cell>
          <cell r="AY187">
            <v>0</v>
          </cell>
          <cell r="AZ187">
            <v>0</v>
          </cell>
          <cell r="BA187">
            <v>9.75</v>
          </cell>
          <cell r="BB187">
            <v>0</v>
          </cell>
          <cell r="BC187">
            <v>0</v>
          </cell>
          <cell r="BD187">
            <v>150</v>
          </cell>
          <cell r="BE187">
            <v>0</v>
          </cell>
          <cell r="BF187">
            <v>0</v>
          </cell>
          <cell r="BG187">
            <v>195</v>
          </cell>
          <cell r="BH187">
            <v>0</v>
          </cell>
          <cell r="BI187">
            <v>0</v>
          </cell>
          <cell r="BJ187">
            <v>15</v>
          </cell>
          <cell r="BK187">
            <v>0</v>
          </cell>
          <cell r="BL187">
            <v>0</v>
          </cell>
          <cell r="BM187">
            <v>75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851.25</v>
          </cell>
        </row>
        <row r="188">
          <cell r="C188">
            <v>32499</v>
          </cell>
          <cell r="D188" t="str">
            <v>RIVERA, RAZEL</v>
          </cell>
          <cell r="E188" t="str">
            <v>METAL STAMPING</v>
          </cell>
          <cell r="F188" t="str">
            <v>PRODUCTION</v>
          </cell>
          <cell r="G188" t="str">
            <v>Operator</v>
          </cell>
          <cell r="H188" t="str">
            <v>DL</v>
          </cell>
          <cell r="I188">
            <v>56</v>
          </cell>
          <cell r="J188">
            <v>7</v>
          </cell>
          <cell r="K188">
            <v>600</v>
          </cell>
          <cell r="L188">
            <v>4200</v>
          </cell>
          <cell r="M188">
            <v>0</v>
          </cell>
          <cell r="N188">
            <v>1.25</v>
          </cell>
          <cell r="O188">
            <v>0</v>
          </cell>
          <cell r="P188">
            <v>12</v>
          </cell>
          <cell r="Q188">
            <v>93.75</v>
          </cell>
          <cell r="R188">
            <v>1125</v>
          </cell>
          <cell r="S188">
            <v>42</v>
          </cell>
          <cell r="T188">
            <v>7.5</v>
          </cell>
          <cell r="U188">
            <v>315</v>
          </cell>
          <cell r="V188">
            <v>12</v>
          </cell>
          <cell r="W188">
            <v>9.375</v>
          </cell>
          <cell r="X188">
            <v>112.5</v>
          </cell>
          <cell r="Y188">
            <v>0</v>
          </cell>
          <cell r="Z188">
            <v>97.5</v>
          </cell>
          <cell r="AA188">
            <v>0</v>
          </cell>
          <cell r="AB188">
            <v>0</v>
          </cell>
          <cell r="AC188">
            <v>126.75</v>
          </cell>
          <cell r="AD188">
            <v>0</v>
          </cell>
          <cell r="AE188">
            <v>0</v>
          </cell>
          <cell r="AF188">
            <v>12.675000000000001</v>
          </cell>
          <cell r="AG188">
            <v>0</v>
          </cell>
          <cell r="AH188">
            <v>0</v>
          </cell>
          <cell r="AI188">
            <v>9.75</v>
          </cell>
          <cell r="AJ188">
            <v>0</v>
          </cell>
          <cell r="AK188">
            <v>0</v>
          </cell>
          <cell r="AL188">
            <v>112.5</v>
          </cell>
          <cell r="AM188">
            <v>0</v>
          </cell>
          <cell r="AN188">
            <v>0</v>
          </cell>
          <cell r="AO188">
            <v>146.25</v>
          </cell>
          <cell r="AP188">
            <v>0</v>
          </cell>
          <cell r="AQ188">
            <v>0</v>
          </cell>
          <cell r="AR188">
            <v>11.25</v>
          </cell>
          <cell r="AS188">
            <v>0</v>
          </cell>
          <cell r="AT188">
            <v>0</v>
          </cell>
          <cell r="AU188">
            <v>97.5</v>
          </cell>
          <cell r="AV188">
            <v>0</v>
          </cell>
          <cell r="AW188">
            <v>0</v>
          </cell>
          <cell r="AX188">
            <v>126.75</v>
          </cell>
          <cell r="AY188">
            <v>0</v>
          </cell>
          <cell r="AZ188">
            <v>0</v>
          </cell>
          <cell r="BA188">
            <v>9.75</v>
          </cell>
          <cell r="BB188">
            <v>0</v>
          </cell>
          <cell r="BC188">
            <v>0</v>
          </cell>
          <cell r="BD188">
            <v>150</v>
          </cell>
          <cell r="BE188">
            <v>0</v>
          </cell>
          <cell r="BF188">
            <v>0</v>
          </cell>
          <cell r="BG188">
            <v>195</v>
          </cell>
          <cell r="BH188">
            <v>0</v>
          </cell>
          <cell r="BI188">
            <v>0</v>
          </cell>
          <cell r="BJ188">
            <v>15</v>
          </cell>
          <cell r="BK188">
            <v>0</v>
          </cell>
          <cell r="BL188">
            <v>0</v>
          </cell>
          <cell r="BM188">
            <v>75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5752.5</v>
          </cell>
        </row>
        <row r="189">
          <cell r="C189">
            <v>14106</v>
          </cell>
          <cell r="D189" t="str">
            <v>RIVERA, SAMUEL AGUSTIN</v>
          </cell>
          <cell r="E189" t="str">
            <v>METAL STAMPING</v>
          </cell>
          <cell r="F189" t="str">
            <v>PRODUCTION</v>
          </cell>
          <cell r="G189" t="str">
            <v>Operator</v>
          </cell>
          <cell r="H189" t="str">
            <v>IDL</v>
          </cell>
          <cell r="I189">
            <v>0</v>
          </cell>
          <cell r="J189">
            <v>0</v>
          </cell>
          <cell r="K189">
            <v>600</v>
          </cell>
          <cell r="L189">
            <v>0</v>
          </cell>
          <cell r="M189">
            <v>0</v>
          </cell>
          <cell r="N189">
            <v>1.25</v>
          </cell>
          <cell r="O189">
            <v>0</v>
          </cell>
          <cell r="P189">
            <v>0</v>
          </cell>
          <cell r="Q189">
            <v>93.75</v>
          </cell>
          <cell r="R189">
            <v>0</v>
          </cell>
          <cell r="S189">
            <v>0</v>
          </cell>
          <cell r="T189">
            <v>7.5</v>
          </cell>
          <cell r="U189">
            <v>0</v>
          </cell>
          <cell r="V189">
            <v>0</v>
          </cell>
          <cell r="W189">
            <v>9.375</v>
          </cell>
          <cell r="X189">
            <v>0</v>
          </cell>
          <cell r="Y189">
            <v>0</v>
          </cell>
          <cell r="Z189">
            <v>97.5</v>
          </cell>
          <cell r="AA189">
            <v>0</v>
          </cell>
          <cell r="AB189">
            <v>0</v>
          </cell>
          <cell r="AC189">
            <v>126.75</v>
          </cell>
          <cell r="AD189">
            <v>0</v>
          </cell>
          <cell r="AE189">
            <v>0</v>
          </cell>
          <cell r="AF189">
            <v>12.675000000000001</v>
          </cell>
          <cell r="AG189">
            <v>0</v>
          </cell>
          <cell r="AH189">
            <v>0</v>
          </cell>
          <cell r="AI189">
            <v>9.75</v>
          </cell>
          <cell r="AJ189">
            <v>0</v>
          </cell>
          <cell r="AK189">
            <v>0</v>
          </cell>
          <cell r="AL189">
            <v>112.5</v>
          </cell>
          <cell r="AM189">
            <v>0</v>
          </cell>
          <cell r="AN189">
            <v>0</v>
          </cell>
          <cell r="AO189">
            <v>146.25</v>
          </cell>
          <cell r="AP189">
            <v>0</v>
          </cell>
          <cell r="AQ189">
            <v>0</v>
          </cell>
          <cell r="AR189">
            <v>11.25</v>
          </cell>
          <cell r="AS189">
            <v>0</v>
          </cell>
          <cell r="AT189">
            <v>0</v>
          </cell>
          <cell r="AU189">
            <v>97.5</v>
          </cell>
          <cell r="AV189">
            <v>0</v>
          </cell>
          <cell r="AW189">
            <v>0</v>
          </cell>
          <cell r="AX189">
            <v>126.75</v>
          </cell>
          <cell r="AY189">
            <v>0</v>
          </cell>
          <cell r="AZ189">
            <v>0</v>
          </cell>
          <cell r="BA189">
            <v>9.75</v>
          </cell>
          <cell r="BB189">
            <v>0</v>
          </cell>
          <cell r="BC189">
            <v>0</v>
          </cell>
          <cell r="BD189">
            <v>150</v>
          </cell>
          <cell r="BE189">
            <v>0</v>
          </cell>
          <cell r="BF189">
            <v>0</v>
          </cell>
          <cell r="BG189">
            <v>195</v>
          </cell>
          <cell r="BH189">
            <v>0</v>
          </cell>
          <cell r="BI189">
            <v>0</v>
          </cell>
          <cell r="BJ189">
            <v>15</v>
          </cell>
          <cell r="BK189">
            <v>0</v>
          </cell>
          <cell r="BL189">
            <v>0</v>
          </cell>
          <cell r="BM189">
            <v>75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</row>
        <row r="190">
          <cell r="C190">
            <v>13312</v>
          </cell>
          <cell r="D190" t="str">
            <v>RIVERO, RONALD STA. ANA</v>
          </cell>
          <cell r="E190" t="str">
            <v>METAL STAMPING</v>
          </cell>
          <cell r="F190" t="str">
            <v>PRODUCTION</v>
          </cell>
          <cell r="G190" t="str">
            <v>Operator</v>
          </cell>
          <cell r="H190" t="str">
            <v>IDL</v>
          </cell>
          <cell r="I190">
            <v>96</v>
          </cell>
          <cell r="J190">
            <v>12</v>
          </cell>
          <cell r="K190">
            <v>600</v>
          </cell>
          <cell r="L190">
            <v>7200</v>
          </cell>
          <cell r="M190">
            <v>0</v>
          </cell>
          <cell r="N190">
            <v>1.25</v>
          </cell>
          <cell r="O190">
            <v>0</v>
          </cell>
          <cell r="P190">
            <v>10</v>
          </cell>
          <cell r="Q190">
            <v>93.75</v>
          </cell>
          <cell r="R190">
            <v>937.5</v>
          </cell>
          <cell r="S190">
            <v>48</v>
          </cell>
          <cell r="T190">
            <v>7.5</v>
          </cell>
          <cell r="U190">
            <v>360</v>
          </cell>
          <cell r="V190">
            <v>10</v>
          </cell>
          <cell r="W190">
            <v>9.375</v>
          </cell>
          <cell r="X190">
            <v>93.75</v>
          </cell>
          <cell r="Y190">
            <v>8</v>
          </cell>
          <cell r="Z190">
            <v>97.5</v>
          </cell>
          <cell r="AA190">
            <v>780</v>
          </cell>
          <cell r="AB190">
            <v>0</v>
          </cell>
          <cell r="AC190">
            <v>126.75</v>
          </cell>
          <cell r="AD190">
            <v>0</v>
          </cell>
          <cell r="AE190">
            <v>0</v>
          </cell>
          <cell r="AF190">
            <v>12.675000000000001</v>
          </cell>
          <cell r="AG190">
            <v>0</v>
          </cell>
          <cell r="AH190">
            <v>0</v>
          </cell>
          <cell r="AI190">
            <v>9.75</v>
          </cell>
          <cell r="AJ190">
            <v>0</v>
          </cell>
          <cell r="AK190">
            <v>0</v>
          </cell>
          <cell r="AL190">
            <v>112.5</v>
          </cell>
          <cell r="AM190">
            <v>0</v>
          </cell>
          <cell r="AN190">
            <v>0</v>
          </cell>
          <cell r="AO190">
            <v>146.25</v>
          </cell>
          <cell r="AP190">
            <v>0</v>
          </cell>
          <cell r="AQ190">
            <v>0</v>
          </cell>
          <cell r="AR190">
            <v>11.25</v>
          </cell>
          <cell r="AS190">
            <v>0</v>
          </cell>
          <cell r="AT190">
            <v>0</v>
          </cell>
          <cell r="AU190">
            <v>97.5</v>
          </cell>
          <cell r="AV190">
            <v>0</v>
          </cell>
          <cell r="AW190">
            <v>0</v>
          </cell>
          <cell r="AX190">
            <v>126.75</v>
          </cell>
          <cell r="AY190">
            <v>0</v>
          </cell>
          <cell r="AZ190">
            <v>0</v>
          </cell>
          <cell r="BA190">
            <v>9.75</v>
          </cell>
          <cell r="BB190">
            <v>0</v>
          </cell>
          <cell r="BC190">
            <v>0</v>
          </cell>
          <cell r="BD190">
            <v>150</v>
          </cell>
          <cell r="BE190">
            <v>0</v>
          </cell>
          <cell r="BF190">
            <v>0</v>
          </cell>
          <cell r="BG190">
            <v>195</v>
          </cell>
          <cell r="BH190">
            <v>0</v>
          </cell>
          <cell r="BI190">
            <v>0</v>
          </cell>
          <cell r="BJ190">
            <v>15</v>
          </cell>
          <cell r="BK190">
            <v>0</v>
          </cell>
          <cell r="BL190">
            <v>8</v>
          </cell>
          <cell r="BM190">
            <v>75</v>
          </cell>
          <cell r="BN190">
            <v>600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9971.25</v>
          </cell>
        </row>
        <row r="191">
          <cell r="C191">
            <v>11865</v>
          </cell>
          <cell r="D191" t="str">
            <v>ROA, JAYSON DELOS SANTOS</v>
          </cell>
          <cell r="E191" t="str">
            <v>METAL STAMPING</v>
          </cell>
          <cell r="F191" t="str">
            <v>PRODUCTION</v>
          </cell>
          <cell r="G191" t="str">
            <v>Operator</v>
          </cell>
          <cell r="H191" t="str">
            <v>DL</v>
          </cell>
          <cell r="I191">
            <v>84</v>
          </cell>
          <cell r="J191">
            <v>10.5</v>
          </cell>
          <cell r="K191">
            <v>600</v>
          </cell>
          <cell r="L191">
            <v>6300</v>
          </cell>
          <cell r="M191">
            <v>0</v>
          </cell>
          <cell r="N191">
            <v>1.25</v>
          </cell>
          <cell r="O191">
            <v>0</v>
          </cell>
          <cell r="P191">
            <v>16</v>
          </cell>
          <cell r="Q191">
            <v>93.75</v>
          </cell>
          <cell r="R191">
            <v>1500</v>
          </cell>
          <cell r="S191">
            <v>18</v>
          </cell>
          <cell r="T191">
            <v>7.5</v>
          </cell>
          <cell r="U191">
            <v>135</v>
          </cell>
          <cell r="V191">
            <v>4</v>
          </cell>
          <cell r="W191">
            <v>9.375</v>
          </cell>
          <cell r="X191">
            <v>37.5</v>
          </cell>
          <cell r="Y191">
            <v>0</v>
          </cell>
          <cell r="Z191">
            <v>97.5</v>
          </cell>
          <cell r="AA191">
            <v>0</v>
          </cell>
          <cell r="AB191">
            <v>0</v>
          </cell>
          <cell r="AC191">
            <v>126.75</v>
          </cell>
          <cell r="AD191">
            <v>0</v>
          </cell>
          <cell r="AE191">
            <v>0</v>
          </cell>
          <cell r="AF191">
            <v>12.675000000000001</v>
          </cell>
          <cell r="AG191">
            <v>0</v>
          </cell>
          <cell r="AH191">
            <v>0</v>
          </cell>
          <cell r="AI191">
            <v>9.75</v>
          </cell>
          <cell r="AJ191">
            <v>0</v>
          </cell>
          <cell r="AK191">
            <v>0</v>
          </cell>
          <cell r="AL191">
            <v>112.5</v>
          </cell>
          <cell r="AM191">
            <v>0</v>
          </cell>
          <cell r="AN191">
            <v>0</v>
          </cell>
          <cell r="AO191">
            <v>146.25</v>
          </cell>
          <cell r="AP191">
            <v>0</v>
          </cell>
          <cell r="AQ191">
            <v>0</v>
          </cell>
          <cell r="AR191">
            <v>11.25</v>
          </cell>
          <cell r="AS191">
            <v>0</v>
          </cell>
          <cell r="AT191">
            <v>0</v>
          </cell>
          <cell r="AU191">
            <v>97.5</v>
          </cell>
          <cell r="AV191">
            <v>0</v>
          </cell>
          <cell r="AW191">
            <v>0</v>
          </cell>
          <cell r="AX191">
            <v>126.75</v>
          </cell>
          <cell r="AY191">
            <v>0</v>
          </cell>
          <cell r="AZ191">
            <v>0</v>
          </cell>
          <cell r="BA191">
            <v>9.75</v>
          </cell>
          <cell r="BB191">
            <v>0</v>
          </cell>
          <cell r="BC191">
            <v>0</v>
          </cell>
          <cell r="BD191">
            <v>150</v>
          </cell>
          <cell r="BE191">
            <v>0</v>
          </cell>
          <cell r="BF191">
            <v>0</v>
          </cell>
          <cell r="BG191">
            <v>195</v>
          </cell>
          <cell r="BH191">
            <v>0</v>
          </cell>
          <cell r="BI191">
            <v>0</v>
          </cell>
          <cell r="BJ191">
            <v>15</v>
          </cell>
          <cell r="BK191">
            <v>0</v>
          </cell>
          <cell r="BL191">
            <v>8</v>
          </cell>
          <cell r="BM191">
            <v>75</v>
          </cell>
          <cell r="BN191">
            <v>600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8572.5</v>
          </cell>
        </row>
        <row r="192">
          <cell r="C192">
            <v>14761</v>
          </cell>
          <cell r="D192" t="str">
            <v>ROBLES, HAISEN JOY MANALO</v>
          </cell>
          <cell r="E192" t="str">
            <v>METAL STAMPING</v>
          </cell>
          <cell r="F192" t="str">
            <v>PRODUCTION</v>
          </cell>
          <cell r="G192" t="str">
            <v>Operator</v>
          </cell>
          <cell r="H192" t="str">
            <v>DL</v>
          </cell>
          <cell r="I192">
            <v>104</v>
          </cell>
          <cell r="J192">
            <v>13</v>
          </cell>
          <cell r="K192">
            <v>600</v>
          </cell>
          <cell r="L192">
            <v>7800</v>
          </cell>
          <cell r="M192">
            <v>0</v>
          </cell>
          <cell r="N192">
            <v>1.25</v>
          </cell>
          <cell r="O192">
            <v>0</v>
          </cell>
          <cell r="P192">
            <v>20</v>
          </cell>
          <cell r="Q192">
            <v>93.75</v>
          </cell>
          <cell r="R192">
            <v>1875</v>
          </cell>
          <cell r="S192">
            <v>24</v>
          </cell>
          <cell r="T192">
            <v>7.5</v>
          </cell>
          <cell r="U192">
            <v>180</v>
          </cell>
          <cell r="V192">
            <v>6</v>
          </cell>
          <cell r="W192">
            <v>9.375</v>
          </cell>
          <cell r="X192">
            <v>56.25</v>
          </cell>
          <cell r="Y192">
            <v>0</v>
          </cell>
          <cell r="Z192">
            <v>97.5</v>
          </cell>
          <cell r="AA192">
            <v>0</v>
          </cell>
          <cell r="AB192">
            <v>0</v>
          </cell>
          <cell r="AC192">
            <v>126.75</v>
          </cell>
          <cell r="AD192">
            <v>0</v>
          </cell>
          <cell r="AE192">
            <v>0</v>
          </cell>
          <cell r="AF192">
            <v>12.675000000000001</v>
          </cell>
          <cell r="AG192">
            <v>0</v>
          </cell>
          <cell r="AH192">
            <v>0</v>
          </cell>
          <cell r="AI192">
            <v>9.75</v>
          </cell>
          <cell r="AJ192">
            <v>0</v>
          </cell>
          <cell r="AK192">
            <v>0</v>
          </cell>
          <cell r="AL192">
            <v>112.5</v>
          </cell>
          <cell r="AM192">
            <v>0</v>
          </cell>
          <cell r="AN192">
            <v>0</v>
          </cell>
          <cell r="AO192">
            <v>146.25</v>
          </cell>
          <cell r="AP192">
            <v>0</v>
          </cell>
          <cell r="AQ192">
            <v>0</v>
          </cell>
          <cell r="AR192">
            <v>11.25</v>
          </cell>
          <cell r="AS192">
            <v>0</v>
          </cell>
          <cell r="AT192">
            <v>0</v>
          </cell>
          <cell r="AU192">
            <v>97.5</v>
          </cell>
          <cell r="AV192">
            <v>0</v>
          </cell>
          <cell r="AW192">
            <v>0</v>
          </cell>
          <cell r="AX192">
            <v>126.75</v>
          </cell>
          <cell r="AY192">
            <v>0</v>
          </cell>
          <cell r="AZ192">
            <v>0</v>
          </cell>
          <cell r="BA192">
            <v>9.75</v>
          </cell>
          <cell r="BB192">
            <v>0</v>
          </cell>
          <cell r="BC192">
            <v>0</v>
          </cell>
          <cell r="BD192">
            <v>150</v>
          </cell>
          <cell r="BE192">
            <v>0</v>
          </cell>
          <cell r="BF192">
            <v>0</v>
          </cell>
          <cell r="BG192">
            <v>195</v>
          </cell>
          <cell r="BH192">
            <v>0</v>
          </cell>
          <cell r="BI192">
            <v>0</v>
          </cell>
          <cell r="BJ192">
            <v>15</v>
          </cell>
          <cell r="BK192">
            <v>0</v>
          </cell>
          <cell r="BL192">
            <v>8</v>
          </cell>
          <cell r="BM192">
            <v>75</v>
          </cell>
          <cell r="BN192">
            <v>600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10511.25</v>
          </cell>
        </row>
        <row r="193">
          <cell r="C193">
            <v>14386</v>
          </cell>
          <cell r="D193" t="str">
            <v>ROBLES, HENLY MAE MANALO</v>
          </cell>
          <cell r="E193" t="str">
            <v>METAL STAMPING</v>
          </cell>
          <cell r="F193" t="str">
            <v>PRODUCTION</v>
          </cell>
          <cell r="G193" t="str">
            <v>Operator</v>
          </cell>
          <cell r="H193" t="str">
            <v>DL</v>
          </cell>
          <cell r="I193">
            <v>104</v>
          </cell>
          <cell r="J193">
            <v>13</v>
          </cell>
          <cell r="K193">
            <v>600</v>
          </cell>
          <cell r="L193">
            <v>7800</v>
          </cell>
          <cell r="M193">
            <v>0</v>
          </cell>
          <cell r="N193">
            <v>1.25</v>
          </cell>
          <cell r="O193">
            <v>0</v>
          </cell>
          <cell r="P193">
            <v>16</v>
          </cell>
          <cell r="Q193">
            <v>93.75</v>
          </cell>
          <cell r="R193">
            <v>1500</v>
          </cell>
          <cell r="S193">
            <v>54</v>
          </cell>
          <cell r="T193">
            <v>7.5</v>
          </cell>
          <cell r="U193">
            <v>405</v>
          </cell>
          <cell r="V193">
            <v>12</v>
          </cell>
          <cell r="W193">
            <v>9.375</v>
          </cell>
          <cell r="X193">
            <v>112.5</v>
          </cell>
          <cell r="Y193">
            <v>0</v>
          </cell>
          <cell r="Z193">
            <v>97.5</v>
          </cell>
          <cell r="AA193">
            <v>0</v>
          </cell>
          <cell r="AB193">
            <v>0</v>
          </cell>
          <cell r="AC193">
            <v>126.75</v>
          </cell>
          <cell r="AD193">
            <v>0</v>
          </cell>
          <cell r="AE193">
            <v>0</v>
          </cell>
          <cell r="AF193">
            <v>12.675000000000001</v>
          </cell>
          <cell r="AG193">
            <v>0</v>
          </cell>
          <cell r="AH193">
            <v>0</v>
          </cell>
          <cell r="AI193">
            <v>9.75</v>
          </cell>
          <cell r="AJ193">
            <v>0</v>
          </cell>
          <cell r="AK193">
            <v>0</v>
          </cell>
          <cell r="AL193">
            <v>112.5</v>
          </cell>
          <cell r="AM193">
            <v>0</v>
          </cell>
          <cell r="AN193">
            <v>0</v>
          </cell>
          <cell r="AO193">
            <v>146.25</v>
          </cell>
          <cell r="AP193">
            <v>0</v>
          </cell>
          <cell r="AQ193">
            <v>0</v>
          </cell>
          <cell r="AR193">
            <v>11.25</v>
          </cell>
          <cell r="AS193">
            <v>0</v>
          </cell>
          <cell r="AT193">
            <v>0</v>
          </cell>
          <cell r="AU193">
            <v>97.5</v>
          </cell>
          <cell r="AV193">
            <v>0</v>
          </cell>
          <cell r="AW193">
            <v>0</v>
          </cell>
          <cell r="AX193">
            <v>126.75</v>
          </cell>
          <cell r="AY193">
            <v>0</v>
          </cell>
          <cell r="AZ193">
            <v>0</v>
          </cell>
          <cell r="BA193">
            <v>9.75</v>
          </cell>
          <cell r="BB193">
            <v>0</v>
          </cell>
          <cell r="BC193">
            <v>0</v>
          </cell>
          <cell r="BD193">
            <v>150</v>
          </cell>
          <cell r="BE193">
            <v>0</v>
          </cell>
          <cell r="BF193">
            <v>0</v>
          </cell>
          <cell r="BG193">
            <v>195</v>
          </cell>
          <cell r="BH193">
            <v>0</v>
          </cell>
          <cell r="BI193">
            <v>0</v>
          </cell>
          <cell r="BJ193">
            <v>15</v>
          </cell>
          <cell r="BK193">
            <v>0</v>
          </cell>
          <cell r="BL193">
            <v>8</v>
          </cell>
          <cell r="BM193">
            <v>75</v>
          </cell>
          <cell r="BN193">
            <v>600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10417.5</v>
          </cell>
        </row>
        <row r="194">
          <cell r="C194">
            <v>32441</v>
          </cell>
          <cell r="D194" t="str">
            <v>RODRIGUEZ, JOH N REVEN FETALCORIN</v>
          </cell>
          <cell r="E194" t="str">
            <v>METAL STAMPING</v>
          </cell>
          <cell r="F194" t="str">
            <v>PRODUCTION</v>
          </cell>
          <cell r="G194" t="str">
            <v>Operator</v>
          </cell>
          <cell r="H194" t="str">
            <v>IDL</v>
          </cell>
          <cell r="I194">
            <v>96</v>
          </cell>
          <cell r="J194">
            <v>12</v>
          </cell>
          <cell r="K194">
            <v>600</v>
          </cell>
          <cell r="L194">
            <v>7200</v>
          </cell>
          <cell r="M194">
            <v>1</v>
          </cell>
          <cell r="N194">
            <v>1.25</v>
          </cell>
          <cell r="O194">
            <v>-1.25</v>
          </cell>
          <cell r="P194">
            <v>12</v>
          </cell>
          <cell r="Q194">
            <v>93.75</v>
          </cell>
          <cell r="R194">
            <v>1125</v>
          </cell>
          <cell r="S194">
            <v>48</v>
          </cell>
          <cell r="T194">
            <v>7.5</v>
          </cell>
          <cell r="U194">
            <v>360</v>
          </cell>
          <cell r="V194">
            <v>6</v>
          </cell>
          <cell r="W194">
            <v>9.375</v>
          </cell>
          <cell r="X194">
            <v>56.25</v>
          </cell>
          <cell r="Y194">
            <v>0</v>
          </cell>
          <cell r="Z194">
            <v>97.5</v>
          </cell>
          <cell r="AA194">
            <v>0</v>
          </cell>
          <cell r="AB194">
            <v>0</v>
          </cell>
          <cell r="AC194">
            <v>126.75</v>
          </cell>
          <cell r="AD194">
            <v>0</v>
          </cell>
          <cell r="AE194">
            <v>0</v>
          </cell>
          <cell r="AF194">
            <v>12.675000000000001</v>
          </cell>
          <cell r="AG194">
            <v>0</v>
          </cell>
          <cell r="AH194">
            <v>0</v>
          </cell>
          <cell r="AI194">
            <v>9.75</v>
          </cell>
          <cell r="AJ194">
            <v>0</v>
          </cell>
          <cell r="AK194">
            <v>0</v>
          </cell>
          <cell r="AL194">
            <v>112.5</v>
          </cell>
          <cell r="AM194">
            <v>0</v>
          </cell>
          <cell r="AN194">
            <v>0</v>
          </cell>
          <cell r="AO194">
            <v>146.25</v>
          </cell>
          <cell r="AP194">
            <v>0</v>
          </cell>
          <cell r="AQ194">
            <v>0</v>
          </cell>
          <cell r="AR194">
            <v>11.25</v>
          </cell>
          <cell r="AS194">
            <v>0</v>
          </cell>
          <cell r="AT194">
            <v>0</v>
          </cell>
          <cell r="AU194">
            <v>97.5</v>
          </cell>
          <cell r="AV194">
            <v>0</v>
          </cell>
          <cell r="AW194">
            <v>0</v>
          </cell>
          <cell r="AX194">
            <v>126.75</v>
          </cell>
          <cell r="AY194">
            <v>0</v>
          </cell>
          <cell r="AZ194">
            <v>0</v>
          </cell>
          <cell r="BA194">
            <v>9.75</v>
          </cell>
          <cell r="BB194">
            <v>0</v>
          </cell>
          <cell r="BC194">
            <v>0</v>
          </cell>
          <cell r="BD194">
            <v>150</v>
          </cell>
          <cell r="BE194">
            <v>0</v>
          </cell>
          <cell r="BF194">
            <v>0</v>
          </cell>
          <cell r="BG194">
            <v>195</v>
          </cell>
          <cell r="BH194">
            <v>0</v>
          </cell>
          <cell r="BI194">
            <v>0</v>
          </cell>
          <cell r="BJ194">
            <v>15</v>
          </cell>
          <cell r="BK194">
            <v>0</v>
          </cell>
          <cell r="BL194">
            <v>8</v>
          </cell>
          <cell r="BM194">
            <v>75</v>
          </cell>
          <cell r="BN194">
            <v>600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9340</v>
          </cell>
        </row>
        <row r="195">
          <cell r="C195">
            <v>32442</v>
          </cell>
          <cell r="D195" t="str">
            <v>ROLDAN, RAMUEL JOBETH MERCADO</v>
          </cell>
          <cell r="E195" t="str">
            <v>METAL STAMPING</v>
          </cell>
          <cell r="F195" t="str">
            <v>PRODUCTION</v>
          </cell>
          <cell r="G195" t="str">
            <v>Operator</v>
          </cell>
          <cell r="H195" t="str">
            <v>IDL</v>
          </cell>
          <cell r="I195">
            <v>80</v>
          </cell>
          <cell r="J195">
            <v>10</v>
          </cell>
          <cell r="K195">
            <v>600</v>
          </cell>
          <cell r="L195">
            <v>6000</v>
          </cell>
          <cell r="M195">
            <v>0</v>
          </cell>
          <cell r="N195">
            <v>1.25</v>
          </cell>
          <cell r="O195">
            <v>0</v>
          </cell>
          <cell r="P195">
            <v>14</v>
          </cell>
          <cell r="Q195">
            <v>93.75</v>
          </cell>
          <cell r="R195">
            <v>1312.5</v>
          </cell>
          <cell r="S195">
            <v>0</v>
          </cell>
          <cell r="T195">
            <v>7.5</v>
          </cell>
          <cell r="U195">
            <v>0</v>
          </cell>
          <cell r="V195">
            <v>0</v>
          </cell>
          <cell r="W195">
            <v>9.375</v>
          </cell>
          <cell r="X195">
            <v>0</v>
          </cell>
          <cell r="Y195">
            <v>0</v>
          </cell>
          <cell r="Z195">
            <v>97.5</v>
          </cell>
          <cell r="AA195">
            <v>0</v>
          </cell>
          <cell r="AB195">
            <v>0</v>
          </cell>
          <cell r="AC195">
            <v>126.75</v>
          </cell>
          <cell r="AD195">
            <v>0</v>
          </cell>
          <cell r="AE195">
            <v>0</v>
          </cell>
          <cell r="AF195">
            <v>12.675000000000001</v>
          </cell>
          <cell r="AG195">
            <v>0</v>
          </cell>
          <cell r="AH195">
            <v>0</v>
          </cell>
          <cell r="AI195">
            <v>9.75</v>
          </cell>
          <cell r="AJ195">
            <v>0</v>
          </cell>
          <cell r="AK195">
            <v>0</v>
          </cell>
          <cell r="AL195">
            <v>112.5</v>
          </cell>
          <cell r="AM195">
            <v>0</v>
          </cell>
          <cell r="AN195">
            <v>0</v>
          </cell>
          <cell r="AO195">
            <v>146.25</v>
          </cell>
          <cell r="AP195">
            <v>0</v>
          </cell>
          <cell r="AQ195">
            <v>0</v>
          </cell>
          <cell r="AR195">
            <v>11.25</v>
          </cell>
          <cell r="AS195">
            <v>0</v>
          </cell>
          <cell r="AT195">
            <v>0</v>
          </cell>
          <cell r="AU195">
            <v>97.5</v>
          </cell>
          <cell r="AV195">
            <v>0</v>
          </cell>
          <cell r="AW195">
            <v>0</v>
          </cell>
          <cell r="AX195">
            <v>126.75</v>
          </cell>
          <cell r="AY195">
            <v>0</v>
          </cell>
          <cell r="AZ195">
            <v>0</v>
          </cell>
          <cell r="BA195">
            <v>9.75</v>
          </cell>
          <cell r="BB195">
            <v>0</v>
          </cell>
          <cell r="BC195">
            <v>0</v>
          </cell>
          <cell r="BD195">
            <v>150</v>
          </cell>
          <cell r="BE195">
            <v>0</v>
          </cell>
          <cell r="BF195">
            <v>0</v>
          </cell>
          <cell r="BG195">
            <v>195</v>
          </cell>
          <cell r="BH195">
            <v>0</v>
          </cell>
          <cell r="BI195">
            <v>0</v>
          </cell>
          <cell r="BJ195">
            <v>15</v>
          </cell>
          <cell r="BK195">
            <v>0</v>
          </cell>
          <cell r="BL195">
            <v>8</v>
          </cell>
          <cell r="BM195">
            <v>75</v>
          </cell>
          <cell r="BN195">
            <v>600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7912.5</v>
          </cell>
        </row>
        <row r="196">
          <cell r="C196">
            <v>11990</v>
          </cell>
          <cell r="D196" t="str">
            <v>ROSARIO, KENNETH CUIZON</v>
          </cell>
          <cell r="E196" t="str">
            <v>METAL STAMPING</v>
          </cell>
          <cell r="F196" t="str">
            <v>PRODUCTION</v>
          </cell>
          <cell r="G196" t="str">
            <v>Operator</v>
          </cell>
          <cell r="H196" t="str">
            <v>DL</v>
          </cell>
          <cell r="I196">
            <v>94</v>
          </cell>
          <cell r="J196">
            <v>11.75</v>
          </cell>
          <cell r="K196">
            <v>600</v>
          </cell>
          <cell r="L196">
            <v>7050</v>
          </cell>
          <cell r="M196">
            <v>33</v>
          </cell>
          <cell r="N196">
            <v>1.25</v>
          </cell>
          <cell r="O196">
            <v>-41.25</v>
          </cell>
          <cell r="P196">
            <v>16</v>
          </cell>
          <cell r="Q196">
            <v>93.75</v>
          </cell>
          <cell r="R196">
            <v>1500</v>
          </cell>
          <cell r="S196">
            <v>42</v>
          </cell>
          <cell r="T196">
            <v>7.5</v>
          </cell>
          <cell r="U196">
            <v>315</v>
          </cell>
          <cell r="V196">
            <v>12</v>
          </cell>
          <cell r="W196">
            <v>9.375</v>
          </cell>
          <cell r="X196">
            <v>112.5</v>
          </cell>
          <cell r="Y196">
            <v>0</v>
          </cell>
          <cell r="Z196">
            <v>97.5</v>
          </cell>
          <cell r="AA196">
            <v>0</v>
          </cell>
          <cell r="AB196">
            <v>0</v>
          </cell>
          <cell r="AC196">
            <v>126.75</v>
          </cell>
          <cell r="AD196">
            <v>0</v>
          </cell>
          <cell r="AE196">
            <v>0</v>
          </cell>
          <cell r="AF196">
            <v>12.675000000000001</v>
          </cell>
          <cell r="AG196">
            <v>0</v>
          </cell>
          <cell r="AH196">
            <v>0</v>
          </cell>
          <cell r="AI196">
            <v>9.75</v>
          </cell>
          <cell r="AJ196">
            <v>0</v>
          </cell>
          <cell r="AK196">
            <v>0</v>
          </cell>
          <cell r="AL196">
            <v>112.5</v>
          </cell>
          <cell r="AM196">
            <v>0</v>
          </cell>
          <cell r="AN196">
            <v>0</v>
          </cell>
          <cell r="AO196">
            <v>146.25</v>
          </cell>
          <cell r="AP196">
            <v>0</v>
          </cell>
          <cell r="AQ196">
            <v>0</v>
          </cell>
          <cell r="AR196">
            <v>11.25</v>
          </cell>
          <cell r="AS196">
            <v>0</v>
          </cell>
          <cell r="AT196">
            <v>0</v>
          </cell>
          <cell r="AU196">
            <v>97.5</v>
          </cell>
          <cell r="AV196">
            <v>0</v>
          </cell>
          <cell r="AW196">
            <v>0</v>
          </cell>
          <cell r="AX196">
            <v>126.75</v>
          </cell>
          <cell r="AY196">
            <v>0</v>
          </cell>
          <cell r="AZ196">
            <v>0</v>
          </cell>
          <cell r="BA196">
            <v>9.75</v>
          </cell>
          <cell r="BB196">
            <v>0</v>
          </cell>
          <cell r="BC196">
            <v>0</v>
          </cell>
          <cell r="BD196">
            <v>150</v>
          </cell>
          <cell r="BE196">
            <v>0</v>
          </cell>
          <cell r="BF196">
            <v>0</v>
          </cell>
          <cell r="BG196">
            <v>195</v>
          </cell>
          <cell r="BH196">
            <v>0</v>
          </cell>
          <cell r="BI196">
            <v>0</v>
          </cell>
          <cell r="BJ196">
            <v>15</v>
          </cell>
          <cell r="BK196">
            <v>0</v>
          </cell>
          <cell r="BL196">
            <v>8</v>
          </cell>
          <cell r="BM196">
            <v>75</v>
          </cell>
          <cell r="BN196">
            <v>600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9536.25</v>
          </cell>
        </row>
        <row r="197">
          <cell r="C197">
            <v>14555</v>
          </cell>
          <cell r="D197" t="str">
            <v>SALUMBIDES, LUIGI LAZO</v>
          </cell>
          <cell r="E197" t="str">
            <v>METAL STAMPING</v>
          </cell>
          <cell r="F197" t="str">
            <v>PRODUCTION</v>
          </cell>
          <cell r="G197" t="str">
            <v>Operator</v>
          </cell>
          <cell r="H197" t="str">
            <v>IDL</v>
          </cell>
          <cell r="I197">
            <v>104</v>
          </cell>
          <cell r="J197">
            <v>13</v>
          </cell>
          <cell r="K197">
            <v>600</v>
          </cell>
          <cell r="L197">
            <v>7800</v>
          </cell>
          <cell r="M197">
            <v>0</v>
          </cell>
          <cell r="N197">
            <v>1.25</v>
          </cell>
          <cell r="O197">
            <v>0</v>
          </cell>
          <cell r="P197">
            <v>18</v>
          </cell>
          <cell r="Q197">
            <v>93.75</v>
          </cell>
          <cell r="R197">
            <v>1687.5</v>
          </cell>
          <cell r="S197">
            <v>24</v>
          </cell>
          <cell r="T197">
            <v>7.5</v>
          </cell>
          <cell r="U197">
            <v>180</v>
          </cell>
          <cell r="V197">
            <v>4</v>
          </cell>
          <cell r="W197">
            <v>9.375</v>
          </cell>
          <cell r="X197">
            <v>37.5</v>
          </cell>
          <cell r="Y197">
            <v>0</v>
          </cell>
          <cell r="Z197">
            <v>97.5</v>
          </cell>
          <cell r="AA197">
            <v>0</v>
          </cell>
          <cell r="AB197">
            <v>0</v>
          </cell>
          <cell r="AC197">
            <v>126.75</v>
          </cell>
          <cell r="AD197">
            <v>0</v>
          </cell>
          <cell r="AE197">
            <v>0</v>
          </cell>
          <cell r="AF197">
            <v>12.675000000000001</v>
          </cell>
          <cell r="AG197">
            <v>0</v>
          </cell>
          <cell r="AH197">
            <v>0</v>
          </cell>
          <cell r="AI197">
            <v>9.75</v>
          </cell>
          <cell r="AJ197">
            <v>0</v>
          </cell>
          <cell r="AK197">
            <v>0</v>
          </cell>
          <cell r="AL197">
            <v>112.5</v>
          </cell>
          <cell r="AM197">
            <v>0</v>
          </cell>
          <cell r="AN197">
            <v>0</v>
          </cell>
          <cell r="AO197">
            <v>146.25</v>
          </cell>
          <cell r="AP197">
            <v>0</v>
          </cell>
          <cell r="AQ197">
            <v>0</v>
          </cell>
          <cell r="AR197">
            <v>11.25</v>
          </cell>
          <cell r="AS197">
            <v>0</v>
          </cell>
          <cell r="AT197">
            <v>0</v>
          </cell>
          <cell r="AU197">
            <v>97.5</v>
          </cell>
          <cell r="AV197">
            <v>0</v>
          </cell>
          <cell r="AW197">
            <v>0</v>
          </cell>
          <cell r="AX197">
            <v>126.75</v>
          </cell>
          <cell r="AY197">
            <v>0</v>
          </cell>
          <cell r="AZ197">
            <v>0</v>
          </cell>
          <cell r="BA197">
            <v>9.75</v>
          </cell>
          <cell r="BB197">
            <v>0</v>
          </cell>
          <cell r="BC197">
            <v>0</v>
          </cell>
          <cell r="BD197">
            <v>150</v>
          </cell>
          <cell r="BE197">
            <v>0</v>
          </cell>
          <cell r="BF197">
            <v>0</v>
          </cell>
          <cell r="BG197">
            <v>195</v>
          </cell>
          <cell r="BH197">
            <v>0</v>
          </cell>
          <cell r="BI197">
            <v>0</v>
          </cell>
          <cell r="BJ197">
            <v>15</v>
          </cell>
          <cell r="BK197">
            <v>0</v>
          </cell>
          <cell r="BL197">
            <v>8</v>
          </cell>
          <cell r="BM197">
            <v>75</v>
          </cell>
          <cell r="BN197">
            <v>600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10305</v>
          </cell>
        </row>
        <row r="198">
          <cell r="C198">
            <v>32395</v>
          </cell>
          <cell r="D198" t="str">
            <v>SANCHEZ,EMIL JOHN CAPIN</v>
          </cell>
          <cell r="E198" t="str">
            <v>METAL STAMPING</v>
          </cell>
          <cell r="F198" t="str">
            <v>PRODUCTION</v>
          </cell>
          <cell r="G198" t="str">
            <v>Operator</v>
          </cell>
          <cell r="H198" t="str">
            <v>IDL</v>
          </cell>
          <cell r="I198">
            <v>104</v>
          </cell>
          <cell r="J198">
            <v>13</v>
          </cell>
          <cell r="K198">
            <v>600</v>
          </cell>
          <cell r="L198">
            <v>7800</v>
          </cell>
          <cell r="M198">
            <v>43</v>
          </cell>
          <cell r="N198">
            <v>1.25</v>
          </cell>
          <cell r="O198">
            <v>-53.75</v>
          </cell>
          <cell r="P198">
            <v>20</v>
          </cell>
          <cell r="Q198">
            <v>93.75</v>
          </cell>
          <cell r="R198">
            <v>1875</v>
          </cell>
          <cell r="S198">
            <v>54</v>
          </cell>
          <cell r="T198">
            <v>7.5</v>
          </cell>
          <cell r="U198">
            <v>405</v>
          </cell>
          <cell r="V198">
            <v>14</v>
          </cell>
          <cell r="W198">
            <v>9.375</v>
          </cell>
          <cell r="X198">
            <v>131.25</v>
          </cell>
          <cell r="Y198">
            <v>0</v>
          </cell>
          <cell r="Z198">
            <v>97.5</v>
          </cell>
          <cell r="AA198">
            <v>0</v>
          </cell>
          <cell r="AB198">
            <v>0</v>
          </cell>
          <cell r="AC198">
            <v>126.75</v>
          </cell>
          <cell r="AD198">
            <v>0</v>
          </cell>
          <cell r="AE198">
            <v>0</v>
          </cell>
          <cell r="AF198">
            <v>12.675000000000001</v>
          </cell>
          <cell r="AG198">
            <v>0</v>
          </cell>
          <cell r="AH198">
            <v>0</v>
          </cell>
          <cell r="AI198">
            <v>9.75</v>
          </cell>
          <cell r="AJ198">
            <v>0</v>
          </cell>
          <cell r="AK198">
            <v>0</v>
          </cell>
          <cell r="AL198">
            <v>112.5</v>
          </cell>
          <cell r="AM198">
            <v>0</v>
          </cell>
          <cell r="AN198">
            <v>0</v>
          </cell>
          <cell r="AO198">
            <v>146.25</v>
          </cell>
          <cell r="AP198">
            <v>0</v>
          </cell>
          <cell r="AQ198">
            <v>0</v>
          </cell>
          <cell r="AR198">
            <v>11.25</v>
          </cell>
          <cell r="AS198">
            <v>0</v>
          </cell>
          <cell r="AT198">
            <v>0</v>
          </cell>
          <cell r="AU198">
            <v>97.5</v>
          </cell>
          <cell r="AV198">
            <v>0</v>
          </cell>
          <cell r="AW198">
            <v>0</v>
          </cell>
          <cell r="AX198">
            <v>126.75</v>
          </cell>
          <cell r="AY198">
            <v>0</v>
          </cell>
          <cell r="AZ198">
            <v>0</v>
          </cell>
          <cell r="BA198">
            <v>9.75</v>
          </cell>
          <cell r="BB198">
            <v>0</v>
          </cell>
          <cell r="BC198">
            <v>0</v>
          </cell>
          <cell r="BD198">
            <v>150</v>
          </cell>
          <cell r="BE198">
            <v>0</v>
          </cell>
          <cell r="BF198">
            <v>0</v>
          </cell>
          <cell r="BG198">
            <v>195</v>
          </cell>
          <cell r="BH198">
            <v>0</v>
          </cell>
          <cell r="BI198">
            <v>0</v>
          </cell>
          <cell r="BJ198">
            <v>15</v>
          </cell>
          <cell r="BK198">
            <v>0</v>
          </cell>
          <cell r="BL198">
            <v>8</v>
          </cell>
          <cell r="BM198">
            <v>75</v>
          </cell>
          <cell r="BN198">
            <v>600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10757.5</v>
          </cell>
        </row>
        <row r="199">
          <cell r="C199">
            <v>14396</v>
          </cell>
          <cell r="D199" t="str">
            <v>SAPALLO, MARJORIE RAMIREZ</v>
          </cell>
          <cell r="E199" t="str">
            <v>METAL STAMPING</v>
          </cell>
          <cell r="F199" t="str">
            <v>PRODUCTION</v>
          </cell>
          <cell r="G199" t="str">
            <v>Operator</v>
          </cell>
          <cell r="H199" t="str">
            <v>IDL</v>
          </cell>
          <cell r="I199">
            <v>104</v>
          </cell>
          <cell r="J199">
            <v>13</v>
          </cell>
          <cell r="K199">
            <v>600</v>
          </cell>
          <cell r="L199">
            <v>7800</v>
          </cell>
          <cell r="M199">
            <v>0</v>
          </cell>
          <cell r="N199">
            <v>1.25</v>
          </cell>
          <cell r="O199">
            <v>0</v>
          </cell>
          <cell r="P199">
            <v>16</v>
          </cell>
          <cell r="Q199">
            <v>93.75</v>
          </cell>
          <cell r="R199">
            <v>1500</v>
          </cell>
          <cell r="S199">
            <v>0</v>
          </cell>
          <cell r="T199">
            <v>7.5</v>
          </cell>
          <cell r="U199">
            <v>0</v>
          </cell>
          <cell r="V199">
            <v>0</v>
          </cell>
          <cell r="W199">
            <v>9.375</v>
          </cell>
          <cell r="X199">
            <v>0</v>
          </cell>
          <cell r="Y199">
            <v>8</v>
          </cell>
          <cell r="Z199">
            <v>97.5</v>
          </cell>
          <cell r="AA199">
            <v>780</v>
          </cell>
          <cell r="AB199">
            <v>0</v>
          </cell>
          <cell r="AC199">
            <v>126.75</v>
          </cell>
          <cell r="AD199">
            <v>0</v>
          </cell>
          <cell r="AE199">
            <v>0</v>
          </cell>
          <cell r="AF199">
            <v>12.675000000000001</v>
          </cell>
          <cell r="AG199">
            <v>0</v>
          </cell>
          <cell r="AH199">
            <v>0</v>
          </cell>
          <cell r="AI199">
            <v>9.75</v>
          </cell>
          <cell r="AJ199">
            <v>0</v>
          </cell>
          <cell r="AK199">
            <v>0</v>
          </cell>
          <cell r="AL199">
            <v>112.5</v>
          </cell>
          <cell r="AM199">
            <v>0</v>
          </cell>
          <cell r="AN199">
            <v>0</v>
          </cell>
          <cell r="AO199">
            <v>146.25</v>
          </cell>
          <cell r="AP199">
            <v>0</v>
          </cell>
          <cell r="AQ199">
            <v>0</v>
          </cell>
          <cell r="AR199">
            <v>11.25</v>
          </cell>
          <cell r="AS199">
            <v>0</v>
          </cell>
          <cell r="AT199">
            <v>0</v>
          </cell>
          <cell r="AU199">
            <v>97.5</v>
          </cell>
          <cell r="AV199">
            <v>0</v>
          </cell>
          <cell r="AW199">
            <v>0</v>
          </cell>
          <cell r="AX199">
            <v>126.75</v>
          </cell>
          <cell r="AY199">
            <v>0</v>
          </cell>
          <cell r="AZ199">
            <v>0</v>
          </cell>
          <cell r="BA199">
            <v>9.75</v>
          </cell>
          <cell r="BB199">
            <v>0</v>
          </cell>
          <cell r="BC199">
            <v>0</v>
          </cell>
          <cell r="BD199">
            <v>150</v>
          </cell>
          <cell r="BE199">
            <v>0</v>
          </cell>
          <cell r="BF199">
            <v>0</v>
          </cell>
          <cell r="BG199">
            <v>195</v>
          </cell>
          <cell r="BH199">
            <v>0</v>
          </cell>
          <cell r="BI199">
            <v>0</v>
          </cell>
          <cell r="BJ199">
            <v>15</v>
          </cell>
          <cell r="BK199">
            <v>0</v>
          </cell>
          <cell r="BL199">
            <v>8</v>
          </cell>
          <cell r="BM199">
            <v>75</v>
          </cell>
          <cell r="BN199">
            <v>600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10680</v>
          </cell>
        </row>
        <row r="200">
          <cell r="C200">
            <v>11562</v>
          </cell>
          <cell r="D200" t="str">
            <v>SAPATERO, SHARWIN M.</v>
          </cell>
          <cell r="E200" t="str">
            <v>METAL STAMPING</v>
          </cell>
          <cell r="F200" t="str">
            <v>PRODUCTION</v>
          </cell>
          <cell r="G200" t="str">
            <v>Operator</v>
          </cell>
          <cell r="H200" t="str">
            <v>IDL</v>
          </cell>
          <cell r="I200">
            <v>98</v>
          </cell>
          <cell r="J200">
            <v>12.25</v>
          </cell>
          <cell r="K200">
            <v>600</v>
          </cell>
          <cell r="L200">
            <v>7350</v>
          </cell>
          <cell r="M200">
            <v>0</v>
          </cell>
          <cell r="N200">
            <v>1.25</v>
          </cell>
          <cell r="O200">
            <v>0</v>
          </cell>
          <cell r="P200">
            <v>6</v>
          </cell>
          <cell r="Q200">
            <v>93.75</v>
          </cell>
          <cell r="R200">
            <v>562.5</v>
          </cell>
          <cell r="S200">
            <v>0</v>
          </cell>
          <cell r="T200">
            <v>7.5</v>
          </cell>
          <cell r="U200">
            <v>0</v>
          </cell>
          <cell r="V200">
            <v>0</v>
          </cell>
          <cell r="W200">
            <v>9.375</v>
          </cell>
          <cell r="X200">
            <v>0</v>
          </cell>
          <cell r="Y200">
            <v>0</v>
          </cell>
          <cell r="Z200">
            <v>97.5</v>
          </cell>
          <cell r="AA200">
            <v>0</v>
          </cell>
          <cell r="AB200">
            <v>0</v>
          </cell>
          <cell r="AC200">
            <v>126.75</v>
          </cell>
          <cell r="AD200">
            <v>0</v>
          </cell>
          <cell r="AE200">
            <v>0</v>
          </cell>
          <cell r="AF200">
            <v>12.675000000000001</v>
          </cell>
          <cell r="AG200">
            <v>0</v>
          </cell>
          <cell r="AH200">
            <v>0</v>
          </cell>
          <cell r="AI200">
            <v>9.75</v>
          </cell>
          <cell r="AJ200">
            <v>0</v>
          </cell>
          <cell r="AK200">
            <v>0</v>
          </cell>
          <cell r="AL200">
            <v>112.5</v>
          </cell>
          <cell r="AM200">
            <v>0</v>
          </cell>
          <cell r="AN200">
            <v>0</v>
          </cell>
          <cell r="AO200">
            <v>146.25</v>
          </cell>
          <cell r="AP200">
            <v>0</v>
          </cell>
          <cell r="AQ200">
            <v>0</v>
          </cell>
          <cell r="AR200">
            <v>11.25</v>
          </cell>
          <cell r="AS200">
            <v>0</v>
          </cell>
          <cell r="AT200">
            <v>0</v>
          </cell>
          <cell r="AU200">
            <v>97.5</v>
          </cell>
          <cell r="AV200">
            <v>0</v>
          </cell>
          <cell r="AW200">
            <v>0</v>
          </cell>
          <cell r="AX200">
            <v>126.75</v>
          </cell>
          <cell r="AY200">
            <v>0</v>
          </cell>
          <cell r="AZ200">
            <v>0</v>
          </cell>
          <cell r="BA200">
            <v>9.75</v>
          </cell>
          <cell r="BB200">
            <v>0</v>
          </cell>
          <cell r="BC200">
            <v>0</v>
          </cell>
          <cell r="BD200">
            <v>150</v>
          </cell>
          <cell r="BE200">
            <v>0</v>
          </cell>
          <cell r="BF200">
            <v>0</v>
          </cell>
          <cell r="BG200">
            <v>195</v>
          </cell>
          <cell r="BH200">
            <v>0</v>
          </cell>
          <cell r="BI200">
            <v>0</v>
          </cell>
          <cell r="BJ200">
            <v>15</v>
          </cell>
          <cell r="BK200">
            <v>0</v>
          </cell>
          <cell r="BL200">
            <v>8</v>
          </cell>
          <cell r="BM200">
            <v>75</v>
          </cell>
          <cell r="BN200">
            <v>600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8512.5</v>
          </cell>
        </row>
        <row r="201">
          <cell r="C201">
            <v>14563</v>
          </cell>
          <cell r="D201" t="str">
            <v>SARALDE, JOHN MARK ASALDO</v>
          </cell>
          <cell r="E201" t="str">
            <v>METAL STAMPING</v>
          </cell>
          <cell r="F201" t="str">
            <v>PRODUCTION</v>
          </cell>
          <cell r="G201" t="str">
            <v>Operator</v>
          </cell>
          <cell r="H201" t="str">
            <v>DL</v>
          </cell>
          <cell r="I201">
            <v>104</v>
          </cell>
          <cell r="J201">
            <v>13</v>
          </cell>
          <cell r="K201">
            <v>600</v>
          </cell>
          <cell r="L201">
            <v>7800</v>
          </cell>
          <cell r="M201">
            <v>7</v>
          </cell>
          <cell r="N201">
            <v>1.25</v>
          </cell>
          <cell r="O201">
            <v>-8.75</v>
          </cell>
          <cell r="P201">
            <v>18</v>
          </cell>
          <cell r="Q201">
            <v>93.75</v>
          </cell>
          <cell r="R201">
            <v>1687.5</v>
          </cell>
          <cell r="S201">
            <v>54</v>
          </cell>
          <cell r="T201">
            <v>7.5</v>
          </cell>
          <cell r="U201">
            <v>405</v>
          </cell>
          <cell r="V201">
            <v>14</v>
          </cell>
          <cell r="W201">
            <v>9.375</v>
          </cell>
          <cell r="X201">
            <v>131.25</v>
          </cell>
          <cell r="Y201">
            <v>8</v>
          </cell>
          <cell r="Z201">
            <v>97.5</v>
          </cell>
          <cell r="AA201">
            <v>780</v>
          </cell>
          <cell r="AB201">
            <v>0</v>
          </cell>
          <cell r="AC201">
            <v>126.75</v>
          </cell>
          <cell r="AD201">
            <v>0</v>
          </cell>
          <cell r="AE201">
            <v>0</v>
          </cell>
          <cell r="AF201">
            <v>12.675000000000001</v>
          </cell>
          <cell r="AG201">
            <v>0</v>
          </cell>
          <cell r="AH201">
            <v>0</v>
          </cell>
          <cell r="AI201">
            <v>9.75</v>
          </cell>
          <cell r="AJ201">
            <v>0</v>
          </cell>
          <cell r="AK201">
            <v>0</v>
          </cell>
          <cell r="AL201">
            <v>112.5</v>
          </cell>
          <cell r="AM201">
            <v>0</v>
          </cell>
          <cell r="AN201">
            <v>0</v>
          </cell>
          <cell r="AO201">
            <v>146.25</v>
          </cell>
          <cell r="AP201">
            <v>0</v>
          </cell>
          <cell r="AQ201">
            <v>0</v>
          </cell>
          <cell r="AR201">
            <v>11.25</v>
          </cell>
          <cell r="AS201">
            <v>0</v>
          </cell>
          <cell r="AT201">
            <v>0</v>
          </cell>
          <cell r="AU201">
            <v>97.5</v>
          </cell>
          <cell r="AV201">
            <v>0</v>
          </cell>
          <cell r="AW201">
            <v>0</v>
          </cell>
          <cell r="AX201">
            <v>126.75</v>
          </cell>
          <cell r="AY201">
            <v>0</v>
          </cell>
          <cell r="AZ201">
            <v>0</v>
          </cell>
          <cell r="BA201">
            <v>9.75</v>
          </cell>
          <cell r="BB201">
            <v>0</v>
          </cell>
          <cell r="BC201">
            <v>0</v>
          </cell>
          <cell r="BD201">
            <v>150</v>
          </cell>
          <cell r="BE201">
            <v>0</v>
          </cell>
          <cell r="BF201">
            <v>0</v>
          </cell>
          <cell r="BG201">
            <v>195</v>
          </cell>
          <cell r="BH201">
            <v>0</v>
          </cell>
          <cell r="BI201">
            <v>0</v>
          </cell>
          <cell r="BJ201">
            <v>15</v>
          </cell>
          <cell r="BK201">
            <v>0</v>
          </cell>
          <cell r="BL201">
            <v>8</v>
          </cell>
          <cell r="BM201">
            <v>75</v>
          </cell>
          <cell r="BN201">
            <v>600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11395</v>
          </cell>
        </row>
        <row r="202">
          <cell r="C202">
            <v>12840</v>
          </cell>
          <cell r="D202" t="str">
            <v>SENOLAY, CEDRIC DASAL</v>
          </cell>
          <cell r="E202" t="str">
            <v>METAL STAMPING</v>
          </cell>
          <cell r="F202" t="str">
            <v>PRODUCTION</v>
          </cell>
          <cell r="G202" t="str">
            <v>Operator</v>
          </cell>
          <cell r="H202" t="str">
            <v>DL</v>
          </cell>
          <cell r="I202">
            <v>104</v>
          </cell>
          <cell r="J202">
            <v>13</v>
          </cell>
          <cell r="K202">
            <v>600</v>
          </cell>
          <cell r="L202">
            <v>7800</v>
          </cell>
          <cell r="M202">
            <v>0</v>
          </cell>
          <cell r="N202">
            <v>1.25</v>
          </cell>
          <cell r="O202">
            <v>0</v>
          </cell>
          <cell r="P202">
            <v>19</v>
          </cell>
          <cell r="Q202">
            <v>93.75</v>
          </cell>
          <cell r="R202">
            <v>1781.25</v>
          </cell>
          <cell r="S202">
            <v>24</v>
          </cell>
          <cell r="T202">
            <v>7.5</v>
          </cell>
          <cell r="U202">
            <v>180</v>
          </cell>
          <cell r="V202">
            <v>6</v>
          </cell>
          <cell r="W202">
            <v>9.375</v>
          </cell>
          <cell r="X202">
            <v>56.25</v>
          </cell>
          <cell r="Y202">
            <v>0</v>
          </cell>
          <cell r="Z202">
            <v>97.5</v>
          </cell>
          <cell r="AA202">
            <v>0</v>
          </cell>
          <cell r="AB202">
            <v>0</v>
          </cell>
          <cell r="AC202">
            <v>126.75</v>
          </cell>
          <cell r="AD202">
            <v>0</v>
          </cell>
          <cell r="AE202">
            <v>0</v>
          </cell>
          <cell r="AF202">
            <v>12.675000000000001</v>
          </cell>
          <cell r="AG202">
            <v>0</v>
          </cell>
          <cell r="AH202">
            <v>0</v>
          </cell>
          <cell r="AI202">
            <v>9.75</v>
          </cell>
          <cell r="AJ202">
            <v>0</v>
          </cell>
          <cell r="AK202">
            <v>0</v>
          </cell>
          <cell r="AL202">
            <v>112.5</v>
          </cell>
          <cell r="AM202">
            <v>0</v>
          </cell>
          <cell r="AN202">
            <v>0</v>
          </cell>
          <cell r="AO202">
            <v>146.25</v>
          </cell>
          <cell r="AP202">
            <v>0</v>
          </cell>
          <cell r="AQ202">
            <v>0</v>
          </cell>
          <cell r="AR202">
            <v>11.25</v>
          </cell>
          <cell r="AS202">
            <v>0</v>
          </cell>
          <cell r="AT202">
            <v>0</v>
          </cell>
          <cell r="AU202">
            <v>97.5</v>
          </cell>
          <cell r="AV202">
            <v>0</v>
          </cell>
          <cell r="AW202">
            <v>0</v>
          </cell>
          <cell r="AX202">
            <v>126.75</v>
          </cell>
          <cell r="AY202">
            <v>0</v>
          </cell>
          <cell r="AZ202">
            <v>0</v>
          </cell>
          <cell r="BA202">
            <v>9.75</v>
          </cell>
          <cell r="BB202">
            <v>0</v>
          </cell>
          <cell r="BC202">
            <v>0</v>
          </cell>
          <cell r="BD202">
            <v>150</v>
          </cell>
          <cell r="BE202">
            <v>0</v>
          </cell>
          <cell r="BF202">
            <v>0</v>
          </cell>
          <cell r="BG202">
            <v>195</v>
          </cell>
          <cell r="BH202">
            <v>0</v>
          </cell>
          <cell r="BI202">
            <v>0</v>
          </cell>
          <cell r="BJ202">
            <v>15</v>
          </cell>
          <cell r="BK202">
            <v>0</v>
          </cell>
          <cell r="BL202">
            <v>8</v>
          </cell>
          <cell r="BM202">
            <v>75</v>
          </cell>
          <cell r="BN202">
            <v>600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10417.5</v>
          </cell>
        </row>
        <row r="203">
          <cell r="C203">
            <v>8571</v>
          </cell>
          <cell r="D203" t="str">
            <v>SENOSIN, SANDYLYN CORNELIO</v>
          </cell>
          <cell r="E203" t="str">
            <v>METAL STAMPING</v>
          </cell>
          <cell r="F203" t="str">
            <v>PRODUCTION</v>
          </cell>
          <cell r="G203" t="str">
            <v>Operator</v>
          </cell>
          <cell r="H203" t="str">
            <v>DL</v>
          </cell>
          <cell r="I203">
            <v>96</v>
          </cell>
          <cell r="J203">
            <v>12</v>
          </cell>
          <cell r="K203">
            <v>600</v>
          </cell>
          <cell r="L203">
            <v>7200</v>
          </cell>
          <cell r="M203">
            <v>0</v>
          </cell>
          <cell r="N203">
            <v>1.25</v>
          </cell>
          <cell r="O203">
            <v>0</v>
          </cell>
          <cell r="P203">
            <v>16</v>
          </cell>
          <cell r="Q203">
            <v>93.75</v>
          </cell>
          <cell r="R203">
            <v>1500</v>
          </cell>
          <cell r="S203">
            <v>24</v>
          </cell>
          <cell r="T203">
            <v>7.5</v>
          </cell>
          <cell r="U203">
            <v>180</v>
          </cell>
          <cell r="V203">
            <v>4</v>
          </cell>
          <cell r="W203">
            <v>9.375</v>
          </cell>
          <cell r="X203">
            <v>37.5</v>
          </cell>
          <cell r="Y203">
            <v>0</v>
          </cell>
          <cell r="Z203">
            <v>97.5</v>
          </cell>
          <cell r="AA203">
            <v>0</v>
          </cell>
          <cell r="AB203">
            <v>0</v>
          </cell>
          <cell r="AC203">
            <v>126.75</v>
          </cell>
          <cell r="AD203">
            <v>0</v>
          </cell>
          <cell r="AE203">
            <v>0</v>
          </cell>
          <cell r="AF203">
            <v>12.675000000000001</v>
          </cell>
          <cell r="AG203">
            <v>0</v>
          </cell>
          <cell r="AH203">
            <v>0</v>
          </cell>
          <cell r="AI203">
            <v>9.75</v>
          </cell>
          <cell r="AJ203">
            <v>0</v>
          </cell>
          <cell r="AK203">
            <v>0</v>
          </cell>
          <cell r="AL203">
            <v>112.5</v>
          </cell>
          <cell r="AM203">
            <v>0</v>
          </cell>
          <cell r="AN203">
            <v>0</v>
          </cell>
          <cell r="AO203">
            <v>146.25</v>
          </cell>
          <cell r="AP203">
            <v>0</v>
          </cell>
          <cell r="AQ203">
            <v>0</v>
          </cell>
          <cell r="AR203">
            <v>11.25</v>
          </cell>
          <cell r="AS203">
            <v>0</v>
          </cell>
          <cell r="AT203">
            <v>0</v>
          </cell>
          <cell r="AU203">
            <v>97.5</v>
          </cell>
          <cell r="AV203">
            <v>0</v>
          </cell>
          <cell r="AW203">
            <v>0</v>
          </cell>
          <cell r="AX203">
            <v>126.75</v>
          </cell>
          <cell r="AY203">
            <v>0</v>
          </cell>
          <cell r="AZ203">
            <v>0</v>
          </cell>
          <cell r="BA203">
            <v>9.75</v>
          </cell>
          <cell r="BB203">
            <v>0</v>
          </cell>
          <cell r="BC203">
            <v>0</v>
          </cell>
          <cell r="BD203">
            <v>150</v>
          </cell>
          <cell r="BE203">
            <v>0</v>
          </cell>
          <cell r="BF203">
            <v>0</v>
          </cell>
          <cell r="BG203">
            <v>195</v>
          </cell>
          <cell r="BH203">
            <v>0</v>
          </cell>
          <cell r="BI203">
            <v>0</v>
          </cell>
          <cell r="BJ203">
            <v>15</v>
          </cell>
          <cell r="BK203">
            <v>0</v>
          </cell>
          <cell r="BL203">
            <v>8</v>
          </cell>
          <cell r="BM203">
            <v>75</v>
          </cell>
          <cell r="BN203">
            <v>600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9517.5</v>
          </cell>
        </row>
        <row r="204">
          <cell r="C204">
            <v>32392</v>
          </cell>
          <cell r="D204" t="str">
            <v>SINGSON,JOHN RICK GARAIS</v>
          </cell>
          <cell r="E204" t="str">
            <v>METAL STAMPING</v>
          </cell>
          <cell r="F204" t="str">
            <v>PRODUCTION</v>
          </cell>
          <cell r="G204" t="str">
            <v>Operator</v>
          </cell>
          <cell r="H204" t="str">
            <v>DL</v>
          </cell>
          <cell r="I204">
            <v>0</v>
          </cell>
          <cell r="J204">
            <v>0</v>
          </cell>
          <cell r="K204">
            <v>600</v>
          </cell>
          <cell r="L204">
            <v>0</v>
          </cell>
          <cell r="M204">
            <v>0</v>
          </cell>
          <cell r="N204">
            <v>1.25</v>
          </cell>
          <cell r="O204">
            <v>0</v>
          </cell>
          <cell r="P204">
            <v>0</v>
          </cell>
          <cell r="Q204">
            <v>93.75</v>
          </cell>
          <cell r="R204">
            <v>0</v>
          </cell>
          <cell r="S204">
            <v>0</v>
          </cell>
          <cell r="T204">
            <v>7.5</v>
          </cell>
          <cell r="U204">
            <v>0</v>
          </cell>
          <cell r="V204">
            <v>0</v>
          </cell>
          <cell r="W204">
            <v>9.375</v>
          </cell>
          <cell r="X204">
            <v>0</v>
          </cell>
          <cell r="Y204">
            <v>0</v>
          </cell>
          <cell r="Z204">
            <v>97.5</v>
          </cell>
          <cell r="AA204">
            <v>0</v>
          </cell>
          <cell r="AB204">
            <v>0</v>
          </cell>
          <cell r="AC204">
            <v>126.75</v>
          </cell>
          <cell r="AD204">
            <v>0</v>
          </cell>
          <cell r="AE204">
            <v>0</v>
          </cell>
          <cell r="AF204">
            <v>12.675000000000001</v>
          </cell>
          <cell r="AG204">
            <v>0</v>
          </cell>
          <cell r="AH204">
            <v>0</v>
          </cell>
          <cell r="AI204">
            <v>9.75</v>
          </cell>
          <cell r="AJ204">
            <v>0</v>
          </cell>
          <cell r="AK204">
            <v>0</v>
          </cell>
          <cell r="AL204">
            <v>112.5</v>
          </cell>
          <cell r="AM204">
            <v>0</v>
          </cell>
          <cell r="AN204">
            <v>0</v>
          </cell>
          <cell r="AO204">
            <v>146.25</v>
          </cell>
          <cell r="AP204">
            <v>0</v>
          </cell>
          <cell r="AQ204">
            <v>0</v>
          </cell>
          <cell r="AR204">
            <v>11.25</v>
          </cell>
          <cell r="AS204">
            <v>0</v>
          </cell>
          <cell r="AT204">
            <v>0</v>
          </cell>
          <cell r="AU204">
            <v>97.5</v>
          </cell>
          <cell r="AV204">
            <v>0</v>
          </cell>
          <cell r="AW204">
            <v>0</v>
          </cell>
          <cell r="AX204">
            <v>126.75</v>
          </cell>
          <cell r="AY204">
            <v>0</v>
          </cell>
          <cell r="AZ204">
            <v>0</v>
          </cell>
          <cell r="BA204">
            <v>9.75</v>
          </cell>
          <cell r="BB204">
            <v>0</v>
          </cell>
          <cell r="BC204">
            <v>0</v>
          </cell>
          <cell r="BD204">
            <v>150</v>
          </cell>
          <cell r="BE204">
            <v>0</v>
          </cell>
          <cell r="BF204">
            <v>0</v>
          </cell>
          <cell r="BG204">
            <v>195</v>
          </cell>
          <cell r="BH204">
            <v>0</v>
          </cell>
          <cell r="BI204">
            <v>0</v>
          </cell>
          <cell r="BJ204">
            <v>15</v>
          </cell>
          <cell r="BK204">
            <v>0</v>
          </cell>
          <cell r="BL204">
            <v>0</v>
          </cell>
          <cell r="BM204">
            <v>75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</row>
        <row r="205">
          <cell r="C205">
            <v>12471</v>
          </cell>
          <cell r="D205" t="str">
            <v>SOMERA, PRIX JANSHIEN NAMURO</v>
          </cell>
          <cell r="E205" t="str">
            <v>METAL STAMPING</v>
          </cell>
          <cell r="F205" t="str">
            <v>PRODUCTION</v>
          </cell>
          <cell r="G205" t="str">
            <v>Operator</v>
          </cell>
          <cell r="H205" t="str">
            <v>IDL</v>
          </cell>
          <cell r="I205">
            <v>104</v>
          </cell>
          <cell r="J205">
            <v>13</v>
          </cell>
          <cell r="K205">
            <v>600</v>
          </cell>
          <cell r="L205">
            <v>7800</v>
          </cell>
          <cell r="M205">
            <v>0</v>
          </cell>
          <cell r="N205">
            <v>1.25</v>
          </cell>
          <cell r="O205">
            <v>0</v>
          </cell>
          <cell r="P205">
            <v>22</v>
          </cell>
          <cell r="Q205">
            <v>93.75</v>
          </cell>
          <cell r="R205">
            <v>2062.5</v>
          </cell>
          <cell r="S205">
            <v>24</v>
          </cell>
          <cell r="T205">
            <v>7.5</v>
          </cell>
          <cell r="U205">
            <v>180</v>
          </cell>
          <cell r="V205">
            <v>6</v>
          </cell>
          <cell r="W205">
            <v>9.375</v>
          </cell>
          <cell r="X205">
            <v>56.25</v>
          </cell>
          <cell r="Y205">
            <v>0</v>
          </cell>
          <cell r="Z205">
            <v>97.5</v>
          </cell>
          <cell r="AA205">
            <v>0</v>
          </cell>
          <cell r="AB205">
            <v>0</v>
          </cell>
          <cell r="AC205">
            <v>126.75</v>
          </cell>
          <cell r="AD205">
            <v>0</v>
          </cell>
          <cell r="AE205">
            <v>0</v>
          </cell>
          <cell r="AF205">
            <v>12.675000000000001</v>
          </cell>
          <cell r="AG205">
            <v>0</v>
          </cell>
          <cell r="AH205">
            <v>0</v>
          </cell>
          <cell r="AI205">
            <v>9.75</v>
          </cell>
          <cell r="AJ205">
            <v>0</v>
          </cell>
          <cell r="AK205">
            <v>0</v>
          </cell>
          <cell r="AL205">
            <v>112.5</v>
          </cell>
          <cell r="AM205">
            <v>0</v>
          </cell>
          <cell r="AN205">
            <v>0</v>
          </cell>
          <cell r="AO205">
            <v>146.25</v>
          </cell>
          <cell r="AP205">
            <v>0</v>
          </cell>
          <cell r="AQ205">
            <v>0</v>
          </cell>
          <cell r="AR205">
            <v>11.25</v>
          </cell>
          <cell r="AS205">
            <v>0</v>
          </cell>
          <cell r="AT205">
            <v>0</v>
          </cell>
          <cell r="AU205">
            <v>97.5</v>
          </cell>
          <cell r="AV205">
            <v>0</v>
          </cell>
          <cell r="AW205">
            <v>0</v>
          </cell>
          <cell r="AX205">
            <v>126.75</v>
          </cell>
          <cell r="AY205">
            <v>0</v>
          </cell>
          <cell r="AZ205">
            <v>0</v>
          </cell>
          <cell r="BA205">
            <v>9.75</v>
          </cell>
          <cell r="BB205">
            <v>0</v>
          </cell>
          <cell r="BC205">
            <v>0</v>
          </cell>
          <cell r="BD205">
            <v>150</v>
          </cell>
          <cell r="BE205">
            <v>0</v>
          </cell>
          <cell r="BF205">
            <v>0</v>
          </cell>
          <cell r="BG205">
            <v>195</v>
          </cell>
          <cell r="BH205">
            <v>0</v>
          </cell>
          <cell r="BI205">
            <v>0</v>
          </cell>
          <cell r="BJ205">
            <v>15</v>
          </cell>
          <cell r="BK205">
            <v>0</v>
          </cell>
          <cell r="BL205">
            <v>8</v>
          </cell>
          <cell r="BM205">
            <v>75</v>
          </cell>
          <cell r="BN205">
            <v>600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10698.75</v>
          </cell>
        </row>
        <row r="206">
          <cell r="C206">
            <v>30161</v>
          </cell>
          <cell r="D206" t="str">
            <v>SUPLITO, IAN DAVE BEDONIA</v>
          </cell>
          <cell r="E206" t="str">
            <v>METAL STAMPING</v>
          </cell>
          <cell r="F206" t="str">
            <v>PRODUCTION</v>
          </cell>
          <cell r="G206" t="str">
            <v>Operator</v>
          </cell>
          <cell r="H206" t="str">
            <v>IDL</v>
          </cell>
          <cell r="I206">
            <v>96</v>
          </cell>
          <cell r="J206">
            <v>12</v>
          </cell>
          <cell r="K206">
            <v>600</v>
          </cell>
          <cell r="L206">
            <v>7200</v>
          </cell>
          <cell r="M206">
            <v>0</v>
          </cell>
          <cell r="N206">
            <v>1.25</v>
          </cell>
          <cell r="O206">
            <v>0</v>
          </cell>
          <cell r="P206">
            <v>13</v>
          </cell>
          <cell r="Q206">
            <v>93.75</v>
          </cell>
          <cell r="R206">
            <v>1218.75</v>
          </cell>
          <cell r="S206">
            <v>0</v>
          </cell>
          <cell r="T206">
            <v>7.5</v>
          </cell>
          <cell r="U206">
            <v>0</v>
          </cell>
          <cell r="V206">
            <v>0</v>
          </cell>
          <cell r="W206">
            <v>9.375</v>
          </cell>
          <cell r="X206">
            <v>0</v>
          </cell>
          <cell r="Y206">
            <v>16</v>
          </cell>
          <cell r="Z206">
            <v>97.5</v>
          </cell>
          <cell r="AA206">
            <v>1560</v>
          </cell>
          <cell r="AB206">
            <v>0</v>
          </cell>
          <cell r="AC206">
            <v>126.75</v>
          </cell>
          <cell r="AD206">
            <v>0</v>
          </cell>
          <cell r="AE206">
            <v>0</v>
          </cell>
          <cell r="AF206">
            <v>12.675000000000001</v>
          </cell>
          <cell r="AG206">
            <v>0</v>
          </cell>
          <cell r="AH206">
            <v>0</v>
          </cell>
          <cell r="AI206">
            <v>9.75</v>
          </cell>
          <cell r="AJ206">
            <v>0</v>
          </cell>
          <cell r="AK206">
            <v>0</v>
          </cell>
          <cell r="AL206">
            <v>112.5</v>
          </cell>
          <cell r="AM206">
            <v>0</v>
          </cell>
          <cell r="AN206">
            <v>0</v>
          </cell>
          <cell r="AO206">
            <v>146.25</v>
          </cell>
          <cell r="AP206">
            <v>0</v>
          </cell>
          <cell r="AQ206">
            <v>0</v>
          </cell>
          <cell r="AR206">
            <v>11.25</v>
          </cell>
          <cell r="AS206">
            <v>0</v>
          </cell>
          <cell r="AT206">
            <v>0</v>
          </cell>
          <cell r="AU206">
            <v>97.5</v>
          </cell>
          <cell r="AV206">
            <v>0</v>
          </cell>
          <cell r="AW206">
            <v>0</v>
          </cell>
          <cell r="AX206">
            <v>126.75</v>
          </cell>
          <cell r="AY206">
            <v>0</v>
          </cell>
          <cell r="AZ206">
            <v>0</v>
          </cell>
          <cell r="BA206">
            <v>9.75</v>
          </cell>
          <cell r="BB206">
            <v>0</v>
          </cell>
          <cell r="BC206">
            <v>0</v>
          </cell>
          <cell r="BD206">
            <v>150</v>
          </cell>
          <cell r="BE206">
            <v>0</v>
          </cell>
          <cell r="BF206">
            <v>0</v>
          </cell>
          <cell r="BG206">
            <v>195</v>
          </cell>
          <cell r="BH206">
            <v>0</v>
          </cell>
          <cell r="BI206">
            <v>0</v>
          </cell>
          <cell r="BJ206">
            <v>15</v>
          </cell>
          <cell r="BK206">
            <v>0</v>
          </cell>
          <cell r="BL206">
            <v>8</v>
          </cell>
          <cell r="BM206">
            <v>75</v>
          </cell>
          <cell r="BN206">
            <v>600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10578.75</v>
          </cell>
        </row>
        <row r="207">
          <cell r="C207">
            <v>13236</v>
          </cell>
          <cell r="D207" t="str">
            <v>TABIOS, ANGELITE BALICTAR</v>
          </cell>
          <cell r="E207" t="str">
            <v>METAL STAMPING</v>
          </cell>
          <cell r="F207" t="str">
            <v>PRODUCTION</v>
          </cell>
          <cell r="G207" t="str">
            <v>Operator</v>
          </cell>
          <cell r="H207" t="str">
            <v>DL</v>
          </cell>
          <cell r="I207">
            <v>104</v>
          </cell>
          <cell r="J207">
            <v>13</v>
          </cell>
          <cell r="K207">
            <v>600</v>
          </cell>
          <cell r="L207">
            <v>7800</v>
          </cell>
          <cell r="M207">
            <v>0</v>
          </cell>
          <cell r="N207">
            <v>1.25</v>
          </cell>
          <cell r="O207">
            <v>0</v>
          </cell>
          <cell r="P207">
            <v>16</v>
          </cell>
          <cell r="Q207">
            <v>93.75</v>
          </cell>
          <cell r="R207">
            <v>1500</v>
          </cell>
          <cell r="S207">
            <v>24</v>
          </cell>
          <cell r="T207">
            <v>7.5</v>
          </cell>
          <cell r="U207">
            <v>180</v>
          </cell>
          <cell r="V207">
            <v>6</v>
          </cell>
          <cell r="W207">
            <v>9.375</v>
          </cell>
          <cell r="X207">
            <v>56.25</v>
          </cell>
          <cell r="Y207">
            <v>0</v>
          </cell>
          <cell r="Z207">
            <v>97.5</v>
          </cell>
          <cell r="AA207">
            <v>0</v>
          </cell>
          <cell r="AB207">
            <v>0</v>
          </cell>
          <cell r="AC207">
            <v>126.75</v>
          </cell>
          <cell r="AD207">
            <v>0</v>
          </cell>
          <cell r="AE207">
            <v>0</v>
          </cell>
          <cell r="AF207">
            <v>12.675000000000001</v>
          </cell>
          <cell r="AG207">
            <v>0</v>
          </cell>
          <cell r="AH207">
            <v>0</v>
          </cell>
          <cell r="AI207">
            <v>9.75</v>
          </cell>
          <cell r="AJ207">
            <v>0</v>
          </cell>
          <cell r="AK207">
            <v>0</v>
          </cell>
          <cell r="AL207">
            <v>112.5</v>
          </cell>
          <cell r="AM207">
            <v>0</v>
          </cell>
          <cell r="AN207">
            <v>0</v>
          </cell>
          <cell r="AO207">
            <v>146.25</v>
          </cell>
          <cell r="AP207">
            <v>0</v>
          </cell>
          <cell r="AQ207">
            <v>0</v>
          </cell>
          <cell r="AR207">
            <v>11.25</v>
          </cell>
          <cell r="AS207">
            <v>0</v>
          </cell>
          <cell r="AT207">
            <v>0</v>
          </cell>
          <cell r="AU207">
            <v>97.5</v>
          </cell>
          <cell r="AV207">
            <v>0</v>
          </cell>
          <cell r="AW207">
            <v>0</v>
          </cell>
          <cell r="AX207">
            <v>126.75</v>
          </cell>
          <cell r="AY207">
            <v>0</v>
          </cell>
          <cell r="AZ207">
            <v>0</v>
          </cell>
          <cell r="BA207">
            <v>9.75</v>
          </cell>
          <cell r="BB207">
            <v>0</v>
          </cell>
          <cell r="BC207">
            <v>0</v>
          </cell>
          <cell r="BD207">
            <v>150</v>
          </cell>
          <cell r="BE207">
            <v>0</v>
          </cell>
          <cell r="BF207">
            <v>0</v>
          </cell>
          <cell r="BG207">
            <v>195</v>
          </cell>
          <cell r="BH207">
            <v>0</v>
          </cell>
          <cell r="BI207">
            <v>0</v>
          </cell>
          <cell r="BJ207">
            <v>15</v>
          </cell>
          <cell r="BK207">
            <v>0</v>
          </cell>
          <cell r="BL207">
            <v>8</v>
          </cell>
          <cell r="BM207">
            <v>75</v>
          </cell>
          <cell r="BN207">
            <v>600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10136.25</v>
          </cell>
        </row>
        <row r="208">
          <cell r="C208">
            <v>10041</v>
          </cell>
          <cell r="D208" t="str">
            <v>TACLA, JERICO ENDAYA</v>
          </cell>
          <cell r="E208" t="str">
            <v>METAL STAMPING</v>
          </cell>
          <cell r="F208" t="str">
            <v>PRODUCTION</v>
          </cell>
          <cell r="G208" t="str">
            <v>Operator</v>
          </cell>
          <cell r="H208" t="str">
            <v>IDL</v>
          </cell>
          <cell r="I208">
            <v>104</v>
          </cell>
          <cell r="J208">
            <v>13</v>
          </cell>
          <cell r="K208">
            <v>600</v>
          </cell>
          <cell r="L208">
            <v>7800</v>
          </cell>
          <cell r="M208">
            <v>51</v>
          </cell>
          <cell r="N208">
            <v>1.25</v>
          </cell>
          <cell r="O208">
            <v>-63.75</v>
          </cell>
          <cell r="P208">
            <v>14</v>
          </cell>
          <cell r="Q208">
            <v>93.75</v>
          </cell>
          <cell r="R208">
            <v>1312.5</v>
          </cell>
          <cell r="S208">
            <v>54</v>
          </cell>
          <cell r="T208">
            <v>7.5</v>
          </cell>
          <cell r="U208">
            <v>405</v>
          </cell>
          <cell r="V208">
            <v>12</v>
          </cell>
          <cell r="W208">
            <v>9.375</v>
          </cell>
          <cell r="X208">
            <v>112.5</v>
          </cell>
          <cell r="Y208">
            <v>8</v>
          </cell>
          <cell r="Z208">
            <v>97.5</v>
          </cell>
          <cell r="AA208">
            <v>780</v>
          </cell>
          <cell r="AB208">
            <v>0</v>
          </cell>
          <cell r="AC208">
            <v>126.75</v>
          </cell>
          <cell r="AD208">
            <v>0</v>
          </cell>
          <cell r="AE208">
            <v>0</v>
          </cell>
          <cell r="AF208">
            <v>12.675000000000001</v>
          </cell>
          <cell r="AG208">
            <v>0</v>
          </cell>
          <cell r="AH208">
            <v>0</v>
          </cell>
          <cell r="AI208">
            <v>9.75</v>
          </cell>
          <cell r="AJ208">
            <v>0</v>
          </cell>
          <cell r="AK208">
            <v>0</v>
          </cell>
          <cell r="AL208">
            <v>112.5</v>
          </cell>
          <cell r="AM208">
            <v>0</v>
          </cell>
          <cell r="AN208">
            <v>0</v>
          </cell>
          <cell r="AO208">
            <v>146.25</v>
          </cell>
          <cell r="AP208">
            <v>0</v>
          </cell>
          <cell r="AQ208">
            <v>0</v>
          </cell>
          <cell r="AR208">
            <v>11.25</v>
          </cell>
          <cell r="AS208">
            <v>0</v>
          </cell>
          <cell r="AT208">
            <v>0</v>
          </cell>
          <cell r="AU208">
            <v>97.5</v>
          </cell>
          <cell r="AV208">
            <v>0</v>
          </cell>
          <cell r="AW208">
            <v>0</v>
          </cell>
          <cell r="AX208">
            <v>126.75</v>
          </cell>
          <cell r="AY208">
            <v>0</v>
          </cell>
          <cell r="AZ208">
            <v>0</v>
          </cell>
          <cell r="BA208">
            <v>9.75</v>
          </cell>
          <cell r="BB208">
            <v>0</v>
          </cell>
          <cell r="BC208">
            <v>0</v>
          </cell>
          <cell r="BD208">
            <v>150</v>
          </cell>
          <cell r="BE208">
            <v>0</v>
          </cell>
          <cell r="BF208">
            <v>0</v>
          </cell>
          <cell r="BG208">
            <v>195</v>
          </cell>
          <cell r="BH208">
            <v>0</v>
          </cell>
          <cell r="BI208">
            <v>0</v>
          </cell>
          <cell r="BJ208">
            <v>15</v>
          </cell>
          <cell r="BK208">
            <v>0</v>
          </cell>
          <cell r="BL208">
            <v>8</v>
          </cell>
          <cell r="BM208">
            <v>75</v>
          </cell>
          <cell r="BN208">
            <v>600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10946.25</v>
          </cell>
        </row>
        <row r="209">
          <cell r="C209">
            <v>5478</v>
          </cell>
          <cell r="D209" t="str">
            <v>TAGLE, LANDLY ALVRICO</v>
          </cell>
          <cell r="E209" t="str">
            <v>METAL STAMPING</v>
          </cell>
          <cell r="F209" t="str">
            <v>PRODUCTION</v>
          </cell>
          <cell r="G209" t="str">
            <v>Operator</v>
          </cell>
          <cell r="H209" t="str">
            <v>DL</v>
          </cell>
          <cell r="I209">
            <v>96</v>
          </cell>
          <cell r="J209">
            <v>12</v>
          </cell>
          <cell r="K209">
            <v>600</v>
          </cell>
          <cell r="L209">
            <v>7200</v>
          </cell>
          <cell r="M209">
            <v>0</v>
          </cell>
          <cell r="N209">
            <v>1.25</v>
          </cell>
          <cell r="O209">
            <v>0</v>
          </cell>
          <cell r="P209">
            <v>18</v>
          </cell>
          <cell r="Q209">
            <v>93.75</v>
          </cell>
          <cell r="R209">
            <v>1687.5</v>
          </cell>
          <cell r="S209">
            <v>54</v>
          </cell>
          <cell r="T209">
            <v>7.5</v>
          </cell>
          <cell r="U209">
            <v>405</v>
          </cell>
          <cell r="V209">
            <v>14</v>
          </cell>
          <cell r="W209">
            <v>9.375</v>
          </cell>
          <cell r="X209">
            <v>131.25</v>
          </cell>
          <cell r="Y209">
            <v>0</v>
          </cell>
          <cell r="Z209">
            <v>97.5</v>
          </cell>
          <cell r="AA209">
            <v>0</v>
          </cell>
          <cell r="AB209">
            <v>0</v>
          </cell>
          <cell r="AC209">
            <v>126.75</v>
          </cell>
          <cell r="AD209">
            <v>0</v>
          </cell>
          <cell r="AE209">
            <v>0</v>
          </cell>
          <cell r="AF209">
            <v>12.675000000000001</v>
          </cell>
          <cell r="AG209">
            <v>0</v>
          </cell>
          <cell r="AH209">
            <v>0</v>
          </cell>
          <cell r="AI209">
            <v>9.75</v>
          </cell>
          <cell r="AJ209">
            <v>0</v>
          </cell>
          <cell r="AK209">
            <v>0</v>
          </cell>
          <cell r="AL209">
            <v>112.5</v>
          </cell>
          <cell r="AM209">
            <v>0</v>
          </cell>
          <cell r="AN209">
            <v>0</v>
          </cell>
          <cell r="AO209">
            <v>146.25</v>
          </cell>
          <cell r="AP209">
            <v>0</v>
          </cell>
          <cell r="AQ209">
            <v>0</v>
          </cell>
          <cell r="AR209">
            <v>11.25</v>
          </cell>
          <cell r="AS209">
            <v>0</v>
          </cell>
          <cell r="AT209">
            <v>0</v>
          </cell>
          <cell r="AU209">
            <v>97.5</v>
          </cell>
          <cell r="AV209">
            <v>0</v>
          </cell>
          <cell r="AW209">
            <v>0</v>
          </cell>
          <cell r="AX209">
            <v>126.75</v>
          </cell>
          <cell r="AY209">
            <v>0</v>
          </cell>
          <cell r="AZ209">
            <v>0</v>
          </cell>
          <cell r="BA209">
            <v>9.75</v>
          </cell>
          <cell r="BB209">
            <v>0</v>
          </cell>
          <cell r="BC209">
            <v>0</v>
          </cell>
          <cell r="BD209">
            <v>150</v>
          </cell>
          <cell r="BE209">
            <v>0</v>
          </cell>
          <cell r="BF209">
            <v>0</v>
          </cell>
          <cell r="BG209">
            <v>195</v>
          </cell>
          <cell r="BH209">
            <v>0</v>
          </cell>
          <cell r="BI209">
            <v>0</v>
          </cell>
          <cell r="BJ209">
            <v>15</v>
          </cell>
          <cell r="BK209">
            <v>0</v>
          </cell>
          <cell r="BL209">
            <v>8</v>
          </cell>
          <cell r="BM209">
            <v>75</v>
          </cell>
          <cell r="BN209">
            <v>600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10023.75</v>
          </cell>
        </row>
        <row r="210">
          <cell r="C210">
            <v>14753</v>
          </cell>
          <cell r="D210" t="str">
            <v>TIMOSA, ARLIZA N/A</v>
          </cell>
          <cell r="E210" t="str">
            <v>METAL STAMPING</v>
          </cell>
          <cell r="F210" t="str">
            <v>PRODUCTION</v>
          </cell>
          <cell r="G210" t="str">
            <v>Operator</v>
          </cell>
          <cell r="H210" t="str">
            <v>DL</v>
          </cell>
          <cell r="I210">
            <v>104</v>
          </cell>
          <cell r="J210">
            <v>13</v>
          </cell>
          <cell r="K210">
            <v>600</v>
          </cell>
          <cell r="L210">
            <v>7800</v>
          </cell>
          <cell r="M210">
            <v>0</v>
          </cell>
          <cell r="N210">
            <v>1.25</v>
          </cell>
          <cell r="O210">
            <v>0</v>
          </cell>
          <cell r="P210">
            <v>16</v>
          </cell>
          <cell r="Q210">
            <v>93.75</v>
          </cell>
          <cell r="R210">
            <v>1500</v>
          </cell>
          <cell r="S210">
            <v>0</v>
          </cell>
          <cell r="T210">
            <v>7.5</v>
          </cell>
          <cell r="U210">
            <v>0</v>
          </cell>
          <cell r="V210">
            <v>0</v>
          </cell>
          <cell r="W210">
            <v>9.375</v>
          </cell>
          <cell r="X210">
            <v>0</v>
          </cell>
          <cell r="Y210">
            <v>8</v>
          </cell>
          <cell r="Z210">
            <v>97.5</v>
          </cell>
          <cell r="AA210">
            <v>780</v>
          </cell>
          <cell r="AB210">
            <v>0</v>
          </cell>
          <cell r="AC210">
            <v>126.75</v>
          </cell>
          <cell r="AD210">
            <v>0</v>
          </cell>
          <cell r="AE210">
            <v>0</v>
          </cell>
          <cell r="AF210">
            <v>12.675000000000001</v>
          </cell>
          <cell r="AG210">
            <v>0</v>
          </cell>
          <cell r="AH210">
            <v>0</v>
          </cell>
          <cell r="AI210">
            <v>9.75</v>
          </cell>
          <cell r="AJ210">
            <v>0</v>
          </cell>
          <cell r="AK210">
            <v>0</v>
          </cell>
          <cell r="AL210">
            <v>112.5</v>
          </cell>
          <cell r="AM210">
            <v>0</v>
          </cell>
          <cell r="AN210">
            <v>0</v>
          </cell>
          <cell r="AO210">
            <v>146.25</v>
          </cell>
          <cell r="AP210">
            <v>0</v>
          </cell>
          <cell r="AQ210">
            <v>0</v>
          </cell>
          <cell r="AR210">
            <v>11.25</v>
          </cell>
          <cell r="AS210">
            <v>0</v>
          </cell>
          <cell r="AT210">
            <v>0</v>
          </cell>
          <cell r="AU210">
            <v>97.5</v>
          </cell>
          <cell r="AV210">
            <v>0</v>
          </cell>
          <cell r="AW210">
            <v>0</v>
          </cell>
          <cell r="AX210">
            <v>126.75</v>
          </cell>
          <cell r="AY210">
            <v>0</v>
          </cell>
          <cell r="AZ210">
            <v>0</v>
          </cell>
          <cell r="BA210">
            <v>9.75</v>
          </cell>
          <cell r="BB210">
            <v>0</v>
          </cell>
          <cell r="BC210">
            <v>0</v>
          </cell>
          <cell r="BD210">
            <v>150</v>
          </cell>
          <cell r="BE210">
            <v>0</v>
          </cell>
          <cell r="BF210">
            <v>0</v>
          </cell>
          <cell r="BG210">
            <v>195</v>
          </cell>
          <cell r="BH210">
            <v>0</v>
          </cell>
          <cell r="BI210">
            <v>0</v>
          </cell>
          <cell r="BJ210">
            <v>15</v>
          </cell>
          <cell r="BK210">
            <v>0</v>
          </cell>
          <cell r="BL210">
            <v>8</v>
          </cell>
          <cell r="BM210">
            <v>75</v>
          </cell>
          <cell r="BN210">
            <v>600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10680</v>
          </cell>
        </row>
        <row r="211">
          <cell r="C211">
            <v>11741</v>
          </cell>
          <cell r="D211" t="str">
            <v>TOLENTINO, EVANGELINE DE SILVA</v>
          </cell>
          <cell r="E211" t="str">
            <v>METAL STAMPING</v>
          </cell>
          <cell r="F211" t="str">
            <v>PRODUCTION</v>
          </cell>
          <cell r="G211" t="str">
            <v>Operator</v>
          </cell>
          <cell r="H211" t="str">
            <v>DL</v>
          </cell>
          <cell r="I211">
            <v>0</v>
          </cell>
          <cell r="J211">
            <v>0</v>
          </cell>
          <cell r="K211">
            <v>600</v>
          </cell>
          <cell r="L211">
            <v>0</v>
          </cell>
          <cell r="M211">
            <v>0</v>
          </cell>
          <cell r="N211">
            <v>1.25</v>
          </cell>
          <cell r="O211">
            <v>0</v>
          </cell>
          <cell r="P211">
            <v>0</v>
          </cell>
          <cell r="Q211">
            <v>93.75</v>
          </cell>
          <cell r="R211">
            <v>0</v>
          </cell>
          <cell r="S211">
            <v>0</v>
          </cell>
          <cell r="T211">
            <v>7.5</v>
          </cell>
          <cell r="U211">
            <v>0</v>
          </cell>
          <cell r="V211">
            <v>0</v>
          </cell>
          <cell r="W211">
            <v>9.375</v>
          </cell>
          <cell r="X211">
            <v>0</v>
          </cell>
          <cell r="Y211">
            <v>0</v>
          </cell>
          <cell r="Z211">
            <v>97.5</v>
          </cell>
          <cell r="AA211">
            <v>0</v>
          </cell>
          <cell r="AB211">
            <v>0</v>
          </cell>
          <cell r="AC211">
            <v>126.75</v>
          </cell>
          <cell r="AD211">
            <v>0</v>
          </cell>
          <cell r="AE211">
            <v>0</v>
          </cell>
          <cell r="AF211">
            <v>12.675000000000001</v>
          </cell>
          <cell r="AG211">
            <v>0</v>
          </cell>
          <cell r="AH211">
            <v>0</v>
          </cell>
          <cell r="AI211">
            <v>9.75</v>
          </cell>
          <cell r="AJ211">
            <v>0</v>
          </cell>
          <cell r="AK211">
            <v>0</v>
          </cell>
          <cell r="AL211">
            <v>112.5</v>
          </cell>
          <cell r="AM211">
            <v>0</v>
          </cell>
          <cell r="AN211">
            <v>0</v>
          </cell>
          <cell r="AO211">
            <v>146.25</v>
          </cell>
          <cell r="AP211">
            <v>0</v>
          </cell>
          <cell r="AQ211">
            <v>0</v>
          </cell>
          <cell r="AR211">
            <v>11.25</v>
          </cell>
          <cell r="AS211">
            <v>0</v>
          </cell>
          <cell r="AT211">
            <v>0</v>
          </cell>
          <cell r="AU211">
            <v>97.5</v>
          </cell>
          <cell r="AV211">
            <v>0</v>
          </cell>
          <cell r="AW211">
            <v>0</v>
          </cell>
          <cell r="AX211">
            <v>126.75</v>
          </cell>
          <cell r="AY211">
            <v>0</v>
          </cell>
          <cell r="AZ211">
            <v>0</v>
          </cell>
          <cell r="BA211">
            <v>9.75</v>
          </cell>
          <cell r="BB211">
            <v>0</v>
          </cell>
          <cell r="BC211">
            <v>0</v>
          </cell>
          <cell r="BD211">
            <v>150</v>
          </cell>
          <cell r="BE211">
            <v>0</v>
          </cell>
          <cell r="BF211">
            <v>0</v>
          </cell>
          <cell r="BG211">
            <v>195</v>
          </cell>
          <cell r="BH211">
            <v>0</v>
          </cell>
          <cell r="BI211">
            <v>0</v>
          </cell>
          <cell r="BJ211">
            <v>15</v>
          </cell>
          <cell r="BK211">
            <v>0</v>
          </cell>
          <cell r="BL211">
            <v>0</v>
          </cell>
          <cell r="BM211">
            <v>75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</row>
        <row r="212">
          <cell r="C212">
            <v>13375</v>
          </cell>
          <cell r="D212" t="str">
            <v>TOLENTINO, JOHN LOYD DE SILVA</v>
          </cell>
          <cell r="E212" t="str">
            <v>METAL STAMPING</v>
          </cell>
          <cell r="F212" t="str">
            <v>PRODUCTION</v>
          </cell>
          <cell r="G212" t="str">
            <v>Operator</v>
          </cell>
          <cell r="H212" t="str">
            <v>DL</v>
          </cell>
          <cell r="I212">
            <v>24</v>
          </cell>
          <cell r="J212">
            <v>3</v>
          </cell>
          <cell r="K212">
            <v>600</v>
          </cell>
          <cell r="L212">
            <v>1800</v>
          </cell>
          <cell r="M212">
            <v>0</v>
          </cell>
          <cell r="N212">
            <v>1.25</v>
          </cell>
          <cell r="O212">
            <v>0</v>
          </cell>
          <cell r="P212">
            <v>2</v>
          </cell>
          <cell r="Q212">
            <v>93.75</v>
          </cell>
          <cell r="R212">
            <v>187.5</v>
          </cell>
          <cell r="S212">
            <v>0</v>
          </cell>
          <cell r="T212">
            <v>7.5</v>
          </cell>
          <cell r="U212">
            <v>0</v>
          </cell>
          <cell r="V212">
            <v>0</v>
          </cell>
          <cell r="W212">
            <v>9.375</v>
          </cell>
          <cell r="X212">
            <v>0</v>
          </cell>
          <cell r="Y212">
            <v>0</v>
          </cell>
          <cell r="Z212">
            <v>97.5</v>
          </cell>
          <cell r="AA212">
            <v>0</v>
          </cell>
          <cell r="AB212">
            <v>0</v>
          </cell>
          <cell r="AC212">
            <v>126.75</v>
          </cell>
          <cell r="AD212">
            <v>0</v>
          </cell>
          <cell r="AE212">
            <v>0</v>
          </cell>
          <cell r="AF212">
            <v>12.675000000000001</v>
          </cell>
          <cell r="AG212">
            <v>0</v>
          </cell>
          <cell r="AH212">
            <v>0</v>
          </cell>
          <cell r="AI212">
            <v>9.75</v>
          </cell>
          <cell r="AJ212">
            <v>0</v>
          </cell>
          <cell r="AK212">
            <v>0</v>
          </cell>
          <cell r="AL212">
            <v>112.5</v>
          </cell>
          <cell r="AM212">
            <v>0</v>
          </cell>
          <cell r="AN212">
            <v>0</v>
          </cell>
          <cell r="AO212">
            <v>146.25</v>
          </cell>
          <cell r="AP212">
            <v>0</v>
          </cell>
          <cell r="AQ212">
            <v>0</v>
          </cell>
          <cell r="AR212">
            <v>11.25</v>
          </cell>
          <cell r="AS212">
            <v>0</v>
          </cell>
          <cell r="AT212">
            <v>0</v>
          </cell>
          <cell r="AU212">
            <v>97.5</v>
          </cell>
          <cell r="AV212">
            <v>0</v>
          </cell>
          <cell r="AW212">
            <v>0</v>
          </cell>
          <cell r="AX212">
            <v>126.75</v>
          </cell>
          <cell r="AY212">
            <v>0</v>
          </cell>
          <cell r="AZ212">
            <v>0</v>
          </cell>
          <cell r="BA212">
            <v>9.75</v>
          </cell>
          <cell r="BB212">
            <v>0</v>
          </cell>
          <cell r="BC212">
            <v>0</v>
          </cell>
          <cell r="BD212">
            <v>150</v>
          </cell>
          <cell r="BE212">
            <v>0</v>
          </cell>
          <cell r="BF212">
            <v>0</v>
          </cell>
          <cell r="BG212">
            <v>195</v>
          </cell>
          <cell r="BH212">
            <v>0</v>
          </cell>
          <cell r="BI212">
            <v>0</v>
          </cell>
          <cell r="BJ212">
            <v>15</v>
          </cell>
          <cell r="BK212">
            <v>0</v>
          </cell>
          <cell r="BL212">
            <v>8</v>
          </cell>
          <cell r="BM212">
            <v>75</v>
          </cell>
          <cell r="BN212">
            <v>600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2587.5</v>
          </cell>
        </row>
        <row r="213">
          <cell r="C213">
            <v>6712</v>
          </cell>
          <cell r="D213" t="str">
            <v>TOLENTINO, KAREN GOOT</v>
          </cell>
          <cell r="E213" t="str">
            <v>METAL STAMPING</v>
          </cell>
          <cell r="F213" t="str">
            <v>PRODUCTION</v>
          </cell>
          <cell r="G213" t="str">
            <v>Operator</v>
          </cell>
          <cell r="H213" t="str">
            <v>DL</v>
          </cell>
          <cell r="I213">
            <v>96</v>
          </cell>
          <cell r="J213">
            <v>12</v>
          </cell>
          <cell r="K213">
            <v>600</v>
          </cell>
          <cell r="L213">
            <v>7200</v>
          </cell>
          <cell r="M213">
            <v>0</v>
          </cell>
          <cell r="N213">
            <v>1.25</v>
          </cell>
          <cell r="O213">
            <v>0</v>
          </cell>
          <cell r="P213">
            <v>18</v>
          </cell>
          <cell r="Q213">
            <v>93.75</v>
          </cell>
          <cell r="R213">
            <v>1687.5</v>
          </cell>
          <cell r="S213">
            <v>48</v>
          </cell>
          <cell r="T213">
            <v>7.5</v>
          </cell>
          <cell r="U213">
            <v>360</v>
          </cell>
          <cell r="V213">
            <v>14</v>
          </cell>
          <cell r="W213">
            <v>9.375</v>
          </cell>
          <cell r="X213">
            <v>131.25</v>
          </cell>
          <cell r="Y213">
            <v>8</v>
          </cell>
          <cell r="Z213">
            <v>97.5</v>
          </cell>
          <cell r="AA213">
            <v>780</v>
          </cell>
          <cell r="AB213">
            <v>0</v>
          </cell>
          <cell r="AC213">
            <v>126.75</v>
          </cell>
          <cell r="AD213">
            <v>0</v>
          </cell>
          <cell r="AE213">
            <v>0</v>
          </cell>
          <cell r="AF213">
            <v>12.675000000000001</v>
          </cell>
          <cell r="AG213">
            <v>0</v>
          </cell>
          <cell r="AH213">
            <v>0</v>
          </cell>
          <cell r="AI213">
            <v>9.75</v>
          </cell>
          <cell r="AJ213">
            <v>0</v>
          </cell>
          <cell r="AK213">
            <v>0</v>
          </cell>
          <cell r="AL213">
            <v>112.5</v>
          </cell>
          <cell r="AM213">
            <v>0</v>
          </cell>
          <cell r="AN213">
            <v>0</v>
          </cell>
          <cell r="AO213">
            <v>146.25</v>
          </cell>
          <cell r="AP213">
            <v>0</v>
          </cell>
          <cell r="AQ213">
            <v>0</v>
          </cell>
          <cell r="AR213">
            <v>11.25</v>
          </cell>
          <cell r="AS213">
            <v>0</v>
          </cell>
          <cell r="AT213">
            <v>0</v>
          </cell>
          <cell r="AU213">
            <v>97.5</v>
          </cell>
          <cell r="AV213">
            <v>0</v>
          </cell>
          <cell r="AW213">
            <v>0</v>
          </cell>
          <cell r="AX213">
            <v>126.75</v>
          </cell>
          <cell r="AY213">
            <v>0</v>
          </cell>
          <cell r="AZ213">
            <v>0</v>
          </cell>
          <cell r="BA213">
            <v>9.75</v>
          </cell>
          <cell r="BB213">
            <v>0</v>
          </cell>
          <cell r="BC213">
            <v>0</v>
          </cell>
          <cell r="BD213">
            <v>150</v>
          </cell>
          <cell r="BE213">
            <v>0</v>
          </cell>
          <cell r="BF213">
            <v>0</v>
          </cell>
          <cell r="BG213">
            <v>195</v>
          </cell>
          <cell r="BH213">
            <v>0</v>
          </cell>
          <cell r="BI213">
            <v>0</v>
          </cell>
          <cell r="BJ213">
            <v>15</v>
          </cell>
          <cell r="BK213">
            <v>0</v>
          </cell>
          <cell r="BL213">
            <v>8</v>
          </cell>
          <cell r="BM213">
            <v>75</v>
          </cell>
          <cell r="BN213">
            <v>600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10758.75</v>
          </cell>
        </row>
        <row r="214">
          <cell r="C214">
            <v>7502</v>
          </cell>
          <cell r="D214" t="str">
            <v>UGABAN, DANGIE NIALLA</v>
          </cell>
          <cell r="E214" t="str">
            <v>METAL STAMPING</v>
          </cell>
          <cell r="F214" t="str">
            <v>PRODUCTION</v>
          </cell>
          <cell r="G214" t="str">
            <v>Operator</v>
          </cell>
          <cell r="H214" t="str">
            <v>IDL</v>
          </cell>
          <cell r="I214">
            <v>88</v>
          </cell>
          <cell r="J214">
            <v>11</v>
          </cell>
          <cell r="K214">
            <v>600</v>
          </cell>
          <cell r="L214">
            <v>6600</v>
          </cell>
          <cell r="M214">
            <v>0</v>
          </cell>
          <cell r="N214">
            <v>1.25</v>
          </cell>
          <cell r="O214">
            <v>0</v>
          </cell>
          <cell r="P214">
            <v>16</v>
          </cell>
          <cell r="Q214">
            <v>93.75</v>
          </cell>
          <cell r="R214">
            <v>1500</v>
          </cell>
          <cell r="S214">
            <v>24</v>
          </cell>
          <cell r="T214">
            <v>7.5</v>
          </cell>
          <cell r="U214">
            <v>180</v>
          </cell>
          <cell r="V214">
            <v>4</v>
          </cell>
          <cell r="W214">
            <v>9.375</v>
          </cell>
          <cell r="X214">
            <v>37.5</v>
          </cell>
          <cell r="Y214">
            <v>0</v>
          </cell>
          <cell r="Z214">
            <v>97.5</v>
          </cell>
          <cell r="AA214">
            <v>0</v>
          </cell>
          <cell r="AB214">
            <v>0</v>
          </cell>
          <cell r="AC214">
            <v>126.75</v>
          </cell>
          <cell r="AD214">
            <v>0</v>
          </cell>
          <cell r="AE214">
            <v>0</v>
          </cell>
          <cell r="AF214">
            <v>12.675000000000001</v>
          </cell>
          <cell r="AG214">
            <v>0</v>
          </cell>
          <cell r="AH214">
            <v>0</v>
          </cell>
          <cell r="AI214">
            <v>9.75</v>
          </cell>
          <cell r="AJ214">
            <v>0</v>
          </cell>
          <cell r="AK214">
            <v>0</v>
          </cell>
          <cell r="AL214">
            <v>112.5</v>
          </cell>
          <cell r="AM214">
            <v>0</v>
          </cell>
          <cell r="AN214">
            <v>0</v>
          </cell>
          <cell r="AO214">
            <v>146.25</v>
          </cell>
          <cell r="AP214">
            <v>0</v>
          </cell>
          <cell r="AQ214">
            <v>0</v>
          </cell>
          <cell r="AR214">
            <v>11.25</v>
          </cell>
          <cell r="AS214">
            <v>0</v>
          </cell>
          <cell r="AT214">
            <v>0</v>
          </cell>
          <cell r="AU214">
            <v>97.5</v>
          </cell>
          <cell r="AV214">
            <v>0</v>
          </cell>
          <cell r="AW214">
            <v>0</v>
          </cell>
          <cell r="AX214">
            <v>126.75</v>
          </cell>
          <cell r="AY214">
            <v>0</v>
          </cell>
          <cell r="AZ214">
            <v>0</v>
          </cell>
          <cell r="BA214">
            <v>9.75</v>
          </cell>
          <cell r="BB214">
            <v>0</v>
          </cell>
          <cell r="BC214">
            <v>0</v>
          </cell>
          <cell r="BD214">
            <v>150</v>
          </cell>
          <cell r="BE214">
            <v>0</v>
          </cell>
          <cell r="BF214">
            <v>0</v>
          </cell>
          <cell r="BG214">
            <v>195</v>
          </cell>
          <cell r="BH214">
            <v>0</v>
          </cell>
          <cell r="BI214">
            <v>0</v>
          </cell>
          <cell r="BJ214">
            <v>15</v>
          </cell>
          <cell r="BK214">
            <v>0</v>
          </cell>
          <cell r="BL214">
            <v>8</v>
          </cell>
          <cell r="BM214">
            <v>75</v>
          </cell>
          <cell r="BN214">
            <v>600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8917.5</v>
          </cell>
        </row>
        <row r="215">
          <cell r="C215">
            <v>14188</v>
          </cell>
          <cell r="D215" t="str">
            <v>UMALI, JAY MERLYN POSO</v>
          </cell>
          <cell r="E215" t="str">
            <v>METAL STAMPING</v>
          </cell>
          <cell r="F215" t="str">
            <v>PRODUCTION</v>
          </cell>
          <cell r="G215" t="str">
            <v>Operator</v>
          </cell>
          <cell r="H215" t="str">
            <v>DL</v>
          </cell>
          <cell r="I215">
            <v>64</v>
          </cell>
          <cell r="J215">
            <v>8</v>
          </cell>
          <cell r="K215">
            <v>600</v>
          </cell>
          <cell r="L215">
            <v>4800</v>
          </cell>
          <cell r="M215">
            <v>0</v>
          </cell>
          <cell r="N215">
            <v>1.25</v>
          </cell>
          <cell r="O215">
            <v>0</v>
          </cell>
          <cell r="P215">
            <v>10</v>
          </cell>
          <cell r="Q215">
            <v>93.75</v>
          </cell>
          <cell r="R215">
            <v>937.5</v>
          </cell>
          <cell r="S215">
            <v>24</v>
          </cell>
          <cell r="T215">
            <v>7.5</v>
          </cell>
          <cell r="U215">
            <v>180</v>
          </cell>
          <cell r="V215">
            <v>6</v>
          </cell>
          <cell r="W215">
            <v>9.375</v>
          </cell>
          <cell r="X215">
            <v>56.25</v>
          </cell>
          <cell r="Y215">
            <v>8</v>
          </cell>
          <cell r="Z215">
            <v>97.5</v>
          </cell>
          <cell r="AA215">
            <v>780</v>
          </cell>
          <cell r="AB215">
            <v>0</v>
          </cell>
          <cell r="AC215">
            <v>126.75</v>
          </cell>
          <cell r="AD215">
            <v>0</v>
          </cell>
          <cell r="AE215">
            <v>0</v>
          </cell>
          <cell r="AF215">
            <v>12.675000000000001</v>
          </cell>
          <cell r="AG215">
            <v>0</v>
          </cell>
          <cell r="AH215">
            <v>0</v>
          </cell>
          <cell r="AI215">
            <v>9.75</v>
          </cell>
          <cell r="AJ215">
            <v>0</v>
          </cell>
          <cell r="AK215">
            <v>0</v>
          </cell>
          <cell r="AL215">
            <v>112.5</v>
          </cell>
          <cell r="AM215">
            <v>0</v>
          </cell>
          <cell r="AN215">
            <v>0</v>
          </cell>
          <cell r="AO215">
            <v>146.25</v>
          </cell>
          <cell r="AP215">
            <v>0</v>
          </cell>
          <cell r="AQ215">
            <v>0</v>
          </cell>
          <cell r="AR215">
            <v>11.25</v>
          </cell>
          <cell r="AS215">
            <v>0</v>
          </cell>
          <cell r="AT215">
            <v>0</v>
          </cell>
          <cell r="AU215">
            <v>97.5</v>
          </cell>
          <cell r="AV215">
            <v>0</v>
          </cell>
          <cell r="AW215">
            <v>0</v>
          </cell>
          <cell r="AX215">
            <v>126.75</v>
          </cell>
          <cell r="AY215">
            <v>0</v>
          </cell>
          <cell r="AZ215">
            <v>0</v>
          </cell>
          <cell r="BA215">
            <v>9.75</v>
          </cell>
          <cell r="BB215">
            <v>0</v>
          </cell>
          <cell r="BC215">
            <v>0</v>
          </cell>
          <cell r="BD215">
            <v>150</v>
          </cell>
          <cell r="BE215">
            <v>0</v>
          </cell>
          <cell r="BF215">
            <v>0</v>
          </cell>
          <cell r="BG215">
            <v>195</v>
          </cell>
          <cell r="BH215">
            <v>0</v>
          </cell>
          <cell r="BI215">
            <v>0</v>
          </cell>
          <cell r="BJ215">
            <v>15</v>
          </cell>
          <cell r="BK215">
            <v>0</v>
          </cell>
          <cell r="BL215">
            <v>8</v>
          </cell>
          <cell r="BM215">
            <v>75</v>
          </cell>
          <cell r="BN215">
            <v>600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7353.75</v>
          </cell>
        </row>
        <row r="216">
          <cell r="C216">
            <v>32240</v>
          </cell>
          <cell r="D216" t="str">
            <v>UNTALAN,CHRIS JOSHUA SEMANA</v>
          </cell>
          <cell r="E216" t="str">
            <v>METAL STAMPING</v>
          </cell>
          <cell r="F216" t="str">
            <v>PRODUCTION</v>
          </cell>
          <cell r="G216" t="str">
            <v>Operator</v>
          </cell>
          <cell r="H216" t="str">
            <v>DL</v>
          </cell>
          <cell r="I216">
            <v>96</v>
          </cell>
          <cell r="J216">
            <v>12</v>
          </cell>
          <cell r="K216">
            <v>600</v>
          </cell>
          <cell r="L216">
            <v>7200</v>
          </cell>
          <cell r="M216">
            <v>3</v>
          </cell>
          <cell r="N216">
            <v>1.25</v>
          </cell>
          <cell r="O216">
            <v>-3.75</v>
          </cell>
          <cell r="P216">
            <v>18</v>
          </cell>
          <cell r="Q216">
            <v>93.75</v>
          </cell>
          <cell r="R216">
            <v>1687.5</v>
          </cell>
          <cell r="S216">
            <v>0</v>
          </cell>
          <cell r="T216">
            <v>7.5</v>
          </cell>
          <cell r="U216">
            <v>0</v>
          </cell>
          <cell r="V216">
            <v>0</v>
          </cell>
          <cell r="W216">
            <v>9.375</v>
          </cell>
          <cell r="X216">
            <v>0</v>
          </cell>
          <cell r="Y216">
            <v>8</v>
          </cell>
          <cell r="Z216">
            <v>97.5</v>
          </cell>
          <cell r="AA216">
            <v>780</v>
          </cell>
          <cell r="AB216">
            <v>0</v>
          </cell>
          <cell r="AC216">
            <v>126.75</v>
          </cell>
          <cell r="AD216">
            <v>0</v>
          </cell>
          <cell r="AE216">
            <v>0</v>
          </cell>
          <cell r="AF216">
            <v>12.675000000000001</v>
          </cell>
          <cell r="AG216">
            <v>0</v>
          </cell>
          <cell r="AH216">
            <v>0</v>
          </cell>
          <cell r="AI216">
            <v>9.75</v>
          </cell>
          <cell r="AJ216">
            <v>0</v>
          </cell>
          <cell r="AK216">
            <v>0</v>
          </cell>
          <cell r="AL216">
            <v>112.5</v>
          </cell>
          <cell r="AM216">
            <v>0</v>
          </cell>
          <cell r="AN216">
            <v>0</v>
          </cell>
          <cell r="AO216">
            <v>146.25</v>
          </cell>
          <cell r="AP216">
            <v>0</v>
          </cell>
          <cell r="AQ216">
            <v>0</v>
          </cell>
          <cell r="AR216">
            <v>11.25</v>
          </cell>
          <cell r="AS216">
            <v>0</v>
          </cell>
          <cell r="AT216">
            <v>0</v>
          </cell>
          <cell r="AU216">
            <v>97.5</v>
          </cell>
          <cell r="AV216">
            <v>0</v>
          </cell>
          <cell r="AW216">
            <v>0</v>
          </cell>
          <cell r="AX216">
            <v>126.75</v>
          </cell>
          <cell r="AY216">
            <v>0</v>
          </cell>
          <cell r="AZ216">
            <v>0</v>
          </cell>
          <cell r="BA216">
            <v>9.75</v>
          </cell>
          <cell r="BB216">
            <v>0</v>
          </cell>
          <cell r="BC216">
            <v>0</v>
          </cell>
          <cell r="BD216">
            <v>150</v>
          </cell>
          <cell r="BE216">
            <v>0</v>
          </cell>
          <cell r="BF216">
            <v>0</v>
          </cell>
          <cell r="BG216">
            <v>195</v>
          </cell>
          <cell r="BH216">
            <v>0</v>
          </cell>
          <cell r="BI216">
            <v>0</v>
          </cell>
          <cell r="BJ216">
            <v>15</v>
          </cell>
          <cell r="BK216">
            <v>0</v>
          </cell>
          <cell r="BL216">
            <v>8</v>
          </cell>
          <cell r="BM216">
            <v>75</v>
          </cell>
          <cell r="BN216">
            <v>600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10263.75</v>
          </cell>
        </row>
        <row r="217">
          <cell r="C217">
            <v>7505</v>
          </cell>
          <cell r="D217" t="str">
            <v>VALE, CHRISTINE ANN</v>
          </cell>
          <cell r="E217" t="str">
            <v>METAL STAMPING</v>
          </cell>
          <cell r="F217" t="str">
            <v>PRODUCTION</v>
          </cell>
          <cell r="G217" t="str">
            <v>Operator</v>
          </cell>
          <cell r="H217" t="str">
            <v>DL</v>
          </cell>
          <cell r="I217">
            <v>88</v>
          </cell>
          <cell r="J217">
            <v>11</v>
          </cell>
          <cell r="K217">
            <v>600</v>
          </cell>
          <cell r="L217">
            <v>6600</v>
          </cell>
          <cell r="M217">
            <v>0</v>
          </cell>
          <cell r="N217">
            <v>1.25</v>
          </cell>
          <cell r="O217">
            <v>0</v>
          </cell>
          <cell r="P217">
            <v>16</v>
          </cell>
          <cell r="Q217">
            <v>93.75</v>
          </cell>
          <cell r="R217">
            <v>1500</v>
          </cell>
          <cell r="S217">
            <v>18</v>
          </cell>
          <cell r="T217">
            <v>7.5</v>
          </cell>
          <cell r="U217">
            <v>135</v>
          </cell>
          <cell r="V217">
            <v>4</v>
          </cell>
          <cell r="W217">
            <v>9.375</v>
          </cell>
          <cell r="X217">
            <v>37.5</v>
          </cell>
          <cell r="Y217">
            <v>0</v>
          </cell>
          <cell r="Z217">
            <v>97.5</v>
          </cell>
          <cell r="AA217">
            <v>0</v>
          </cell>
          <cell r="AB217">
            <v>0</v>
          </cell>
          <cell r="AC217">
            <v>126.75</v>
          </cell>
          <cell r="AD217">
            <v>0</v>
          </cell>
          <cell r="AE217">
            <v>0</v>
          </cell>
          <cell r="AF217">
            <v>12.675000000000001</v>
          </cell>
          <cell r="AG217">
            <v>0</v>
          </cell>
          <cell r="AH217">
            <v>0</v>
          </cell>
          <cell r="AI217">
            <v>9.75</v>
          </cell>
          <cell r="AJ217">
            <v>0</v>
          </cell>
          <cell r="AK217">
            <v>0</v>
          </cell>
          <cell r="AL217">
            <v>112.5</v>
          </cell>
          <cell r="AM217">
            <v>0</v>
          </cell>
          <cell r="AN217">
            <v>0</v>
          </cell>
          <cell r="AO217">
            <v>146.25</v>
          </cell>
          <cell r="AP217">
            <v>0</v>
          </cell>
          <cell r="AQ217">
            <v>0</v>
          </cell>
          <cell r="AR217">
            <v>11.25</v>
          </cell>
          <cell r="AS217">
            <v>0</v>
          </cell>
          <cell r="AT217">
            <v>0</v>
          </cell>
          <cell r="AU217">
            <v>97.5</v>
          </cell>
          <cell r="AV217">
            <v>0</v>
          </cell>
          <cell r="AW217">
            <v>0</v>
          </cell>
          <cell r="AX217">
            <v>126.75</v>
          </cell>
          <cell r="AY217">
            <v>0</v>
          </cell>
          <cell r="AZ217">
            <v>0</v>
          </cell>
          <cell r="BA217">
            <v>9.75</v>
          </cell>
          <cell r="BB217">
            <v>0</v>
          </cell>
          <cell r="BC217">
            <v>0</v>
          </cell>
          <cell r="BD217">
            <v>150</v>
          </cell>
          <cell r="BE217">
            <v>0</v>
          </cell>
          <cell r="BF217">
            <v>0</v>
          </cell>
          <cell r="BG217">
            <v>195</v>
          </cell>
          <cell r="BH217">
            <v>0</v>
          </cell>
          <cell r="BI217">
            <v>0</v>
          </cell>
          <cell r="BJ217">
            <v>15</v>
          </cell>
          <cell r="BK217">
            <v>0</v>
          </cell>
          <cell r="BL217">
            <v>8</v>
          </cell>
          <cell r="BM217">
            <v>75</v>
          </cell>
          <cell r="BN217">
            <v>600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8872.5</v>
          </cell>
        </row>
        <row r="218">
          <cell r="C218">
            <v>30682</v>
          </cell>
          <cell r="D218" t="str">
            <v>VARGAS, JEANN GRACE IDEA</v>
          </cell>
          <cell r="E218" t="str">
            <v>METAL STAMPING</v>
          </cell>
          <cell r="F218" t="str">
            <v>PRODUCTION</v>
          </cell>
          <cell r="G218" t="str">
            <v>Operator</v>
          </cell>
          <cell r="H218" t="str">
            <v>IDL</v>
          </cell>
          <cell r="I218">
            <v>84</v>
          </cell>
          <cell r="J218">
            <v>10.5</v>
          </cell>
          <cell r="K218">
            <v>600</v>
          </cell>
          <cell r="L218">
            <v>6300</v>
          </cell>
          <cell r="M218">
            <v>0</v>
          </cell>
          <cell r="N218">
            <v>1.25</v>
          </cell>
          <cell r="O218">
            <v>0</v>
          </cell>
          <cell r="P218">
            <v>0</v>
          </cell>
          <cell r="Q218">
            <v>93.75</v>
          </cell>
          <cell r="R218">
            <v>0</v>
          </cell>
          <cell r="S218">
            <v>0</v>
          </cell>
          <cell r="T218">
            <v>7.5</v>
          </cell>
          <cell r="U218">
            <v>0</v>
          </cell>
          <cell r="V218">
            <v>0</v>
          </cell>
          <cell r="W218">
            <v>9.375</v>
          </cell>
          <cell r="X218">
            <v>0</v>
          </cell>
          <cell r="Y218">
            <v>0</v>
          </cell>
          <cell r="Z218">
            <v>97.5</v>
          </cell>
          <cell r="AA218">
            <v>0</v>
          </cell>
          <cell r="AB218">
            <v>0</v>
          </cell>
          <cell r="AC218">
            <v>126.75</v>
          </cell>
          <cell r="AD218">
            <v>0</v>
          </cell>
          <cell r="AE218">
            <v>0</v>
          </cell>
          <cell r="AF218">
            <v>12.675000000000001</v>
          </cell>
          <cell r="AG218">
            <v>0</v>
          </cell>
          <cell r="AH218">
            <v>0</v>
          </cell>
          <cell r="AI218">
            <v>9.75</v>
          </cell>
          <cell r="AJ218">
            <v>0</v>
          </cell>
          <cell r="AK218">
            <v>0</v>
          </cell>
          <cell r="AL218">
            <v>112.5</v>
          </cell>
          <cell r="AM218">
            <v>0</v>
          </cell>
          <cell r="AN218">
            <v>0</v>
          </cell>
          <cell r="AO218">
            <v>146.25</v>
          </cell>
          <cell r="AP218">
            <v>0</v>
          </cell>
          <cell r="AQ218">
            <v>0</v>
          </cell>
          <cell r="AR218">
            <v>11.25</v>
          </cell>
          <cell r="AS218">
            <v>0</v>
          </cell>
          <cell r="AT218">
            <v>0</v>
          </cell>
          <cell r="AU218">
            <v>97.5</v>
          </cell>
          <cell r="AV218">
            <v>0</v>
          </cell>
          <cell r="AW218">
            <v>0</v>
          </cell>
          <cell r="AX218">
            <v>126.75</v>
          </cell>
          <cell r="AY218">
            <v>0</v>
          </cell>
          <cell r="AZ218">
            <v>0</v>
          </cell>
          <cell r="BA218">
            <v>9.75</v>
          </cell>
          <cell r="BB218">
            <v>0</v>
          </cell>
          <cell r="BC218">
            <v>0</v>
          </cell>
          <cell r="BD218">
            <v>150</v>
          </cell>
          <cell r="BE218">
            <v>0</v>
          </cell>
          <cell r="BF218">
            <v>0</v>
          </cell>
          <cell r="BG218">
            <v>195</v>
          </cell>
          <cell r="BH218">
            <v>0</v>
          </cell>
          <cell r="BI218">
            <v>0</v>
          </cell>
          <cell r="BJ218">
            <v>15</v>
          </cell>
          <cell r="BK218">
            <v>0</v>
          </cell>
          <cell r="BL218">
            <v>8</v>
          </cell>
          <cell r="BM218">
            <v>75</v>
          </cell>
          <cell r="BN218">
            <v>600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6900</v>
          </cell>
        </row>
        <row r="219">
          <cell r="C219">
            <v>7500</v>
          </cell>
          <cell r="D219" t="str">
            <v>VEGA, JOYCEL CARTUJANO</v>
          </cell>
          <cell r="E219" t="str">
            <v>METAL STAMPING</v>
          </cell>
          <cell r="F219" t="str">
            <v>PRODUCTION</v>
          </cell>
          <cell r="G219" t="str">
            <v>Operator</v>
          </cell>
          <cell r="H219" t="str">
            <v>DL</v>
          </cell>
          <cell r="I219">
            <v>92</v>
          </cell>
          <cell r="J219">
            <v>11.5</v>
          </cell>
          <cell r="K219">
            <v>600</v>
          </cell>
          <cell r="L219">
            <v>6900</v>
          </cell>
          <cell r="M219">
            <v>0</v>
          </cell>
          <cell r="N219">
            <v>1.25</v>
          </cell>
          <cell r="O219">
            <v>0</v>
          </cell>
          <cell r="P219">
            <v>16</v>
          </cell>
          <cell r="Q219">
            <v>93.75</v>
          </cell>
          <cell r="R219">
            <v>1500</v>
          </cell>
          <cell r="S219">
            <v>20</v>
          </cell>
          <cell r="T219">
            <v>7.5</v>
          </cell>
          <cell r="U219">
            <v>150</v>
          </cell>
          <cell r="V219">
            <v>4</v>
          </cell>
          <cell r="W219">
            <v>9.375</v>
          </cell>
          <cell r="X219">
            <v>37.5</v>
          </cell>
          <cell r="Y219">
            <v>0</v>
          </cell>
          <cell r="Z219">
            <v>97.5</v>
          </cell>
          <cell r="AA219">
            <v>0</v>
          </cell>
          <cell r="AB219">
            <v>0</v>
          </cell>
          <cell r="AC219">
            <v>126.75</v>
          </cell>
          <cell r="AD219">
            <v>0</v>
          </cell>
          <cell r="AE219">
            <v>0</v>
          </cell>
          <cell r="AF219">
            <v>12.675000000000001</v>
          </cell>
          <cell r="AG219">
            <v>0</v>
          </cell>
          <cell r="AH219">
            <v>0</v>
          </cell>
          <cell r="AI219">
            <v>9.75</v>
          </cell>
          <cell r="AJ219">
            <v>0</v>
          </cell>
          <cell r="AK219">
            <v>0</v>
          </cell>
          <cell r="AL219">
            <v>112.5</v>
          </cell>
          <cell r="AM219">
            <v>0</v>
          </cell>
          <cell r="AN219">
            <v>0</v>
          </cell>
          <cell r="AO219">
            <v>146.25</v>
          </cell>
          <cell r="AP219">
            <v>0</v>
          </cell>
          <cell r="AQ219">
            <v>0</v>
          </cell>
          <cell r="AR219">
            <v>11.25</v>
          </cell>
          <cell r="AS219">
            <v>0</v>
          </cell>
          <cell r="AT219">
            <v>0</v>
          </cell>
          <cell r="AU219">
            <v>97.5</v>
          </cell>
          <cell r="AV219">
            <v>0</v>
          </cell>
          <cell r="AW219">
            <v>0</v>
          </cell>
          <cell r="AX219">
            <v>126.75</v>
          </cell>
          <cell r="AY219">
            <v>0</v>
          </cell>
          <cell r="AZ219">
            <v>0</v>
          </cell>
          <cell r="BA219">
            <v>9.75</v>
          </cell>
          <cell r="BB219">
            <v>0</v>
          </cell>
          <cell r="BC219">
            <v>0</v>
          </cell>
          <cell r="BD219">
            <v>150</v>
          </cell>
          <cell r="BE219">
            <v>0</v>
          </cell>
          <cell r="BF219">
            <v>0</v>
          </cell>
          <cell r="BG219">
            <v>195</v>
          </cell>
          <cell r="BH219">
            <v>0</v>
          </cell>
          <cell r="BI219">
            <v>0</v>
          </cell>
          <cell r="BJ219">
            <v>15</v>
          </cell>
          <cell r="BK219">
            <v>0</v>
          </cell>
          <cell r="BL219">
            <v>8</v>
          </cell>
          <cell r="BM219">
            <v>75</v>
          </cell>
          <cell r="BN219">
            <v>600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9187.5</v>
          </cell>
        </row>
        <row r="220">
          <cell r="C220">
            <v>32245</v>
          </cell>
          <cell r="D220" t="str">
            <v>VEGA,NASH JAE OLIVOS</v>
          </cell>
          <cell r="E220" t="str">
            <v>METAL STAMPING</v>
          </cell>
          <cell r="F220" t="str">
            <v>PRODUCTION</v>
          </cell>
          <cell r="G220" t="str">
            <v>Operator</v>
          </cell>
          <cell r="H220" t="str">
            <v>DL</v>
          </cell>
          <cell r="I220">
            <v>96</v>
          </cell>
          <cell r="J220">
            <v>12</v>
          </cell>
          <cell r="K220">
            <v>600</v>
          </cell>
          <cell r="L220">
            <v>7200</v>
          </cell>
          <cell r="M220">
            <v>3</v>
          </cell>
          <cell r="N220">
            <v>1.25</v>
          </cell>
          <cell r="O220">
            <v>-3.75</v>
          </cell>
          <cell r="P220">
            <v>16</v>
          </cell>
          <cell r="Q220">
            <v>93.75</v>
          </cell>
          <cell r="R220">
            <v>1500</v>
          </cell>
          <cell r="S220">
            <v>48</v>
          </cell>
          <cell r="T220">
            <v>7.5</v>
          </cell>
          <cell r="U220">
            <v>360</v>
          </cell>
          <cell r="V220">
            <v>12</v>
          </cell>
          <cell r="W220">
            <v>9.375</v>
          </cell>
          <cell r="X220">
            <v>112.5</v>
          </cell>
          <cell r="Y220">
            <v>8</v>
          </cell>
          <cell r="Z220">
            <v>97.5</v>
          </cell>
          <cell r="AA220">
            <v>780</v>
          </cell>
          <cell r="AB220">
            <v>0</v>
          </cell>
          <cell r="AC220">
            <v>126.75</v>
          </cell>
          <cell r="AD220">
            <v>0</v>
          </cell>
          <cell r="AE220">
            <v>0</v>
          </cell>
          <cell r="AF220">
            <v>12.675000000000001</v>
          </cell>
          <cell r="AG220">
            <v>0</v>
          </cell>
          <cell r="AH220">
            <v>0</v>
          </cell>
          <cell r="AI220">
            <v>9.75</v>
          </cell>
          <cell r="AJ220">
            <v>0</v>
          </cell>
          <cell r="AK220">
            <v>0</v>
          </cell>
          <cell r="AL220">
            <v>112.5</v>
          </cell>
          <cell r="AM220">
            <v>0</v>
          </cell>
          <cell r="AN220">
            <v>0</v>
          </cell>
          <cell r="AO220">
            <v>146.25</v>
          </cell>
          <cell r="AP220">
            <v>0</v>
          </cell>
          <cell r="AQ220">
            <v>0</v>
          </cell>
          <cell r="AR220">
            <v>11.25</v>
          </cell>
          <cell r="AS220">
            <v>0</v>
          </cell>
          <cell r="AT220">
            <v>0</v>
          </cell>
          <cell r="AU220">
            <v>97.5</v>
          </cell>
          <cell r="AV220">
            <v>0</v>
          </cell>
          <cell r="AW220">
            <v>0</v>
          </cell>
          <cell r="AX220">
            <v>126.75</v>
          </cell>
          <cell r="AY220">
            <v>0</v>
          </cell>
          <cell r="AZ220">
            <v>0</v>
          </cell>
          <cell r="BA220">
            <v>9.75</v>
          </cell>
          <cell r="BB220">
            <v>0</v>
          </cell>
          <cell r="BC220">
            <v>0</v>
          </cell>
          <cell r="BD220">
            <v>150</v>
          </cell>
          <cell r="BE220">
            <v>0</v>
          </cell>
          <cell r="BF220">
            <v>0</v>
          </cell>
          <cell r="BG220">
            <v>195</v>
          </cell>
          <cell r="BH220">
            <v>0</v>
          </cell>
          <cell r="BI220">
            <v>0</v>
          </cell>
          <cell r="BJ220">
            <v>15</v>
          </cell>
          <cell r="BK220">
            <v>0</v>
          </cell>
          <cell r="BL220">
            <v>8</v>
          </cell>
          <cell r="BM220">
            <v>75</v>
          </cell>
          <cell r="BN220">
            <v>600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10548.75</v>
          </cell>
        </row>
        <row r="221">
          <cell r="C221">
            <v>32530</v>
          </cell>
          <cell r="D221" t="str">
            <v>VENTULIRO, AMALIA</v>
          </cell>
          <cell r="E221" t="str">
            <v>METAL STAMPING</v>
          </cell>
          <cell r="F221" t="str">
            <v>PRODUCTION</v>
          </cell>
          <cell r="G221" t="str">
            <v>Operator</v>
          </cell>
          <cell r="H221" t="str">
            <v>DL</v>
          </cell>
          <cell r="I221">
            <v>96</v>
          </cell>
          <cell r="J221">
            <v>12</v>
          </cell>
          <cell r="K221">
            <v>600</v>
          </cell>
          <cell r="L221">
            <v>7200</v>
          </cell>
          <cell r="M221">
            <v>0</v>
          </cell>
          <cell r="N221">
            <v>1.25</v>
          </cell>
          <cell r="O221">
            <v>0</v>
          </cell>
          <cell r="P221">
            <v>22</v>
          </cell>
          <cell r="Q221">
            <v>93.75</v>
          </cell>
          <cell r="R221">
            <v>2062.5</v>
          </cell>
          <cell r="S221">
            <v>24</v>
          </cell>
          <cell r="T221">
            <v>7.5</v>
          </cell>
          <cell r="U221">
            <v>180</v>
          </cell>
          <cell r="V221">
            <v>6</v>
          </cell>
          <cell r="W221">
            <v>9.375</v>
          </cell>
          <cell r="X221">
            <v>56.25</v>
          </cell>
          <cell r="Y221">
            <v>0</v>
          </cell>
          <cell r="Z221">
            <v>97.5</v>
          </cell>
          <cell r="AA221">
            <v>0</v>
          </cell>
          <cell r="AB221">
            <v>0</v>
          </cell>
          <cell r="AC221">
            <v>126.75</v>
          </cell>
          <cell r="AD221">
            <v>0</v>
          </cell>
          <cell r="AE221">
            <v>0</v>
          </cell>
          <cell r="AF221">
            <v>12.675000000000001</v>
          </cell>
          <cell r="AG221">
            <v>0</v>
          </cell>
          <cell r="AH221">
            <v>0</v>
          </cell>
          <cell r="AI221">
            <v>9.75</v>
          </cell>
          <cell r="AJ221">
            <v>0</v>
          </cell>
          <cell r="AK221">
            <v>0</v>
          </cell>
          <cell r="AL221">
            <v>112.5</v>
          </cell>
          <cell r="AM221">
            <v>0</v>
          </cell>
          <cell r="AN221">
            <v>0</v>
          </cell>
          <cell r="AO221">
            <v>146.25</v>
          </cell>
          <cell r="AP221">
            <v>0</v>
          </cell>
          <cell r="AQ221">
            <v>0</v>
          </cell>
          <cell r="AR221">
            <v>11.25</v>
          </cell>
          <cell r="AS221">
            <v>0</v>
          </cell>
          <cell r="AT221">
            <v>0</v>
          </cell>
          <cell r="AU221">
            <v>97.5</v>
          </cell>
          <cell r="AV221">
            <v>0</v>
          </cell>
          <cell r="AW221">
            <v>0</v>
          </cell>
          <cell r="AX221">
            <v>126.75</v>
          </cell>
          <cell r="AY221">
            <v>0</v>
          </cell>
          <cell r="AZ221">
            <v>0</v>
          </cell>
          <cell r="BA221">
            <v>9.75</v>
          </cell>
          <cell r="BB221">
            <v>0</v>
          </cell>
          <cell r="BC221">
            <v>0</v>
          </cell>
          <cell r="BD221">
            <v>150</v>
          </cell>
          <cell r="BE221">
            <v>0</v>
          </cell>
          <cell r="BF221">
            <v>0</v>
          </cell>
          <cell r="BG221">
            <v>195</v>
          </cell>
          <cell r="BH221">
            <v>0</v>
          </cell>
          <cell r="BI221">
            <v>0</v>
          </cell>
          <cell r="BJ221">
            <v>15</v>
          </cell>
          <cell r="BK221">
            <v>0</v>
          </cell>
          <cell r="BL221">
            <v>8</v>
          </cell>
          <cell r="BM221">
            <v>75</v>
          </cell>
          <cell r="BN221">
            <v>600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10098.75</v>
          </cell>
        </row>
        <row r="222">
          <cell r="C222">
            <v>3838</v>
          </cell>
          <cell r="D222" t="str">
            <v>VERGANIO, LOVELY GLORIA</v>
          </cell>
          <cell r="E222" t="str">
            <v>METAL STAMPING</v>
          </cell>
          <cell r="F222" t="str">
            <v>PRODUCTION</v>
          </cell>
          <cell r="G222" t="str">
            <v>Operator</v>
          </cell>
          <cell r="H222" t="str">
            <v>DL</v>
          </cell>
          <cell r="I222">
            <v>104</v>
          </cell>
          <cell r="J222">
            <v>13</v>
          </cell>
          <cell r="K222">
            <v>600</v>
          </cell>
          <cell r="L222">
            <v>7800</v>
          </cell>
          <cell r="M222">
            <v>0</v>
          </cell>
          <cell r="N222">
            <v>1.25</v>
          </cell>
          <cell r="O222">
            <v>0</v>
          </cell>
          <cell r="P222">
            <v>16</v>
          </cell>
          <cell r="Q222">
            <v>93.75</v>
          </cell>
          <cell r="R222">
            <v>1500</v>
          </cell>
          <cell r="S222">
            <v>54</v>
          </cell>
          <cell r="T222">
            <v>7.5</v>
          </cell>
          <cell r="U222">
            <v>405</v>
          </cell>
          <cell r="V222">
            <v>12</v>
          </cell>
          <cell r="W222">
            <v>9.375</v>
          </cell>
          <cell r="X222">
            <v>112.5</v>
          </cell>
          <cell r="Y222">
            <v>8</v>
          </cell>
          <cell r="Z222">
            <v>97.5</v>
          </cell>
          <cell r="AA222">
            <v>780</v>
          </cell>
          <cell r="AB222">
            <v>0</v>
          </cell>
          <cell r="AC222">
            <v>126.75</v>
          </cell>
          <cell r="AD222">
            <v>0</v>
          </cell>
          <cell r="AE222">
            <v>0</v>
          </cell>
          <cell r="AF222">
            <v>12.675000000000001</v>
          </cell>
          <cell r="AG222">
            <v>0</v>
          </cell>
          <cell r="AH222">
            <v>0</v>
          </cell>
          <cell r="AI222">
            <v>9.75</v>
          </cell>
          <cell r="AJ222">
            <v>0</v>
          </cell>
          <cell r="AK222">
            <v>0</v>
          </cell>
          <cell r="AL222">
            <v>112.5</v>
          </cell>
          <cell r="AM222">
            <v>0</v>
          </cell>
          <cell r="AN222">
            <v>0</v>
          </cell>
          <cell r="AO222">
            <v>146.25</v>
          </cell>
          <cell r="AP222">
            <v>0</v>
          </cell>
          <cell r="AQ222">
            <v>0</v>
          </cell>
          <cell r="AR222">
            <v>11.25</v>
          </cell>
          <cell r="AS222">
            <v>0</v>
          </cell>
          <cell r="AT222">
            <v>0</v>
          </cell>
          <cell r="AU222">
            <v>97.5</v>
          </cell>
          <cell r="AV222">
            <v>0</v>
          </cell>
          <cell r="AW222">
            <v>0</v>
          </cell>
          <cell r="AX222">
            <v>126.75</v>
          </cell>
          <cell r="AY222">
            <v>0</v>
          </cell>
          <cell r="AZ222">
            <v>0</v>
          </cell>
          <cell r="BA222">
            <v>9.75</v>
          </cell>
          <cell r="BB222">
            <v>0</v>
          </cell>
          <cell r="BC222">
            <v>0</v>
          </cell>
          <cell r="BD222">
            <v>150</v>
          </cell>
          <cell r="BE222">
            <v>0</v>
          </cell>
          <cell r="BF222">
            <v>0</v>
          </cell>
          <cell r="BG222">
            <v>195</v>
          </cell>
          <cell r="BH222">
            <v>0</v>
          </cell>
          <cell r="BI222">
            <v>0</v>
          </cell>
          <cell r="BJ222">
            <v>15</v>
          </cell>
          <cell r="BK222">
            <v>0</v>
          </cell>
          <cell r="BL222">
            <v>8</v>
          </cell>
          <cell r="BM222">
            <v>75</v>
          </cell>
          <cell r="BN222">
            <v>600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11197.5</v>
          </cell>
        </row>
        <row r="223">
          <cell r="C223">
            <v>7512</v>
          </cell>
          <cell r="D223" t="str">
            <v>WAEL, CLARAINE PINEDA</v>
          </cell>
          <cell r="E223" t="str">
            <v>METAL STAMPING</v>
          </cell>
          <cell r="F223" t="str">
            <v>PRODUCTION</v>
          </cell>
          <cell r="G223" t="str">
            <v>Operator</v>
          </cell>
          <cell r="H223" t="str">
            <v>DL</v>
          </cell>
          <cell r="I223">
            <v>64</v>
          </cell>
          <cell r="J223">
            <v>8</v>
          </cell>
          <cell r="K223">
            <v>600</v>
          </cell>
          <cell r="L223">
            <v>4800</v>
          </cell>
          <cell r="M223">
            <v>0</v>
          </cell>
          <cell r="N223">
            <v>1.25</v>
          </cell>
          <cell r="O223">
            <v>0</v>
          </cell>
          <cell r="P223">
            <v>10</v>
          </cell>
          <cell r="Q223">
            <v>93.75</v>
          </cell>
          <cell r="R223">
            <v>937.5</v>
          </cell>
          <cell r="S223">
            <v>24</v>
          </cell>
          <cell r="T223">
            <v>7.5</v>
          </cell>
          <cell r="U223">
            <v>180</v>
          </cell>
          <cell r="V223">
            <v>6</v>
          </cell>
          <cell r="W223">
            <v>9.375</v>
          </cell>
          <cell r="X223">
            <v>56.25</v>
          </cell>
          <cell r="Y223">
            <v>8</v>
          </cell>
          <cell r="Z223">
            <v>97.5</v>
          </cell>
          <cell r="AA223">
            <v>780</v>
          </cell>
          <cell r="AB223">
            <v>0</v>
          </cell>
          <cell r="AC223">
            <v>126.75</v>
          </cell>
          <cell r="AD223">
            <v>0</v>
          </cell>
          <cell r="AE223">
            <v>0</v>
          </cell>
          <cell r="AF223">
            <v>12.675000000000001</v>
          </cell>
          <cell r="AG223">
            <v>0</v>
          </cell>
          <cell r="AH223">
            <v>0</v>
          </cell>
          <cell r="AI223">
            <v>9.75</v>
          </cell>
          <cell r="AJ223">
            <v>0</v>
          </cell>
          <cell r="AK223">
            <v>0</v>
          </cell>
          <cell r="AL223">
            <v>112.5</v>
          </cell>
          <cell r="AM223">
            <v>0</v>
          </cell>
          <cell r="AN223">
            <v>0</v>
          </cell>
          <cell r="AO223">
            <v>146.25</v>
          </cell>
          <cell r="AP223">
            <v>0</v>
          </cell>
          <cell r="AQ223">
            <v>0</v>
          </cell>
          <cell r="AR223">
            <v>11.25</v>
          </cell>
          <cell r="AS223">
            <v>0</v>
          </cell>
          <cell r="AT223">
            <v>0</v>
          </cell>
          <cell r="AU223">
            <v>97.5</v>
          </cell>
          <cell r="AV223">
            <v>0</v>
          </cell>
          <cell r="AW223">
            <v>0</v>
          </cell>
          <cell r="AX223">
            <v>126.75</v>
          </cell>
          <cell r="AY223">
            <v>0</v>
          </cell>
          <cell r="AZ223">
            <v>0</v>
          </cell>
          <cell r="BA223">
            <v>9.75</v>
          </cell>
          <cell r="BB223">
            <v>0</v>
          </cell>
          <cell r="BC223">
            <v>0</v>
          </cell>
          <cell r="BD223">
            <v>150</v>
          </cell>
          <cell r="BE223">
            <v>0</v>
          </cell>
          <cell r="BF223">
            <v>0</v>
          </cell>
          <cell r="BG223">
            <v>195</v>
          </cell>
          <cell r="BH223">
            <v>0</v>
          </cell>
          <cell r="BI223">
            <v>0</v>
          </cell>
          <cell r="BJ223">
            <v>15</v>
          </cell>
          <cell r="BK223">
            <v>0</v>
          </cell>
          <cell r="BL223">
            <v>8</v>
          </cell>
          <cell r="BM223">
            <v>75</v>
          </cell>
          <cell r="BN223">
            <v>600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7353.75</v>
          </cell>
        </row>
        <row r="224">
          <cell r="C224">
            <v>14542</v>
          </cell>
          <cell r="D224" t="str">
            <v>YONGKOL, PAULINE DE ROXAS</v>
          </cell>
          <cell r="E224" t="str">
            <v>METAL STAMPING</v>
          </cell>
          <cell r="F224" t="str">
            <v>PRODUCTION</v>
          </cell>
          <cell r="G224" t="str">
            <v>Operator</v>
          </cell>
          <cell r="H224" t="str">
            <v>IDL</v>
          </cell>
          <cell r="I224">
            <v>92</v>
          </cell>
          <cell r="J224">
            <v>11.5</v>
          </cell>
          <cell r="K224">
            <v>600</v>
          </cell>
          <cell r="L224">
            <v>6900</v>
          </cell>
          <cell r="M224">
            <v>0</v>
          </cell>
          <cell r="N224">
            <v>1.25</v>
          </cell>
          <cell r="O224">
            <v>0</v>
          </cell>
          <cell r="P224">
            <v>16</v>
          </cell>
          <cell r="Q224">
            <v>93.75</v>
          </cell>
          <cell r="R224">
            <v>1500</v>
          </cell>
          <cell r="S224">
            <v>24</v>
          </cell>
          <cell r="T224">
            <v>7.5</v>
          </cell>
          <cell r="U224">
            <v>180</v>
          </cell>
          <cell r="V224">
            <v>4</v>
          </cell>
          <cell r="W224">
            <v>9.375</v>
          </cell>
          <cell r="X224">
            <v>37.5</v>
          </cell>
          <cell r="Y224">
            <v>0</v>
          </cell>
          <cell r="Z224">
            <v>97.5</v>
          </cell>
          <cell r="AA224">
            <v>0</v>
          </cell>
          <cell r="AB224">
            <v>0</v>
          </cell>
          <cell r="AC224">
            <v>126.75</v>
          </cell>
          <cell r="AD224">
            <v>0</v>
          </cell>
          <cell r="AE224">
            <v>0</v>
          </cell>
          <cell r="AF224">
            <v>12.675000000000001</v>
          </cell>
          <cell r="AG224">
            <v>0</v>
          </cell>
          <cell r="AH224">
            <v>0</v>
          </cell>
          <cell r="AI224">
            <v>9.75</v>
          </cell>
          <cell r="AJ224">
            <v>0</v>
          </cell>
          <cell r="AK224">
            <v>0</v>
          </cell>
          <cell r="AL224">
            <v>112.5</v>
          </cell>
          <cell r="AM224">
            <v>0</v>
          </cell>
          <cell r="AN224">
            <v>0</v>
          </cell>
          <cell r="AO224">
            <v>146.25</v>
          </cell>
          <cell r="AP224">
            <v>0</v>
          </cell>
          <cell r="AQ224">
            <v>0</v>
          </cell>
          <cell r="AR224">
            <v>11.25</v>
          </cell>
          <cell r="AS224">
            <v>0</v>
          </cell>
          <cell r="AT224">
            <v>0</v>
          </cell>
          <cell r="AU224">
            <v>97.5</v>
          </cell>
          <cell r="AV224">
            <v>0</v>
          </cell>
          <cell r="AW224">
            <v>0</v>
          </cell>
          <cell r="AX224">
            <v>126.75</v>
          </cell>
          <cell r="AY224">
            <v>0</v>
          </cell>
          <cell r="AZ224">
            <v>0</v>
          </cell>
          <cell r="BA224">
            <v>9.75</v>
          </cell>
          <cell r="BB224">
            <v>0</v>
          </cell>
          <cell r="BC224">
            <v>0</v>
          </cell>
          <cell r="BD224">
            <v>150</v>
          </cell>
          <cell r="BE224">
            <v>0</v>
          </cell>
          <cell r="BF224">
            <v>0</v>
          </cell>
          <cell r="BG224">
            <v>195</v>
          </cell>
          <cell r="BH224">
            <v>0</v>
          </cell>
          <cell r="BI224">
            <v>0</v>
          </cell>
          <cell r="BJ224">
            <v>15</v>
          </cell>
          <cell r="BK224">
            <v>0</v>
          </cell>
          <cell r="BL224">
            <v>8</v>
          </cell>
          <cell r="BM224">
            <v>75</v>
          </cell>
          <cell r="BN224">
            <v>600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9217.5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ABS"/>
      <sheetName val="BILLING COMPUTATION"/>
      <sheetName val="SSS_2025"/>
      <sheetName val="PVT"/>
      <sheetName val="F1 DTR"/>
    </sheetNames>
    <sheetDataSet>
      <sheetData sheetId="0"/>
      <sheetData sheetId="1"/>
      <sheetData sheetId="2"/>
      <sheetData sheetId="3">
        <row r="8">
          <cell r="C8">
            <v>12802</v>
          </cell>
        </row>
        <row r="34">
          <cell r="C34">
            <v>12909</v>
          </cell>
          <cell r="D34" t="str">
            <v>Cerda, Josephine Tirados</v>
          </cell>
          <cell r="E34" t="str">
            <v>METAL STAMPING</v>
          </cell>
          <cell r="F34" t="str">
            <v>PRODUCTION</v>
          </cell>
          <cell r="G34" t="str">
            <v>Operator</v>
          </cell>
          <cell r="H34" t="str">
            <v>DL</v>
          </cell>
          <cell r="I34">
            <v>96</v>
          </cell>
          <cell r="J34">
            <v>12</v>
          </cell>
          <cell r="K34">
            <v>600</v>
          </cell>
          <cell r="L34">
            <v>7200</v>
          </cell>
          <cell r="M34">
            <v>0</v>
          </cell>
          <cell r="N34">
            <v>1.25</v>
          </cell>
          <cell r="O34">
            <v>0</v>
          </cell>
          <cell r="P34">
            <v>0</v>
          </cell>
          <cell r="Q34">
            <v>93.75</v>
          </cell>
          <cell r="R34">
            <v>0</v>
          </cell>
          <cell r="S34">
            <v>0</v>
          </cell>
          <cell r="T34">
            <v>7.5</v>
          </cell>
          <cell r="U34">
            <v>0</v>
          </cell>
          <cell r="V34">
            <v>0</v>
          </cell>
          <cell r="W34">
            <v>9.375</v>
          </cell>
          <cell r="X34">
            <v>0</v>
          </cell>
          <cell r="Y34">
            <v>0</v>
          </cell>
          <cell r="Z34">
            <v>97.5</v>
          </cell>
          <cell r="AA34">
            <v>0</v>
          </cell>
          <cell r="AB34">
            <v>0</v>
          </cell>
          <cell r="AC34">
            <v>126.75</v>
          </cell>
          <cell r="AD34">
            <v>0</v>
          </cell>
          <cell r="AE34">
            <v>0</v>
          </cell>
          <cell r="AF34">
            <v>9.75</v>
          </cell>
          <cell r="AG34">
            <v>0</v>
          </cell>
          <cell r="AH34">
            <v>0</v>
          </cell>
          <cell r="AI34">
            <v>112.5</v>
          </cell>
          <cell r="AJ34">
            <v>0</v>
          </cell>
          <cell r="AK34">
            <v>0</v>
          </cell>
          <cell r="AL34">
            <v>146.25</v>
          </cell>
          <cell r="AM34">
            <v>0</v>
          </cell>
          <cell r="AN34">
            <v>0</v>
          </cell>
          <cell r="AO34">
            <v>11.25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150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8</v>
          </cell>
          <cell r="BJ34">
            <v>75</v>
          </cell>
          <cell r="BK34">
            <v>600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7800</v>
          </cell>
        </row>
      </sheetData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ABS"/>
      <sheetName val="BILLING COMPUTATION"/>
      <sheetName val="SSS_2025"/>
      <sheetName val="PIVOT "/>
      <sheetName val="Pivot F3 DTR"/>
      <sheetName val="Pivot Logistic"/>
    </sheetNames>
    <sheetDataSet>
      <sheetData sheetId="0" refreshError="1"/>
      <sheetData sheetId="1" refreshError="1"/>
      <sheetData sheetId="2" refreshError="1"/>
      <sheetData sheetId="3" refreshError="1">
        <row r="8">
          <cell r="C8">
            <v>12801</v>
          </cell>
          <cell r="D8" t="str">
            <v>Abaca, Jomel C.</v>
          </cell>
          <cell r="E8">
            <v>72</v>
          </cell>
          <cell r="F8">
            <v>9</v>
          </cell>
          <cell r="G8">
            <v>600</v>
          </cell>
          <cell r="H8">
            <v>5400</v>
          </cell>
          <cell r="I8">
            <v>8</v>
          </cell>
          <cell r="J8">
            <v>1.25</v>
          </cell>
          <cell r="K8">
            <v>-10</v>
          </cell>
          <cell r="L8">
            <v>21</v>
          </cell>
          <cell r="M8">
            <v>93.75</v>
          </cell>
          <cell r="N8">
            <v>1968.75</v>
          </cell>
          <cell r="O8">
            <v>0</v>
          </cell>
          <cell r="P8">
            <v>7.5</v>
          </cell>
          <cell r="Q8">
            <v>0</v>
          </cell>
          <cell r="R8">
            <v>8</v>
          </cell>
          <cell r="S8">
            <v>97.5</v>
          </cell>
          <cell r="T8">
            <v>780</v>
          </cell>
          <cell r="U8">
            <v>2</v>
          </cell>
          <cell r="V8">
            <v>126.75</v>
          </cell>
          <cell r="W8">
            <v>253.5</v>
          </cell>
          <cell r="X8">
            <v>0</v>
          </cell>
          <cell r="Y8">
            <v>9.75</v>
          </cell>
          <cell r="Z8">
            <v>0</v>
          </cell>
          <cell r="AA8">
            <v>0</v>
          </cell>
          <cell r="AB8">
            <v>112.5</v>
          </cell>
          <cell r="AC8">
            <v>0</v>
          </cell>
          <cell r="AD8">
            <v>0</v>
          </cell>
          <cell r="AE8">
            <v>146.25</v>
          </cell>
          <cell r="AF8">
            <v>0</v>
          </cell>
          <cell r="AG8">
            <v>0</v>
          </cell>
          <cell r="AH8">
            <v>11.25</v>
          </cell>
          <cell r="AI8">
            <v>0</v>
          </cell>
          <cell r="AJ8">
            <v>8</v>
          </cell>
          <cell r="AK8">
            <v>97.5</v>
          </cell>
          <cell r="AL8">
            <v>780</v>
          </cell>
          <cell r="AM8">
            <v>0</v>
          </cell>
          <cell r="AN8">
            <v>126.75</v>
          </cell>
          <cell r="AO8">
            <v>0</v>
          </cell>
          <cell r="AP8">
            <v>0</v>
          </cell>
          <cell r="AQ8">
            <v>9.75</v>
          </cell>
          <cell r="AR8">
            <v>0</v>
          </cell>
          <cell r="AS8">
            <v>0</v>
          </cell>
          <cell r="AT8">
            <v>150</v>
          </cell>
          <cell r="AU8">
            <v>0</v>
          </cell>
          <cell r="AV8">
            <v>0</v>
          </cell>
          <cell r="AW8">
            <v>195</v>
          </cell>
          <cell r="AX8">
            <v>0</v>
          </cell>
          <cell r="AY8">
            <v>0</v>
          </cell>
          <cell r="AZ8">
            <v>15</v>
          </cell>
          <cell r="BA8">
            <v>0</v>
          </cell>
          <cell r="BB8">
            <v>0</v>
          </cell>
          <cell r="BC8">
            <v>75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9172.25</v>
          </cell>
        </row>
        <row r="9">
          <cell r="C9">
            <v>12802</v>
          </cell>
          <cell r="D9" t="str">
            <v>Abanes, Jay-ar A.</v>
          </cell>
          <cell r="E9">
            <v>88</v>
          </cell>
          <cell r="F9">
            <v>11</v>
          </cell>
          <cell r="G9">
            <v>600</v>
          </cell>
          <cell r="H9">
            <v>6600</v>
          </cell>
          <cell r="I9">
            <v>0</v>
          </cell>
          <cell r="J9">
            <v>1.25</v>
          </cell>
          <cell r="K9">
            <v>0</v>
          </cell>
          <cell r="L9">
            <v>18</v>
          </cell>
          <cell r="M9">
            <v>93.75</v>
          </cell>
          <cell r="N9">
            <v>1687.5</v>
          </cell>
          <cell r="O9">
            <v>52</v>
          </cell>
          <cell r="P9">
            <v>7.5</v>
          </cell>
          <cell r="Q9">
            <v>390</v>
          </cell>
          <cell r="R9">
            <v>8</v>
          </cell>
          <cell r="S9">
            <v>97.5</v>
          </cell>
          <cell r="T9">
            <v>780</v>
          </cell>
          <cell r="U9">
            <v>0</v>
          </cell>
          <cell r="V9">
            <v>126.75</v>
          </cell>
          <cell r="W9">
            <v>0</v>
          </cell>
          <cell r="X9">
            <v>0</v>
          </cell>
          <cell r="Y9">
            <v>9.75</v>
          </cell>
          <cell r="Z9">
            <v>0</v>
          </cell>
          <cell r="AA9">
            <v>0</v>
          </cell>
          <cell r="AB9">
            <v>112.5</v>
          </cell>
          <cell r="AC9">
            <v>0</v>
          </cell>
          <cell r="AD9">
            <v>0</v>
          </cell>
          <cell r="AE9">
            <v>146.25</v>
          </cell>
          <cell r="AF9">
            <v>0</v>
          </cell>
          <cell r="AG9">
            <v>0</v>
          </cell>
          <cell r="AH9">
            <v>11.25</v>
          </cell>
          <cell r="AI9">
            <v>0</v>
          </cell>
          <cell r="AJ9">
            <v>8</v>
          </cell>
          <cell r="AK9">
            <v>97.5</v>
          </cell>
          <cell r="AL9">
            <v>780</v>
          </cell>
          <cell r="AM9">
            <v>0</v>
          </cell>
          <cell r="AN9">
            <v>126.75</v>
          </cell>
          <cell r="AO9">
            <v>0</v>
          </cell>
          <cell r="AP9">
            <v>0</v>
          </cell>
          <cell r="AQ9">
            <v>9.75</v>
          </cell>
          <cell r="AR9">
            <v>0</v>
          </cell>
          <cell r="AS9">
            <v>0</v>
          </cell>
          <cell r="AT9">
            <v>150</v>
          </cell>
          <cell r="AU9">
            <v>0</v>
          </cell>
          <cell r="AV9">
            <v>0</v>
          </cell>
          <cell r="AW9">
            <v>195</v>
          </cell>
          <cell r="AX9">
            <v>0</v>
          </cell>
          <cell r="AY9">
            <v>0</v>
          </cell>
          <cell r="AZ9">
            <v>15</v>
          </cell>
          <cell r="BA9">
            <v>0</v>
          </cell>
          <cell r="BB9">
            <v>0</v>
          </cell>
          <cell r="BC9">
            <v>75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10237.5</v>
          </cell>
        </row>
        <row r="10">
          <cell r="C10">
            <v>30252</v>
          </cell>
          <cell r="D10" t="str">
            <v>Abanica, Jherica Alarcon</v>
          </cell>
          <cell r="E10">
            <v>64</v>
          </cell>
          <cell r="F10">
            <v>8</v>
          </cell>
          <cell r="G10">
            <v>600</v>
          </cell>
          <cell r="H10">
            <v>4800</v>
          </cell>
          <cell r="I10">
            <v>3</v>
          </cell>
          <cell r="J10">
            <v>1.25</v>
          </cell>
          <cell r="K10">
            <v>-3.75</v>
          </cell>
          <cell r="L10">
            <v>14</v>
          </cell>
          <cell r="M10">
            <v>93.75</v>
          </cell>
          <cell r="N10">
            <v>1312.5</v>
          </cell>
          <cell r="O10">
            <v>30</v>
          </cell>
          <cell r="P10">
            <v>7.5</v>
          </cell>
          <cell r="Q10">
            <v>225</v>
          </cell>
          <cell r="R10">
            <v>8</v>
          </cell>
          <cell r="S10">
            <v>97.5</v>
          </cell>
          <cell r="T10">
            <v>780</v>
          </cell>
          <cell r="U10">
            <v>0</v>
          </cell>
          <cell r="V10">
            <v>126.75</v>
          </cell>
          <cell r="W10">
            <v>0</v>
          </cell>
          <cell r="X10">
            <v>0</v>
          </cell>
          <cell r="Y10">
            <v>9.75</v>
          </cell>
          <cell r="Z10">
            <v>0</v>
          </cell>
          <cell r="AA10">
            <v>0</v>
          </cell>
          <cell r="AB10">
            <v>112.5</v>
          </cell>
          <cell r="AC10">
            <v>0</v>
          </cell>
          <cell r="AD10">
            <v>0</v>
          </cell>
          <cell r="AE10">
            <v>146.25</v>
          </cell>
          <cell r="AF10">
            <v>0</v>
          </cell>
          <cell r="AG10">
            <v>0</v>
          </cell>
          <cell r="AH10">
            <v>11.25</v>
          </cell>
          <cell r="AI10">
            <v>0</v>
          </cell>
          <cell r="AJ10">
            <v>8</v>
          </cell>
          <cell r="AK10">
            <v>97.5</v>
          </cell>
          <cell r="AL10">
            <v>780</v>
          </cell>
          <cell r="AM10">
            <v>0</v>
          </cell>
          <cell r="AN10">
            <v>126.75</v>
          </cell>
          <cell r="AO10">
            <v>0</v>
          </cell>
          <cell r="AP10">
            <v>0</v>
          </cell>
          <cell r="AQ10">
            <v>9.75</v>
          </cell>
          <cell r="AR10">
            <v>0</v>
          </cell>
          <cell r="AS10">
            <v>0</v>
          </cell>
          <cell r="AT10">
            <v>150</v>
          </cell>
          <cell r="AU10">
            <v>0</v>
          </cell>
          <cell r="AV10">
            <v>0</v>
          </cell>
          <cell r="AW10">
            <v>195</v>
          </cell>
          <cell r="AX10">
            <v>0</v>
          </cell>
          <cell r="AY10">
            <v>0</v>
          </cell>
          <cell r="AZ10">
            <v>15</v>
          </cell>
          <cell r="BA10">
            <v>0</v>
          </cell>
          <cell r="BB10">
            <v>0</v>
          </cell>
          <cell r="BC10">
            <v>75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7893.75</v>
          </cell>
        </row>
        <row r="11">
          <cell r="C11">
            <v>12803</v>
          </cell>
          <cell r="D11" t="str">
            <v>Aberia, Ezequiel M.</v>
          </cell>
          <cell r="E11">
            <v>80</v>
          </cell>
          <cell r="F11">
            <v>10</v>
          </cell>
          <cell r="G11">
            <v>600</v>
          </cell>
          <cell r="H11">
            <v>6000</v>
          </cell>
          <cell r="I11">
            <v>0</v>
          </cell>
          <cell r="J11">
            <v>1.25</v>
          </cell>
          <cell r="K11">
            <v>0</v>
          </cell>
          <cell r="L11">
            <v>18</v>
          </cell>
          <cell r="M11">
            <v>93.75</v>
          </cell>
          <cell r="N11">
            <v>1687.5</v>
          </cell>
          <cell r="O11">
            <v>32</v>
          </cell>
          <cell r="P11">
            <v>7.5</v>
          </cell>
          <cell r="Q11">
            <v>240</v>
          </cell>
          <cell r="R11">
            <v>0</v>
          </cell>
          <cell r="S11">
            <v>97.5</v>
          </cell>
          <cell r="T11">
            <v>0</v>
          </cell>
          <cell r="U11">
            <v>0</v>
          </cell>
          <cell r="V11">
            <v>126.75</v>
          </cell>
          <cell r="W11">
            <v>0</v>
          </cell>
          <cell r="X11">
            <v>0</v>
          </cell>
          <cell r="Y11">
            <v>9.75</v>
          </cell>
          <cell r="Z11">
            <v>0</v>
          </cell>
          <cell r="AA11">
            <v>0</v>
          </cell>
          <cell r="AB11">
            <v>112.5</v>
          </cell>
          <cell r="AC11">
            <v>0</v>
          </cell>
          <cell r="AD11">
            <v>0</v>
          </cell>
          <cell r="AE11">
            <v>146.25</v>
          </cell>
          <cell r="AF11">
            <v>0</v>
          </cell>
          <cell r="AG11">
            <v>0</v>
          </cell>
          <cell r="AH11">
            <v>11.25</v>
          </cell>
          <cell r="AI11">
            <v>0</v>
          </cell>
          <cell r="AJ11">
            <v>0</v>
          </cell>
          <cell r="AK11">
            <v>97.5</v>
          </cell>
          <cell r="AL11">
            <v>0</v>
          </cell>
          <cell r="AM11">
            <v>0</v>
          </cell>
          <cell r="AN11">
            <v>126.75</v>
          </cell>
          <cell r="AO11">
            <v>0</v>
          </cell>
          <cell r="AP11">
            <v>0</v>
          </cell>
          <cell r="AQ11">
            <v>9.75</v>
          </cell>
          <cell r="AR11">
            <v>0</v>
          </cell>
          <cell r="AS11">
            <v>0</v>
          </cell>
          <cell r="AT11">
            <v>150</v>
          </cell>
          <cell r="AU11">
            <v>0</v>
          </cell>
          <cell r="AV11">
            <v>0</v>
          </cell>
          <cell r="AW11">
            <v>195</v>
          </cell>
          <cell r="AX11">
            <v>0</v>
          </cell>
          <cell r="AY11">
            <v>0</v>
          </cell>
          <cell r="AZ11">
            <v>15</v>
          </cell>
          <cell r="BA11">
            <v>0</v>
          </cell>
          <cell r="BB11">
            <v>0</v>
          </cell>
          <cell r="BC11">
            <v>75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7927.5</v>
          </cell>
        </row>
        <row r="12">
          <cell r="C12">
            <v>12804</v>
          </cell>
          <cell r="D12" t="str">
            <v>Ablanque, Jerwin A.</v>
          </cell>
          <cell r="E12">
            <v>88</v>
          </cell>
          <cell r="F12">
            <v>11</v>
          </cell>
          <cell r="G12">
            <v>600</v>
          </cell>
          <cell r="H12">
            <v>6600</v>
          </cell>
          <cell r="I12">
            <v>55</v>
          </cell>
          <cell r="J12">
            <v>1.25</v>
          </cell>
          <cell r="K12">
            <v>-68.75</v>
          </cell>
          <cell r="L12">
            <v>20</v>
          </cell>
          <cell r="M12">
            <v>93.75</v>
          </cell>
          <cell r="N12">
            <v>1875</v>
          </cell>
          <cell r="O12">
            <v>86</v>
          </cell>
          <cell r="P12">
            <v>7.5</v>
          </cell>
          <cell r="Q12">
            <v>645</v>
          </cell>
          <cell r="R12">
            <v>8</v>
          </cell>
          <cell r="S12">
            <v>97.5</v>
          </cell>
          <cell r="T12">
            <v>780</v>
          </cell>
          <cell r="U12">
            <v>0</v>
          </cell>
          <cell r="V12">
            <v>126.75</v>
          </cell>
          <cell r="W12">
            <v>0</v>
          </cell>
          <cell r="X12">
            <v>0</v>
          </cell>
          <cell r="Y12">
            <v>9.75</v>
          </cell>
          <cell r="Z12">
            <v>0</v>
          </cell>
          <cell r="AA12">
            <v>0</v>
          </cell>
          <cell r="AB12">
            <v>112.5</v>
          </cell>
          <cell r="AC12">
            <v>0</v>
          </cell>
          <cell r="AD12">
            <v>0</v>
          </cell>
          <cell r="AE12">
            <v>146.25</v>
          </cell>
          <cell r="AF12">
            <v>0</v>
          </cell>
          <cell r="AG12">
            <v>0</v>
          </cell>
          <cell r="AH12">
            <v>11.25</v>
          </cell>
          <cell r="AI12">
            <v>0</v>
          </cell>
          <cell r="AJ12">
            <v>0</v>
          </cell>
          <cell r="AK12">
            <v>97.5</v>
          </cell>
          <cell r="AL12">
            <v>0</v>
          </cell>
          <cell r="AM12">
            <v>0</v>
          </cell>
          <cell r="AN12">
            <v>126.75</v>
          </cell>
          <cell r="AO12">
            <v>0</v>
          </cell>
          <cell r="AP12">
            <v>0</v>
          </cell>
          <cell r="AQ12">
            <v>9.75</v>
          </cell>
          <cell r="AR12">
            <v>0</v>
          </cell>
          <cell r="AS12">
            <v>0</v>
          </cell>
          <cell r="AT12">
            <v>150</v>
          </cell>
          <cell r="AU12">
            <v>0</v>
          </cell>
          <cell r="AV12">
            <v>0</v>
          </cell>
          <cell r="AW12">
            <v>195</v>
          </cell>
          <cell r="AX12">
            <v>0</v>
          </cell>
          <cell r="AY12">
            <v>0</v>
          </cell>
          <cell r="AZ12">
            <v>15</v>
          </cell>
          <cell r="BA12">
            <v>0</v>
          </cell>
          <cell r="BB12">
            <v>0</v>
          </cell>
          <cell r="BC12">
            <v>75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9831.25</v>
          </cell>
        </row>
        <row r="13">
          <cell r="C13">
            <v>5600</v>
          </cell>
          <cell r="D13" t="str">
            <v>Abordo, John Clarence Espina</v>
          </cell>
          <cell r="E13">
            <v>72</v>
          </cell>
          <cell r="F13">
            <v>9</v>
          </cell>
          <cell r="G13">
            <v>600</v>
          </cell>
          <cell r="H13">
            <v>5400</v>
          </cell>
          <cell r="I13">
            <v>3</v>
          </cell>
          <cell r="J13">
            <v>1.25</v>
          </cell>
          <cell r="K13">
            <v>-3.75</v>
          </cell>
          <cell r="L13">
            <v>15</v>
          </cell>
          <cell r="M13">
            <v>93.75</v>
          </cell>
          <cell r="N13">
            <v>1406.25</v>
          </cell>
          <cell r="O13">
            <v>31</v>
          </cell>
          <cell r="P13">
            <v>7.5</v>
          </cell>
          <cell r="Q13">
            <v>232.5</v>
          </cell>
          <cell r="R13">
            <v>0</v>
          </cell>
          <cell r="S13">
            <v>97.5</v>
          </cell>
          <cell r="T13">
            <v>0</v>
          </cell>
          <cell r="U13">
            <v>0</v>
          </cell>
          <cell r="V13">
            <v>126.75</v>
          </cell>
          <cell r="W13">
            <v>0</v>
          </cell>
          <cell r="X13">
            <v>0</v>
          </cell>
          <cell r="Y13">
            <v>9.75</v>
          </cell>
          <cell r="Z13">
            <v>0</v>
          </cell>
          <cell r="AA13">
            <v>0</v>
          </cell>
          <cell r="AB13">
            <v>112.5</v>
          </cell>
          <cell r="AC13">
            <v>0</v>
          </cell>
          <cell r="AD13">
            <v>0</v>
          </cell>
          <cell r="AE13">
            <v>146.25</v>
          </cell>
          <cell r="AF13">
            <v>0</v>
          </cell>
          <cell r="AG13">
            <v>0</v>
          </cell>
          <cell r="AH13">
            <v>11.25</v>
          </cell>
          <cell r="AI13">
            <v>0</v>
          </cell>
          <cell r="AJ13">
            <v>0</v>
          </cell>
          <cell r="AK13">
            <v>97.5</v>
          </cell>
          <cell r="AL13">
            <v>0</v>
          </cell>
          <cell r="AM13">
            <v>0</v>
          </cell>
          <cell r="AN13">
            <v>126.75</v>
          </cell>
          <cell r="AO13">
            <v>0</v>
          </cell>
          <cell r="AP13">
            <v>0</v>
          </cell>
          <cell r="AQ13">
            <v>9.75</v>
          </cell>
          <cell r="AR13">
            <v>0</v>
          </cell>
          <cell r="AS13">
            <v>0</v>
          </cell>
          <cell r="AT13">
            <v>150</v>
          </cell>
          <cell r="AU13">
            <v>0</v>
          </cell>
          <cell r="AV13">
            <v>0</v>
          </cell>
          <cell r="AW13">
            <v>195</v>
          </cell>
          <cell r="AX13">
            <v>0</v>
          </cell>
          <cell r="AY13">
            <v>0</v>
          </cell>
          <cell r="AZ13">
            <v>15</v>
          </cell>
          <cell r="BA13">
            <v>0</v>
          </cell>
          <cell r="BB13">
            <v>0</v>
          </cell>
          <cell r="BC13">
            <v>75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7035</v>
          </cell>
        </row>
        <row r="14">
          <cell r="C14">
            <v>7910</v>
          </cell>
          <cell r="D14" t="str">
            <v>Abordo, John Francis Espina</v>
          </cell>
          <cell r="E14">
            <v>48</v>
          </cell>
          <cell r="F14">
            <v>6</v>
          </cell>
          <cell r="G14">
            <v>600</v>
          </cell>
          <cell r="H14">
            <v>3600</v>
          </cell>
          <cell r="I14">
            <v>0</v>
          </cell>
          <cell r="J14">
            <v>1.25</v>
          </cell>
          <cell r="K14">
            <v>0</v>
          </cell>
          <cell r="L14">
            <v>8</v>
          </cell>
          <cell r="M14">
            <v>93.75</v>
          </cell>
          <cell r="N14">
            <v>750</v>
          </cell>
          <cell r="O14">
            <v>0</v>
          </cell>
          <cell r="P14">
            <v>7.5</v>
          </cell>
          <cell r="Q14">
            <v>0</v>
          </cell>
          <cell r="R14">
            <v>0</v>
          </cell>
          <cell r="S14">
            <v>97.5</v>
          </cell>
          <cell r="T14">
            <v>0</v>
          </cell>
          <cell r="U14">
            <v>0</v>
          </cell>
          <cell r="V14">
            <v>126.75</v>
          </cell>
          <cell r="W14">
            <v>0</v>
          </cell>
          <cell r="X14">
            <v>0</v>
          </cell>
          <cell r="Y14">
            <v>9.75</v>
          </cell>
          <cell r="Z14">
            <v>0</v>
          </cell>
          <cell r="AA14">
            <v>0</v>
          </cell>
          <cell r="AB14">
            <v>112.5</v>
          </cell>
          <cell r="AC14">
            <v>0</v>
          </cell>
          <cell r="AD14">
            <v>0</v>
          </cell>
          <cell r="AE14">
            <v>146.25</v>
          </cell>
          <cell r="AF14">
            <v>0</v>
          </cell>
          <cell r="AG14">
            <v>0</v>
          </cell>
          <cell r="AH14">
            <v>11.25</v>
          </cell>
          <cell r="AI14">
            <v>0</v>
          </cell>
          <cell r="AJ14">
            <v>0</v>
          </cell>
          <cell r="AK14">
            <v>97.5</v>
          </cell>
          <cell r="AL14">
            <v>0</v>
          </cell>
          <cell r="AM14">
            <v>0</v>
          </cell>
          <cell r="AN14">
            <v>126.75</v>
          </cell>
          <cell r="AO14">
            <v>0</v>
          </cell>
          <cell r="AP14">
            <v>0</v>
          </cell>
          <cell r="AQ14">
            <v>9.75</v>
          </cell>
          <cell r="AR14">
            <v>0</v>
          </cell>
          <cell r="AS14">
            <v>0</v>
          </cell>
          <cell r="AT14">
            <v>150</v>
          </cell>
          <cell r="AU14">
            <v>0</v>
          </cell>
          <cell r="AV14">
            <v>0</v>
          </cell>
          <cell r="AW14">
            <v>195</v>
          </cell>
          <cell r="AX14">
            <v>0</v>
          </cell>
          <cell r="AY14">
            <v>0</v>
          </cell>
          <cell r="AZ14">
            <v>15</v>
          </cell>
          <cell r="BA14">
            <v>0</v>
          </cell>
          <cell r="BB14">
            <v>0</v>
          </cell>
          <cell r="BC14">
            <v>75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4350</v>
          </cell>
        </row>
        <row r="15">
          <cell r="C15">
            <v>30791</v>
          </cell>
          <cell r="D15" t="str">
            <v>Acebo, John Mark M</v>
          </cell>
          <cell r="E15">
            <v>72</v>
          </cell>
          <cell r="F15">
            <v>9</v>
          </cell>
          <cell r="G15">
            <v>600</v>
          </cell>
          <cell r="H15">
            <v>5400</v>
          </cell>
          <cell r="I15">
            <v>12</v>
          </cell>
          <cell r="J15">
            <v>1.25</v>
          </cell>
          <cell r="K15">
            <v>-15</v>
          </cell>
          <cell r="L15">
            <v>12</v>
          </cell>
          <cell r="M15">
            <v>93.75</v>
          </cell>
          <cell r="N15">
            <v>1125</v>
          </cell>
          <cell r="O15">
            <v>66</v>
          </cell>
          <cell r="P15">
            <v>7.5</v>
          </cell>
          <cell r="Q15">
            <v>495</v>
          </cell>
          <cell r="R15">
            <v>0</v>
          </cell>
          <cell r="S15">
            <v>97.5</v>
          </cell>
          <cell r="T15">
            <v>0</v>
          </cell>
          <cell r="U15">
            <v>0</v>
          </cell>
          <cell r="V15">
            <v>126.75</v>
          </cell>
          <cell r="W15">
            <v>0</v>
          </cell>
          <cell r="X15">
            <v>0</v>
          </cell>
          <cell r="Y15">
            <v>9.75</v>
          </cell>
          <cell r="Z15">
            <v>0</v>
          </cell>
          <cell r="AA15">
            <v>0</v>
          </cell>
          <cell r="AB15">
            <v>112.5</v>
          </cell>
          <cell r="AC15">
            <v>0</v>
          </cell>
          <cell r="AD15">
            <v>0</v>
          </cell>
          <cell r="AE15">
            <v>146.25</v>
          </cell>
          <cell r="AF15">
            <v>0</v>
          </cell>
          <cell r="AG15">
            <v>0</v>
          </cell>
          <cell r="AH15">
            <v>11.25</v>
          </cell>
          <cell r="AI15">
            <v>0</v>
          </cell>
          <cell r="AJ15">
            <v>0</v>
          </cell>
          <cell r="AK15">
            <v>97.5</v>
          </cell>
          <cell r="AL15">
            <v>0</v>
          </cell>
          <cell r="AM15">
            <v>0</v>
          </cell>
          <cell r="AN15">
            <v>126.75</v>
          </cell>
          <cell r="AO15">
            <v>0</v>
          </cell>
          <cell r="AP15">
            <v>0</v>
          </cell>
          <cell r="AQ15">
            <v>9.75</v>
          </cell>
          <cell r="AR15">
            <v>0</v>
          </cell>
          <cell r="AS15">
            <v>0</v>
          </cell>
          <cell r="AT15">
            <v>150</v>
          </cell>
          <cell r="AU15">
            <v>0</v>
          </cell>
          <cell r="AV15">
            <v>0</v>
          </cell>
          <cell r="AW15">
            <v>195</v>
          </cell>
          <cell r="AX15">
            <v>0</v>
          </cell>
          <cell r="AY15">
            <v>0</v>
          </cell>
          <cell r="AZ15">
            <v>15</v>
          </cell>
          <cell r="BA15">
            <v>0</v>
          </cell>
          <cell r="BB15">
            <v>0</v>
          </cell>
          <cell r="BC15">
            <v>75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7005</v>
          </cell>
        </row>
        <row r="16">
          <cell r="C16">
            <v>10049</v>
          </cell>
          <cell r="D16" t="str">
            <v>Aclan, Maurien B.</v>
          </cell>
          <cell r="E16">
            <v>88</v>
          </cell>
          <cell r="F16">
            <v>11</v>
          </cell>
          <cell r="G16">
            <v>600</v>
          </cell>
          <cell r="H16">
            <v>6600</v>
          </cell>
          <cell r="I16">
            <v>0</v>
          </cell>
          <cell r="J16">
            <v>1.25</v>
          </cell>
          <cell r="K16">
            <v>0</v>
          </cell>
          <cell r="L16">
            <v>20</v>
          </cell>
          <cell r="M16">
            <v>93.75</v>
          </cell>
          <cell r="N16">
            <v>1875</v>
          </cell>
          <cell r="O16">
            <v>54</v>
          </cell>
          <cell r="P16">
            <v>7.5</v>
          </cell>
          <cell r="Q16">
            <v>405</v>
          </cell>
          <cell r="R16">
            <v>0</v>
          </cell>
          <cell r="S16">
            <v>97.5</v>
          </cell>
          <cell r="T16">
            <v>0</v>
          </cell>
          <cell r="U16">
            <v>0</v>
          </cell>
          <cell r="V16">
            <v>126.75</v>
          </cell>
          <cell r="W16">
            <v>0</v>
          </cell>
          <cell r="X16">
            <v>0</v>
          </cell>
          <cell r="Y16">
            <v>9.75</v>
          </cell>
          <cell r="Z16">
            <v>0</v>
          </cell>
          <cell r="AA16">
            <v>0</v>
          </cell>
          <cell r="AB16">
            <v>112.5</v>
          </cell>
          <cell r="AC16">
            <v>0</v>
          </cell>
          <cell r="AD16">
            <v>0</v>
          </cell>
          <cell r="AE16">
            <v>146.25</v>
          </cell>
          <cell r="AF16">
            <v>0</v>
          </cell>
          <cell r="AG16">
            <v>0</v>
          </cell>
          <cell r="AH16">
            <v>11.25</v>
          </cell>
          <cell r="AI16">
            <v>0</v>
          </cell>
          <cell r="AJ16">
            <v>8</v>
          </cell>
          <cell r="AK16">
            <v>97.5</v>
          </cell>
          <cell r="AL16">
            <v>780</v>
          </cell>
          <cell r="AM16">
            <v>0</v>
          </cell>
          <cell r="AN16">
            <v>126.75</v>
          </cell>
          <cell r="AO16">
            <v>0</v>
          </cell>
          <cell r="AP16">
            <v>0</v>
          </cell>
          <cell r="AQ16">
            <v>9.75</v>
          </cell>
          <cell r="AR16">
            <v>0</v>
          </cell>
          <cell r="AS16">
            <v>0</v>
          </cell>
          <cell r="AT16">
            <v>150</v>
          </cell>
          <cell r="AU16">
            <v>0</v>
          </cell>
          <cell r="AV16">
            <v>0</v>
          </cell>
          <cell r="AW16">
            <v>195</v>
          </cell>
          <cell r="AX16">
            <v>0</v>
          </cell>
          <cell r="AY16">
            <v>0</v>
          </cell>
          <cell r="AZ16">
            <v>15</v>
          </cell>
          <cell r="BA16">
            <v>0</v>
          </cell>
          <cell r="BB16">
            <v>0</v>
          </cell>
          <cell r="BC16">
            <v>75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9660</v>
          </cell>
        </row>
        <row r="17">
          <cell r="C17">
            <v>12811</v>
          </cell>
          <cell r="D17" t="str">
            <v>Adorna, Jhon Ernie B.</v>
          </cell>
          <cell r="E17">
            <v>64</v>
          </cell>
          <cell r="F17">
            <v>8</v>
          </cell>
          <cell r="G17">
            <v>600</v>
          </cell>
          <cell r="H17">
            <v>4800</v>
          </cell>
          <cell r="I17">
            <v>0</v>
          </cell>
          <cell r="J17">
            <v>1.25</v>
          </cell>
          <cell r="K17">
            <v>0</v>
          </cell>
          <cell r="L17">
            <v>14</v>
          </cell>
          <cell r="M17">
            <v>93.75</v>
          </cell>
          <cell r="N17">
            <v>1312.5</v>
          </cell>
          <cell r="O17">
            <v>0</v>
          </cell>
          <cell r="P17">
            <v>7.5</v>
          </cell>
          <cell r="Q17">
            <v>0</v>
          </cell>
          <cell r="R17">
            <v>0</v>
          </cell>
          <cell r="S17">
            <v>97.5</v>
          </cell>
          <cell r="T17">
            <v>0</v>
          </cell>
          <cell r="U17">
            <v>0</v>
          </cell>
          <cell r="V17">
            <v>126.75</v>
          </cell>
          <cell r="W17">
            <v>0</v>
          </cell>
          <cell r="X17">
            <v>0</v>
          </cell>
          <cell r="Y17">
            <v>9.75</v>
          </cell>
          <cell r="Z17">
            <v>0</v>
          </cell>
          <cell r="AA17">
            <v>0</v>
          </cell>
          <cell r="AB17">
            <v>112.5</v>
          </cell>
          <cell r="AC17">
            <v>0</v>
          </cell>
          <cell r="AD17">
            <v>0</v>
          </cell>
          <cell r="AE17">
            <v>146.25</v>
          </cell>
          <cell r="AF17">
            <v>0</v>
          </cell>
          <cell r="AG17">
            <v>0</v>
          </cell>
          <cell r="AH17">
            <v>11.25</v>
          </cell>
          <cell r="AI17">
            <v>0</v>
          </cell>
          <cell r="AJ17">
            <v>8</v>
          </cell>
          <cell r="AK17">
            <v>97.5</v>
          </cell>
          <cell r="AL17">
            <v>780</v>
          </cell>
          <cell r="AM17">
            <v>0</v>
          </cell>
          <cell r="AN17">
            <v>126.75</v>
          </cell>
          <cell r="AO17">
            <v>0</v>
          </cell>
          <cell r="AP17">
            <v>0</v>
          </cell>
          <cell r="AQ17">
            <v>9.75</v>
          </cell>
          <cell r="AR17">
            <v>0</v>
          </cell>
          <cell r="AS17">
            <v>0</v>
          </cell>
          <cell r="AT17">
            <v>150</v>
          </cell>
          <cell r="AU17">
            <v>0</v>
          </cell>
          <cell r="AV17">
            <v>0</v>
          </cell>
          <cell r="AW17">
            <v>195</v>
          </cell>
          <cell r="AX17">
            <v>0</v>
          </cell>
          <cell r="AY17">
            <v>0</v>
          </cell>
          <cell r="AZ17">
            <v>15</v>
          </cell>
          <cell r="BA17">
            <v>0</v>
          </cell>
          <cell r="BB17">
            <v>0</v>
          </cell>
          <cell r="BC17">
            <v>75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6892.5</v>
          </cell>
        </row>
        <row r="18">
          <cell r="C18">
            <v>12814</v>
          </cell>
          <cell r="D18" t="str">
            <v>Aguado, Marven D.</v>
          </cell>
          <cell r="E18">
            <v>64</v>
          </cell>
          <cell r="F18">
            <v>8</v>
          </cell>
          <cell r="G18">
            <v>600</v>
          </cell>
          <cell r="H18">
            <v>4800</v>
          </cell>
          <cell r="I18">
            <v>0</v>
          </cell>
          <cell r="J18">
            <v>1.25</v>
          </cell>
          <cell r="K18">
            <v>0</v>
          </cell>
          <cell r="L18">
            <v>12</v>
          </cell>
          <cell r="M18">
            <v>93.75</v>
          </cell>
          <cell r="N18">
            <v>1125</v>
          </cell>
          <cell r="O18">
            <v>52</v>
          </cell>
          <cell r="P18">
            <v>7.5</v>
          </cell>
          <cell r="Q18">
            <v>390</v>
          </cell>
          <cell r="R18">
            <v>0</v>
          </cell>
          <cell r="S18">
            <v>97.5</v>
          </cell>
          <cell r="T18">
            <v>0</v>
          </cell>
          <cell r="U18">
            <v>0</v>
          </cell>
          <cell r="V18">
            <v>126.75</v>
          </cell>
          <cell r="W18">
            <v>0</v>
          </cell>
          <cell r="X18">
            <v>0</v>
          </cell>
          <cell r="Y18">
            <v>9.75</v>
          </cell>
          <cell r="Z18">
            <v>0</v>
          </cell>
          <cell r="AA18">
            <v>0</v>
          </cell>
          <cell r="AB18">
            <v>112.5</v>
          </cell>
          <cell r="AC18">
            <v>0</v>
          </cell>
          <cell r="AD18">
            <v>0</v>
          </cell>
          <cell r="AE18">
            <v>146.25</v>
          </cell>
          <cell r="AF18">
            <v>0</v>
          </cell>
          <cell r="AG18">
            <v>0</v>
          </cell>
          <cell r="AH18">
            <v>11.25</v>
          </cell>
          <cell r="AI18">
            <v>0</v>
          </cell>
          <cell r="AJ18">
            <v>0</v>
          </cell>
          <cell r="AK18">
            <v>97.5</v>
          </cell>
          <cell r="AL18">
            <v>0</v>
          </cell>
          <cell r="AM18">
            <v>0</v>
          </cell>
          <cell r="AN18">
            <v>126.75</v>
          </cell>
          <cell r="AO18">
            <v>0</v>
          </cell>
          <cell r="AP18">
            <v>0</v>
          </cell>
          <cell r="AQ18">
            <v>9.75</v>
          </cell>
          <cell r="AR18">
            <v>0</v>
          </cell>
          <cell r="AS18">
            <v>0</v>
          </cell>
          <cell r="AT18">
            <v>150</v>
          </cell>
          <cell r="AU18">
            <v>0</v>
          </cell>
          <cell r="AV18">
            <v>0</v>
          </cell>
          <cell r="AW18">
            <v>195</v>
          </cell>
          <cell r="AX18">
            <v>0</v>
          </cell>
          <cell r="AY18">
            <v>0</v>
          </cell>
          <cell r="AZ18">
            <v>15</v>
          </cell>
          <cell r="BA18">
            <v>0</v>
          </cell>
          <cell r="BB18">
            <v>0</v>
          </cell>
          <cell r="BC18">
            <v>75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6315</v>
          </cell>
        </row>
        <row r="19">
          <cell r="C19">
            <v>12819</v>
          </cell>
          <cell r="D19" t="str">
            <v>Alberto, John Mar D.</v>
          </cell>
          <cell r="E19">
            <v>68</v>
          </cell>
          <cell r="F19">
            <v>8.5</v>
          </cell>
          <cell r="G19">
            <v>600</v>
          </cell>
          <cell r="H19">
            <v>5100</v>
          </cell>
          <cell r="I19">
            <v>26</v>
          </cell>
          <cell r="J19">
            <v>1.25</v>
          </cell>
          <cell r="K19">
            <v>-32.5</v>
          </cell>
          <cell r="L19">
            <v>14</v>
          </cell>
          <cell r="M19">
            <v>93.75</v>
          </cell>
          <cell r="N19">
            <v>1312.5</v>
          </cell>
          <cell r="O19">
            <v>46</v>
          </cell>
          <cell r="P19">
            <v>7.5</v>
          </cell>
          <cell r="Q19">
            <v>345</v>
          </cell>
          <cell r="R19">
            <v>8</v>
          </cell>
          <cell r="S19">
            <v>97.5</v>
          </cell>
          <cell r="T19">
            <v>780</v>
          </cell>
          <cell r="U19">
            <v>0</v>
          </cell>
          <cell r="V19">
            <v>126.75</v>
          </cell>
          <cell r="W19">
            <v>0</v>
          </cell>
          <cell r="X19">
            <v>0</v>
          </cell>
          <cell r="Y19">
            <v>9.75</v>
          </cell>
          <cell r="Z19">
            <v>0</v>
          </cell>
          <cell r="AA19">
            <v>0</v>
          </cell>
          <cell r="AB19">
            <v>112.5</v>
          </cell>
          <cell r="AC19">
            <v>0</v>
          </cell>
          <cell r="AD19">
            <v>0</v>
          </cell>
          <cell r="AE19">
            <v>146.25</v>
          </cell>
          <cell r="AF19">
            <v>0</v>
          </cell>
          <cell r="AG19">
            <v>0</v>
          </cell>
          <cell r="AH19">
            <v>11.25</v>
          </cell>
          <cell r="AI19">
            <v>0</v>
          </cell>
          <cell r="AJ19">
            <v>0</v>
          </cell>
          <cell r="AK19">
            <v>97.5</v>
          </cell>
          <cell r="AL19">
            <v>0</v>
          </cell>
          <cell r="AM19">
            <v>0</v>
          </cell>
          <cell r="AN19">
            <v>126.75</v>
          </cell>
          <cell r="AO19">
            <v>0</v>
          </cell>
          <cell r="AP19">
            <v>0</v>
          </cell>
          <cell r="AQ19">
            <v>9.75</v>
          </cell>
          <cell r="AR19">
            <v>0</v>
          </cell>
          <cell r="AS19">
            <v>0</v>
          </cell>
          <cell r="AT19">
            <v>150</v>
          </cell>
          <cell r="AU19">
            <v>0</v>
          </cell>
          <cell r="AV19">
            <v>0</v>
          </cell>
          <cell r="AW19">
            <v>195</v>
          </cell>
          <cell r="AX19">
            <v>0</v>
          </cell>
          <cell r="AY19">
            <v>0</v>
          </cell>
          <cell r="AZ19">
            <v>15</v>
          </cell>
          <cell r="BA19">
            <v>0</v>
          </cell>
          <cell r="BB19">
            <v>0</v>
          </cell>
          <cell r="BC19">
            <v>75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7505</v>
          </cell>
        </row>
        <row r="20">
          <cell r="C20">
            <v>12822</v>
          </cell>
          <cell r="D20" t="str">
            <v>Alde, Kevin Jonas</v>
          </cell>
          <cell r="E20">
            <v>64</v>
          </cell>
          <cell r="F20">
            <v>8</v>
          </cell>
          <cell r="G20">
            <v>600</v>
          </cell>
          <cell r="H20">
            <v>4800</v>
          </cell>
          <cell r="I20">
            <v>0</v>
          </cell>
          <cell r="J20">
            <v>1.25</v>
          </cell>
          <cell r="K20">
            <v>0</v>
          </cell>
          <cell r="L20">
            <v>12</v>
          </cell>
          <cell r="M20">
            <v>93.75</v>
          </cell>
          <cell r="N20">
            <v>1125</v>
          </cell>
          <cell r="O20">
            <v>38</v>
          </cell>
          <cell r="P20">
            <v>7.5</v>
          </cell>
          <cell r="Q20">
            <v>285</v>
          </cell>
          <cell r="R20">
            <v>0</v>
          </cell>
          <cell r="S20">
            <v>97.5</v>
          </cell>
          <cell r="T20">
            <v>0</v>
          </cell>
          <cell r="U20">
            <v>0</v>
          </cell>
          <cell r="V20">
            <v>126.75</v>
          </cell>
          <cell r="W20">
            <v>0</v>
          </cell>
          <cell r="X20">
            <v>0</v>
          </cell>
          <cell r="Y20">
            <v>9.75</v>
          </cell>
          <cell r="Z20">
            <v>0</v>
          </cell>
          <cell r="AA20">
            <v>0</v>
          </cell>
          <cell r="AB20">
            <v>112.5</v>
          </cell>
          <cell r="AC20">
            <v>0</v>
          </cell>
          <cell r="AD20">
            <v>0</v>
          </cell>
          <cell r="AE20">
            <v>146.25</v>
          </cell>
          <cell r="AF20">
            <v>0</v>
          </cell>
          <cell r="AG20">
            <v>0</v>
          </cell>
          <cell r="AH20">
            <v>11.25</v>
          </cell>
          <cell r="AI20">
            <v>0</v>
          </cell>
          <cell r="AJ20">
            <v>0</v>
          </cell>
          <cell r="AK20">
            <v>97.5</v>
          </cell>
          <cell r="AL20">
            <v>0</v>
          </cell>
          <cell r="AM20">
            <v>0</v>
          </cell>
          <cell r="AN20">
            <v>126.75</v>
          </cell>
          <cell r="AO20">
            <v>0</v>
          </cell>
          <cell r="AP20">
            <v>0</v>
          </cell>
          <cell r="AQ20">
            <v>9.75</v>
          </cell>
          <cell r="AR20">
            <v>0</v>
          </cell>
          <cell r="AS20">
            <v>0</v>
          </cell>
          <cell r="AT20">
            <v>150</v>
          </cell>
          <cell r="AU20">
            <v>0</v>
          </cell>
          <cell r="AV20">
            <v>0</v>
          </cell>
          <cell r="AW20">
            <v>195</v>
          </cell>
          <cell r="AX20">
            <v>0</v>
          </cell>
          <cell r="AY20">
            <v>0</v>
          </cell>
          <cell r="AZ20">
            <v>15</v>
          </cell>
          <cell r="BA20">
            <v>0</v>
          </cell>
          <cell r="BB20">
            <v>0</v>
          </cell>
          <cell r="BC20">
            <v>75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6210</v>
          </cell>
        </row>
        <row r="21">
          <cell r="C21">
            <v>12823</v>
          </cell>
          <cell r="D21" t="str">
            <v>Alega, Hannah Faye S.</v>
          </cell>
          <cell r="E21">
            <v>80</v>
          </cell>
          <cell r="F21">
            <v>10</v>
          </cell>
          <cell r="G21">
            <v>600</v>
          </cell>
          <cell r="H21">
            <v>6000</v>
          </cell>
          <cell r="I21">
            <v>0</v>
          </cell>
          <cell r="J21">
            <v>1.25</v>
          </cell>
          <cell r="K21">
            <v>0</v>
          </cell>
          <cell r="L21">
            <v>18</v>
          </cell>
          <cell r="M21">
            <v>93.75</v>
          </cell>
          <cell r="N21">
            <v>1687.5</v>
          </cell>
          <cell r="O21">
            <v>0</v>
          </cell>
          <cell r="P21">
            <v>7.5</v>
          </cell>
          <cell r="Q21">
            <v>0</v>
          </cell>
          <cell r="R21">
            <v>0</v>
          </cell>
          <cell r="S21">
            <v>97.5</v>
          </cell>
          <cell r="T21">
            <v>0</v>
          </cell>
          <cell r="U21">
            <v>0</v>
          </cell>
          <cell r="V21">
            <v>126.75</v>
          </cell>
          <cell r="W21">
            <v>0</v>
          </cell>
          <cell r="X21">
            <v>0</v>
          </cell>
          <cell r="Y21">
            <v>9.75</v>
          </cell>
          <cell r="Z21">
            <v>0</v>
          </cell>
          <cell r="AA21">
            <v>0</v>
          </cell>
          <cell r="AB21">
            <v>112.5</v>
          </cell>
          <cell r="AC21">
            <v>0</v>
          </cell>
          <cell r="AD21">
            <v>0</v>
          </cell>
          <cell r="AE21">
            <v>146.25</v>
          </cell>
          <cell r="AF21">
            <v>0</v>
          </cell>
          <cell r="AG21">
            <v>0</v>
          </cell>
          <cell r="AH21">
            <v>11.25</v>
          </cell>
          <cell r="AI21">
            <v>0</v>
          </cell>
          <cell r="AJ21">
            <v>8</v>
          </cell>
          <cell r="AK21">
            <v>97.5</v>
          </cell>
          <cell r="AL21">
            <v>780</v>
          </cell>
          <cell r="AM21">
            <v>0</v>
          </cell>
          <cell r="AN21">
            <v>126.75</v>
          </cell>
          <cell r="AO21">
            <v>0</v>
          </cell>
          <cell r="AP21">
            <v>0</v>
          </cell>
          <cell r="AQ21">
            <v>9.75</v>
          </cell>
          <cell r="AR21">
            <v>0</v>
          </cell>
          <cell r="AS21">
            <v>0</v>
          </cell>
          <cell r="AT21">
            <v>150</v>
          </cell>
          <cell r="AU21">
            <v>0</v>
          </cell>
          <cell r="AV21">
            <v>0</v>
          </cell>
          <cell r="AW21">
            <v>195</v>
          </cell>
          <cell r="AX21">
            <v>0</v>
          </cell>
          <cell r="AY21">
            <v>0</v>
          </cell>
          <cell r="AZ21">
            <v>15</v>
          </cell>
          <cell r="BA21">
            <v>0</v>
          </cell>
          <cell r="BB21">
            <v>0</v>
          </cell>
          <cell r="BC21">
            <v>75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8467.5</v>
          </cell>
        </row>
        <row r="22">
          <cell r="C22">
            <v>30248</v>
          </cell>
          <cell r="D22" t="str">
            <v>Amat, Jerick Pita</v>
          </cell>
          <cell r="E22">
            <v>80</v>
          </cell>
          <cell r="F22">
            <v>10</v>
          </cell>
          <cell r="G22">
            <v>600</v>
          </cell>
          <cell r="H22">
            <v>6000</v>
          </cell>
          <cell r="I22">
            <v>0</v>
          </cell>
          <cell r="J22">
            <v>1.25</v>
          </cell>
          <cell r="K22">
            <v>0</v>
          </cell>
          <cell r="L22">
            <v>17</v>
          </cell>
          <cell r="M22">
            <v>93.75</v>
          </cell>
          <cell r="N22">
            <v>1593.75</v>
          </cell>
          <cell r="O22">
            <v>0</v>
          </cell>
          <cell r="P22">
            <v>7.5</v>
          </cell>
          <cell r="Q22">
            <v>0</v>
          </cell>
          <cell r="R22">
            <v>0</v>
          </cell>
          <cell r="S22">
            <v>97.5</v>
          </cell>
          <cell r="T22">
            <v>0</v>
          </cell>
          <cell r="U22">
            <v>0</v>
          </cell>
          <cell r="V22">
            <v>126.75</v>
          </cell>
          <cell r="W22">
            <v>0</v>
          </cell>
          <cell r="X22">
            <v>0</v>
          </cell>
          <cell r="Y22">
            <v>9.75</v>
          </cell>
          <cell r="Z22">
            <v>0</v>
          </cell>
          <cell r="AA22">
            <v>0</v>
          </cell>
          <cell r="AB22">
            <v>112.5</v>
          </cell>
          <cell r="AC22">
            <v>0</v>
          </cell>
          <cell r="AD22">
            <v>0</v>
          </cell>
          <cell r="AE22">
            <v>146.25</v>
          </cell>
          <cell r="AF22">
            <v>0</v>
          </cell>
          <cell r="AG22">
            <v>0</v>
          </cell>
          <cell r="AH22">
            <v>11.25</v>
          </cell>
          <cell r="AI22">
            <v>0</v>
          </cell>
          <cell r="AJ22">
            <v>8</v>
          </cell>
          <cell r="AK22">
            <v>97.5</v>
          </cell>
          <cell r="AL22">
            <v>780</v>
          </cell>
          <cell r="AM22">
            <v>0</v>
          </cell>
          <cell r="AN22">
            <v>126.75</v>
          </cell>
          <cell r="AO22">
            <v>0</v>
          </cell>
          <cell r="AP22">
            <v>0</v>
          </cell>
          <cell r="AQ22">
            <v>9.75</v>
          </cell>
          <cell r="AR22">
            <v>0</v>
          </cell>
          <cell r="AS22">
            <v>0</v>
          </cell>
          <cell r="AT22">
            <v>150</v>
          </cell>
          <cell r="AU22">
            <v>0</v>
          </cell>
          <cell r="AV22">
            <v>0</v>
          </cell>
          <cell r="AW22">
            <v>195</v>
          </cell>
          <cell r="AX22">
            <v>0</v>
          </cell>
          <cell r="AY22">
            <v>0</v>
          </cell>
          <cell r="AZ22">
            <v>15</v>
          </cell>
          <cell r="BA22">
            <v>0</v>
          </cell>
          <cell r="BB22">
            <v>0</v>
          </cell>
          <cell r="BC22">
            <v>75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8373.75</v>
          </cell>
        </row>
        <row r="23">
          <cell r="C23">
            <v>12828</v>
          </cell>
          <cell r="D23" t="str">
            <v>Amparo, Cindy Capuno</v>
          </cell>
          <cell r="E23">
            <v>80</v>
          </cell>
          <cell r="F23">
            <v>10</v>
          </cell>
          <cell r="G23">
            <v>600</v>
          </cell>
          <cell r="H23">
            <v>6000</v>
          </cell>
          <cell r="I23">
            <v>0</v>
          </cell>
          <cell r="J23">
            <v>1.25</v>
          </cell>
          <cell r="K23">
            <v>0</v>
          </cell>
          <cell r="L23">
            <v>19</v>
          </cell>
          <cell r="M23">
            <v>93.75</v>
          </cell>
          <cell r="N23">
            <v>1781.25</v>
          </cell>
          <cell r="O23">
            <v>0</v>
          </cell>
          <cell r="P23">
            <v>7.5</v>
          </cell>
          <cell r="Q23">
            <v>0</v>
          </cell>
          <cell r="R23">
            <v>8</v>
          </cell>
          <cell r="S23">
            <v>97.5</v>
          </cell>
          <cell r="T23">
            <v>780</v>
          </cell>
          <cell r="U23">
            <v>0</v>
          </cell>
          <cell r="V23">
            <v>126.75</v>
          </cell>
          <cell r="W23">
            <v>0</v>
          </cell>
          <cell r="X23">
            <v>0</v>
          </cell>
          <cell r="Y23">
            <v>9.75</v>
          </cell>
          <cell r="Z23">
            <v>0</v>
          </cell>
          <cell r="AA23">
            <v>0</v>
          </cell>
          <cell r="AB23">
            <v>112.5</v>
          </cell>
          <cell r="AC23">
            <v>0</v>
          </cell>
          <cell r="AD23">
            <v>0</v>
          </cell>
          <cell r="AE23">
            <v>146.25</v>
          </cell>
          <cell r="AF23">
            <v>0</v>
          </cell>
          <cell r="AG23">
            <v>0</v>
          </cell>
          <cell r="AH23">
            <v>11.25</v>
          </cell>
          <cell r="AI23">
            <v>0</v>
          </cell>
          <cell r="AJ23">
            <v>8</v>
          </cell>
          <cell r="AK23">
            <v>97.5</v>
          </cell>
          <cell r="AL23">
            <v>780</v>
          </cell>
          <cell r="AM23">
            <v>0</v>
          </cell>
          <cell r="AN23">
            <v>126.75</v>
          </cell>
          <cell r="AO23">
            <v>0</v>
          </cell>
          <cell r="AP23">
            <v>0</v>
          </cell>
          <cell r="AQ23">
            <v>9.75</v>
          </cell>
          <cell r="AR23">
            <v>0</v>
          </cell>
          <cell r="AS23">
            <v>0</v>
          </cell>
          <cell r="AT23">
            <v>150</v>
          </cell>
          <cell r="AU23">
            <v>0</v>
          </cell>
          <cell r="AV23">
            <v>0</v>
          </cell>
          <cell r="AW23">
            <v>195</v>
          </cell>
          <cell r="AX23">
            <v>0</v>
          </cell>
          <cell r="AY23">
            <v>0</v>
          </cell>
          <cell r="AZ23">
            <v>15</v>
          </cell>
          <cell r="BA23">
            <v>0</v>
          </cell>
          <cell r="BB23">
            <v>0</v>
          </cell>
          <cell r="BC23">
            <v>75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9341.25</v>
          </cell>
        </row>
        <row r="24">
          <cell r="C24">
            <v>12829</v>
          </cell>
          <cell r="D24" t="str">
            <v>Ampeloquio, Grace Q.</v>
          </cell>
          <cell r="E24">
            <v>80</v>
          </cell>
          <cell r="F24">
            <v>10</v>
          </cell>
          <cell r="G24">
            <v>600</v>
          </cell>
          <cell r="H24">
            <v>6000</v>
          </cell>
          <cell r="I24">
            <v>85</v>
          </cell>
          <cell r="J24">
            <v>1.25</v>
          </cell>
          <cell r="K24">
            <v>-106.25</v>
          </cell>
          <cell r="L24">
            <v>17</v>
          </cell>
          <cell r="M24">
            <v>93.75</v>
          </cell>
          <cell r="N24">
            <v>1593.75</v>
          </cell>
          <cell r="O24">
            <v>0</v>
          </cell>
          <cell r="P24">
            <v>7.5</v>
          </cell>
          <cell r="Q24">
            <v>0</v>
          </cell>
          <cell r="R24">
            <v>0</v>
          </cell>
          <cell r="S24">
            <v>97.5</v>
          </cell>
          <cell r="T24">
            <v>0</v>
          </cell>
          <cell r="U24">
            <v>0</v>
          </cell>
          <cell r="V24">
            <v>126.75</v>
          </cell>
          <cell r="W24">
            <v>0</v>
          </cell>
          <cell r="X24">
            <v>0</v>
          </cell>
          <cell r="Y24">
            <v>9.75</v>
          </cell>
          <cell r="Z24">
            <v>0</v>
          </cell>
          <cell r="AA24">
            <v>0</v>
          </cell>
          <cell r="AB24">
            <v>112.5</v>
          </cell>
          <cell r="AC24">
            <v>0</v>
          </cell>
          <cell r="AD24">
            <v>0</v>
          </cell>
          <cell r="AE24">
            <v>146.25</v>
          </cell>
          <cell r="AF24">
            <v>0</v>
          </cell>
          <cell r="AG24">
            <v>0</v>
          </cell>
          <cell r="AH24">
            <v>11.25</v>
          </cell>
          <cell r="AI24">
            <v>0</v>
          </cell>
          <cell r="AJ24">
            <v>8</v>
          </cell>
          <cell r="AK24">
            <v>97.5</v>
          </cell>
          <cell r="AL24">
            <v>780</v>
          </cell>
          <cell r="AM24">
            <v>0</v>
          </cell>
          <cell r="AN24">
            <v>126.75</v>
          </cell>
          <cell r="AO24">
            <v>0</v>
          </cell>
          <cell r="AP24">
            <v>0</v>
          </cell>
          <cell r="AQ24">
            <v>9.75</v>
          </cell>
          <cell r="AR24">
            <v>0</v>
          </cell>
          <cell r="AS24">
            <v>0</v>
          </cell>
          <cell r="AT24">
            <v>150</v>
          </cell>
          <cell r="AU24">
            <v>0</v>
          </cell>
          <cell r="AV24">
            <v>0</v>
          </cell>
          <cell r="AW24">
            <v>195</v>
          </cell>
          <cell r="AX24">
            <v>0</v>
          </cell>
          <cell r="AY24">
            <v>0</v>
          </cell>
          <cell r="AZ24">
            <v>15</v>
          </cell>
          <cell r="BA24">
            <v>0</v>
          </cell>
          <cell r="BB24">
            <v>0</v>
          </cell>
          <cell r="BC24">
            <v>75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8267.5</v>
          </cell>
        </row>
        <row r="25">
          <cell r="C25">
            <v>12832</v>
          </cell>
          <cell r="D25" t="str">
            <v>Andaya, Wilfred M.</v>
          </cell>
          <cell r="E25">
            <v>64</v>
          </cell>
          <cell r="F25">
            <v>8</v>
          </cell>
          <cell r="G25">
            <v>600</v>
          </cell>
          <cell r="H25">
            <v>4800</v>
          </cell>
          <cell r="I25">
            <v>0</v>
          </cell>
          <cell r="J25">
            <v>1.25</v>
          </cell>
          <cell r="K25">
            <v>0</v>
          </cell>
          <cell r="L25">
            <v>12</v>
          </cell>
          <cell r="M25">
            <v>93.75</v>
          </cell>
          <cell r="N25">
            <v>1125</v>
          </cell>
          <cell r="O25">
            <v>0</v>
          </cell>
          <cell r="P25">
            <v>7.5</v>
          </cell>
          <cell r="Q25">
            <v>0</v>
          </cell>
          <cell r="R25">
            <v>0</v>
          </cell>
          <cell r="S25">
            <v>97.5</v>
          </cell>
          <cell r="T25">
            <v>0</v>
          </cell>
          <cell r="U25">
            <v>0</v>
          </cell>
          <cell r="V25">
            <v>126.75</v>
          </cell>
          <cell r="W25">
            <v>0</v>
          </cell>
          <cell r="X25">
            <v>0</v>
          </cell>
          <cell r="Y25">
            <v>9.75</v>
          </cell>
          <cell r="Z25">
            <v>0</v>
          </cell>
          <cell r="AA25">
            <v>0</v>
          </cell>
          <cell r="AB25">
            <v>112.5</v>
          </cell>
          <cell r="AC25">
            <v>0</v>
          </cell>
          <cell r="AD25">
            <v>0</v>
          </cell>
          <cell r="AE25">
            <v>146.25</v>
          </cell>
          <cell r="AF25">
            <v>0</v>
          </cell>
          <cell r="AG25">
            <v>0</v>
          </cell>
          <cell r="AH25">
            <v>11.25</v>
          </cell>
          <cell r="AI25">
            <v>0</v>
          </cell>
          <cell r="AJ25">
            <v>8</v>
          </cell>
          <cell r="AK25">
            <v>97.5</v>
          </cell>
          <cell r="AL25">
            <v>780</v>
          </cell>
          <cell r="AM25">
            <v>0</v>
          </cell>
          <cell r="AN25">
            <v>126.75</v>
          </cell>
          <cell r="AO25">
            <v>0</v>
          </cell>
          <cell r="AP25">
            <v>0</v>
          </cell>
          <cell r="AQ25">
            <v>9.75</v>
          </cell>
          <cell r="AR25">
            <v>0</v>
          </cell>
          <cell r="AS25">
            <v>0</v>
          </cell>
          <cell r="AT25">
            <v>150</v>
          </cell>
          <cell r="AU25">
            <v>0</v>
          </cell>
          <cell r="AV25">
            <v>0</v>
          </cell>
          <cell r="AW25">
            <v>195</v>
          </cell>
          <cell r="AX25">
            <v>0</v>
          </cell>
          <cell r="AY25">
            <v>0</v>
          </cell>
          <cell r="AZ25">
            <v>15</v>
          </cell>
          <cell r="BA25">
            <v>0</v>
          </cell>
          <cell r="BB25">
            <v>0</v>
          </cell>
          <cell r="BC25">
            <v>75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6705</v>
          </cell>
        </row>
        <row r="26">
          <cell r="C26">
            <v>14630</v>
          </cell>
          <cell r="D26" t="str">
            <v>Antonio, Nomer P.</v>
          </cell>
          <cell r="E26">
            <v>72</v>
          </cell>
          <cell r="F26">
            <v>9</v>
          </cell>
          <cell r="G26">
            <v>600</v>
          </cell>
          <cell r="H26">
            <v>5400</v>
          </cell>
          <cell r="I26">
            <v>36</v>
          </cell>
          <cell r="J26">
            <v>1.25</v>
          </cell>
          <cell r="K26">
            <v>-45</v>
          </cell>
          <cell r="L26">
            <v>15</v>
          </cell>
          <cell r="M26">
            <v>93.75</v>
          </cell>
          <cell r="N26">
            <v>1406.25</v>
          </cell>
          <cell r="O26">
            <v>0</v>
          </cell>
          <cell r="P26">
            <v>7.5</v>
          </cell>
          <cell r="Q26">
            <v>0</v>
          </cell>
          <cell r="R26">
            <v>8</v>
          </cell>
          <cell r="S26">
            <v>97.5</v>
          </cell>
          <cell r="T26">
            <v>780</v>
          </cell>
          <cell r="U26">
            <v>0</v>
          </cell>
          <cell r="V26">
            <v>126.75</v>
          </cell>
          <cell r="W26">
            <v>0</v>
          </cell>
          <cell r="X26">
            <v>0</v>
          </cell>
          <cell r="Y26">
            <v>9.75</v>
          </cell>
          <cell r="Z26">
            <v>0</v>
          </cell>
          <cell r="AA26">
            <v>0</v>
          </cell>
          <cell r="AB26">
            <v>112.5</v>
          </cell>
          <cell r="AC26">
            <v>0</v>
          </cell>
          <cell r="AD26">
            <v>0</v>
          </cell>
          <cell r="AE26">
            <v>146.25</v>
          </cell>
          <cell r="AF26">
            <v>0</v>
          </cell>
          <cell r="AG26">
            <v>0</v>
          </cell>
          <cell r="AH26">
            <v>11.25</v>
          </cell>
          <cell r="AI26">
            <v>0</v>
          </cell>
          <cell r="AJ26">
            <v>8</v>
          </cell>
          <cell r="AK26">
            <v>97.5</v>
          </cell>
          <cell r="AL26">
            <v>780</v>
          </cell>
          <cell r="AM26">
            <v>0</v>
          </cell>
          <cell r="AN26">
            <v>126.75</v>
          </cell>
          <cell r="AO26">
            <v>0</v>
          </cell>
          <cell r="AP26">
            <v>0</v>
          </cell>
          <cell r="AQ26">
            <v>9.75</v>
          </cell>
          <cell r="AR26">
            <v>0</v>
          </cell>
          <cell r="AS26">
            <v>0</v>
          </cell>
          <cell r="AT26">
            <v>150</v>
          </cell>
          <cell r="AU26">
            <v>0</v>
          </cell>
          <cell r="AV26">
            <v>0</v>
          </cell>
          <cell r="AW26">
            <v>195</v>
          </cell>
          <cell r="AX26">
            <v>0</v>
          </cell>
          <cell r="AY26">
            <v>0</v>
          </cell>
          <cell r="AZ26">
            <v>15</v>
          </cell>
          <cell r="BA26">
            <v>0</v>
          </cell>
          <cell r="BB26">
            <v>0</v>
          </cell>
          <cell r="BC26">
            <v>75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8321.25</v>
          </cell>
        </row>
        <row r="27">
          <cell r="C27">
            <v>6282</v>
          </cell>
          <cell r="D27" t="str">
            <v>Apan, Ernielyn May Rellores</v>
          </cell>
          <cell r="E27">
            <v>88</v>
          </cell>
          <cell r="F27">
            <v>11</v>
          </cell>
          <cell r="G27">
            <v>600</v>
          </cell>
          <cell r="H27">
            <v>6600</v>
          </cell>
          <cell r="I27">
            <v>0</v>
          </cell>
          <cell r="J27">
            <v>1.25</v>
          </cell>
          <cell r="K27">
            <v>0</v>
          </cell>
          <cell r="L27">
            <v>18</v>
          </cell>
          <cell r="M27">
            <v>93.75</v>
          </cell>
          <cell r="N27">
            <v>1687.5</v>
          </cell>
          <cell r="O27">
            <v>52</v>
          </cell>
          <cell r="P27">
            <v>7.5</v>
          </cell>
          <cell r="Q27">
            <v>390</v>
          </cell>
          <cell r="R27">
            <v>8</v>
          </cell>
          <cell r="S27">
            <v>97.5</v>
          </cell>
          <cell r="T27">
            <v>780</v>
          </cell>
          <cell r="U27">
            <v>0</v>
          </cell>
          <cell r="V27">
            <v>126.75</v>
          </cell>
          <cell r="W27">
            <v>0</v>
          </cell>
          <cell r="X27">
            <v>0</v>
          </cell>
          <cell r="Y27">
            <v>9.75</v>
          </cell>
          <cell r="Z27">
            <v>0</v>
          </cell>
          <cell r="AA27">
            <v>0</v>
          </cell>
          <cell r="AB27">
            <v>112.5</v>
          </cell>
          <cell r="AC27">
            <v>0</v>
          </cell>
          <cell r="AD27">
            <v>0</v>
          </cell>
          <cell r="AE27">
            <v>146.25</v>
          </cell>
          <cell r="AF27">
            <v>0</v>
          </cell>
          <cell r="AG27">
            <v>0</v>
          </cell>
          <cell r="AH27">
            <v>11.25</v>
          </cell>
          <cell r="AI27">
            <v>0</v>
          </cell>
          <cell r="AJ27">
            <v>0</v>
          </cell>
          <cell r="AK27">
            <v>97.5</v>
          </cell>
          <cell r="AL27">
            <v>0</v>
          </cell>
          <cell r="AM27">
            <v>0</v>
          </cell>
          <cell r="AN27">
            <v>126.75</v>
          </cell>
          <cell r="AO27">
            <v>0</v>
          </cell>
          <cell r="AP27">
            <v>0</v>
          </cell>
          <cell r="AQ27">
            <v>9.75</v>
          </cell>
          <cell r="AR27">
            <v>0</v>
          </cell>
          <cell r="AS27">
            <v>0</v>
          </cell>
          <cell r="AT27">
            <v>150</v>
          </cell>
          <cell r="AU27">
            <v>0</v>
          </cell>
          <cell r="AV27">
            <v>0</v>
          </cell>
          <cell r="AW27">
            <v>195</v>
          </cell>
          <cell r="AX27">
            <v>0</v>
          </cell>
          <cell r="AY27">
            <v>0</v>
          </cell>
          <cell r="AZ27">
            <v>15</v>
          </cell>
          <cell r="BA27">
            <v>0</v>
          </cell>
          <cell r="BB27">
            <v>0</v>
          </cell>
          <cell r="BC27">
            <v>75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9457.5</v>
          </cell>
        </row>
        <row r="28">
          <cell r="C28">
            <v>12833</v>
          </cell>
          <cell r="D28" t="str">
            <v>Aparicio, Patrick Jhons Salmazan</v>
          </cell>
          <cell r="E28">
            <v>88</v>
          </cell>
          <cell r="F28">
            <v>11</v>
          </cell>
          <cell r="G28">
            <v>600</v>
          </cell>
          <cell r="H28">
            <v>6600</v>
          </cell>
          <cell r="I28">
            <v>0</v>
          </cell>
          <cell r="J28">
            <v>1.25</v>
          </cell>
          <cell r="K28">
            <v>0</v>
          </cell>
          <cell r="L28">
            <v>18</v>
          </cell>
          <cell r="M28">
            <v>93.75</v>
          </cell>
          <cell r="N28">
            <v>1687.5</v>
          </cell>
          <cell r="O28">
            <v>52</v>
          </cell>
          <cell r="P28">
            <v>7.5</v>
          </cell>
          <cell r="Q28">
            <v>390</v>
          </cell>
          <cell r="R28">
            <v>0</v>
          </cell>
          <cell r="S28">
            <v>97.5</v>
          </cell>
          <cell r="T28">
            <v>0</v>
          </cell>
          <cell r="U28">
            <v>0</v>
          </cell>
          <cell r="V28">
            <v>126.75</v>
          </cell>
          <cell r="W28">
            <v>0</v>
          </cell>
          <cell r="X28">
            <v>0</v>
          </cell>
          <cell r="Y28">
            <v>9.75</v>
          </cell>
          <cell r="Z28">
            <v>0</v>
          </cell>
          <cell r="AA28">
            <v>0</v>
          </cell>
          <cell r="AB28">
            <v>112.5</v>
          </cell>
          <cell r="AC28">
            <v>0</v>
          </cell>
          <cell r="AD28">
            <v>0</v>
          </cell>
          <cell r="AE28">
            <v>146.25</v>
          </cell>
          <cell r="AF28">
            <v>0</v>
          </cell>
          <cell r="AG28">
            <v>0</v>
          </cell>
          <cell r="AH28">
            <v>11.25</v>
          </cell>
          <cell r="AI28">
            <v>0</v>
          </cell>
          <cell r="AJ28">
            <v>8</v>
          </cell>
          <cell r="AK28">
            <v>97.5</v>
          </cell>
          <cell r="AL28">
            <v>780</v>
          </cell>
          <cell r="AM28">
            <v>0</v>
          </cell>
          <cell r="AN28">
            <v>126.75</v>
          </cell>
          <cell r="AO28">
            <v>0</v>
          </cell>
          <cell r="AP28">
            <v>0</v>
          </cell>
          <cell r="AQ28">
            <v>9.75</v>
          </cell>
          <cell r="AR28">
            <v>0</v>
          </cell>
          <cell r="AS28">
            <v>0</v>
          </cell>
          <cell r="AT28">
            <v>150</v>
          </cell>
          <cell r="AU28">
            <v>0</v>
          </cell>
          <cell r="AV28">
            <v>0</v>
          </cell>
          <cell r="AW28">
            <v>195</v>
          </cell>
          <cell r="AX28">
            <v>0</v>
          </cell>
          <cell r="AY28">
            <v>0</v>
          </cell>
          <cell r="AZ28">
            <v>15</v>
          </cell>
          <cell r="BA28">
            <v>0</v>
          </cell>
          <cell r="BB28">
            <v>0</v>
          </cell>
          <cell r="BC28">
            <v>75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9457.5</v>
          </cell>
        </row>
        <row r="29">
          <cell r="C29">
            <v>30251</v>
          </cell>
          <cell r="D29" t="str">
            <v>Aradiel, Aira Serrano</v>
          </cell>
          <cell r="E29">
            <v>32</v>
          </cell>
          <cell r="F29">
            <v>4</v>
          </cell>
          <cell r="G29">
            <v>600</v>
          </cell>
          <cell r="H29">
            <v>2400</v>
          </cell>
          <cell r="I29">
            <v>3</v>
          </cell>
          <cell r="J29">
            <v>1.25</v>
          </cell>
          <cell r="K29">
            <v>-3.75</v>
          </cell>
          <cell r="L29">
            <v>8</v>
          </cell>
          <cell r="M29">
            <v>93.75</v>
          </cell>
          <cell r="N29">
            <v>750</v>
          </cell>
          <cell r="O29">
            <v>8</v>
          </cell>
          <cell r="P29">
            <v>7.5</v>
          </cell>
          <cell r="Q29">
            <v>60</v>
          </cell>
          <cell r="R29">
            <v>8</v>
          </cell>
          <cell r="S29">
            <v>97.5</v>
          </cell>
          <cell r="T29">
            <v>780</v>
          </cell>
          <cell r="U29">
            <v>0</v>
          </cell>
          <cell r="V29">
            <v>126.75</v>
          </cell>
          <cell r="W29">
            <v>0</v>
          </cell>
          <cell r="X29">
            <v>0</v>
          </cell>
          <cell r="Y29">
            <v>9.75</v>
          </cell>
          <cell r="Z29">
            <v>0</v>
          </cell>
          <cell r="AA29">
            <v>0</v>
          </cell>
          <cell r="AB29">
            <v>112.5</v>
          </cell>
          <cell r="AC29">
            <v>0</v>
          </cell>
          <cell r="AD29">
            <v>0</v>
          </cell>
          <cell r="AE29">
            <v>146.25</v>
          </cell>
          <cell r="AF29">
            <v>0</v>
          </cell>
          <cell r="AG29">
            <v>0</v>
          </cell>
          <cell r="AH29">
            <v>11.25</v>
          </cell>
          <cell r="AI29">
            <v>0</v>
          </cell>
          <cell r="AJ29">
            <v>0</v>
          </cell>
          <cell r="AK29">
            <v>97.5</v>
          </cell>
          <cell r="AL29">
            <v>0</v>
          </cell>
          <cell r="AM29">
            <v>0</v>
          </cell>
          <cell r="AN29">
            <v>126.75</v>
          </cell>
          <cell r="AO29">
            <v>0</v>
          </cell>
          <cell r="AP29">
            <v>0</v>
          </cell>
          <cell r="AQ29">
            <v>9.75</v>
          </cell>
          <cell r="AR29">
            <v>0</v>
          </cell>
          <cell r="AS29">
            <v>0</v>
          </cell>
          <cell r="AT29">
            <v>150</v>
          </cell>
          <cell r="AU29">
            <v>0</v>
          </cell>
          <cell r="AV29">
            <v>0</v>
          </cell>
          <cell r="AW29">
            <v>195</v>
          </cell>
          <cell r="AX29">
            <v>0</v>
          </cell>
          <cell r="AY29">
            <v>0</v>
          </cell>
          <cell r="AZ29">
            <v>15</v>
          </cell>
          <cell r="BA29">
            <v>0</v>
          </cell>
          <cell r="BB29">
            <v>0</v>
          </cell>
          <cell r="BC29">
            <v>75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3986.25</v>
          </cell>
        </row>
        <row r="30">
          <cell r="C30">
            <v>12834</v>
          </cell>
          <cell r="D30" t="str">
            <v>Araja, Kier S.</v>
          </cell>
          <cell r="E30">
            <v>72</v>
          </cell>
          <cell r="F30">
            <v>9</v>
          </cell>
          <cell r="G30">
            <v>600</v>
          </cell>
          <cell r="H30">
            <v>5400</v>
          </cell>
          <cell r="I30">
            <v>3</v>
          </cell>
          <cell r="J30">
            <v>1.25</v>
          </cell>
          <cell r="K30">
            <v>-3.75</v>
          </cell>
          <cell r="L30">
            <v>16</v>
          </cell>
          <cell r="M30">
            <v>93.75</v>
          </cell>
          <cell r="N30">
            <v>1500</v>
          </cell>
          <cell r="O30">
            <v>0</v>
          </cell>
          <cell r="P30">
            <v>7.5</v>
          </cell>
          <cell r="Q30">
            <v>0</v>
          </cell>
          <cell r="R30">
            <v>8</v>
          </cell>
          <cell r="S30">
            <v>97.5</v>
          </cell>
          <cell r="T30">
            <v>780</v>
          </cell>
          <cell r="U30">
            <v>0</v>
          </cell>
          <cell r="V30">
            <v>126.75</v>
          </cell>
          <cell r="W30">
            <v>0</v>
          </cell>
          <cell r="X30">
            <v>0</v>
          </cell>
          <cell r="Y30">
            <v>9.75</v>
          </cell>
          <cell r="Z30">
            <v>0</v>
          </cell>
          <cell r="AA30">
            <v>0</v>
          </cell>
          <cell r="AB30">
            <v>112.5</v>
          </cell>
          <cell r="AC30">
            <v>0</v>
          </cell>
          <cell r="AD30">
            <v>0</v>
          </cell>
          <cell r="AE30">
            <v>146.25</v>
          </cell>
          <cell r="AF30">
            <v>0</v>
          </cell>
          <cell r="AG30">
            <v>0</v>
          </cell>
          <cell r="AH30">
            <v>11.25</v>
          </cell>
          <cell r="AI30">
            <v>0</v>
          </cell>
          <cell r="AJ30">
            <v>8</v>
          </cell>
          <cell r="AK30">
            <v>97.5</v>
          </cell>
          <cell r="AL30">
            <v>780</v>
          </cell>
          <cell r="AM30">
            <v>0</v>
          </cell>
          <cell r="AN30">
            <v>126.75</v>
          </cell>
          <cell r="AO30">
            <v>0</v>
          </cell>
          <cell r="AP30">
            <v>0</v>
          </cell>
          <cell r="AQ30">
            <v>9.75</v>
          </cell>
          <cell r="AR30">
            <v>0</v>
          </cell>
          <cell r="AS30">
            <v>0</v>
          </cell>
          <cell r="AT30">
            <v>150</v>
          </cell>
          <cell r="AU30">
            <v>0</v>
          </cell>
          <cell r="AV30">
            <v>0</v>
          </cell>
          <cell r="AW30">
            <v>195</v>
          </cell>
          <cell r="AX30">
            <v>0</v>
          </cell>
          <cell r="AY30">
            <v>0</v>
          </cell>
          <cell r="AZ30">
            <v>15</v>
          </cell>
          <cell r="BA30">
            <v>0</v>
          </cell>
          <cell r="BB30">
            <v>0</v>
          </cell>
          <cell r="BC30">
            <v>75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8456.25</v>
          </cell>
        </row>
        <row r="31">
          <cell r="C31">
            <v>12836</v>
          </cell>
          <cell r="D31" t="str">
            <v>Arenal, Jay A.</v>
          </cell>
          <cell r="E31">
            <v>88</v>
          </cell>
          <cell r="F31">
            <v>11</v>
          </cell>
          <cell r="G31">
            <v>600</v>
          </cell>
          <cell r="H31">
            <v>6600</v>
          </cell>
          <cell r="I31">
            <v>0</v>
          </cell>
          <cell r="J31">
            <v>1.25</v>
          </cell>
          <cell r="K31">
            <v>0</v>
          </cell>
          <cell r="L31">
            <v>18</v>
          </cell>
          <cell r="M31">
            <v>93.75</v>
          </cell>
          <cell r="N31">
            <v>1687.5</v>
          </cell>
          <cell r="O31">
            <v>84</v>
          </cell>
          <cell r="P31">
            <v>7.5</v>
          </cell>
          <cell r="Q31">
            <v>630</v>
          </cell>
          <cell r="R31">
            <v>0</v>
          </cell>
          <cell r="S31">
            <v>97.5</v>
          </cell>
          <cell r="T31">
            <v>0</v>
          </cell>
          <cell r="U31">
            <v>0</v>
          </cell>
          <cell r="V31">
            <v>126.75</v>
          </cell>
          <cell r="W31">
            <v>0</v>
          </cell>
          <cell r="X31">
            <v>0</v>
          </cell>
          <cell r="Y31">
            <v>9.75</v>
          </cell>
          <cell r="Z31">
            <v>0</v>
          </cell>
          <cell r="AA31">
            <v>0</v>
          </cell>
          <cell r="AB31">
            <v>112.5</v>
          </cell>
          <cell r="AC31">
            <v>0</v>
          </cell>
          <cell r="AD31">
            <v>0</v>
          </cell>
          <cell r="AE31">
            <v>146.25</v>
          </cell>
          <cell r="AF31">
            <v>0</v>
          </cell>
          <cell r="AG31">
            <v>0</v>
          </cell>
          <cell r="AH31">
            <v>11.25</v>
          </cell>
          <cell r="AI31">
            <v>0</v>
          </cell>
          <cell r="AJ31">
            <v>0</v>
          </cell>
          <cell r="AK31">
            <v>97.5</v>
          </cell>
          <cell r="AL31">
            <v>0</v>
          </cell>
          <cell r="AM31">
            <v>0</v>
          </cell>
          <cell r="AN31">
            <v>126.75</v>
          </cell>
          <cell r="AO31">
            <v>0</v>
          </cell>
          <cell r="AP31">
            <v>0</v>
          </cell>
          <cell r="AQ31">
            <v>9.75</v>
          </cell>
          <cell r="AR31">
            <v>0</v>
          </cell>
          <cell r="AS31">
            <v>0</v>
          </cell>
          <cell r="AT31">
            <v>150</v>
          </cell>
          <cell r="AU31">
            <v>0</v>
          </cell>
          <cell r="AV31">
            <v>0</v>
          </cell>
          <cell r="AW31">
            <v>195</v>
          </cell>
          <cell r="AX31">
            <v>0</v>
          </cell>
          <cell r="AY31">
            <v>0</v>
          </cell>
          <cell r="AZ31">
            <v>15</v>
          </cell>
          <cell r="BA31">
            <v>0</v>
          </cell>
          <cell r="BB31">
            <v>0</v>
          </cell>
          <cell r="BC31">
            <v>75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8917.5</v>
          </cell>
        </row>
        <row r="32">
          <cell r="C32">
            <v>30677</v>
          </cell>
          <cell r="D32" t="str">
            <v>Arnaldo, Ryan Mediana</v>
          </cell>
          <cell r="E32">
            <v>56</v>
          </cell>
          <cell r="F32">
            <v>7</v>
          </cell>
          <cell r="G32">
            <v>600</v>
          </cell>
          <cell r="H32">
            <v>4200</v>
          </cell>
          <cell r="I32">
            <v>0</v>
          </cell>
          <cell r="J32">
            <v>1.25</v>
          </cell>
          <cell r="K32">
            <v>0</v>
          </cell>
          <cell r="L32">
            <v>10</v>
          </cell>
          <cell r="M32">
            <v>93.75</v>
          </cell>
          <cell r="N32">
            <v>937.5</v>
          </cell>
          <cell r="O32">
            <v>0</v>
          </cell>
          <cell r="P32">
            <v>7.5</v>
          </cell>
          <cell r="Q32">
            <v>0</v>
          </cell>
          <cell r="R32">
            <v>8</v>
          </cell>
          <cell r="S32">
            <v>97.5</v>
          </cell>
          <cell r="T32">
            <v>780</v>
          </cell>
          <cell r="U32">
            <v>0</v>
          </cell>
          <cell r="V32">
            <v>126.75</v>
          </cell>
          <cell r="W32">
            <v>0</v>
          </cell>
          <cell r="X32">
            <v>0</v>
          </cell>
          <cell r="Y32">
            <v>9.75</v>
          </cell>
          <cell r="Z32">
            <v>0</v>
          </cell>
          <cell r="AA32">
            <v>0</v>
          </cell>
          <cell r="AB32">
            <v>112.5</v>
          </cell>
          <cell r="AC32">
            <v>0</v>
          </cell>
          <cell r="AD32">
            <v>0</v>
          </cell>
          <cell r="AE32">
            <v>146.25</v>
          </cell>
          <cell r="AF32">
            <v>0</v>
          </cell>
          <cell r="AG32">
            <v>0</v>
          </cell>
          <cell r="AH32">
            <v>11.25</v>
          </cell>
          <cell r="AI32">
            <v>0</v>
          </cell>
          <cell r="AJ32">
            <v>8</v>
          </cell>
          <cell r="AK32">
            <v>97.5</v>
          </cell>
          <cell r="AL32">
            <v>780</v>
          </cell>
          <cell r="AM32">
            <v>0</v>
          </cell>
          <cell r="AN32">
            <v>126.75</v>
          </cell>
          <cell r="AO32">
            <v>0</v>
          </cell>
          <cell r="AP32">
            <v>0</v>
          </cell>
          <cell r="AQ32">
            <v>9.75</v>
          </cell>
          <cell r="AR32">
            <v>0</v>
          </cell>
          <cell r="AS32">
            <v>0</v>
          </cell>
          <cell r="AT32">
            <v>150</v>
          </cell>
          <cell r="AU32">
            <v>0</v>
          </cell>
          <cell r="AV32">
            <v>0</v>
          </cell>
          <cell r="AW32">
            <v>195</v>
          </cell>
          <cell r="AX32">
            <v>0</v>
          </cell>
          <cell r="AY32">
            <v>0</v>
          </cell>
          <cell r="AZ32">
            <v>15</v>
          </cell>
          <cell r="BA32">
            <v>0</v>
          </cell>
          <cell r="BB32">
            <v>0</v>
          </cell>
          <cell r="BC32">
            <v>75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6697.5</v>
          </cell>
        </row>
        <row r="33">
          <cell r="C33">
            <v>6650</v>
          </cell>
          <cell r="D33" t="str">
            <v>Atienza, Jericson Bonete</v>
          </cell>
          <cell r="E33">
            <v>56</v>
          </cell>
          <cell r="F33">
            <v>7</v>
          </cell>
          <cell r="G33">
            <v>600</v>
          </cell>
          <cell r="H33">
            <v>4200</v>
          </cell>
          <cell r="I33">
            <v>0</v>
          </cell>
          <cell r="J33">
            <v>1.25</v>
          </cell>
          <cell r="K33">
            <v>0</v>
          </cell>
          <cell r="L33">
            <v>10</v>
          </cell>
          <cell r="M33">
            <v>93.75</v>
          </cell>
          <cell r="N33">
            <v>937.5</v>
          </cell>
          <cell r="O33">
            <v>0</v>
          </cell>
          <cell r="P33">
            <v>7.5</v>
          </cell>
          <cell r="Q33">
            <v>0</v>
          </cell>
          <cell r="R33">
            <v>0</v>
          </cell>
          <cell r="S33">
            <v>97.5</v>
          </cell>
          <cell r="T33">
            <v>0</v>
          </cell>
          <cell r="U33">
            <v>0</v>
          </cell>
          <cell r="V33">
            <v>126.75</v>
          </cell>
          <cell r="W33">
            <v>0</v>
          </cell>
          <cell r="X33">
            <v>0</v>
          </cell>
          <cell r="Y33">
            <v>9.75</v>
          </cell>
          <cell r="Z33">
            <v>0</v>
          </cell>
          <cell r="AA33">
            <v>0</v>
          </cell>
          <cell r="AB33">
            <v>112.5</v>
          </cell>
          <cell r="AC33">
            <v>0</v>
          </cell>
          <cell r="AD33">
            <v>0</v>
          </cell>
          <cell r="AE33">
            <v>146.25</v>
          </cell>
          <cell r="AF33">
            <v>0</v>
          </cell>
          <cell r="AG33">
            <v>0</v>
          </cell>
          <cell r="AH33">
            <v>11.25</v>
          </cell>
          <cell r="AI33">
            <v>0</v>
          </cell>
          <cell r="AJ33">
            <v>0</v>
          </cell>
          <cell r="AK33">
            <v>97.5</v>
          </cell>
          <cell r="AL33">
            <v>0</v>
          </cell>
          <cell r="AM33">
            <v>0</v>
          </cell>
          <cell r="AN33">
            <v>126.75</v>
          </cell>
          <cell r="AO33">
            <v>0</v>
          </cell>
          <cell r="AP33">
            <v>0</v>
          </cell>
          <cell r="AQ33">
            <v>9.75</v>
          </cell>
          <cell r="AR33">
            <v>0</v>
          </cell>
          <cell r="AS33">
            <v>0</v>
          </cell>
          <cell r="AT33">
            <v>150</v>
          </cell>
          <cell r="AU33">
            <v>0</v>
          </cell>
          <cell r="AV33">
            <v>0</v>
          </cell>
          <cell r="AW33">
            <v>195</v>
          </cell>
          <cell r="AX33">
            <v>0</v>
          </cell>
          <cell r="AY33">
            <v>0</v>
          </cell>
          <cell r="AZ33">
            <v>15</v>
          </cell>
          <cell r="BA33">
            <v>0</v>
          </cell>
          <cell r="BB33">
            <v>0</v>
          </cell>
          <cell r="BC33">
            <v>75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5137.5</v>
          </cell>
        </row>
        <row r="34">
          <cell r="C34">
            <v>30005</v>
          </cell>
          <cell r="D34" t="str">
            <v>Atienza, Jessica B.</v>
          </cell>
          <cell r="E34">
            <v>80</v>
          </cell>
          <cell r="F34">
            <v>10</v>
          </cell>
          <cell r="G34">
            <v>600</v>
          </cell>
          <cell r="H34">
            <v>6000</v>
          </cell>
          <cell r="I34">
            <v>0</v>
          </cell>
          <cell r="J34">
            <v>1.25</v>
          </cell>
          <cell r="K34">
            <v>0</v>
          </cell>
          <cell r="L34">
            <v>18</v>
          </cell>
          <cell r="M34">
            <v>93.75</v>
          </cell>
          <cell r="N34">
            <v>1687.5</v>
          </cell>
          <cell r="O34">
            <v>46</v>
          </cell>
          <cell r="P34">
            <v>7.5</v>
          </cell>
          <cell r="Q34">
            <v>345</v>
          </cell>
          <cell r="R34">
            <v>8</v>
          </cell>
          <cell r="S34">
            <v>97.5</v>
          </cell>
          <cell r="T34">
            <v>780</v>
          </cell>
          <cell r="U34">
            <v>0</v>
          </cell>
          <cell r="V34">
            <v>126.75</v>
          </cell>
          <cell r="W34">
            <v>0</v>
          </cell>
          <cell r="X34">
            <v>0</v>
          </cell>
          <cell r="Y34">
            <v>9.75</v>
          </cell>
          <cell r="Z34">
            <v>0</v>
          </cell>
          <cell r="AA34">
            <v>0</v>
          </cell>
          <cell r="AB34">
            <v>112.5</v>
          </cell>
          <cell r="AC34">
            <v>0</v>
          </cell>
          <cell r="AD34">
            <v>0</v>
          </cell>
          <cell r="AE34">
            <v>146.25</v>
          </cell>
          <cell r="AF34">
            <v>0</v>
          </cell>
          <cell r="AG34">
            <v>0</v>
          </cell>
          <cell r="AH34">
            <v>11.25</v>
          </cell>
          <cell r="AI34">
            <v>0</v>
          </cell>
          <cell r="AJ34">
            <v>8</v>
          </cell>
          <cell r="AK34">
            <v>97.5</v>
          </cell>
          <cell r="AL34">
            <v>780</v>
          </cell>
          <cell r="AM34">
            <v>0</v>
          </cell>
          <cell r="AN34">
            <v>126.75</v>
          </cell>
          <cell r="AO34">
            <v>0</v>
          </cell>
          <cell r="AP34">
            <v>0</v>
          </cell>
          <cell r="AQ34">
            <v>9.75</v>
          </cell>
          <cell r="AR34">
            <v>0</v>
          </cell>
          <cell r="AS34">
            <v>0</v>
          </cell>
          <cell r="AT34">
            <v>150</v>
          </cell>
          <cell r="AU34">
            <v>0</v>
          </cell>
          <cell r="AV34">
            <v>0</v>
          </cell>
          <cell r="AW34">
            <v>195</v>
          </cell>
          <cell r="AX34">
            <v>0</v>
          </cell>
          <cell r="AY34">
            <v>0</v>
          </cell>
          <cell r="AZ34">
            <v>15</v>
          </cell>
          <cell r="BA34">
            <v>0</v>
          </cell>
          <cell r="BB34">
            <v>0</v>
          </cell>
          <cell r="BC34">
            <v>75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9592.5</v>
          </cell>
        </row>
        <row r="35">
          <cell r="C35">
            <v>12848</v>
          </cell>
          <cell r="D35" t="str">
            <v>Atilano, Almera D.</v>
          </cell>
          <cell r="E35">
            <v>72</v>
          </cell>
          <cell r="F35">
            <v>9</v>
          </cell>
          <cell r="G35">
            <v>600</v>
          </cell>
          <cell r="H35">
            <v>5400</v>
          </cell>
          <cell r="I35">
            <v>0</v>
          </cell>
          <cell r="J35">
            <v>1.25</v>
          </cell>
          <cell r="K35">
            <v>0</v>
          </cell>
          <cell r="L35">
            <v>21</v>
          </cell>
          <cell r="M35">
            <v>93.75</v>
          </cell>
          <cell r="N35">
            <v>1968.75</v>
          </cell>
          <cell r="O35">
            <v>32</v>
          </cell>
          <cell r="P35">
            <v>7.5</v>
          </cell>
          <cell r="Q35">
            <v>240</v>
          </cell>
          <cell r="R35">
            <v>0</v>
          </cell>
          <cell r="S35">
            <v>97.5</v>
          </cell>
          <cell r="T35">
            <v>0</v>
          </cell>
          <cell r="U35">
            <v>0</v>
          </cell>
          <cell r="V35">
            <v>126.75</v>
          </cell>
          <cell r="W35">
            <v>0</v>
          </cell>
          <cell r="X35">
            <v>0</v>
          </cell>
          <cell r="Y35">
            <v>9.75</v>
          </cell>
          <cell r="Z35">
            <v>0</v>
          </cell>
          <cell r="AA35">
            <v>0</v>
          </cell>
          <cell r="AB35">
            <v>112.5</v>
          </cell>
          <cell r="AC35">
            <v>0</v>
          </cell>
          <cell r="AD35">
            <v>0</v>
          </cell>
          <cell r="AE35">
            <v>146.25</v>
          </cell>
          <cell r="AF35">
            <v>0</v>
          </cell>
          <cell r="AG35">
            <v>0</v>
          </cell>
          <cell r="AH35">
            <v>11.25</v>
          </cell>
          <cell r="AI35">
            <v>0</v>
          </cell>
          <cell r="AJ35">
            <v>0</v>
          </cell>
          <cell r="AK35">
            <v>97.5</v>
          </cell>
          <cell r="AL35">
            <v>0</v>
          </cell>
          <cell r="AM35">
            <v>0</v>
          </cell>
          <cell r="AN35">
            <v>126.75</v>
          </cell>
          <cell r="AO35">
            <v>0</v>
          </cell>
          <cell r="AP35">
            <v>0</v>
          </cell>
          <cell r="AQ35">
            <v>9.75</v>
          </cell>
          <cell r="AR35">
            <v>0</v>
          </cell>
          <cell r="AS35">
            <v>0</v>
          </cell>
          <cell r="AT35">
            <v>150</v>
          </cell>
          <cell r="AU35">
            <v>0</v>
          </cell>
          <cell r="AV35">
            <v>0</v>
          </cell>
          <cell r="AW35">
            <v>195</v>
          </cell>
          <cell r="AX35">
            <v>0</v>
          </cell>
          <cell r="AY35">
            <v>0</v>
          </cell>
          <cell r="AZ35">
            <v>15</v>
          </cell>
          <cell r="BA35">
            <v>0</v>
          </cell>
          <cell r="BB35">
            <v>0</v>
          </cell>
          <cell r="BC35">
            <v>75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7608.75</v>
          </cell>
        </row>
        <row r="36">
          <cell r="C36">
            <v>12847</v>
          </cell>
          <cell r="D36" t="str">
            <v>Atilano, Neissa R.</v>
          </cell>
          <cell r="E36">
            <v>80</v>
          </cell>
          <cell r="F36">
            <v>10</v>
          </cell>
          <cell r="G36">
            <v>600</v>
          </cell>
          <cell r="H36">
            <v>6000</v>
          </cell>
          <cell r="I36">
            <v>0</v>
          </cell>
          <cell r="J36">
            <v>1.25</v>
          </cell>
          <cell r="K36">
            <v>0</v>
          </cell>
          <cell r="L36">
            <v>18</v>
          </cell>
          <cell r="M36">
            <v>93.75</v>
          </cell>
          <cell r="N36">
            <v>1687.5</v>
          </cell>
          <cell r="O36">
            <v>32</v>
          </cell>
          <cell r="P36">
            <v>7.5</v>
          </cell>
          <cell r="Q36">
            <v>240</v>
          </cell>
          <cell r="R36">
            <v>0</v>
          </cell>
          <cell r="S36">
            <v>97.5</v>
          </cell>
          <cell r="T36">
            <v>0</v>
          </cell>
          <cell r="U36">
            <v>0</v>
          </cell>
          <cell r="V36">
            <v>126.75</v>
          </cell>
          <cell r="W36">
            <v>0</v>
          </cell>
          <cell r="X36">
            <v>0</v>
          </cell>
          <cell r="Y36">
            <v>9.75</v>
          </cell>
          <cell r="Z36">
            <v>0</v>
          </cell>
          <cell r="AA36">
            <v>0</v>
          </cell>
          <cell r="AB36">
            <v>112.5</v>
          </cell>
          <cell r="AC36">
            <v>0</v>
          </cell>
          <cell r="AD36">
            <v>0</v>
          </cell>
          <cell r="AE36">
            <v>146.25</v>
          </cell>
          <cell r="AF36">
            <v>0</v>
          </cell>
          <cell r="AG36">
            <v>0</v>
          </cell>
          <cell r="AH36">
            <v>11.25</v>
          </cell>
          <cell r="AI36">
            <v>0</v>
          </cell>
          <cell r="AJ36">
            <v>0</v>
          </cell>
          <cell r="AK36">
            <v>97.5</v>
          </cell>
          <cell r="AL36">
            <v>0</v>
          </cell>
          <cell r="AM36">
            <v>0</v>
          </cell>
          <cell r="AN36">
            <v>126.75</v>
          </cell>
          <cell r="AO36">
            <v>0</v>
          </cell>
          <cell r="AP36">
            <v>0</v>
          </cell>
          <cell r="AQ36">
            <v>9.75</v>
          </cell>
          <cell r="AR36">
            <v>0</v>
          </cell>
          <cell r="AS36">
            <v>0</v>
          </cell>
          <cell r="AT36">
            <v>150</v>
          </cell>
          <cell r="AU36">
            <v>0</v>
          </cell>
          <cell r="AV36">
            <v>0</v>
          </cell>
          <cell r="AW36">
            <v>195</v>
          </cell>
          <cell r="AX36">
            <v>0</v>
          </cell>
          <cell r="AY36">
            <v>0</v>
          </cell>
          <cell r="AZ36">
            <v>15</v>
          </cell>
          <cell r="BA36">
            <v>0</v>
          </cell>
          <cell r="BB36">
            <v>0</v>
          </cell>
          <cell r="BC36">
            <v>75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7927.5</v>
          </cell>
        </row>
        <row r="37">
          <cell r="C37">
            <v>5046</v>
          </cell>
          <cell r="D37" t="str">
            <v>Azon, Sunshine Martinez</v>
          </cell>
          <cell r="E37">
            <v>80</v>
          </cell>
          <cell r="F37">
            <v>10</v>
          </cell>
          <cell r="G37">
            <v>600</v>
          </cell>
          <cell r="H37">
            <v>6000</v>
          </cell>
          <cell r="I37">
            <v>0</v>
          </cell>
          <cell r="J37">
            <v>1.25</v>
          </cell>
          <cell r="K37">
            <v>0</v>
          </cell>
          <cell r="L37">
            <v>20</v>
          </cell>
          <cell r="M37">
            <v>93.75</v>
          </cell>
          <cell r="N37">
            <v>1875</v>
          </cell>
          <cell r="O37">
            <v>32</v>
          </cell>
          <cell r="P37">
            <v>7.5</v>
          </cell>
          <cell r="Q37">
            <v>240</v>
          </cell>
          <cell r="R37">
            <v>0</v>
          </cell>
          <cell r="S37">
            <v>97.5</v>
          </cell>
          <cell r="T37">
            <v>0</v>
          </cell>
          <cell r="U37">
            <v>0</v>
          </cell>
          <cell r="V37">
            <v>126.75</v>
          </cell>
          <cell r="W37">
            <v>0</v>
          </cell>
          <cell r="X37">
            <v>0</v>
          </cell>
          <cell r="Y37">
            <v>9.75</v>
          </cell>
          <cell r="Z37">
            <v>0</v>
          </cell>
          <cell r="AA37">
            <v>0</v>
          </cell>
          <cell r="AB37">
            <v>112.5</v>
          </cell>
          <cell r="AC37">
            <v>0</v>
          </cell>
          <cell r="AD37">
            <v>0</v>
          </cell>
          <cell r="AE37">
            <v>146.25</v>
          </cell>
          <cell r="AF37">
            <v>0</v>
          </cell>
          <cell r="AG37">
            <v>0</v>
          </cell>
          <cell r="AH37">
            <v>11.25</v>
          </cell>
          <cell r="AI37">
            <v>0</v>
          </cell>
          <cell r="AJ37">
            <v>0</v>
          </cell>
          <cell r="AK37">
            <v>97.5</v>
          </cell>
          <cell r="AL37">
            <v>0</v>
          </cell>
          <cell r="AM37">
            <v>0</v>
          </cell>
          <cell r="AN37">
            <v>126.75</v>
          </cell>
          <cell r="AO37">
            <v>0</v>
          </cell>
          <cell r="AP37">
            <v>0</v>
          </cell>
          <cell r="AQ37">
            <v>9.75</v>
          </cell>
          <cell r="AR37">
            <v>0</v>
          </cell>
          <cell r="AS37">
            <v>0</v>
          </cell>
          <cell r="AT37">
            <v>150</v>
          </cell>
          <cell r="AU37">
            <v>0</v>
          </cell>
          <cell r="AV37">
            <v>0</v>
          </cell>
          <cell r="AW37">
            <v>195</v>
          </cell>
          <cell r="AX37">
            <v>0</v>
          </cell>
          <cell r="AY37">
            <v>0</v>
          </cell>
          <cell r="AZ37">
            <v>15</v>
          </cell>
          <cell r="BA37">
            <v>0</v>
          </cell>
          <cell r="BB37">
            <v>0</v>
          </cell>
          <cell r="BC37">
            <v>75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8115</v>
          </cell>
        </row>
        <row r="38">
          <cell r="C38">
            <v>30206</v>
          </cell>
          <cell r="D38" t="str">
            <v>Balbacal, Denver</v>
          </cell>
          <cell r="E38">
            <v>64</v>
          </cell>
          <cell r="F38">
            <v>8</v>
          </cell>
          <cell r="G38">
            <v>600</v>
          </cell>
          <cell r="H38">
            <v>4800</v>
          </cell>
          <cell r="I38">
            <v>3</v>
          </cell>
          <cell r="J38">
            <v>1.25</v>
          </cell>
          <cell r="K38">
            <v>-3.75</v>
          </cell>
          <cell r="L38">
            <v>11</v>
          </cell>
          <cell r="M38">
            <v>93.75</v>
          </cell>
          <cell r="N38">
            <v>1031.25</v>
          </cell>
          <cell r="O38">
            <v>59</v>
          </cell>
          <cell r="P38">
            <v>7.5</v>
          </cell>
          <cell r="Q38">
            <v>442.5</v>
          </cell>
          <cell r="R38">
            <v>8</v>
          </cell>
          <cell r="S38">
            <v>97.5</v>
          </cell>
          <cell r="T38">
            <v>780</v>
          </cell>
          <cell r="U38">
            <v>0</v>
          </cell>
          <cell r="V38">
            <v>126.75</v>
          </cell>
          <cell r="W38">
            <v>0</v>
          </cell>
          <cell r="X38">
            <v>0</v>
          </cell>
          <cell r="Y38">
            <v>9.75</v>
          </cell>
          <cell r="Z38">
            <v>0</v>
          </cell>
          <cell r="AA38">
            <v>0</v>
          </cell>
          <cell r="AB38">
            <v>112.5</v>
          </cell>
          <cell r="AC38">
            <v>0</v>
          </cell>
          <cell r="AD38">
            <v>0</v>
          </cell>
          <cell r="AE38">
            <v>146.25</v>
          </cell>
          <cell r="AF38">
            <v>0</v>
          </cell>
          <cell r="AG38">
            <v>0</v>
          </cell>
          <cell r="AH38">
            <v>11.25</v>
          </cell>
          <cell r="AI38">
            <v>0</v>
          </cell>
          <cell r="AJ38">
            <v>0</v>
          </cell>
          <cell r="AK38">
            <v>97.5</v>
          </cell>
          <cell r="AL38">
            <v>0</v>
          </cell>
          <cell r="AM38">
            <v>0</v>
          </cell>
          <cell r="AN38">
            <v>126.75</v>
          </cell>
          <cell r="AO38">
            <v>0</v>
          </cell>
          <cell r="AP38">
            <v>0</v>
          </cell>
          <cell r="AQ38">
            <v>9.75</v>
          </cell>
          <cell r="AR38">
            <v>0</v>
          </cell>
          <cell r="AS38">
            <v>0</v>
          </cell>
          <cell r="AT38">
            <v>150</v>
          </cell>
          <cell r="AU38">
            <v>0</v>
          </cell>
          <cell r="AV38">
            <v>0</v>
          </cell>
          <cell r="AW38">
            <v>195</v>
          </cell>
          <cell r="AX38">
            <v>0</v>
          </cell>
          <cell r="AY38">
            <v>0</v>
          </cell>
          <cell r="AZ38">
            <v>15</v>
          </cell>
          <cell r="BA38">
            <v>0</v>
          </cell>
          <cell r="BB38">
            <v>0</v>
          </cell>
          <cell r="BC38">
            <v>75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7050</v>
          </cell>
        </row>
        <row r="39">
          <cell r="C39">
            <v>6945</v>
          </cell>
          <cell r="D39" t="str">
            <v>Baldoza, Mary Joy Ili</v>
          </cell>
          <cell r="E39">
            <v>52</v>
          </cell>
          <cell r="F39">
            <v>6.5</v>
          </cell>
          <cell r="G39">
            <v>600</v>
          </cell>
          <cell r="H39">
            <v>3900</v>
          </cell>
          <cell r="I39">
            <v>0</v>
          </cell>
          <cell r="J39">
            <v>1.25</v>
          </cell>
          <cell r="K39">
            <v>0</v>
          </cell>
          <cell r="L39">
            <v>8</v>
          </cell>
          <cell r="M39">
            <v>93.75</v>
          </cell>
          <cell r="N39">
            <v>750</v>
          </cell>
          <cell r="O39">
            <v>0</v>
          </cell>
          <cell r="P39">
            <v>7.5</v>
          </cell>
          <cell r="Q39">
            <v>0</v>
          </cell>
          <cell r="R39">
            <v>8</v>
          </cell>
          <cell r="S39">
            <v>97.5</v>
          </cell>
          <cell r="T39">
            <v>780</v>
          </cell>
          <cell r="U39">
            <v>0</v>
          </cell>
          <cell r="V39">
            <v>126.75</v>
          </cell>
          <cell r="W39">
            <v>0</v>
          </cell>
          <cell r="X39">
            <v>0</v>
          </cell>
          <cell r="Y39">
            <v>9.75</v>
          </cell>
          <cell r="Z39">
            <v>0</v>
          </cell>
          <cell r="AA39">
            <v>0</v>
          </cell>
          <cell r="AB39">
            <v>112.5</v>
          </cell>
          <cell r="AC39">
            <v>0</v>
          </cell>
          <cell r="AD39">
            <v>0</v>
          </cell>
          <cell r="AE39">
            <v>146.25</v>
          </cell>
          <cell r="AF39">
            <v>0</v>
          </cell>
          <cell r="AG39">
            <v>0</v>
          </cell>
          <cell r="AH39">
            <v>11.25</v>
          </cell>
          <cell r="AI39">
            <v>0</v>
          </cell>
          <cell r="AJ39">
            <v>0</v>
          </cell>
          <cell r="AK39">
            <v>97.5</v>
          </cell>
          <cell r="AL39">
            <v>0</v>
          </cell>
          <cell r="AM39">
            <v>0</v>
          </cell>
          <cell r="AN39">
            <v>126.75</v>
          </cell>
          <cell r="AO39">
            <v>0</v>
          </cell>
          <cell r="AP39">
            <v>0</v>
          </cell>
          <cell r="AQ39">
            <v>9.75</v>
          </cell>
          <cell r="AR39">
            <v>0</v>
          </cell>
          <cell r="AS39">
            <v>0</v>
          </cell>
          <cell r="AT39">
            <v>150</v>
          </cell>
          <cell r="AU39">
            <v>0</v>
          </cell>
          <cell r="AV39">
            <v>0</v>
          </cell>
          <cell r="AW39">
            <v>195</v>
          </cell>
          <cell r="AX39">
            <v>0</v>
          </cell>
          <cell r="AY39">
            <v>0</v>
          </cell>
          <cell r="AZ39">
            <v>15</v>
          </cell>
          <cell r="BA39">
            <v>0</v>
          </cell>
          <cell r="BB39">
            <v>0</v>
          </cell>
          <cell r="BC39">
            <v>75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5430</v>
          </cell>
        </row>
        <row r="40">
          <cell r="C40">
            <v>12858</v>
          </cell>
          <cell r="D40" t="str">
            <v>Barrios, Nancy M.</v>
          </cell>
          <cell r="E40">
            <v>72</v>
          </cell>
          <cell r="F40">
            <v>9</v>
          </cell>
          <cell r="G40">
            <v>600</v>
          </cell>
          <cell r="H40">
            <v>5400</v>
          </cell>
          <cell r="I40">
            <v>0</v>
          </cell>
          <cell r="J40">
            <v>1.25</v>
          </cell>
          <cell r="K40">
            <v>0</v>
          </cell>
          <cell r="L40">
            <v>16</v>
          </cell>
          <cell r="M40">
            <v>93.75</v>
          </cell>
          <cell r="N40">
            <v>1500</v>
          </cell>
          <cell r="O40">
            <v>24</v>
          </cell>
          <cell r="P40">
            <v>7.5</v>
          </cell>
          <cell r="Q40">
            <v>180</v>
          </cell>
          <cell r="R40">
            <v>0</v>
          </cell>
          <cell r="S40">
            <v>97.5</v>
          </cell>
          <cell r="T40">
            <v>0</v>
          </cell>
          <cell r="U40">
            <v>0</v>
          </cell>
          <cell r="V40">
            <v>126.75</v>
          </cell>
          <cell r="W40">
            <v>0</v>
          </cell>
          <cell r="X40">
            <v>0</v>
          </cell>
          <cell r="Y40">
            <v>9.75</v>
          </cell>
          <cell r="Z40">
            <v>0</v>
          </cell>
          <cell r="AA40">
            <v>0</v>
          </cell>
          <cell r="AB40">
            <v>112.5</v>
          </cell>
          <cell r="AC40">
            <v>0</v>
          </cell>
          <cell r="AD40">
            <v>0</v>
          </cell>
          <cell r="AE40">
            <v>146.25</v>
          </cell>
          <cell r="AF40">
            <v>0</v>
          </cell>
          <cell r="AG40">
            <v>0</v>
          </cell>
          <cell r="AH40">
            <v>11.25</v>
          </cell>
          <cell r="AI40">
            <v>0</v>
          </cell>
          <cell r="AJ40">
            <v>0</v>
          </cell>
          <cell r="AK40">
            <v>97.5</v>
          </cell>
          <cell r="AL40">
            <v>0</v>
          </cell>
          <cell r="AM40">
            <v>0</v>
          </cell>
          <cell r="AN40">
            <v>126.75</v>
          </cell>
          <cell r="AO40">
            <v>0</v>
          </cell>
          <cell r="AP40">
            <v>0</v>
          </cell>
          <cell r="AQ40">
            <v>9.75</v>
          </cell>
          <cell r="AR40">
            <v>0</v>
          </cell>
          <cell r="AS40">
            <v>0</v>
          </cell>
          <cell r="AT40">
            <v>150</v>
          </cell>
          <cell r="AU40">
            <v>0</v>
          </cell>
          <cell r="AV40">
            <v>0</v>
          </cell>
          <cell r="AW40">
            <v>195</v>
          </cell>
          <cell r="AX40">
            <v>0</v>
          </cell>
          <cell r="AY40">
            <v>0</v>
          </cell>
          <cell r="AZ40">
            <v>15</v>
          </cell>
          <cell r="BA40">
            <v>0</v>
          </cell>
          <cell r="BB40">
            <v>0</v>
          </cell>
          <cell r="BC40">
            <v>75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7080</v>
          </cell>
        </row>
        <row r="41">
          <cell r="C41">
            <v>14762</v>
          </cell>
          <cell r="D41" t="str">
            <v>Bascuguin, Michaella B.</v>
          </cell>
          <cell r="E41">
            <v>88</v>
          </cell>
          <cell r="F41">
            <v>11</v>
          </cell>
          <cell r="G41">
            <v>600</v>
          </cell>
          <cell r="H41">
            <v>6600</v>
          </cell>
          <cell r="I41">
            <v>0</v>
          </cell>
          <cell r="J41">
            <v>1.25</v>
          </cell>
          <cell r="K41">
            <v>0</v>
          </cell>
          <cell r="L41">
            <v>20</v>
          </cell>
          <cell r="M41">
            <v>93.75</v>
          </cell>
          <cell r="N41">
            <v>1875</v>
          </cell>
          <cell r="O41">
            <v>54</v>
          </cell>
          <cell r="P41">
            <v>7.5</v>
          </cell>
          <cell r="Q41">
            <v>405</v>
          </cell>
          <cell r="R41">
            <v>0</v>
          </cell>
          <cell r="S41">
            <v>97.5</v>
          </cell>
          <cell r="T41">
            <v>0</v>
          </cell>
          <cell r="U41">
            <v>0</v>
          </cell>
          <cell r="V41">
            <v>126.75</v>
          </cell>
          <cell r="W41">
            <v>0</v>
          </cell>
          <cell r="X41">
            <v>0</v>
          </cell>
          <cell r="Y41">
            <v>9.75</v>
          </cell>
          <cell r="Z41">
            <v>0</v>
          </cell>
          <cell r="AA41">
            <v>0</v>
          </cell>
          <cell r="AB41">
            <v>112.5</v>
          </cell>
          <cell r="AC41">
            <v>0</v>
          </cell>
          <cell r="AD41">
            <v>0</v>
          </cell>
          <cell r="AE41">
            <v>146.25</v>
          </cell>
          <cell r="AF41">
            <v>0</v>
          </cell>
          <cell r="AG41">
            <v>0</v>
          </cell>
          <cell r="AH41">
            <v>11.25</v>
          </cell>
          <cell r="AI41">
            <v>0</v>
          </cell>
          <cell r="AJ41">
            <v>8</v>
          </cell>
          <cell r="AK41">
            <v>97.5</v>
          </cell>
          <cell r="AL41">
            <v>780</v>
          </cell>
          <cell r="AM41">
            <v>0</v>
          </cell>
          <cell r="AN41">
            <v>126.75</v>
          </cell>
          <cell r="AO41">
            <v>0</v>
          </cell>
          <cell r="AP41">
            <v>0</v>
          </cell>
          <cell r="AQ41">
            <v>9.75</v>
          </cell>
          <cell r="AR41">
            <v>0</v>
          </cell>
          <cell r="AS41">
            <v>0</v>
          </cell>
          <cell r="AT41">
            <v>150</v>
          </cell>
          <cell r="AU41">
            <v>0</v>
          </cell>
          <cell r="AV41">
            <v>0</v>
          </cell>
          <cell r="AW41">
            <v>195</v>
          </cell>
          <cell r="AX41">
            <v>0</v>
          </cell>
          <cell r="AY41">
            <v>0</v>
          </cell>
          <cell r="AZ41">
            <v>15</v>
          </cell>
          <cell r="BA41">
            <v>0</v>
          </cell>
          <cell r="BB41">
            <v>0</v>
          </cell>
          <cell r="BC41">
            <v>75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9660</v>
          </cell>
        </row>
        <row r="42">
          <cell r="C42">
            <v>12863</v>
          </cell>
          <cell r="D42" t="str">
            <v>Bauson, Vanessa M.</v>
          </cell>
          <cell r="E42">
            <v>0</v>
          </cell>
          <cell r="F42">
            <v>0</v>
          </cell>
          <cell r="G42">
            <v>600</v>
          </cell>
          <cell r="H42">
            <v>0</v>
          </cell>
          <cell r="I42">
            <v>0</v>
          </cell>
          <cell r="J42">
            <v>1.25</v>
          </cell>
          <cell r="K42">
            <v>0</v>
          </cell>
          <cell r="L42">
            <v>0</v>
          </cell>
          <cell r="M42">
            <v>93.75</v>
          </cell>
          <cell r="N42">
            <v>0</v>
          </cell>
          <cell r="O42">
            <v>0</v>
          </cell>
          <cell r="P42">
            <v>7.5</v>
          </cell>
          <cell r="Q42">
            <v>0</v>
          </cell>
          <cell r="R42">
            <v>0</v>
          </cell>
          <cell r="S42">
            <v>97.5</v>
          </cell>
          <cell r="T42">
            <v>0</v>
          </cell>
          <cell r="U42">
            <v>0</v>
          </cell>
          <cell r="V42">
            <v>126.75</v>
          </cell>
          <cell r="W42">
            <v>0</v>
          </cell>
          <cell r="X42">
            <v>0</v>
          </cell>
          <cell r="Y42">
            <v>9.75</v>
          </cell>
          <cell r="Z42">
            <v>0</v>
          </cell>
          <cell r="AA42">
            <v>0</v>
          </cell>
          <cell r="AB42">
            <v>112.5</v>
          </cell>
          <cell r="AC42">
            <v>0</v>
          </cell>
          <cell r="AD42">
            <v>0</v>
          </cell>
          <cell r="AE42">
            <v>146.25</v>
          </cell>
          <cell r="AF42">
            <v>0</v>
          </cell>
          <cell r="AG42">
            <v>0</v>
          </cell>
          <cell r="AH42">
            <v>11.25</v>
          </cell>
          <cell r="AI42">
            <v>0</v>
          </cell>
          <cell r="AJ42">
            <v>0</v>
          </cell>
          <cell r="AK42">
            <v>97.5</v>
          </cell>
          <cell r="AL42">
            <v>0</v>
          </cell>
          <cell r="AM42">
            <v>0</v>
          </cell>
          <cell r="AN42">
            <v>126.75</v>
          </cell>
          <cell r="AO42">
            <v>0</v>
          </cell>
          <cell r="AP42">
            <v>0</v>
          </cell>
          <cell r="AQ42">
            <v>9.75</v>
          </cell>
          <cell r="AR42">
            <v>0</v>
          </cell>
          <cell r="AS42">
            <v>0</v>
          </cell>
          <cell r="AT42">
            <v>150</v>
          </cell>
          <cell r="AU42">
            <v>0</v>
          </cell>
          <cell r="AV42">
            <v>0</v>
          </cell>
          <cell r="AW42">
            <v>195</v>
          </cell>
          <cell r="AX42">
            <v>0</v>
          </cell>
          <cell r="AY42">
            <v>0</v>
          </cell>
          <cell r="AZ42">
            <v>15</v>
          </cell>
          <cell r="BA42">
            <v>0</v>
          </cell>
          <cell r="BB42">
            <v>0</v>
          </cell>
          <cell r="BC42">
            <v>75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</row>
        <row r="43">
          <cell r="C43">
            <v>14694</v>
          </cell>
          <cell r="D43" t="str">
            <v>Bautista, Paulo Cusi</v>
          </cell>
          <cell r="E43">
            <v>72</v>
          </cell>
          <cell r="F43">
            <v>9</v>
          </cell>
          <cell r="G43">
            <v>600</v>
          </cell>
          <cell r="H43">
            <v>5400</v>
          </cell>
          <cell r="I43">
            <v>37</v>
          </cell>
          <cell r="J43">
            <v>1.25</v>
          </cell>
          <cell r="K43">
            <v>-46.25</v>
          </cell>
          <cell r="L43">
            <v>16</v>
          </cell>
          <cell r="M43">
            <v>93.75</v>
          </cell>
          <cell r="N43">
            <v>1500</v>
          </cell>
          <cell r="O43">
            <v>24</v>
          </cell>
          <cell r="P43">
            <v>7.5</v>
          </cell>
          <cell r="Q43">
            <v>180</v>
          </cell>
          <cell r="R43">
            <v>0</v>
          </cell>
          <cell r="S43">
            <v>97.5</v>
          </cell>
          <cell r="T43">
            <v>0</v>
          </cell>
          <cell r="U43">
            <v>0</v>
          </cell>
          <cell r="V43">
            <v>126.75</v>
          </cell>
          <cell r="W43">
            <v>0</v>
          </cell>
          <cell r="X43">
            <v>0</v>
          </cell>
          <cell r="Y43">
            <v>9.75</v>
          </cell>
          <cell r="Z43">
            <v>0</v>
          </cell>
          <cell r="AA43">
            <v>0</v>
          </cell>
          <cell r="AB43">
            <v>112.5</v>
          </cell>
          <cell r="AC43">
            <v>0</v>
          </cell>
          <cell r="AD43">
            <v>0</v>
          </cell>
          <cell r="AE43">
            <v>146.25</v>
          </cell>
          <cell r="AF43">
            <v>0</v>
          </cell>
          <cell r="AG43">
            <v>0</v>
          </cell>
          <cell r="AH43">
            <v>11.25</v>
          </cell>
          <cell r="AI43">
            <v>0</v>
          </cell>
          <cell r="AJ43">
            <v>0</v>
          </cell>
          <cell r="AK43">
            <v>97.5</v>
          </cell>
          <cell r="AL43">
            <v>0</v>
          </cell>
          <cell r="AM43">
            <v>0</v>
          </cell>
          <cell r="AN43">
            <v>126.75</v>
          </cell>
          <cell r="AO43">
            <v>0</v>
          </cell>
          <cell r="AP43">
            <v>0</v>
          </cell>
          <cell r="AQ43">
            <v>9.75</v>
          </cell>
          <cell r="AR43">
            <v>0</v>
          </cell>
          <cell r="AS43">
            <v>0</v>
          </cell>
          <cell r="AT43">
            <v>150</v>
          </cell>
          <cell r="AU43">
            <v>0</v>
          </cell>
          <cell r="AV43">
            <v>0</v>
          </cell>
          <cell r="AW43">
            <v>195</v>
          </cell>
          <cell r="AX43">
            <v>0</v>
          </cell>
          <cell r="AY43">
            <v>0</v>
          </cell>
          <cell r="AZ43">
            <v>15</v>
          </cell>
          <cell r="BA43">
            <v>0</v>
          </cell>
          <cell r="BB43">
            <v>0</v>
          </cell>
          <cell r="BC43">
            <v>75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7033.75</v>
          </cell>
        </row>
        <row r="44">
          <cell r="C44">
            <v>2480</v>
          </cell>
          <cell r="D44" t="str">
            <v>Baylon, Reven Jay Pasajol</v>
          </cell>
          <cell r="E44">
            <v>72</v>
          </cell>
          <cell r="F44">
            <v>9</v>
          </cell>
          <cell r="G44">
            <v>600</v>
          </cell>
          <cell r="H44">
            <v>5400</v>
          </cell>
          <cell r="I44">
            <v>0</v>
          </cell>
          <cell r="J44">
            <v>1.25</v>
          </cell>
          <cell r="K44">
            <v>0</v>
          </cell>
          <cell r="L44">
            <v>11</v>
          </cell>
          <cell r="M44">
            <v>93.75</v>
          </cell>
          <cell r="N44">
            <v>1031.25</v>
          </cell>
          <cell r="O44">
            <v>30</v>
          </cell>
          <cell r="P44">
            <v>7.5</v>
          </cell>
          <cell r="Q44">
            <v>225</v>
          </cell>
          <cell r="R44">
            <v>0</v>
          </cell>
          <cell r="S44">
            <v>97.5</v>
          </cell>
          <cell r="T44">
            <v>0</v>
          </cell>
          <cell r="U44">
            <v>0</v>
          </cell>
          <cell r="V44">
            <v>126.75</v>
          </cell>
          <cell r="W44">
            <v>0</v>
          </cell>
          <cell r="X44">
            <v>0</v>
          </cell>
          <cell r="Y44">
            <v>9.75</v>
          </cell>
          <cell r="Z44">
            <v>0</v>
          </cell>
          <cell r="AA44">
            <v>0</v>
          </cell>
          <cell r="AB44">
            <v>112.5</v>
          </cell>
          <cell r="AC44">
            <v>0</v>
          </cell>
          <cell r="AD44">
            <v>0</v>
          </cell>
          <cell r="AE44">
            <v>146.25</v>
          </cell>
          <cell r="AF44">
            <v>0</v>
          </cell>
          <cell r="AG44">
            <v>0</v>
          </cell>
          <cell r="AH44">
            <v>11.25</v>
          </cell>
          <cell r="AI44">
            <v>0</v>
          </cell>
          <cell r="AJ44">
            <v>0</v>
          </cell>
          <cell r="AK44">
            <v>97.5</v>
          </cell>
          <cell r="AL44">
            <v>0</v>
          </cell>
          <cell r="AM44">
            <v>0</v>
          </cell>
          <cell r="AN44">
            <v>126.75</v>
          </cell>
          <cell r="AO44">
            <v>0</v>
          </cell>
          <cell r="AP44">
            <v>0</v>
          </cell>
          <cell r="AQ44">
            <v>9.75</v>
          </cell>
          <cell r="AR44">
            <v>0</v>
          </cell>
          <cell r="AS44">
            <v>0</v>
          </cell>
          <cell r="AT44">
            <v>150</v>
          </cell>
          <cell r="AU44">
            <v>0</v>
          </cell>
          <cell r="AV44">
            <v>0</v>
          </cell>
          <cell r="AW44">
            <v>195</v>
          </cell>
          <cell r="AX44">
            <v>0</v>
          </cell>
          <cell r="AY44">
            <v>0</v>
          </cell>
          <cell r="AZ44">
            <v>15</v>
          </cell>
          <cell r="BA44">
            <v>0</v>
          </cell>
          <cell r="BB44">
            <v>0</v>
          </cell>
          <cell r="BC44">
            <v>75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6656.25</v>
          </cell>
        </row>
        <row r="45">
          <cell r="C45">
            <v>12875</v>
          </cell>
          <cell r="D45" t="str">
            <v>Boñon, Shiela H.</v>
          </cell>
          <cell r="E45">
            <v>64</v>
          </cell>
          <cell r="F45">
            <v>8</v>
          </cell>
          <cell r="G45">
            <v>600</v>
          </cell>
          <cell r="H45">
            <v>4800</v>
          </cell>
          <cell r="I45">
            <v>0</v>
          </cell>
          <cell r="J45">
            <v>1.25</v>
          </cell>
          <cell r="K45">
            <v>0</v>
          </cell>
          <cell r="L45">
            <v>12</v>
          </cell>
          <cell r="M45">
            <v>93.75</v>
          </cell>
          <cell r="N45">
            <v>1125</v>
          </cell>
          <cell r="O45">
            <v>0</v>
          </cell>
          <cell r="P45">
            <v>7.5</v>
          </cell>
          <cell r="Q45">
            <v>0</v>
          </cell>
          <cell r="R45">
            <v>8</v>
          </cell>
          <cell r="S45">
            <v>97.5</v>
          </cell>
          <cell r="T45">
            <v>780</v>
          </cell>
          <cell r="U45">
            <v>0</v>
          </cell>
          <cell r="V45">
            <v>126.75</v>
          </cell>
          <cell r="W45">
            <v>0</v>
          </cell>
          <cell r="X45">
            <v>0</v>
          </cell>
          <cell r="Y45">
            <v>9.75</v>
          </cell>
          <cell r="Z45">
            <v>0</v>
          </cell>
          <cell r="AA45">
            <v>0</v>
          </cell>
          <cell r="AB45">
            <v>112.5</v>
          </cell>
          <cell r="AC45">
            <v>0</v>
          </cell>
          <cell r="AD45">
            <v>0</v>
          </cell>
          <cell r="AE45">
            <v>146.25</v>
          </cell>
          <cell r="AF45">
            <v>0</v>
          </cell>
          <cell r="AG45">
            <v>0</v>
          </cell>
          <cell r="AH45">
            <v>11.25</v>
          </cell>
          <cell r="AI45">
            <v>0</v>
          </cell>
          <cell r="AJ45">
            <v>8</v>
          </cell>
          <cell r="AK45">
            <v>97.5</v>
          </cell>
          <cell r="AL45">
            <v>780</v>
          </cell>
          <cell r="AM45">
            <v>0</v>
          </cell>
          <cell r="AN45">
            <v>126.75</v>
          </cell>
          <cell r="AO45">
            <v>0</v>
          </cell>
          <cell r="AP45">
            <v>0</v>
          </cell>
          <cell r="AQ45">
            <v>9.75</v>
          </cell>
          <cell r="AR45">
            <v>0</v>
          </cell>
          <cell r="AS45">
            <v>0</v>
          </cell>
          <cell r="AT45">
            <v>150</v>
          </cell>
          <cell r="AU45">
            <v>0</v>
          </cell>
          <cell r="AV45">
            <v>0</v>
          </cell>
          <cell r="AW45">
            <v>195</v>
          </cell>
          <cell r="AX45">
            <v>0</v>
          </cell>
          <cell r="AY45">
            <v>0</v>
          </cell>
          <cell r="AZ45">
            <v>15</v>
          </cell>
          <cell r="BA45">
            <v>0</v>
          </cell>
          <cell r="BB45">
            <v>0</v>
          </cell>
          <cell r="BC45">
            <v>75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7485</v>
          </cell>
        </row>
        <row r="46">
          <cell r="C46">
            <v>12878</v>
          </cell>
          <cell r="D46" t="str">
            <v>Briones, Angelica O.</v>
          </cell>
          <cell r="E46">
            <v>88</v>
          </cell>
          <cell r="F46">
            <v>11</v>
          </cell>
          <cell r="G46">
            <v>600</v>
          </cell>
          <cell r="H46">
            <v>6600</v>
          </cell>
          <cell r="I46">
            <v>0</v>
          </cell>
          <cell r="J46">
            <v>1.25</v>
          </cell>
          <cell r="K46">
            <v>0</v>
          </cell>
          <cell r="L46">
            <v>20</v>
          </cell>
          <cell r="M46">
            <v>93.75</v>
          </cell>
          <cell r="N46">
            <v>1875</v>
          </cell>
          <cell r="O46">
            <v>54</v>
          </cell>
          <cell r="P46">
            <v>7.5</v>
          </cell>
          <cell r="Q46">
            <v>405</v>
          </cell>
          <cell r="R46">
            <v>8</v>
          </cell>
          <cell r="S46">
            <v>97.5</v>
          </cell>
          <cell r="T46">
            <v>780</v>
          </cell>
          <cell r="U46">
            <v>0</v>
          </cell>
          <cell r="V46">
            <v>126.75</v>
          </cell>
          <cell r="W46">
            <v>0</v>
          </cell>
          <cell r="X46">
            <v>0</v>
          </cell>
          <cell r="Y46">
            <v>9.75</v>
          </cell>
          <cell r="Z46">
            <v>0</v>
          </cell>
          <cell r="AA46">
            <v>0</v>
          </cell>
          <cell r="AB46">
            <v>112.5</v>
          </cell>
          <cell r="AC46">
            <v>0</v>
          </cell>
          <cell r="AD46">
            <v>0</v>
          </cell>
          <cell r="AE46">
            <v>146.25</v>
          </cell>
          <cell r="AF46">
            <v>0</v>
          </cell>
          <cell r="AG46">
            <v>0</v>
          </cell>
          <cell r="AH46">
            <v>11.25</v>
          </cell>
          <cell r="AI46">
            <v>0</v>
          </cell>
          <cell r="AJ46">
            <v>8</v>
          </cell>
          <cell r="AK46">
            <v>97.5</v>
          </cell>
          <cell r="AL46">
            <v>780</v>
          </cell>
          <cell r="AM46">
            <v>0</v>
          </cell>
          <cell r="AN46">
            <v>126.75</v>
          </cell>
          <cell r="AO46">
            <v>0</v>
          </cell>
          <cell r="AP46">
            <v>0</v>
          </cell>
          <cell r="AQ46">
            <v>9.75</v>
          </cell>
          <cell r="AR46">
            <v>0</v>
          </cell>
          <cell r="AS46">
            <v>0</v>
          </cell>
          <cell r="AT46">
            <v>150</v>
          </cell>
          <cell r="AU46">
            <v>0</v>
          </cell>
          <cell r="AV46">
            <v>0</v>
          </cell>
          <cell r="AW46">
            <v>195</v>
          </cell>
          <cell r="AX46">
            <v>0</v>
          </cell>
          <cell r="AY46">
            <v>0</v>
          </cell>
          <cell r="AZ46">
            <v>15</v>
          </cell>
          <cell r="BA46">
            <v>0</v>
          </cell>
          <cell r="BB46">
            <v>0</v>
          </cell>
          <cell r="BC46">
            <v>75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10440</v>
          </cell>
        </row>
        <row r="47">
          <cell r="C47">
            <v>12879</v>
          </cell>
          <cell r="D47" t="str">
            <v>Brotonel, Johnyver M.</v>
          </cell>
          <cell r="E47">
            <v>56</v>
          </cell>
          <cell r="F47">
            <v>7</v>
          </cell>
          <cell r="G47">
            <v>600</v>
          </cell>
          <cell r="H47">
            <v>4200</v>
          </cell>
          <cell r="I47">
            <v>0</v>
          </cell>
          <cell r="J47">
            <v>1.25</v>
          </cell>
          <cell r="K47">
            <v>0</v>
          </cell>
          <cell r="L47">
            <v>10</v>
          </cell>
          <cell r="M47">
            <v>93.75</v>
          </cell>
          <cell r="N47">
            <v>937.5</v>
          </cell>
          <cell r="O47">
            <v>0</v>
          </cell>
          <cell r="P47">
            <v>7.5</v>
          </cell>
          <cell r="Q47">
            <v>0</v>
          </cell>
          <cell r="R47">
            <v>0</v>
          </cell>
          <cell r="S47">
            <v>97.5</v>
          </cell>
          <cell r="T47">
            <v>0</v>
          </cell>
          <cell r="U47">
            <v>0</v>
          </cell>
          <cell r="V47">
            <v>126.75</v>
          </cell>
          <cell r="W47">
            <v>0</v>
          </cell>
          <cell r="X47">
            <v>0</v>
          </cell>
          <cell r="Y47">
            <v>9.75</v>
          </cell>
          <cell r="Z47">
            <v>0</v>
          </cell>
          <cell r="AA47">
            <v>0</v>
          </cell>
          <cell r="AB47">
            <v>112.5</v>
          </cell>
          <cell r="AC47">
            <v>0</v>
          </cell>
          <cell r="AD47">
            <v>0</v>
          </cell>
          <cell r="AE47">
            <v>146.25</v>
          </cell>
          <cell r="AF47">
            <v>0</v>
          </cell>
          <cell r="AG47">
            <v>0</v>
          </cell>
          <cell r="AH47">
            <v>11.25</v>
          </cell>
          <cell r="AI47">
            <v>0</v>
          </cell>
          <cell r="AJ47">
            <v>0</v>
          </cell>
          <cell r="AK47">
            <v>97.5</v>
          </cell>
          <cell r="AL47">
            <v>0</v>
          </cell>
          <cell r="AM47">
            <v>0</v>
          </cell>
          <cell r="AN47">
            <v>126.75</v>
          </cell>
          <cell r="AO47">
            <v>0</v>
          </cell>
          <cell r="AP47">
            <v>0</v>
          </cell>
          <cell r="AQ47">
            <v>9.75</v>
          </cell>
          <cell r="AR47">
            <v>0</v>
          </cell>
          <cell r="AS47">
            <v>0</v>
          </cell>
          <cell r="AT47">
            <v>150</v>
          </cell>
          <cell r="AU47">
            <v>0</v>
          </cell>
          <cell r="AV47">
            <v>0</v>
          </cell>
          <cell r="AW47">
            <v>195</v>
          </cell>
          <cell r="AX47">
            <v>0</v>
          </cell>
          <cell r="AY47">
            <v>0</v>
          </cell>
          <cell r="AZ47">
            <v>15</v>
          </cell>
          <cell r="BA47">
            <v>0</v>
          </cell>
          <cell r="BB47">
            <v>0</v>
          </cell>
          <cell r="BC47">
            <v>75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8</v>
          </cell>
          <cell r="BN47">
            <v>780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5917.5</v>
          </cell>
        </row>
        <row r="48">
          <cell r="C48">
            <v>2130</v>
          </cell>
          <cell r="D48" t="str">
            <v>Buenafe, Ivan Callorina</v>
          </cell>
          <cell r="E48">
            <v>72</v>
          </cell>
          <cell r="F48">
            <v>9</v>
          </cell>
          <cell r="G48">
            <v>600</v>
          </cell>
          <cell r="H48">
            <v>5400</v>
          </cell>
          <cell r="I48">
            <v>0</v>
          </cell>
          <cell r="J48">
            <v>1.25</v>
          </cell>
          <cell r="K48">
            <v>0</v>
          </cell>
          <cell r="L48">
            <v>16</v>
          </cell>
          <cell r="M48">
            <v>93.75</v>
          </cell>
          <cell r="N48">
            <v>1500</v>
          </cell>
          <cell r="O48">
            <v>32</v>
          </cell>
          <cell r="P48">
            <v>7.5</v>
          </cell>
          <cell r="Q48">
            <v>240</v>
          </cell>
          <cell r="R48">
            <v>0</v>
          </cell>
          <cell r="S48">
            <v>97.5</v>
          </cell>
          <cell r="T48">
            <v>0</v>
          </cell>
          <cell r="U48">
            <v>0</v>
          </cell>
          <cell r="V48">
            <v>126.75</v>
          </cell>
          <cell r="W48">
            <v>0</v>
          </cell>
          <cell r="X48">
            <v>0</v>
          </cell>
          <cell r="Y48">
            <v>9.75</v>
          </cell>
          <cell r="Z48">
            <v>0</v>
          </cell>
          <cell r="AA48">
            <v>0</v>
          </cell>
          <cell r="AB48">
            <v>112.5</v>
          </cell>
          <cell r="AC48">
            <v>0</v>
          </cell>
          <cell r="AD48">
            <v>0</v>
          </cell>
          <cell r="AE48">
            <v>146.25</v>
          </cell>
          <cell r="AF48">
            <v>0</v>
          </cell>
          <cell r="AG48">
            <v>0</v>
          </cell>
          <cell r="AH48">
            <v>11.25</v>
          </cell>
          <cell r="AI48">
            <v>0</v>
          </cell>
          <cell r="AJ48">
            <v>0</v>
          </cell>
          <cell r="AK48">
            <v>97.5</v>
          </cell>
          <cell r="AL48">
            <v>0</v>
          </cell>
          <cell r="AM48">
            <v>0</v>
          </cell>
          <cell r="AN48">
            <v>126.75</v>
          </cell>
          <cell r="AO48">
            <v>0</v>
          </cell>
          <cell r="AP48">
            <v>0</v>
          </cell>
          <cell r="AQ48">
            <v>9.75</v>
          </cell>
          <cell r="AR48">
            <v>0</v>
          </cell>
          <cell r="AS48">
            <v>0</v>
          </cell>
          <cell r="AT48">
            <v>150</v>
          </cell>
          <cell r="AU48">
            <v>0</v>
          </cell>
          <cell r="AV48">
            <v>0</v>
          </cell>
          <cell r="AW48">
            <v>195</v>
          </cell>
          <cell r="AX48">
            <v>0</v>
          </cell>
          <cell r="AY48">
            <v>0</v>
          </cell>
          <cell r="AZ48">
            <v>15</v>
          </cell>
          <cell r="BA48">
            <v>0</v>
          </cell>
          <cell r="BB48">
            <v>0</v>
          </cell>
          <cell r="BC48">
            <v>75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7140</v>
          </cell>
        </row>
        <row r="49">
          <cell r="C49">
            <v>12884</v>
          </cell>
          <cell r="D49" t="str">
            <v>Buenconsejo, John Cyrel Carpio</v>
          </cell>
          <cell r="E49">
            <v>88</v>
          </cell>
          <cell r="F49">
            <v>11</v>
          </cell>
          <cell r="G49">
            <v>600</v>
          </cell>
          <cell r="H49">
            <v>6600</v>
          </cell>
          <cell r="I49">
            <v>63</v>
          </cell>
          <cell r="J49">
            <v>1.25</v>
          </cell>
          <cell r="K49">
            <v>-78.75</v>
          </cell>
          <cell r="L49">
            <v>20</v>
          </cell>
          <cell r="M49">
            <v>93.75</v>
          </cell>
          <cell r="N49">
            <v>1875</v>
          </cell>
          <cell r="O49">
            <v>54</v>
          </cell>
          <cell r="P49">
            <v>7.5</v>
          </cell>
          <cell r="Q49">
            <v>405</v>
          </cell>
          <cell r="R49">
            <v>8</v>
          </cell>
          <cell r="S49">
            <v>97.5</v>
          </cell>
          <cell r="T49">
            <v>780</v>
          </cell>
          <cell r="U49">
            <v>0</v>
          </cell>
          <cell r="V49">
            <v>126.75</v>
          </cell>
          <cell r="W49">
            <v>0</v>
          </cell>
          <cell r="X49">
            <v>0</v>
          </cell>
          <cell r="Y49">
            <v>9.75</v>
          </cell>
          <cell r="Z49">
            <v>0</v>
          </cell>
          <cell r="AA49">
            <v>0</v>
          </cell>
          <cell r="AB49">
            <v>112.5</v>
          </cell>
          <cell r="AC49">
            <v>0</v>
          </cell>
          <cell r="AD49">
            <v>0</v>
          </cell>
          <cell r="AE49">
            <v>146.25</v>
          </cell>
          <cell r="AF49">
            <v>0</v>
          </cell>
          <cell r="AG49">
            <v>0</v>
          </cell>
          <cell r="AH49">
            <v>11.25</v>
          </cell>
          <cell r="AI49">
            <v>0</v>
          </cell>
          <cell r="AJ49">
            <v>8</v>
          </cell>
          <cell r="AK49">
            <v>97.5</v>
          </cell>
          <cell r="AL49">
            <v>780</v>
          </cell>
          <cell r="AM49">
            <v>0</v>
          </cell>
          <cell r="AN49">
            <v>126.75</v>
          </cell>
          <cell r="AO49">
            <v>0</v>
          </cell>
          <cell r="AP49">
            <v>0</v>
          </cell>
          <cell r="AQ49">
            <v>9.75</v>
          </cell>
          <cell r="AR49">
            <v>0</v>
          </cell>
          <cell r="AS49">
            <v>0</v>
          </cell>
          <cell r="AT49">
            <v>150</v>
          </cell>
          <cell r="AU49">
            <v>0</v>
          </cell>
          <cell r="AV49">
            <v>0</v>
          </cell>
          <cell r="AW49">
            <v>195</v>
          </cell>
          <cell r="AX49">
            <v>0</v>
          </cell>
          <cell r="AY49">
            <v>0</v>
          </cell>
          <cell r="AZ49">
            <v>15</v>
          </cell>
          <cell r="BA49">
            <v>0</v>
          </cell>
          <cell r="BB49">
            <v>0</v>
          </cell>
          <cell r="BC49">
            <v>75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10361.25</v>
          </cell>
        </row>
        <row r="50">
          <cell r="C50">
            <v>12886</v>
          </cell>
          <cell r="D50" t="str">
            <v>Cabarles, Mha Ann Mae Falceso</v>
          </cell>
          <cell r="E50">
            <v>72</v>
          </cell>
          <cell r="F50">
            <v>9</v>
          </cell>
          <cell r="G50">
            <v>600</v>
          </cell>
          <cell r="H50">
            <v>5400</v>
          </cell>
          <cell r="I50">
            <v>0</v>
          </cell>
          <cell r="J50">
            <v>1.25</v>
          </cell>
          <cell r="K50">
            <v>0</v>
          </cell>
          <cell r="L50">
            <v>14</v>
          </cell>
          <cell r="M50">
            <v>93.75</v>
          </cell>
          <cell r="N50">
            <v>1312.5</v>
          </cell>
          <cell r="O50">
            <v>0</v>
          </cell>
          <cell r="P50">
            <v>7.5</v>
          </cell>
          <cell r="Q50">
            <v>0</v>
          </cell>
          <cell r="R50">
            <v>8</v>
          </cell>
          <cell r="S50">
            <v>97.5</v>
          </cell>
          <cell r="T50">
            <v>780</v>
          </cell>
          <cell r="U50">
            <v>0</v>
          </cell>
          <cell r="V50">
            <v>126.75</v>
          </cell>
          <cell r="W50">
            <v>0</v>
          </cell>
          <cell r="X50">
            <v>0</v>
          </cell>
          <cell r="Y50">
            <v>9.75</v>
          </cell>
          <cell r="Z50">
            <v>0</v>
          </cell>
          <cell r="AA50">
            <v>0</v>
          </cell>
          <cell r="AB50">
            <v>112.5</v>
          </cell>
          <cell r="AC50">
            <v>0</v>
          </cell>
          <cell r="AD50">
            <v>0</v>
          </cell>
          <cell r="AE50">
            <v>146.25</v>
          </cell>
          <cell r="AF50">
            <v>0</v>
          </cell>
          <cell r="AG50">
            <v>0</v>
          </cell>
          <cell r="AH50">
            <v>11.25</v>
          </cell>
          <cell r="AI50">
            <v>0</v>
          </cell>
          <cell r="AJ50">
            <v>0</v>
          </cell>
          <cell r="AK50">
            <v>97.5</v>
          </cell>
          <cell r="AL50">
            <v>0</v>
          </cell>
          <cell r="AM50">
            <v>0</v>
          </cell>
          <cell r="AN50">
            <v>126.75</v>
          </cell>
          <cell r="AO50">
            <v>0</v>
          </cell>
          <cell r="AP50">
            <v>0</v>
          </cell>
          <cell r="AQ50">
            <v>9.75</v>
          </cell>
          <cell r="AR50">
            <v>0</v>
          </cell>
          <cell r="AS50">
            <v>0</v>
          </cell>
          <cell r="AT50">
            <v>150</v>
          </cell>
          <cell r="AU50">
            <v>0</v>
          </cell>
          <cell r="AV50">
            <v>0</v>
          </cell>
          <cell r="AW50">
            <v>195</v>
          </cell>
          <cell r="AX50">
            <v>0</v>
          </cell>
          <cell r="AY50">
            <v>0</v>
          </cell>
          <cell r="AZ50">
            <v>15</v>
          </cell>
          <cell r="BA50">
            <v>0</v>
          </cell>
          <cell r="BB50">
            <v>0</v>
          </cell>
          <cell r="BC50">
            <v>75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7492.5</v>
          </cell>
        </row>
        <row r="51">
          <cell r="C51">
            <v>12887</v>
          </cell>
          <cell r="D51" t="str">
            <v>Cabatay, Roland Evangelista</v>
          </cell>
          <cell r="E51">
            <v>72</v>
          </cell>
          <cell r="F51">
            <v>9</v>
          </cell>
          <cell r="G51">
            <v>600</v>
          </cell>
          <cell r="H51">
            <v>5400</v>
          </cell>
          <cell r="I51">
            <v>0</v>
          </cell>
          <cell r="J51">
            <v>1.25</v>
          </cell>
          <cell r="K51">
            <v>0</v>
          </cell>
          <cell r="L51">
            <v>16</v>
          </cell>
          <cell r="M51">
            <v>93.75</v>
          </cell>
          <cell r="N51">
            <v>1500</v>
          </cell>
          <cell r="O51">
            <v>24</v>
          </cell>
          <cell r="P51">
            <v>7.5</v>
          </cell>
          <cell r="Q51">
            <v>180</v>
          </cell>
          <cell r="R51">
            <v>0</v>
          </cell>
          <cell r="S51">
            <v>97.5</v>
          </cell>
          <cell r="T51">
            <v>0</v>
          </cell>
          <cell r="U51">
            <v>0</v>
          </cell>
          <cell r="V51">
            <v>126.75</v>
          </cell>
          <cell r="W51">
            <v>0</v>
          </cell>
          <cell r="X51">
            <v>0</v>
          </cell>
          <cell r="Y51">
            <v>9.75</v>
          </cell>
          <cell r="Z51">
            <v>0</v>
          </cell>
          <cell r="AA51">
            <v>0</v>
          </cell>
          <cell r="AB51">
            <v>112.5</v>
          </cell>
          <cell r="AC51">
            <v>0</v>
          </cell>
          <cell r="AD51">
            <v>0</v>
          </cell>
          <cell r="AE51">
            <v>146.25</v>
          </cell>
          <cell r="AF51">
            <v>0</v>
          </cell>
          <cell r="AG51">
            <v>0</v>
          </cell>
          <cell r="AH51">
            <v>11.25</v>
          </cell>
          <cell r="AI51">
            <v>0</v>
          </cell>
          <cell r="AJ51">
            <v>0</v>
          </cell>
          <cell r="AK51">
            <v>97.5</v>
          </cell>
          <cell r="AL51">
            <v>0</v>
          </cell>
          <cell r="AM51">
            <v>0</v>
          </cell>
          <cell r="AN51">
            <v>126.75</v>
          </cell>
          <cell r="AO51">
            <v>0</v>
          </cell>
          <cell r="AP51">
            <v>0</v>
          </cell>
          <cell r="AQ51">
            <v>9.75</v>
          </cell>
          <cell r="AR51">
            <v>0</v>
          </cell>
          <cell r="AS51">
            <v>0</v>
          </cell>
          <cell r="AT51">
            <v>150</v>
          </cell>
          <cell r="AU51">
            <v>0</v>
          </cell>
          <cell r="AV51">
            <v>0</v>
          </cell>
          <cell r="AW51">
            <v>195</v>
          </cell>
          <cell r="AX51">
            <v>0</v>
          </cell>
          <cell r="AY51">
            <v>0</v>
          </cell>
          <cell r="AZ51">
            <v>15</v>
          </cell>
          <cell r="BA51">
            <v>0</v>
          </cell>
          <cell r="BB51">
            <v>0</v>
          </cell>
          <cell r="BC51">
            <v>75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7080</v>
          </cell>
        </row>
        <row r="52">
          <cell r="C52">
            <v>12888</v>
          </cell>
          <cell r="D52" t="str">
            <v>Cabiltes, Elvin</v>
          </cell>
          <cell r="E52">
            <v>56</v>
          </cell>
          <cell r="F52">
            <v>7</v>
          </cell>
          <cell r="G52">
            <v>600</v>
          </cell>
          <cell r="H52">
            <v>4200</v>
          </cell>
          <cell r="I52">
            <v>0</v>
          </cell>
          <cell r="J52">
            <v>1.25</v>
          </cell>
          <cell r="K52">
            <v>0</v>
          </cell>
          <cell r="L52">
            <v>11</v>
          </cell>
          <cell r="M52">
            <v>93.75</v>
          </cell>
          <cell r="N52">
            <v>1031.25</v>
          </cell>
          <cell r="O52">
            <v>31</v>
          </cell>
          <cell r="P52">
            <v>7.5</v>
          </cell>
          <cell r="Q52">
            <v>232.5</v>
          </cell>
          <cell r="R52">
            <v>0</v>
          </cell>
          <cell r="S52">
            <v>97.5</v>
          </cell>
          <cell r="T52">
            <v>0</v>
          </cell>
          <cell r="U52">
            <v>0</v>
          </cell>
          <cell r="V52">
            <v>126.75</v>
          </cell>
          <cell r="W52">
            <v>0</v>
          </cell>
          <cell r="X52">
            <v>0</v>
          </cell>
          <cell r="Y52">
            <v>9.75</v>
          </cell>
          <cell r="Z52">
            <v>0</v>
          </cell>
          <cell r="AA52">
            <v>0</v>
          </cell>
          <cell r="AB52">
            <v>112.5</v>
          </cell>
          <cell r="AC52">
            <v>0</v>
          </cell>
          <cell r="AD52">
            <v>0</v>
          </cell>
          <cell r="AE52">
            <v>146.25</v>
          </cell>
          <cell r="AF52">
            <v>0</v>
          </cell>
          <cell r="AG52">
            <v>0</v>
          </cell>
          <cell r="AH52">
            <v>11.25</v>
          </cell>
          <cell r="AI52">
            <v>0</v>
          </cell>
          <cell r="AJ52">
            <v>0</v>
          </cell>
          <cell r="AK52">
            <v>97.5</v>
          </cell>
          <cell r="AL52">
            <v>0</v>
          </cell>
          <cell r="AM52">
            <v>0</v>
          </cell>
          <cell r="AN52">
            <v>126.75</v>
          </cell>
          <cell r="AO52">
            <v>0</v>
          </cell>
          <cell r="AP52">
            <v>0</v>
          </cell>
          <cell r="AQ52">
            <v>9.75</v>
          </cell>
          <cell r="AR52">
            <v>0</v>
          </cell>
          <cell r="AS52">
            <v>0</v>
          </cell>
          <cell r="AT52">
            <v>150</v>
          </cell>
          <cell r="AU52">
            <v>0</v>
          </cell>
          <cell r="AV52">
            <v>0</v>
          </cell>
          <cell r="AW52">
            <v>195</v>
          </cell>
          <cell r="AX52">
            <v>0</v>
          </cell>
          <cell r="AY52">
            <v>0</v>
          </cell>
          <cell r="AZ52">
            <v>15</v>
          </cell>
          <cell r="BA52">
            <v>0</v>
          </cell>
          <cell r="BB52">
            <v>0</v>
          </cell>
          <cell r="BC52">
            <v>75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5463.75</v>
          </cell>
        </row>
        <row r="53">
          <cell r="C53">
            <v>12889</v>
          </cell>
          <cell r="D53" t="str">
            <v>Caguitla, Kyzle Xiatzky</v>
          </cell>
          <cell r="E53">
            <v>80</v>
          </cell>
          <cell r="F53">
            <v>10</v>
          </cell>
          <cell r="G53">
            <v>600</v>
          </cell>
          <cell r="H53">
            <v>6000</v>
          </cell>
          <cell r="I53">
            <v>86</v>
          </cell>
          <cell r="J53">
            <v>1.25</v>
          </cell>
          <cell r="K53">
            <v>-107.5</v>
          </cell>
          <cell r="L53">
            <v>12</v>
          </cell>
          <cell r="M53">
            <v>93.75</v>
          </cell>
          <cell r="N53">
            <v>1125</v>
          </cell>
          <cell r="O53">
            <v>0</v>
          </cell>
          <cell r="P53">
            <v>7.5</v>
          </cell>
          <cell r="Q53">
            <v>0</v>
          </cell>
          <cell r="R53">
            <v>8</v>
          </cell>
          <cell r="S53">
            <v>97.5</v>
          </cell>
          <cell r="T53">
            <v>780</v>
          </cell>
          <cell r="U53">
            <v>0</v>
          </cell>
          <cell r="V53">
            <v>126.75</v>
          </cell>
          <cell r="W53">
            <v>0</v>
          </cell>
          <cell r="X53">
            <v>0</v>
          </cell>
          <cell r="Y53">
            <v>9.75</v>
          </cell>
          <cell r="Z53">
            <v>0</v>
          </cell>
          <cell r="AA53">
            <v>0</v>
          </cell>
          <cell r="AB53">
            <v>112.5</v>
          </cell>
          <cell r="AC53">
            <v>0</v>
          </cell>
          <cell r="AD53">
            <v>0</v>
          </cell>
          <cell r="AE53">
            <v>146.25</v>
          </cell>
          <cell r="AF53">
            <v>0</v>
          </cell>
          <cell r="AG53">
            <v>0</v>
          </cell>
          <cell r="AH53">
            <v>11.25</v>
          </cell>
          <cell r="AI53">
            <v>0</v>
          </cell>
          <cell r="AJ53">
            <v>8</v>
          </cell>
          <cell r="AK53">
            <v>97.5</v>
          </cell>
          <cell r="AL53">
            <v>780</v>
          </cell>
          <cell r="AM53">
            <v>0</v>
          </cell>
          <cell r="AN53">
            <v>126.75</v>
          </cell>
          <cell r="AO53">
            <v>0</v>
          </cell>
          <cell r="AP53">
            <v>0</v>
          </cell>
          <cell r="AQ53">
            <v>9.75</v>
          </cell>
          <cell r="AR53">
            <v>0</v>
          </cell>
          <cell r="AS53">
            <v>0</v>
          </cell>
          <cell r="AT53">
            <v>150</v>
          </cell>
          <cell r="AU53">
            <v>0</v>
          </cell>
          <cell r="AV53">
            <v>0</v>
          </cell>
          <cell r="AW53">
            <v>195</v>
          </cell>
          <cell r="AX53">
            <v>0</v>
          </cell>
          <cell r="AY53">
            <v>0</v>
          </cell>
          <cell r="AZ53">
            <v>15</v>
          </cell>
          <cell r="BA53">
            <v>0</v>
          </cell>
          <cell r="BB53">
            <v>0</v>
          </cell>
          <cell r="BC53">
            <v>75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8577.5</v>
          </cell>
        </row>
        <row r="54">
          <cell r="C54">
            <v>6257</v>
          </cell>
          <cell r="D54" t="str">
            <v>Cama, Alvin Macaoyam</v>
          </cell>
          <cell r="E54">
            <v>80</v>
          </cell>
          <cell r="F54">
            <v>10</v>
          </cell>
          <cell r="G54">
            <v>600</v>
          </cell>
          <cell r="H54">
            <v>6000</v>
          </cell>
          <cell r="I54">
            <v>0</v>
          </cell>
          <cell r="J54">
            <v>1.25</v>
          </cell>
          <cell r="K54">
            <v>0</v>
          </cell>
          <cell r="L54">
            <v>17</v>
          </cell>
          <cell r="M54">
            <v>93.75</v>
          </cell>
          <cell r="N54">
            <v>1593.75</v>
          </cell>
          <cell r="O54">
            <v>31</v>
          </cell>
          <cell r="P54">
            <v>7.5</v>
          </cell>
          <cell r="Q54">
            <v>232.5</v>
          </cell>
          <cell r="R54">
            <v>0</v>
          </cell>
          <cell r="S54">
            <v>97.5</v>
          </cell>
          <cell r="T54">
            <v>0</v>
          </cell>
          <cell r="U54">
            <v>0</v>
          </cell>
          <cell r="V54">
            <v>126.75</v>
          </cell>
          <cell r="W54">
            <v>0</v>
          </cell>
          <cell r="X54">
            <v>0</v>
          </cell>
          <cell r="Y54">
            <v>9.75</v>
          </cell>
          <cell r="Z54">
            <v>0</v>
          </cell>
          <cell r="AA54">
            <v>0</v>
          </cell>
          <cell r="AB54">
            <v>112.5</v>
          </cell>
          <cell r="AC54">
            <v>0</v>
          </cell>
          <cell r="AD54">
            <v>0</v>
          </cell>
          <cell r="AE54">
            <v>146.25</v>
          </cell>
          <cell r="AF54">
            <v>0</v>
          </cell>
          <cell r="AG54">
            <v>0</v>
          </cell>
          <cell r="AH54">
            <v>11.25</v>
          </cell>
          <cell r="AI54">
            <v>0</v>
          </cell>
          <cell r="AJ54">
            <v>0</v>
          </cell>
          <cell r="AK54">
            <v>97.5</v>
          </cell>
          <cell r="AL54">
            <v>0</v>
          </cell>
          <cell r="AM54">
            <v>0</v>
          </cell>
          <cell r="AN54">
            <v>126.75</v>
          </cell>
          <cell r="AO54">
            <v>0</v>
          </cell>
          <cell r="AP54">
            <v>0</v>
          </cell>
          <cell r="AQ54">
            <v>9.75</v>
          </cell>
          <cell r="AR54">
            <v>0</v>
          </cell>
          <cell r="AS54">
            <v>0</v>
          </cell>
          <cell r="AT54">
            <v>150</v>
          </cell>
          <cell r="AU54">
            <v>0</v>
          </cell>
          <cell r="AV54">
            <v>0</v>
          </cell>
          <cell r="AW54">
            <v>195</v>
          </cell>
          <cell r="AX54">
            <v>0</v>
          </cell>
          <cell r="AY54">
            <v>0</v>
          </cell>
          <cell r="AZ54">
            <v>15</v>
          </cell>
          <cell r="BA54">
            <v>0</v>
          </cell>
          <cell r="BB54">
            <v>0</v>
          </cell>
          <cell r="BC54">
            <v>75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7826.25</v>
          </cell>
        </row>
        <row r="55">
          <cell r="C55">
            <v>30256</v>
          </cell>
          <cell r="D55" t="str">
            <v>Cama, Lalaine Lagunday</v>
          </cell>
          <cell r="E55">
            <v>48</v>
          </cell>
          <cell r="F55">
            <v>6</v>
          </cell>
          <cell r="G55">
            <v>600</v>
          </cell>
          <cell r="H55">
            <v>3600</v>
          </cell>
          <cell r="I55">
            <v>0</v>
          </cell>
          <cell r="J55">
            <v>1.25</v>
          </cell>
          <cell r="K55">
            <v>0</v>
          </cell>
          <cell r="L55">
            <v>12</v>
          </cell>
          <cell r="M55">
            <v>93.75</v>
          </cell>
          <cell r="N55">
            <v>1125</v>
          </cell>
          <cell r="O55">
            <v>48</v>
          </cell>
          <cell r="P55">
            <v>7.5</v>
          </cell>
          <cell r="Q55">
            <v>360</v>
          </cell>
          <cell r="R55">
            <v>8</v>
          </cell>
          <cell r="S55">
            <v>97.5</v>
          </cell>
          <cell r="T55">
            <v>780</v>
          </cell>
          <cell r="U55">
            <v>0</v>
          </cell>
          <cell r="V55">
            <v>126.75</v>
          </cell>
          <cell r="W55">
            <v>0</v>
          </cell>
          <cell r="X55">
            <v>0</v>
          </cell>
          <cell r="Y55">
            <v>9.75</v>
          </cell>
          <cell r="Z55">
            <v>0</v>
          </cell>
          <cell r="AA55">
            <v>0</v>
          </cell>
          <cell r="AB55">
            <v>112.5</v>
          </cell>
          <cell r="AC55">
            <v>0</v>
          </cell>
          <cell r="AD55">
            <v>0</v>
          </cell>
          <cell r="AE55">
            <v>146.25</v>
          </cell>
          <cell r="AF55">
            <v>0</v>
          </cell>
          <cell r="AG55">
            <v>0</v>
          </cell>
          <cell r="AH55">
            <v>11.25</v>
          </cell>
          <cell r="AI55">
            <v>0</v>
          </cell>
          <cell r="AJ55">
            <v>0</v>
          </cell>
          <cell r="AK55">
            <v>97.5</v>
          </cell>
          <cell r="AL55">
            <v>0</v>
          </cell>
          <cell r="AM55">
            <v>0</v>
          </cell>
          <cell r="AN55">
            <v>126.75</v>
          </cell>
          <cell r="AO55">
            <v>0</v>
          </cell>
          <cell r="AP55">
            <v>0</v>
          </cell>
          <cell r="AQ55">
            <v>9.75</v>
          </cell>
          <cell r="AR55">
            <v>0</v>
          </cell>
          <cell r="AS55">
            <v>0</v>
          </cell>
          <cell r="AT55">
            <v>150</v>
          </cell>
          <cell r="AU55">
            <v>0</v>
          </cell>
          <cell r="AV55">
            <v>0</v>
          </cell>
          <cell r="AW55">
            <v>195</v>
          </cell>
          <cell r="AX55">
            <v>0</v>
          </cell>
          <cell r="AY55">
            <v>0</v>
          </cell>
          <cell r="AZ55">
            <v>15</v>
          </cell>
          <cell r="BA55">
            <v>0</v>
          </cell>
          <cell r="BB55">
            <v>0</v>
          </cell>
          <cell r="BC55">
            <v>75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5865</v>
          </cell>
        </row>
        <row r="56">
          <cell r="C56">
            <v>12892</v>
          </cell>
          <cell r="D56" t="str">
            <v>Cañamaso, Brian Bardiñas</v>
          </cell>
          <cell r="E56">
            <v>80</v>
          </cell>
          <cell r="F56">
            <v>10</v>
          </cell>
          <cell r="G56">
            <v>600</v>
          </cell>
          <cell r="H56">
            <v>6000</v>
          </cell>
          <cell r="I56">
            <v>4</v>
          </cell>
          <cell r="J56">
            <v>1.25</v>
          </cell>
          <cell r="K56">
            <v>-5</v>
          </cell>
          <cell r="L56">
            <v>18</v>
          </cell>
          <cell r="M56">
            <v>93.75</v>
          </cell>
          <cell r="N56">
            <v>1687.5</v>
          </cell>
          <cell r="O56">
            <v>32</v>
          </cell>
          <cell r="P56">
            <v>7.5</v>
          </cell>
          <cell r="Q56">
            <v>240</v>
          </cell>
          <cell r="R56">
            <v>0</v>
          </cell>
          <cell r="S56">
            <v>97.5</v>
          </cell>
          <cell r="T56">
            <v>0</v>
          </cell>
          <cell r="U56">
            <v>0</v>
          </cell>
          <cell r="V56">
            <v>126.75</v>
          </cell>
          <cell r="W56">
            <v>0</v>
          </cell>
          <cell r="X56">
            <v>0</v>
          </cell>
          <cell r="Y56">
            <v>9.75</v>
          </cell>
          <cell r="Z56">
            <v>0</v>
          </cell>
          <cell r="AA56">
            <v>0</v>
          </cell>
          <cell r="AB56">
            <v>112.5</v>
          </cell>
          <cell r="AC56">
            <v>0</v>
          </cell>
          <cell r="AD56">
            <v>0</v>
          </cell>
          <cell r="AE56">
            <v>146.25</v>
          </cell>
          <cell r="AF56">
            <v>0</v>
          </cell>
          <cell r="AG56">
            <v>0</v>
          </cell>
          <cell r="AH56">
            <v>11.25</v>
          </cell>
          <cell r="AI56">
            <v>0</v>
          </cell>
          <cell r="AJ56">
            <v>0</v>
          </cell>
          <cell r="AK56">
            <v>97.5</v>
          </cell>
          <cell r="AL56">
            <v>0</v>
          </cell>
          <cell r="AM56">
            <v>0</v>
          </cell>
          <cell r="AN56">
            <v>126.75</v>
          </cell>
          <cell r="AO56">
            <v>0</v>
          </cell>
          <cell r="AP56">
            <v>0</v>
          </cell>
          <cell r="AQ56">
            <v>9.75</v>
          </cell>
          <cell r="AR56">
            <v>0</v>
          </cell>
          <cell r="AS56">
            <v>0</v>
          </cell>
          <cell r="AT56">
            <v>150</v>
          </cell>
          <cell r="AU56">
            <v>0</v>
          </cell>
          <cell r="AV56">
            <v>0</v>
          </cell>
          <cell r="AW56">
            <v>195</v>
          </cell>
          <cell r="AX56">
            <v>0</v>
          </cell>
          <cell r="AY56">
            <v>0</v>
          </cell>
          <cell r="AZ56">
            <v>15</v>
          </cell>
          <cell r="BA56">
            <v>0</v>
          </cell>
          <cell r="BB56">
            <v>0</v>
          </cell>
          <cell r="BC56">
            <v>75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7922.5</v>
          </cell>
        </row>
        <row r="57">
          <cell r="C57">
            <v>12893</v>
          </cell>
          <cell r="D57" t="str">
            <v>Candelaria, Sarah Jane Bares</v>
          </cell>
          <cell r="E57">
            <v>80</v>
          </cell>
          <cell r="F57">
            <v>10</v>
          </cell>
          <cell r="G57">
            <v>600</v>
          </cell>
          <cell r="H57">
            <v>6000</v>
          </cell>
          <cell r="I57">
            <v>0</v>
          </cell>
          <cell r="J57">
            <v>1.25</v>
          </cell>
          <cell r="K57">
            <v>0</v>
          </cell>
          <cell r="L57">
            <v>16</v>
          </cell>
          <cell r="M57">
            <v>93.75</v>
          </cell>
          <cell r="N57">
            <v>1500</v>
          </cell>
          <cell r="O57">
            <v>32</v>
          </cell>
          <cell r="P57">
            <v>7.5</v>
          </cell>
          <cell r="Q57">
            <v>240</v>
          </cell>
          <cell r="R57">
            <v>0</v>
          </cell>
          <cell r="S57">
            <v>97.5</v>
          </cell>
          <cell r="T57">
            <v>0</v>
          </cell>
          <cell r="U57">
            <v>0</v>
          </cell>
          <cell r="V57">
            <v>126.75</v>
          </cell>
          <cell r="W57">
            <v>0</v>
          </cell>
          <cell r="X57">
            <v>0</v>
          </cell>
          <cell r="Y57">
            <v>9.75</v>
          </cell>
          <cell r="Z57">
            <v>0</v>
          </cell>
          <cell r="AA57">
            <v>0</v>
          </cell>
          <cell r="AB57">
            <v>112.5</v>
          </cell>
          <cell r="AC57">
            <v>0</v>
          </cell>
          <cell r="AD57">
            <v>0</v>
          </cell>
          <cell r="AE57">
            <v>146.25</v>
          </cell>
          <cell r="AF57">
            <v>0</v>
          </cell>
          <cell r="AG57">
            <v>0</v>
          </cell>
          <cell r="AH57">
            <v>11.25</v>
          </cell>
          <cell r="AI57">
            <v>0</v>
          </cell>
          <cell r="AJ57">
            <v>0</v>
          </cell>
          <cell r="AK57">
            <v>97.5</v>
          </cell>
          <cell r="AL57">
            <v>0</v>
          </cell>
          <cell r="AM57">
            <v>0</v>
          </cell>
          <cell r="AN57">
            <v>126.75</v>
          </cell>
          <cell r="AO57">
            <v>0</v>
          </cell>
          <cell r="AP57">
            <v>0</v>
          </cell>
          <cell r="AQ57">
            <v>9.75</v>
          </cell>
          <cell r="AR57">
            <v>0</v>
          </cell>
          <cell r="AS57">
            <v>0</v>
          </cell>
          <cell r="AT57">
            <v>150</v>
          </cell>
          <cell r="AU57">
            <v>0</v>
          </cell>
          <cell r="AV57">
            <v>0</v>
          </cell>
          <cell r="AW57">
            <v>195</v>
          </cell>
          <cell r="AX57">
            <v>0</v>
          </cell>
          <cell r="AY57">
            <v>0</v>
          </cell>
          <cell r="AZ57">
            <v>15</v>
          </cell>
          <cell r="BA57">
            <v>0</v>
          </cell>
          <cell r="BB57">
            <v>0</v>
          </cell>
          <cell r="BC57">
            <v>75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7740</v>
          </cell>
        </row>
        <row r="58">
          <cell r="C58">
            <v>12591</v>
          </cell>
          <cell r="D58" t="str">
            <v>Capili, Dexter Mendoza</v>
          </cell>
          <cell r="E58">
            <v>80</v>
          </cell>
          <cell r="F58">
            <v>10</v>
          </cell>
          <cell r="G58">
            <v>600</v>
          </cell>
          <cell r="H58">
            <v>6000</v>
          </cell>
          <cell r="I58">
            <v>0</v>
          </cell>
          <cell r="J58">
            <v>1.25</v>
          </cell>
          <cell r="K58">
            <v>0</v>
          </cell>
          <cell r="L58">
            <v>18</v>
          </cell>
          <cell r="M58">
            <v>93.75</v>
          </cell>
          <cell r="N58">
            <v>1687.5</v>
          </cell>
          <cell r="O58">
            <v>32</v>
          </cell>
          <cell r="P58">
            <v>7.5</v>
          </cell>
          <cell r="Q58">
            <v>240</v>
          </cell>
          <cell r="R58">
            <v>0</v>
          </cell>
          <cell r="S58">
            <v>97.5</v>
          </cell>
          <cell r="T58">
            <v>0</v>
          </cell>
          <cell r="U58">
            <v>0</v>
          </cell>
          <cell r="V58">
            <v>126.75</v>
          </cell>
          <cell r="W58">
            <v>0</v>
          </cell>
          <cell r="X58">
            <v>0</v>
          </cell>
          <cell r="Y58">
            <v>9.75</v>
          </cell>
          <cell r="Z58">
            <v>0</v>
          </cell>
          <cell r="AA58">
            <v>0</v>
          </cell>
          <cell r="AB58">
            <v>112.5</v>
          </cell>
          <cell r="AC58">
            <v>0</v>
          </cell>
          <cell r="AD58">
            <v>0</v>
          </cell>
          <cell r="AE58">
            <v>146.25</v>
          </cell>
          <cell r="AF58">
            <v>0</v>
          </cell>
          <cell r="AG58">
            <v>0</v>
          </cell>
          <cell r="AH58">
            <v>11.25</v>
          </cell>
          <cell r="AI58">
            <v>0</v>
          </cell>
          <cell r="AJ58">
            <v>0</v>
          </cell>
          <cell r="AK58">
            <v>97.5</v>
          </cell>
          <cell r="AL58">
            <v>0</v>
          </cell>
          <cell r="AM58">
            <v>0</v>
          </cell>
          <cell r="AN58">
            <v>126.75</v>
          </cell>
          <cell r="AO58">
            <v>0</v>
          </cell>
          <cell r="AP58">
            <v>0</v>
          </cell>
          <cell r="AQ58">
            <v>9.75</v>
          </cell>
          <cell r="AR58">
            <v>0</v>
          </cell>
          <cell r="AS58">
            <v>0</v>
          </cell>
          <cell r="AT58">
            <v>150</v>
          </cell>
          <cell r="AU58">
            <v>0</v>
          </cell>
          <cell r="AV58">
            <v>0</v>
          </cell>
          <cell r="AW58">
            <v>195</v>
          </cell>
          <cell r="AX58">
            <v>0</v>
          </cell>
          <cell r="AY58">
            <v>0</v>
          </cell>
          <cell r="AZ58">
            <v>15</v>
          </cell>
          <cell r="BA58">
            <v>0</v>
          </cell>
          <cell r="BB58">
            <v>0</v>
          </cell>
          <cell r="BC58">
            <v>75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7927.5</v>
          </cell>
        </row>
        <row r="59">
          <cell r="C59">
            <v>30357</v>
          </cell>
          <cell r="D59" t="str">
            <v>Caponpon, Ken Gerald Cuerto</v>
          </cell>
          <cell r="E59">
            <v>80</v>
          </cell>
          <cell r="F59">
            <v>10</v>
          </cell>
          <cell r="G59">
            <v>600</v>
          </cell>
          <cell r="H59">
            <v>6000</v>
          </cell>
          <cell r="I59">
            <v>40</v>
          </cell>
          <cell r="J59">
            <v>1.25</v>
          </cell>
          <cell r="K59">
            <v>-50</v>
          </cell>
          <cell r="L59">
            <v>3</v>
          </cell>
          <cell r="M59">
            <v>93.75</v>
          </cell>
          <cell r="N59">
            <v>281.25</v>
          </cell>
          <cell r="O59">
            <v>0</v>
          </cell>
          <cell r="P59">
            <v>7.5</v>
          </cell>
          <cell r="Q59">
            <v>0</v>
          </cell>
          <cell r="R59">
            <v>0</v>
          </cell>
          <cell r="S59">
            <v>97.5</v>
          </cell>
          <cell r="T59">
            <v>0</v>
          </cell>
          <cell r="U59">
            <v>0</v>
          </cell>
          <cell r="V59">
            <v>126.75</v>
          </cell>
          <cell r="W59">
            <v>0</v>
          </cell>
          <cell r="X59">
            <v>0</v>
          </cell>
          <cell r="Y59">
            <v>9.75</v>
          </cell>
          <cell r="Z59">
            <v>0</v>
          </cell>
          <cell r="AA59">
            <v>0</v>
          </cell>
          <cell r="AB59">
            <v>112.5</v>
          </cell>
          <cell r="AC59">
            <v>0</v>
          </cell>
          <cell r="AD59">
            <v>0</v>
          </cell>
          <cell r="AE59">
            <v>146.25</v>
          </cell>
          <cell r="AF59">
            <v>0</v>
          </cell>
          <cell r="AG59">
            <v>0</v>
          </cell>
          <cell r="AH59">
            <v>11.25</v>
          </cell>
          <cell r="AI59">
            <v>0</v>
          </cell>
          <cell r="AJ59">
            <v>0</v>
          </cell>
          <cell r="AK59">
            <v>97.5</v>
          </cell>
          <cell r="AL59">
            <v>0</v>
          </cell>
          <cell r="AM59">
            <v>0</v>
          </cell>
          <cell r="AN59">
            <v>126.75</v>
          </cell>
          <cell r="AO59">
            <v>0</v>
          </cell>
          <cell r="AP59">
            <v>0</v>
          </cell>
          <cell r="AQ59">
            <v>9.75</v>
          </cell>
          <cell r="AR59">
            <v>0</v>
          </cell>
          <cell r="AS59">
            <v>0</v>
          </cell>
          <cell r="AT59">
            <v>150</v>
          </cell>
          <cell r="AU59">
            <v>0</v>
          </cell>
          <cell r="AV59">
            <v>0</v>
          </cell>
          <cell r="AW59">
            <v>195</v>
          </cell>
          <cell r="AX59">
            <v>0</v>
          </cell>
          <cell r="AY59">
            <v>0</v>
          </cell>
          <cell r="AZ59">
            <v>15</v>
          </cell>
          <cell r="BA59">
            <v>0</v>
          </cell>
          <cell r="BB59">
            <v>0</v>
          </cell>
          <cell r="BC59">
            <v>75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6231.25</v>
          </cell>
        </row>
        <row r="60">
          <cell r="C60">
            <v>12897</v>
          </cell>
          <cell r="D60" t="str">
            <v>Caringal, Eizhelrose Ramos</v>
          </cell>
          <cell r="E60">
            <v>64</v>
          </cell>
          <cell r="F60">
            <v>8</v>
          </cell>
          <cell r="G60">
            <v>600</v>
          </cell>
          <cell r="H60">
            <v>4800</v>
          </cell>
          <cell r="I60">
            <v>0</v>
          </cell>
          <cell r="J60">
            <v>1.25</v>
          </cell>
          <cell r="K60">
            <v>0</v>
          </cell>
          <cell r="L60">
            <v>16</v>
          </cell>
          <cell r="M60">
            <v>93.75</v>
          </cell>
          <cell r="N60">
            <v>1500</v>
          </cell>
          <cell r="O60">
            <v>0</v>
          </cell>
          <cell r="P60">
            <v>7.5</v>
          </cell>
          <cell r="Q60">
            <v>0</v>
          </cell>
          <cell r="R60">
            <v>8</v>
          </cell>
          <cell r="S60">
            <v>97.5</v>
          </cell>
          <cell r="T60">
            <v>780</v>
          </cell>
          <cell r="U60">
            <v>0</v>
          </cell>
          <cell r="V60">
            <v>126.75</v>
          </cell>
          <cell r="W60">
            <v>0</v>
          </cell>
          <cell r="X60">
            <v>0</v>
          </cell>
          <cell r="Y60">
            <v>9.75</v>
          </cell>
          <cell r="Z60">
            <v>0</v>
          </cell>
          <cell r="AA60">
            <v>0</v>
          </cell>
          <cell r="AB60">
            <v>112.5</v>
          </cell>
          <cell r="AC60">
            <v>0</v>
          </cell>
          <cell r="AD60">
            <v>0</v>
          </cell>
          <cell r="AE60">
            <v>146.25</v>
          </cell>
          <cell r="AF60">
            <v>0</v>
          </cell>
          <cell r="AG60">
            <v>0</v>
          </cell>
          <cell r="AH60">
            <v>11.25</v>
          </cell>
          <cell r="AI60">
            <v>0</v>
          </cell>
          <cell r="AJ60">
            <v>8</v>
          </cell>
          <cell r="AK60">
            <v>97.5</v>
          </cell>
          <cell r="AL60">
            <v>780</v>
          </cell>
          <cell r="AM60">
            <v>0</v>
          </cell>
          <cell r="AN60">
            <v>126.75</v>
          </cell>
          <cell r="AO60">
            <v>0</v>
          </cell>
          <cell r="AP60">
            <v>0</v>
          </cell>
          <cell r="AQ60">
            <v>9.75</v>
          </cell>
          <cell r="AR60">
            <v>0</v>
          </cell>
          <cell r="AS60">
            <v>0</v>
          </cell>
          <cell r="AT60">
            <v>150</v>
          </cell>
          <cell r="AU60">
            <v>0</v>
          </cell>
          <cell r="AV60">
            <v>0</v>
          </cell>
          <cell r="AW60">
            <v>195</v>
          </cell>
          <cell r="AX60">
            <v>0</v>
          </cell>
          <cell r="AY60">
            <v>0</v>
          </cell>
          <cell r="AZ60">
            <v>15</v>
          </cell>
          <cell r="BA60">
            <v>0</v>
          </cell>
          <cell r="BB60">
            <v>0</v>
          </cell>
          <cell r="BC60">
            <v>75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7860</v>
          </cell>
        </row>
        <row r="61">
          <cell r="C61">
            <v>12900</v>
          </cell>
          <cell r="D61" t="str">
            <v>Casinillo, Mac Louie Tagalog</v>
          </cell>
          <cell r="E61">
            <v>72</v>
          </cell>
          <cell r="F61">
            <v>9</v>
          </cell>
          <cell r="G61">
            <v>600</v>
          </cell>
          <cell r="H61">
            <v>5400</v>
          </cell>
          <cell r="I61">
            <v>1</v>
          </cell>
          <cell r="J61">
            <v>1.25</v>
          </cell>
          <cell r="K61">
            <v>-1.25</v>
          </cell>
          <cell r="L61">
            <v>21</v>
          </cell>
          <cell r="M61">
            <v>93.75</v>
          </cell>
          <cell r="N61">
            <v>1968.75</v>
          </cell>
          <cell r="O61">
            <v>32</v>
          </cell>
          <cell r="P61">
            <v>7.5</v>
          </cell>
          <cell r="Q61">
            <v>240</v>
          </cell>
          <cell r="R61">
            <v>0</v>
          </cell>
          <cell r="S61">
            <v>97.5</v>
          </cell>
          <cell r="T61">
            <v>0</v>
          </cell>
          <cell r="U61">
            <v>0</v>
          </cell>
          <cell r="V61">
            <v>126.75</v>
          </cell>
          <cell r="W61">
            <v>0</v>
          </cell>
          <cell r="X61">
            <v>0</v>
          </cell>
          <cell r="Y61">
            <v>9.75</v>
          </cell>
          <cell r="Z61">
            <v>0</v>
          </cell>
          <cell r="AA61">
            <v>0</v>
          </cell>
          <cell r="AB61">
            <v>112.5</v>
          </cell>
          <cell r="AC61">
            <v>0</v>
          </cell>
          <cell r="AD61">
            <v>0</v>
          </cell>
          <cell r="AE61">
            <v>146.25</v>
          </cell>
          <cell r="AF61">
            <v>0</v>
          </cell>
          <cell r="AG61">
            <v>0</v>
          </cell>
          <cell r="AH61">
            <v>11.25</v>
          </cell>
          <cell r="AI61">
            <v>0</v>
          </cell>
          <cell r="AJ61">
            <v>0</v>
          </cell>
          <cell r="AK61">
            <v>97.5</v>
          </cell>
          <cell r="AL61">
            <v>0</v>
          </cell>
          <cell r="AM61">
            <v>0</v>
          </cell>
          <cell r="AN61">
            <v>126.75</v>
          </cell>
          <cell r="AO61">
            <v>0</v>
          </cell>
          <cell r="AP61">
            <v>0</v>
          </cell>
          <cell r="AQ61">
            <v>9.75</v>
          </cell>
          <cell r="AR61">
            <v>0</v>
          </cell>
          <cell r="AS61">
            <v>0</v>
          </cell>
          <cell r="AT61">
            <v>150</v>
          </cell>
          <cell r="AU61">
            <v>0</v>
          </cell>
          <cell r="AV61">
            <v>0</v>
          </cell>
          <cell r="AW61">
            <v>195</v>
          </cell>
          <cell r="AX61">
            <v>0</v>
          </cell>
          <cell r="AY61">
            <v>0</v>
          </cell>
          <cell r="AZ61">
            <v>15</v>
          </cell>
          <cell r="BA61">
            <v>0</v>
          </cell>
          <cell r="BB61">
            <v>0</v>
          </cell>
          <cell r="BC61">
            <v>75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7607.5</v>
          </cell>
        </row>
        <row r="62">
          <cell r="C62">
            <v>30743</v>
          </cell>
          <cell r="D62" t="str">
            <v>Catampungan, Reymundo Mislang</v>
          </cell>
          <cell r="E62">
            <v>32</v>
          </cell>
          <cell r="F62">
            <v>4</v>
          </cell>
          <cell r="G62">
            <v>600</v>
          </cell>
          <cell r="H62">
            <v>2400</v>
          </cell>
          <cell r="I62">
            <v>0</v>
          </cell>
          <cell r="J62">
            <v>1.25</v>
          </cell>
          <cell r="K62">
            <v>0</v>
          </cell>
          <cell r="L62">
            <v>8</v>
          </cell>
          <cell r="M62">
            <v>93.75</v>
          </cell>
          <cell r="N62">
            <v>750</v>
          </cell>
          <cell r="O62">
            <v>32</v>
          </cell>
          <cell r="P62">
            <v>7.5</v>
          </cell>
          <cell r="Q62">
            <v>240</v>
          </cell>
          <cell r="R62">
            <v>0</v>
          </cell>
          <cell r="S62">
            <v>97.5</v>
          </cell>
          <cell r="T62">
            <v>0</v>
          </cell>
          <cell r="U62">
            <v>0</v>
          </cell>
          <cell r="V62">
            <v>126.75</v>
          </cell>
          <cell r="W62">
            <v>0</v>
          </cell>
          <cell r="X62">
            <v>0</v>
          </cell>
          <cell r="Y62">
            <v>9.75</v>
          </cell>
          <cell r="Z62">
            <v>0</v>
          </cell>
          <cell r="AA62">
            <v>0</v>
          </cell>
          <cell r="AB62">
            <v>112.5</v>
          </cell>
          <cell r="AC62">
            <v>0</v>
          </cell>
          <cell r="AD62">
            <v>0</v>
          </cell>
          <cell r="AE62">
            <v>146.25</v>
          </cell>
          <cell r="AF62">
            <v>0</v>
          </cell>
          <cell r="AG62">
            <v>0</v>
          </cell>
          <cell r="AH62">
            <v>11.25</v>
          </cell>
          <cell r="AI62">
            <v>0</v>
          </cell>
          <cell r="AJ62">
            <v>0</v>
          </cell>
          <cell r="AK62">
            <v>97.5</v>
          </cell>
          <cell r="AL62">
            <v>0</v>
          </cell>
          <cell r="AM62">
            <v>0</v>
          </cell>
          <cell r="AN62">
            <v>126.75</v>
          </cell>
          <cell r="AO62">
            <v>0</v>
          </cell>
          <cell r="AP62">
            <v>0</v>
          </cell>
          <cell r="AQ62">
            <v>9.75</v>
          </cell>
          <cell r="AR62">
            <v>0</v>
          </cell>
          <cell r="AS62">
            <v>0</v>
          </cell>
          <cell r="AT62">
            <v>150</v>
          </cell>
          <cell r="AU62">
            <v>0</v>
          </cell>
          <cell r="AV62">
            <v>0</v>
          </cell>
          <cell r="AW62">
            <v>195</v>
          </cell>
          <cell r="AX62">
            <v>0</v>
          </cell>
          <cell r="AY62">
            <v>0</v>
          </cell>
          <cell r="AZ62">
            <v>15</v>
          </cell>
          <cell r="BA62">
            <v>0</v>
          </cell>
          <cell r="BB62">
            <v>0</v>
          </cell>
          <cell r="BC62">
            <v>75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3390</v>
          </cell>
        </row>
        <row r="63">
          <cell r="C63">
            <v>13230</v>
          </cell>
          <cell r="D63" t="str">
            <v>Cay, Joshua N/A</v>
          </cell>
          <cell r="E63">
            <v>80</v>
          </cell>
          <cell r="F63">
            <v>10</v>
          </cell>
          <cell r="G63">
            <v>600</v>
          </cell>
          <cell r="H63">
            <v>6000</v>
          </cell>
          <cell r="I63">
            <v>0</v>
          </cell>
          <cell r="J63">
            <v>1.25</v>
          </cell>
          <cell r="K63">
            <v>0</v>
          </cell>
          <cell r="L63">
            <v>18</v>
          </cell>
          <cell r="M63">
            <v>93.75</v>
          </cell>
          <cell r="N63">
            <v>1687.5</v>
          </cell>
          <cell r="O63">
            <v>32</v>
          </cell>
          <cell r="P63">
            <v>7.5</v>
          </cell>
          <cell r="Q63">
            <v>240</v>
          </cell>
          <cell r="R63">
            <v>0</v>
          </cell>
          <cell r="S63">
            <v>97.5</v>
          </cell>
          <cell r="T63">
            <v>0</v>
          </cell>
          <cell r="U63">
            <v>0</v>
          </cell>
          <cell r="V63">
            <v>126.75</v>
          </cell>
          <cell r="W63">
            <v>0</v>
          </cell>
          <cell r="X63">
            <v>0</v>
          </cell>
          <cell r="Y63">
            <v>9.75</v>
          </cell>
          <cell r="Z63">
            <v>0</v>
          </cell>
          <cell r="AA63">
            <v>0</v>
          </cell>
          <cell r="AB63">
            <v>112.5</v>
          </cell>
          <cell r="AC63">
            <v>0</v>
          </cell>
          <cell r="AD63">
            <v>0</v>
          </cell>
          <cell r="AE63">
            <v>146.25</v>
          </cell>
          <cell r="AF63">
            <v>0</v>
          </cell>
          <cell r="AG63">
            <v>0</v>
          </cell>
          <cell r="AH63">
            <v>11.25</v>
          </cell>
          <cell r="AI63">
            <v>0</v>
          </cell>
          <cell r="AJ63">
            <v>0</v>
          </cell>
          <cell r="AK63">
            <v>97.5</v>
          </cell>
          <cell r="AL63">
            <v>0</v>
          </cell>
          <cell r="AM63">
            <v>0</v>
          </cell>
          <cell r="AN63">
            <v>126.75</v>
          </cell>
          <cell r="AO63">
            <v>0</v>
          </cell>
          <cell r="AP63">
            <v>0</v>
          </cell>
          <cell r="AQ63">
            <v>9.75</v>
          </cell>
          <cell r="AR63">
            <v>0</v>
          </cell>
          <cell r="AS63">
            <v>0</v>
          </cell>
          <cell r="AT63">
            <v>150</v>
          </cell>
          <cell r="AU63">
            <v>0</v>
          </cell>
          <cell r="AV63">
            <v>0</v>
          </cell>
          <cell r="AW63">
            <v>195</v>
          </cell>
          <cell r="AX63">
            <v>0</v>
          </cell>
          <cell r="AY63">
            <v>0</v>
          </cell>
          <cell r="AZ63">
            <v>15</v>
          </cell>
          <cell r="BA63">
            <v>0</v>
          </cell>
          <cell r="BB63">
            <v>0</v>
          </cell>
          <cell r="BC63">
            <v>75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7927.5</v>
          </cell>
        </row>
        <row r="64">
          <cell r="C64">
            <v>14952</v>
          </cell>
          <cell r="D64" t="str">
            <v>Cayaos, John Vergel E</v>
          </cell>
          <cell r="E64">
            <v>56</v>
          </cell>
          <cell r="F64">
            <v>7</v>
          </cell>
          <cell r="G64">
            <v>600</v>
          </cell>
          <cell r="H64">
            <v>4200</v>
          </cell>
          <cell r="I64">
            <v>0</v>
          </cell>
          <cell r="J64">
            <v>1.25</v>
          </cell>
          <cell r="K64">
            <v>0</v>
          </cell>
          <cell r="L64">
            <v>11</v>
          </cell>
          <cell r="M64">
            <v>93.75</v>
          </cell>
          <cell r="N64">
            <v>1031.25</v>
          </cell>
          <cell r="O64">
            <v>53</v>
          </cell>
          <cell r="P64">
            <v>7.5</v>
          </cell>
          <cell r="Q64">
            <v>397.5</v>
          </cell>
          <cell r="R64">
            <v>0</v>
          </cell>
          <cell r="S64">
            <v>97.5</v>
          </cell>
          <cell r="T64">
            <v>0</v>
          </cell>
          <cell r="U64">
            <v>0</v>
          </cell>
          <cell r="V64">
            <v>126.75</v>
          </cell>
          <cell r="W64">
            <v>0</v>
          </cell>
          <cell r="X64">
            <v>0</v>
          </cell>
          <cell r="Y64">
            <v>9.75</v>
          </cell>
          <cell r="Z64">
            <v>0</v>
          </cell>
          <cell r="AA64">
            <v>0</v>
          </cell>
          <cell r="AB64">
            <v>112.5</v>
          </cell>
          <cell r="AC64">
            <v>0</v>
          </cell>
          <cell r="AD64">
            <v>0</v>
          </cell>
          <cell r="AE64">
            <v>146.25</v>
          </cell>
          <cell r="AF64">
            <v>0</v>
          </cell>
          <cell r="AG64">
            <v>0</v>
          </cell>
          <cell r="AH64">
            <v>11.25</v>
          </cell>
          <cell r="AI64">
            <v>0</v>
          </cell>
          <cell r="AJ64">
            <v>0</v>
          </cell>
          <cell r="AK64">
            <v>97.5</v>
          </cell>
          <cell r="AL64">
            <v>0</v>
          </cell>
          <cell r="AM64">
            <v>0</v>
          </cell>
          <cell r="AN64">
            <v>126.75</v>
          </cell>
          <cell r="AO64">
            <v>0</v>
          </cell>
          <cell r="AP64">
            <v>0</v>
          </cell>
          <cell r="AQ64">
            <v>9.75</v>
          </cell>
          <cell r="AR64">
            <v>0</v>
          </cell>
          <cell r="AS64">
            <v>0</v>
          </cell>
          <cell r="AT64">
            <v>150</v>
          </cell>
          <cell r="AU64">
            <v>0</v>
          </cell>
          <cell r="AV64">
            <v>0</v>
          </cell>
          <cell r="AW64">
            <v>195</v>
          </cell>
          <cell r="AX64">
            <v>0</v>
          </cell>
          <cell r="AY64">
            <v>0</v>
          </cell>
          <cell r="AZ64">
            <v>15</v>
          </cell>
          <cell r="BA64">
            <v>0</v>
          </cell>
          <cell r="BB64">
            <v>0</v>
          </cell>
          <cell r="BC64">
            <v>75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5628.75</v>
          </cell>
        </row>
        <row r="65">
          <cell r="C65">
            <v>14625</v>
          </cell>
          <cell r="D65" t="str">
            <v>Cenit, Jeremie M.</v>
          </cell>
          <cell r="E65">
            <v>48</v>
          </cell>
          <cell r="F65">
            <v>6</v>
          </cell>
          <cell r="G65">
            <v>600</v>
          </cell>
          <cell r="H65">
            <v>3600</v>
          </cell>
          <cell r="I65">
            <v>23</v>
          </cell>
          <cell r="J65">
            <v>1.25</v>
          </cell>
          <cell r="K65">
            <v>-28.75</v>
          </cell>
          <cell r="L65">
            <v>10</v>
          </cell>
          <cell r="M65">
            <v>93.75</v>
          </cell>
          <cell r="N65">
            <v>937.5</v>
          </cell>
          <cell r="O65">
            <v>0</v>
          </cell>
          <cell r="P65">
            <v>7.5</v>
          </cell>
          <cell r="Q65">
            <v>0</v>
          </cell>
          <cell r="R65">
            <v>8</v>
          </cell>
          <cell r="S65">
            <v>97.5</v>
          </cell>
          <cell r="T65">
            <v>780</v>
          </cell>
          <cell r="U65">
            <v>1</v>
          </cell>
          <cell r="V65">
            <v>126.75</v>
          </cell>
          <cell r="W65">
            <v>126.75</v>
          </cell>
          <cell r="X65">
            <v>0</v>
          </cell>
          <cell r="Y65">
            <v>9.75</v>
          </cell>
          <cell r="Z65">
            <v>0</v>
          </cell>
          <cell r="AA65">
            <v>0</v>
          </cell>
          <cell r="AB65">
            <v>112.5</v>
          </cell>
          <cell r="AC65">
            <v>0</v>
          </cell>
          <cell r="AD65">
            <v>0</v>
          </cell>
          <cell r="AE65">
            <v>146.25</v>
          </cell>
          <cell r="AF65">
            <v>0</v>
          </cell>
          <cell r="AG65">
            <v>0</v>
          </cell>
          <cell r="AH65">
            <v>11.25</v>
          </cell>
          <cell r="AI65">
            <v>0</v>
          </cell>
          <cell r="AJ65">
            <v>0</v>
          </cell>
          <cell r="AK65">
            <v>97.5</v>
          </cell>
          <cell r="AL65">
            <v>0</v>
          </cell>
          <cell r="AM65">
            <v>0</v>
          </cell>
          <cell r="AN65">
            <v>126.75</v>
          </cell>
          <cell r="AO65">
            <v>0</v>
          </cell>
          <cell r="AP65">
            <v>0</v>
          </cell>
          <cell r="AQ65">
            <v>9.75</v>
          </cell>
          <cell r="AR65">
            <v>0</v>
          </cell>
          <cell r="AS65">
            <v>0</v>
          </cell>
          <cell r="AT65">
            <v>150</v>
          </cell>
          <cell r="AU65">
            <v>0</v>
          </cell>
          <cell r="AV65">
            <v>0</v>
          </cell>
          <cell r="AW65">
            <v>195</v>
          </cell>
          <cell r="AX65">
            <v>0</v>
          </cell>
          <cell r="AY65">
            <v>0</v>
          </cell>
          <cell r="AZ65">
            <v>15</v>
          </cell>
          <cell r="BA65">
            <v>0</v>
          </cell>
          <cell r="BB65">
            <v>0</v>
          </cell>
          <cell r="BC65">
            <v>75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5415.5</v>
          </cell>
        </row>
        <row r="66">
          <cell r="C66">
            <v>3293</v>
          </cell>
          <cell r="D66" t="str">
            <v>Cepe, Jillian L.</v>
          </cell>
          <cell r="E66">
            <v>64</v>
          </cell>
          <cell r="F66">
            <v>8</v>
          </cell>
          <cell r="G66">
            <v>600</v>
          </cell>
          <cell r="H66">
            <v>4800</v>
          </cell>
          <cell r="I66">
            <v>0</v>
          </cell>
          <cell r="J66">
            <v>1.25</v>
          </cell>
          <cell r="K66">
            <v>0</v>
          </cell>
          <cell r="L66">
            <v>14</v>
          </cell>
          <cell r="M66">
            <v>93.75</v>
          </cell>
          <cell r="N66">
            <v>1312.5</v>
          </cell>
          <cell r="O66">
            <v>32</v>
          </cell>
          <cell r="P66">
            <v>7.5</v>
          </cell>
          <cell r="Q66">
            <v>240</v>
          </cell>
          <cell r="R66">
            <v>0</v>
          </cell>
          <cell r="S66">
            <v>97.5</v>
          </cell>
          <cell r="T66">
            <v>0</v>
          </cell>
          <cell r="U66">
            <v>0</v>
          </cell>
          <cell r="V66">
            <v>126.75</v>
          </cell>
          <cell r="W66">
            <v>0</v>
          </cell>
          <cell r="X66">
            <v>0</v>
          </cell>
          <cell r="Y66">
            <v>9.75</v>
          </cell>
          <cell r="Z66">
            <v>0</v>
          </cell>
          <cell r="AA66">
            <v>0</v>
          </cell>
          <cell r="AB66">
            <v>112.5</v>
          </cell>
          <cell r="AC66">
            <v>0</v>
          </cell>
          <cell r="AD66">
            <v>0</v>
          </cell>
          <cell r="AE66">
            <v>146.25</v>
          </cell>
          <cell r="AF66">
            <v>0</v>
          </cell>
          <cell r="AG66">
            <v>0</v>
          </cell>
          <cell r="AH66">
            <v>11.25</v>
          </cell>
          <cell r="AI66">
            <v>0</v>
          </cell>
          <cell r="AJ66">
            <v>0</v>
          </cell>
          <cell r="AK66">
            <v>97.5</v>
          </cell>
          <cell r="AL66">
            <v>0</v>
          </cell>
          <cell r="AM66">
            <v>0</v>
          </cell>
          <cell r="AN66">
            <v>126.75</v>
          </cell>
          <cell r="AO66">
            <v>0</v>
          </cell>
          <cell r="AP66">
            <v>0</v>
          </cell>
          <cell r="AQ66">
            <v>9.75</v>
          </cell>
          <cell r="AR66">
            <v>0</v>
          </cell>
          <cell r="AS66">
            <v>0</v>
          </cell>
          <cell r="AT66">
            <v>150</v>
          </cell>
          <cell r="AU66">
            <v>0</v>
          </cell>
          <cell r="AV66">
            <v>0</v>
          </cell>
          <cell r="AW66">
            <v>195</v>
          </cell>
          <cell r="AX66">
            <v>0</v>
          </cell>
          <cell r="AY66">
            <v>0</v>
          </cell>
          <cell r="AZ66">
            <v>15</v>
          </cell>
          <cell r="BA66">
            <v>0</v>
          </cell>
          <cell r="BB66">
            <v>0</v>
          </cell>
          <cell r="BC66">
            <v>75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6352.5</v>
          </cell>
        </row>
        <row r="67">
          <cell r="C67">
            <v>12909</v>
          </cell>
          <cell r="D67" t="str">
            <v>Cerda, Josephine Tirados</v>
          </cell>
          <cell r="E67">
            <v>48</v>
          </cell>
          <cell r="F67">
            <v>6</v>
          </cell>
          <cell r="G67">
            <v>600</v>
          </cell>
          <cell r="H67">
            <v>3600</v>
          </cell>
          <cell r="I67">
            <v>0</v>
          </cell>
          <cell r="J67">
            <v>1.25</v>
          </cell>
          <cell r="K67">
            <v>0</v>
          </cell>
          <cell r="L67">
            <v>12</v>
          </cell>
          <cell r="M67">
            <v>93.75</v>
          </cell>
          <cell r="N67">
            <v>1125</v>
          </cell>
          <cell r="O67">
            <v>24</v>
          </cell>
          <cell r="P67">
            <v>7.5</v>
          </cell>
          <cell r="Q67">
            <v>180</v>
          </cell>
          <cell r="R67">
            <v>0</v>
          </cell>
          <cell r="S67">
            <v>97.5</v>
          </cell>
          <cell r="T67">
            <v>0</v>
          </cell>
          <cell r="U67">
            <v>0</v>
          </cell>
          <cell r="V67">
            <v>126.75</v>
          </cell>
          <cell r="W67">
            <v>0</v>
          </cell>
          <cell r="X67">
            <v>0</v>
          </cell>
          <cell r="Y67">
            <v>9.75</v>
          </cell>
          <cell r="Z67">
            <v>0</v>
          </cell>
          <cell r="AA67">
            <v>0</v>
          </cell>
          <cell r="AB67">
            <v>112.5</v>
          </cell>
          <cell r="AC67">
            <v>0</v>
          </cell>
          <cell r="AD67">
            <v>0</v>
          </cell>
          <cell r="AE67">
            <v>146.25</v>
          </cell>
          <cell r="AF67">
            <v>0</v>
          </cell>
          <cell r="AG67">
            <v>0</v>
          </cell>
          <cell r="AH67">
            <v>11.25</v>
          </cell>
          <cell r="AI67">
            <v>0</v>
          </cell>
          <cell r="AJ67">
            <v>0</v>
          </cell>
          <cell r="AK67">
            <v>97.5</v>
          </cell>
          <cell r="AL67">
            <v>0</v>
          </cell>
          <cell r="AM67">
            <v>0</v>
          </cell>
          <cell r="AN67">
            <v>126.75</v>
          </cell>
          <cell r="AO67">
            <v>0</v>
          </cell>
          <cell r="AP67">
            <v>0</v>
          </cell>
          <cell r="AQ67">
            <v>9.75</v>
          </cell>
          <cell r="AR67">
            <v>0</v>
          </cell>
          <cell r="AS67">
            <v>0</v>
          </cell>
          <cell r="AT67">
            <v>150</v>
          </cell>
          <cell r="AU67">
            <v>0</v>
          </cell>
          <cell r="AV67">
            <v>0</v>
          </cell>
          <cell r="AW67">
            <v>195</v>
          </cell>
          <cell r="AX67">
            <v>0</v>
          </cell>
          <cell r="AY67">
            <v>0</v>
          </cell>
          <cell r="AZ67">
            <v>15</v>
          </cell>
          <cell r="BA67">
            <v>0</v>
          </cell>
          <cell r="BB67">
            <v>0</v>
          </cell>
          <cell r="BC67">
            <v>75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4905</v>
          </cell>
        </row>
        <row r="68">
          <cell r="C68">
            <v>12912</v>
          </cell>
          <cell r="D68" t="str">
            <v>Ciron, Brian Llagas</v>
          </cell>
          <cell r="E68">
            <v>88</v>
          </cell>
          <cell r="F68">
            <v>11</v>
          </cell>
          <cell r="G68">
            <v>600</v>
          </cell>
          <cell r="H68">
            <v>6600</v>
          </cell>
          <cell r="I68">
            <v>0</v>
          </cell>
          <cell r="J68">
            <v>1.25</v>
          </cell>
          <cell r="K68">
            <v>0</v>
          </cell>
          <cell r="L68">
            <v>20</v>
          </cell>
          <cell r="M68">
            <v>93.75</v>
          </cell>
          <cell r="N68">
            <v>1875</v>
          </cell>
          <cell r="O68">
            <v>54</v>
          </cell>
          <cell r="P68">
            <v>7.5</v>
          </cell>
          <cell r="Q68">
            <v>405</v>
          </cell>
          <cell r="R68">
            <v>8</v>
          </cell>
          <cell r="S68">
            <v>97.5</v>
          </cell>
          <cell r="T68">
            <v>780</v>
          </cell>
          <cell r="U68">
            <v>0</v>
          </cell>
          <cell r="V68">
            <v>126.75</v>
          </cell>
          <cell r="W68">
            <v>0</v>
          </cell>
          <cell r="X68">
            <v>0</v>
          </cell>
          <cell r="Y68">
            <v>9.75</v>
          </cell>
          <cell r="Z68">
            <v>0</v>
          </cell>
          <cell r="AA68">
            <v>0</v>
          </cell>
          <cell r="AB68">
            <v>112.5</v>
          </cell>
          <cell r="AC68">
            <v>0</v>
          </cell>
          <cell r="AD68">
            <v>0</v>
          </cell>
          <cell r="AE68">
            <v>146.25</v>
          </cell>
          <cell r="AF68">
            <v>0</v>
          </cell>
          <cell r="AG68">
            <v>0</v>
          </cell>
          <cell r="AH68">
            <v>11.25</v>
          </cell>
          <cell r="AI68">
            <v>0</v>
          </cell>
          <cell r="AJ68">
            <v>8</v>
          </cell>
          <cell r="AK68">
            <v>97.5</v>
          </cell>
          <cell r="AL68">
            <v>780</v>
          </cell>
          <cell r="AM68">
            <v>0</v>
          </cell>
          <cell r="AN68">
            <v>126.75</v>
          </cell>
          <cell r="AO68">
            <v>0</v>
          </cell>
          <cell r="AP68">
            <v>0</v>
          </cell>
          <cell r="AQ68">
            <v>9.75</v>
          </cell>
          <cell r="AR68">
            <v>0</v>
          </cell>
          <cell r="AS68">
            <v>0</v>
          </cell>
          <cell r="AT68">
            <v>150</v>
          </cell>
          <cell r="AU68">
            <v>0</v>
          </cell>
          <cell r="AV68">
            <v>0</v>
          </cell>
          <cell r="AW68">
            <v>195</v>
          </cell>
          <cell r="AX68">
            <v>0</v>
          </cell>
          <cell r="AY68">
            <v>0</v>
          </cell>
          <cell r="AZ68">
            <v>15</v>
          </cell>
          <cell r="BA68">
            <v>0</v>
          </cell>
          <cell r="BB68">
            <v>0</v>
          </cell>
          <cell r="BC68">
            <v>75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10440</v>
          </cell>
        </row>
        <row r="69">
          <cell r="C69">
            <v>30790</v>
          </cell>
          <cell r="D69" t="str">
            <v>Comiso, Jhanine A</v>
          </cell>
          <cell r="E69">
            <v>64</v>
          </cell>
          <cell r="F69">
            <v>8</v>
          </cell>
          <cell r="G69">
            <v>600</v>
          </cell>
          <cell r="H69">
            <v>4800</v>
          </cell>
          <cell r="I69">
            <v>0</v>
          </cell>
          <cell r="J69">
            <v>1.25</v>
          </cell>
          <cell r="K69">
            <v>0</v>
          </cell>
          <cell r="L69">
            <v>14</v>
          </cell>
          <cell r="M69">
            <v>93.75</v>
          </cell>
          <cell r="N69">
            <v>1312.5</v>
          </cell>
          <cell r="O69">
            <v>24</v>
          </cell>
          <cell r="P69">
            <v>7.5</v>
          </cell>
          <cell r="Q69">
            <v>180</v>
          </cell>
          <cell r="R69">
            <v>0</v>
          </cell>
          <cell r="S69">
            <v>97.5</v>
          </cell>
          <cell r="T69">
            <v>0</v>
          </cell>
          <cell r="U69">
            <v>0</v>
          </cell>
          <cell r="V69">
            <v>126.75</v>
          </cell>
          <cell r="W69">
            <v>0</v>
          </cell>
          <cell r="X69">
            <v>0</v>
          </cell>
          <cell r="Y69">
            <v>9.75</v>
          </cell>
          <cell r="Z69">
            <v>0</v>
          </cell>
          <cell r="AA69">
            <v>0</v>
          </cell>
          <cell r="AB69">
            <v>112.5</v>
          </cell>
          <cell r="AC69">
            <v>0</v>
          </cell>
          <cell r="AD69">
            <v>0</v>
          </cell>
          <cell r="AE69">
            <v>146.25</v>
          </cell>
          <cell r="AF69">
            <v>0</v>
          </cell>
          <cell r="AG69">
            <v>0</v>
          </cell>
          <cell r="AH69">
            <v>11.25</v>
          </cell>
          <cell r="AI69">
            <v>0</v>
          </cell>
          <cell r="AJ69">
            <v>0</v>
          </cell>
          <cell r="AK69">
            <v>97.5</v>
          </cell>
          <cell r="AL69">
            <v>0</v>
          </cell>
          <cell r="AM69">
            <v>0</v>
          </cell>
          <cell r="AN69">
            <v>126.75</v>
          </cell>
          <cell r="AO69">
            <v>0</v>
          </cell>
          <cell r="AP69">
            <v>0</v>
          </cell>
          <cell r="AQ69">
            <v>9.75</v>
          </cell>
          <cell r="AR69">
            <v>0</v>
          </cell>
          <cell r="AS69">
            <v>0</v>
          </cell>
          <cell r="AT69">
            <v>150</v>
          </cell>
          <cell r="AU69">
            <v>0</v>
          </cell>
          <cell r="AV69">
            <v>0</v>
          </cell>
          <cell r="AW69">
            <v>195</v>
          </cell>
          <cell r="AX69">
            <v>0</v>
          </cell>
          <cell r="AY69">
            <v>0</v>
          </cell>
          <cell r="AZ69">
            <v>15</v>
          </cell>
          <cell r="BA69">
            <v>0</v>
          </cell>
          <cell r="BB69">
            <v>0</v>
          </cell>
          <cell r="BC69">
            <v>75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6292.5</v>
          </cell>
        </row>
        <row r="70">
          <cell r="C70">
            <v>30630</v>
          </cell>
          <cell r="D70" t="str">
            <v>Constante, Charmaine Quijano</v>
          </cell>
          <cell r="E70">
            <v>88</v>
          </cell>
          <cell r="F70">
            <v>11</v>
          </cell>
          <cell r="G70">
            <v>600</v>
          </cell>
          <cell r="H70">
            <v>6600</v>
          </cell>
          <cell r="I70">
            <v>13</v>
          </cell>
          <cell r="J70">
            <v>1.25</v>
          </cell>
          <cell r="K70">
            <v>-16.25</v>
          </cell>
          <cell r="L70">
            <v>20</v>
          </cell>
          <cell r="M70">
            <v>93.75</v>
          </cell>
          <cell r="N70">
            <v>1875</v>
          </cell>
          <cell r="O70">
            <v>54</v>
          </cell>
          <cell r="P70">
            <v>7.5</v>
          </cell>
          <cell r="Q70">
            <v>405</v>
          </cell>
          <cell r="R70">
            <v>8</v>
          </cell>
          <cell r="S70">
            <v>97.5</v>
          </cell>
          <cell r="T70">
            <v>780</v>
          </cell>
          <cell r="U70">
            <v>0</v>
          </cell>
          <cell r="V70">
            <v>126.75</v>
          </cell>
          <cell r="W70">
            <v>0</v>
          </cell>
          <cell r="X70">
            <v>0</v>
          </cell>
          <cell r="Y70">
            <v>9.75</v>
          </cell>
          <cell r="Z70">
            <v>0</v>
          </cell>
          <cell r="AA70">
            <v>0</v>
          </cell>
          <cell r="AB70">
            <v>112.5</v>
          </cell>
          <cell r="AC70">
            <v>0</v>
          </cell>
          <cell r="AD70">
            <v>0</v>
          </cell>
          <cell r="AE70">
            <v>146.25</v>
          </cell>
          <cell r="AF70">
            <v>0</v>
          </cell>
          <cell r="AG70">
            <v>0</v>
          </cell>
          <cell r="AH70">
            <v>11.25</v>
          </cell>
          <cell r="AI70">
            <v>0</v>
          </cell>
          <cell r="AJ70">
            <v>8</v>
          </cell>
          <cell r="AK70">
            <v>97.5</v>
          </cell>
          <cell r="AL70">
            <v>780</v>
          </cell>
          <cell r="AM70">
            <v>0</v>
          </cell>
          <cell r="AN70">
            <v>126.75</v>
          </cell>
          <cell r="AO70">
            <v>0</v>
          </cell>
          <cell r="AP70">
            <v>0</v>
          </cell>
          <cell r="AQ70">
            <v>9.75</v>
          </cell>
          <cell r="AR70">
            <v>0</v>
          </cell>
          <cell r="AS70">
            <v>0</v>
          </cell>
          <cell r="AT70">
            <v>150</v>
          </cell>
          <cell r="AU70">
            <v>0</v>
          </cell>
          <cell r="AV70">
            <v>0</v>
          </cell>
          <cell r="AW70">
            <v>195</v>
          </cell>
          <cell r="AX70">
            <v>0</v>
          </cell>
          <cell r="AY70">
            <v>0</v>
          </cell>
          <cell r="AZ70">
            <v>15</v>
          </cell>
          <cell r="BA70">
            <v>0</v>
          </cell>
          <cell r="BB70">
            <v>0</v>
          </cell>
          <cell r="BC70">
            <v>75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10423.75</v>
          </cell>
        </row>
        <row r="71">
          <cell r="C71">
            <v>7635</v>
          </cell>
          <cell r="D71" t="str">
            <v>Constantino, Jhosua Silva</v>
          </cell>
          <cell r="E71">
            <v>48</v>
          </cell>
          <cell r="F71">
            <v>6</v>
          </cell>
          <cell r="G71">
            <v>600</v>
          </cell>
          <cell r="H71">
            <v>3600</v>
          </cell>
          <cell r="I71">
            <v>69</v>
          </cell>
          <cell r="J71">
            <v>1.25</v>
          </cell>
          <cell r="K71">
            <v>-86.25</v>
          </cell>
          <cell r="L71">
            <v>10</v>
          </cell>
          <cell r="M71">
            <v>93.75</v>
          </cell>
          <cell r="N71">
            <v>937.5</v>
          </cell>
          <cell r="O71">
            <v>16</v>
          </cell>
          <cell r="P71">
            <v>7.5</v>
          </cell>
          <cell r="Q71">
            <v>120</v>
          </cell>
          <cell r="R71">
            <v>0</v>
          </cell>
          <cell r="S71">
            <v>97.5</v>
          </cell>
          <cell r="T71">
            <v>0</v>
          </cell>
          <cell r="U71">
            <v>0</v>
          </cell>
          <cell r="V71">
            <v>126.75</v>
          </cell>
          <cell r="W71">
            <v>0</v>
          </cell>
          <cell r="X71">
            <v>0</v>
          </cell>
          <cell r="Y71">
            <v>9.75</v>
          </cell>
          <cell r="Z71">
            <v>0</v>
          </cell>
          <cell r="AA71">
            <v>0</v>
          </cell>
          <cell r="AB71">
            <v>112.5</v>
          </cell>
          <cell r="AC71">
            <v>0</v>
          </cell>
          <cell r="AD71">
            <v>0</v>
          </cell>
          <cell r="AE71">
            <v>146.25</v>
          </cell>
          <cell r="AF71">
            <v>0</v>
          </cell>
          <cell r="AG71">
            <v>0</v>
          </cell>
          <cell r="AH71">
            <v>11.25</v>
          </cell>
          <cell r="AI71">
            <v>0</v>
          </cell>
          <cell r="AJ71">
            <v>0</v>
          </cell>
          <cell r="AK71">
            <v>97.5</v>
          </cell>
          <cell r="AL71">
            <v>0</v>
          </cell>
          <cell r="AM71">
            <v>0</v>
          </cell>
          <cell r="AN71">
            <v>126.75</v>
          </cell>
          <cell r="AO71">
            <v>0</v>
          </cell>
          <cell r="AP71">
            <v>0</v>
          </cell>
          <cell r="AQ71">
            <v>9.75</v>
          </cell>
          <cell r="AR71">
            <v>0</v>
          </cell>
          <cell r="AS71">
            <v>0</v>
          </cell>
          <cell r="AT71">
            <v>150</v>
          </cell>
          <cell r="AU71">
            <v>0</v>
          </cell>
          <cell r="AV71">
            <v>0</v>
          </cell>
          <cell r="AW71">
            <v>195</v>
          </cell>
          <cell r="AX71">
            <v>0</v>
          </cell>
          <cell r="AY71">
            <v>0</v>
          </cell>
          <cell r="AZ71">
            <v>15</v>
          </cell>
          <cell r="BA71">
            <v>0</v>
          </cell>
          <cell r="BB71">
            <v>0</v>
          </cell>
          <cell r="BC71">
            <v>75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4571.25</v>
          </cell>
        </row>
        <row r="72">
          <cell r="C72">
            <v>30608</v>
          </cell>
          <cell r="D72" t="str">
            <v>Cortezano, Austine Jay Montilla</v>
          </cell>
          <cell r="E72">
            <v>72</v>
          </cell>
          <cell r="F72">
            <v>9</v>
          </cell>
          <cell r="G72">
            <v>600</v>
          </cell>
          <cell r="H72">
            <v>5400</v>
          </cell>
          <cell r="I72">
            <v>0</v>
          </cell>
          <cell r="J72">
            <v>1.25</v>
          </cell>
          <cell r="K72">
            <v>0</v>
          </cell>
          <cell r="L72">
            <v>9</v>
          </cell>
          <cell r="M72">
            <v>93.75</v>
          </cell>
          <cell r="N72">
            <v>843.75</v>
          </cell>
          <cell r="O72">
            <v>26</v>
          </cell>
          <cell r="P72">
            <v>7.5</v>
          </cell>
          <cell r="Q72">
            <v>195</v>
          </cell>
          <cell r="R72">
            <v>0</v>
          </cell>
          <cell r="S72">
            <v>97.5</v>
          </cell>
          <cell r="T72">
            <v>0</v>
          </cell>
          <cell r="U72">
            <v>0</v>
          </cell>
          <cell r="V72">
            <v>126.75</v>
          </cell>
          <cell r="W72">
            <v>0</v>
          </cell>
          <cell r="X72">
            <v>0</v>
          </cell>
          <cell r="Y72">
            <v>9.75</v>
          </cell>
          <cell r="Z72">
            <v>0</v>
          </cell>
          <cell r="AA72">
            <v>0</v>
          </cell>
          <cell r="AB72">
            <v>112.5</v>
          </cell>
          <cell r="AC72">
            <v>0</v>
          </cell>
          <cell r="AD72">
            <v>0</v>
          </cell>
          <cell r="AE72">
            <v>146.25</v>
          </cell>
          <cell r="AF72">
            <v>0</v>
          </cell>
          <cell r="AG72">
            <v>0</v>
          </cell>
          <cell r="AH72">
            <v>11.25</v>
          </cell>
          <cell r="AI72">
            <v>0</v>
          </cell>
          <cell r="AJ72">
            <v>0</v>
          </cell>
          <cell r="AK72">
            <v>97.5</v>
          </cell>
          <cell r="AL72">
            <v>0</v>
          </cell>
          <cell r="AM72">
            <v>0</v>
          </cell>
          <cell r="AN72">
            <v>126.75</v>
          </cell>
          <cell r="AO72">
            <v>0</v>
          </cell>
          <cell r="AP72">
            <v>0</v>
          </cell>
          <cell r="AQ72">
            <v>9.75</v>
          </cell>
          <cell r="AR72">
            <v>0</v>
          </cell>
          <cell r="AS72">
            <v>0</v>
          </cell>
          <cell r="AT72">
            <v>150</v>
          </cell>
          <cell r="AU72">
            <v>0</v>
          </cell>
          <cell r="AV72">
            <v>0</v>
          </cell>
          <cell r="AW72">
            <v>195</v>
          </cell>
          <cell r="AX72">
            <v>0</v>
          </cell>
          <cell r="AY72">
            <v>0</v>
          </cell>
          <cell r="AZ72">
            <v>15</v>
          </cell>
          <cell r="BA72">
            <v>0</v>
          </cell>
          <cell r="BB72">
            <v>0</v>
          </cell>
          <cell r="BC72">
            <v>75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6438.75</v>
          </cell>
        </row>
        <row r="73">
          <cell r="C73">
            <v>12918</v>
          </cell>
          <cell r="D73" t="str">
            <v>Cortezano, Grace Ann Montilla</v>
          </cell>
          <cell r="E73">
            <v>88</v>
          </cell>
          <cell r="F73">
            <v>11</v>
          </cell>
          <cell r="G73">
            <v>600</v>
          </cell>
          <cell r="H73">
            <v>6600</v>
          </cell>
          <cell r="I73">
            <v>1</v>
          </cell>
          <cell r="J73">
            <v>1.25</v>
          </cell>
          <cell r="K73">
            <v>-1.25</v>
          </cell>
          <cell r="L73">
            <v>20</v>
          </cell>
          <cell r="M73">
            <v>93.75</v>
          </cell>
          <cell r="N73">
            <v>1875</v>
          </cell>
          <cell r="O73">
            <v>54</v>
          </cell>
          <cell r="P73">
            <v>7.5</v>
          </cell>
          <cell r="Q73">
            <v>405</v>
          </cell>
          <cell r="R73">
            <v>8</v>
          </cell>
          <cell r="S73">
            <v>97.5</v>
          </cell>
          <cell r="T73">
            <v>780</v>
          </cell>
          <cell r="U73">
            <v>0</v>
          </cell>
          <cell r="V73">
            <v>126.75</v>
          </cell>
          <cell r="W73">
            <v>0</v>
          </cell>
          <cell r="X73">
            <v>0</v>
          </cell>
          <cell r="Y73">
            <v>9.75</v>
          </cell>
          <cell r="Z73">
            <v>0</v>
          </cell>
          <cell r="AA73">
            <v>0</v>
          </cell>
          <cell r="AB73">
            <v>112.5</v>
          </cell>
          <cell r="AC73">
            <v>0</v>
          </cell>
          <cell r="AD73">
            <v>0</v>
          </cell>
          <cell r="AE73">
            <v>146.25</v>
          </cell>
          <cell r="AF73">
            <v>0</v>
          </cell>
          <cell r="AG73">
            <v>0</v>
          </cell>
          <cell r="AH73">
            <v>11.25</v>
          </cell>
          <cell r="AI73">
            <v>0</v>
          </cell>
          <cell r="AJ73">
            <v>8</v>
          </cell>
          <cell r="AK73">
            <v>97.5</v>
          </cell>
          <cell r="AL73">
            <v>780</v>
          </cell>
          <cell r="AM73">
            <v>0</v>
          </cell>
          <cell r="AN73">
            <v>126.75</v>
          </cell>
          <cell r="AO73">
            <v>0</v>
          </cell>
          <cell r="AP73">
            <v>0</v>
          </cell>
          <cell r="AQ73">
            <v>9.75</v>
          </cell>
          <cell r="AR73">
            <v>0</v>
          </cell>
          <cell r="AS73">
            <v>0</v>
          </cell>
          <cell r="AT73">
            <v>150</v>
          </cell>
          <cell r="AU73">
            <v>0</v>
          </cell>
          <cell r="AV73">
            <v>0</v>
          </cell>
          <cell r="AW73">
            <v>195</v>
          </cell>
          <cell r="AX73">
            <v>0</v>
          </cell>
          <cell r="AY73">
            <v>0</v>
          </cell>
          <cell r="AZ73">
            <v>15</v>
          </cell>
          <cell r="BA73">
            <v>0</v>
          </cell>
          <cell r="BB73">
            <v>0</v>
          </cell>
          <cell r="BC73">
            <v>75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10438.75</v>
          </cell>
        </row>
        <row r="74">
          <cell r="C74">
            <v>12919</v>
          </cell>
          <cell r="D74" t="str">
            <v>Cortiguerra, Ruel Robles</v>
          </cell>
          <cell r="E74">
            <v>72</v>
          </cell>
          <cell r="F74">
            <v>9</v>
          </cell>
          <cell r="G74">
            <v>600</v>
          </cell>
          <cell r="H74">
            <v>5400</v>
          </cell>
          <cell r="I74">
            <v>14</v>
          </cell>
          <cell r="J74">
            <v>1.25</v>
          </cell>
          <cell r="K74">
            <v>-17.5</v>
          </cell>
          <cell r="L74">
            <v>17</v>
          </cell>
          <cell r="M74">
            <v>93.75</v>
          </cell>
          <cell r="N74">
            <v>1593.75</v>
          </cell>
          <cell r="O74">
            <v>40</v>
          </cell>
          <cell r="P74">
            <v>7.5</v>
          </cell>
          <cell r="Q74">
            <v>300</v>
          </cell>
          <cell r="R74">
            <v>8</v>
          </cell>
          <cell r="S74">
            <v>97.5</v>
          </cell>
          <cell r="T74">
            <v>780</v>
          </cell>
          <cell r="U74">
            <v>0</v>
          </cell>
          <cell r="V74">
            <v>126.75</v>
          </cell>
          <cell r="W74">
            <v>0</v>
          </cell>
          <cell r="X74">
            <v>0</v>
          </cell>
          <cell r="Y74">
            <v>9.75</v>
          </cell>
          <cell r="Z74">
            <v>0</v>
          </cell>
          <cell r="AA74">
            <v>0</v>
          </cell>
          <cell r="AB74">
            <v>112.5</v>
          </cell>
          <cell r="AC74">
            <v>0</v>
          </cell>
          <cell r="AD74">
            <v>0</v>
          </cell>
          <cell r="AE74">
            <v>146.25</v>
          </cell>
          <cell r="AF74">
            <v>0</v>
          </cell>
          <cell r="AG74">
            <v>0</v>
          </cell>
          <cell r="AH74">
            <v>11.25</v>
          </cell>
          <cell r="AI74">
            <v>0</v>
          </cell>
          <cell r="AJ74">
            <v>8</v>
          </cell>
          <cell r="AK74">
            <v>97.5</v>
          </cell>
          <cell r="AL74">
            <v>780</v>
          </cell>
          <cell r="AM74">
            <v>0</v>
          </cell>
          <cell r="AN74">
            <v>126.75</v>
          </cell>
          <cell r="AO74">
            <v>0</v>
          </cell>
          <cell r="AP74">
            <v>0</v>
          </cell>
          <cell r="AQ74">
            <v>9.75</v>
          </cell>
          <cell r="AR74">
            <v>0</v>
          </cell>
          <cell r="AS74">
            <v>0</v>
          </cell>
          <cell r="AT74">
            <v>150</v>
          </cell>
          <cell r="AU74">
            <v>0</v>
          </cell>
          <cell r="AV74">
            <v>0</v>
          </cell>
          <cell r="AW74">
            <v>195</v>
          </cell>
          <cell r="AX74">
            <v>0</v>
          </cell>
          <cell r="AY74">
            <v>0</v>
          </cell>
          <cell r="AZ74">
            <v>15</v>
          </cell>
          <cell r="BA74">
            <v>0</v>
          </cell>
          <cell r="BB74">
            <v>0</v>
          </cell>
          <cell r="BC74">
            <v>75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8836.25</v>
          </cell>
        </row>
        <row r="75">
          <cell r="C75">
            <v>6508</v>
          </cell>
          <cell r="D75" t="str">
            <v>Cuanan, Shella Mae Garnatas</v>
          </cell>
          <cell r="E75">
            <v>72</v>
          </cell>
          <cell r="F75">
            <v>9</v>
          </cell>
          <cell r="G75">
            <v>600</v>
          </cell>
          <cell r="H75">
            <v>5400</v>
          </cell>
          <cell r="I75">
            <v>0</v>
          </cell>
          <cell r="J75">
            <v>1.25</v>
          </cell>
          <cell r="K75">
            <v>0</v>
          </cell>
          <cell r="L75">
            <v>12</v>
          </cell>
          <cell r="M75">
            <v>93.75</v>
          </cell>
          <cell r="N75">
            <v>1125</v>
          </cell>
          <cell r="O75">
            <v>0</v>
          </cell>
          <cell r="P75">
            <v>7.5</v>
          </cell>
          <cell r="Q75">
            <v>0</v>
          </cell>
          <cell r="R75">
            <v>0</v>
          </cell>
          <cell r="S75">
            <v>97.5</v>
          </cell>
          <cell r="T75">
            <v>0</v>
          </cell>
          <cell r="U75">
            <v>0</v>
          </cell>
          <cell r="V75">
            <v>126.75</v>
          </cell>
          <cell r="W75">
            <v>0</v>
          </cell>
          <cell r="X75">
            <v>0</v>
          </cell>
          <cell r="Y75">
            <v>9.75</v>
          </cell>
          <cell r="Z75">
            <v>0</v>
          </cell>
          <cell r="AA75">
            <v>0</v>
          </cell>
          <cell r="AB75">
            <v>112.5</v>
          </cell>
          <cell r="AC75">
            <v>0</v>
          </cell>
          <cell r="AD75">
            <v>0</v>
          </cell>
          <cell r="AE75">
            <v>146.25</v>
          </cell>
          <cell r="AF75">
            <v>0</v>
          </cell>
          <cell r="AG75">
            <v>0</v>
          </cell>
          <cell r="AH75">
            <v>11.25</v>
          </cell>
          <cell r="AI75">
            <v>0</v>
          </cell>
          <cell r="AJ75">
            <v>0</v>
          </cell>
          <cell r="AK75">
            <v>97.5</v>
          </cell>
          <cell r="AL75">
            <v>0</v>
          </cell>
          <cell r="AM75">
            <v>0</v>
          </cell>
          <cell r="AN75">
            <v>126.75</v>
          </cell>
          <cell r="AO75">
            <v>0</v>
          </cell>
          <cell r="AP75">
            <v>0</v>
          </cell>
          <cell r="AQ75">
            <v>9.75</v>
          </cell>
          <cell r="AR75">
            <v>0</v>
          </cell>
          <cell r="AS75">
            <v>0</v>
          </cell>
          <cell r="AT75">
            <v>150</v>
          </cell>
          <cell r="AU75">
            <v>0</v>
          </cell>
          <cell r="AV75">
            <v>0</v>
          </cell>
          <cell r="AW75">
            <v>195</v>
          </cell>
          <cell r="AX75">
            <v>0</v>
          </cell>
          <cell r="AY75">
            <v>0</v>
          </cell>
          <cell r="AZ75">
            <v>15</v>
          </cell>
          <cell r="BA75">
            <v>0</v>
          </cell>
          <cell r="BB75">
            <v>0</v>
          </cell>
          <cell r="BC75">
            <v>75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6525</v>
          </cell>
        </row>
        <row r="76">
          <cell r="C76">
            <v>12923</v>
          </cell>
          <cell r="D76" t="str">
            <v>Cultivo, Noel Garpin</v>
          </cell>
          <cell r="E76">
            <v>80</v>
          </cell>
          <cell r="F76">
            <v>10</v>
          </cell>
          <cell r="G76">
            <v>600</v>
          </cell>
          <cell r="H76">
            <v>6000</v>
          </cell>
          <cell r="I76">
            <v>0</v>
          </cell>
          <cell r="J76">
            <v>1.25</v>
          </cell>
          <cell r="K76">
            <v>0</v>
          </cell>
          <cell r="L76">
            <v>15</v>
          </cell>
          <cell r="M76">
            <v>93.75</v>
          </cell>
          <cell r="N76">
            <v>1406.25</v>
          </cell>
          <cell r="O76">
            <v>0</v>
          </cell>
          <cell r="P76">
            <v>7.5</v>
          </cell>
          <cell r="Q76">
            <v>0</v>
          </cell>
          <cell r="R76">
            <v>0</v>
          </cell>
          <cell r="S76">
            <v>97.5</v>
          </cell>
          <cell r="T76">
            <v>0</v>
          </cell>
          <cell r="U76">
            <v>0</v>
          </cell>
          <cell r="V76">
            <v>126.75</v>
          </cell>
          <cell r="W76">
            <v>0</v>
          </cell>
          <cell r="X76">
            <v>0</v>
          </cell>
          <cell r="Y76">
            <v>9.75</v>
          </cell>
          <cell r="Z76">
            <v>0</v>
          </cell>
          <cell r="AA76">
            <v>0</v>
          </cell>
          <cell r="AB76">
            <v>112.5</v>
          </cell>
          <cell r="AC76">
            <v>0</v>
          </cell>
          <cell r="AD76">
            <v>0</v>
          </cell>
          <cell r="AE76">
            <v>146.25</v>
          </cell>
          <cell r="AF76">
            <v>0</v>
          </cell>
          <cell r="AG76">
            <v>0</v>
          </cell>
          <cell r="AH76">
            <v>11.25</v>
          </cell>
          <cell r="AI76">
            <v>0</v>
          </cell>
          <cell r="AJ76">
            <v>8</v>
          </cell>
          <cell r="AK76">
            <v>97.5</v>
          </cell>
          <cell r="AL76">
            <v>780</v>
          </cell>
          <cell r="AM76">
            <v>0</v>
          </cell>
          <cell r="AN76">
            <v>126.75</v>
          </cell>
          <cell r="AO76">
            <v>0</v>
          </cell>
          <cell r="AP76">
            <v>0</v>
          </cell>
          <cell r="AQ76">
            <v>9.75</v>
          </cell>
          <cell r="AR76">
            <v>0</v>
          </cell>
          <cell r="AS76">
            <v>0</v>
          </cell>
          <cell r="AT76">
            <v>150</v>
          </cell>
          <cell r="AU76">
            <v>0</v>
          </cell>
          <cell r="AV76">
            <v>0</v>
          </cell>
          <cell r="AW76">
            <v>195</v>
          </cell>
          <cell r="AX76">
            <v>0</v>
          </cell>
          <cell r="AY76">
            <v>0</v>
          </cell>
          <cell r="AZ76">
            <v>15</v>
          </cell>
          <cell r="BA76">
            <v>0</v>
          </cell>
          <cell r="BB76">
            <v>0</v>
          </cell>
          <cell r="BC76">
            <v>75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8186.25</v>
          </cell>
        </row>
        <row r="77">
          <cell r="C77">
            <v>12924</v>
          </cell>
          <cell r="D77" t="str">
            <v>Custodio, Carlo De Leon</v>
          </cell>
          <cell r="E77">
            <v>80</v>
          </cell>
          <cell r="F77">
            <v>10</v>
          </cell>
          <cell r="G77">
            <v>600</v>
          </cell>
          <cell r="H77">
            <v>6000</v>
          </cell>
          <cell r="I77">
            <v>0</v>
          </cell>
          <cell r="J77">
            <v>1.25</v>
          </cell>
          <cell r="K77">
            <v>0</v>
          </cell>
          <cell r="L77">
            <v>16</v>
          </cell>
          <cell r="M77">
            <v>93.75</v>
          </cell>
          <cell r="N77">
            <v>1500</v>
          </cell>
          <cell r="O77">
            <v>76</v>
          </cell>
          <cell r="P77">
            <v>7.5</v>
          </cell>
          <cell r="Q77">
            <v>570</v>
          </cell>
          <cell r="R77">
            <v>8</v>
          </cell>
          <cell r="S77">
            <v>97.5</v>
          </cell>
          <cell r="T77">
            <v>780</v>
          </cell>
          <cell r="U77">
            <v>0</v>
          </cell>
          <cell r="V77">
            <v>126.75</v>
          </cell>
          <cell r="W77">
            <v>0</v>
          </cell>
          <cell r="X77">
            <v>0</v>
          </cell>
          <cell r="Y77">
            <v>9.75</v>
          </cell>
          <cell r="Z77">
            <v>0</v>
          </cell>
          <cell r="AA77">
            <v>0</v>
          </cell>
          <cell r="AB77">
            <v>112.5</v>
          </cell>
          <cell r="AC77">
            <v>0</v>
          </cell>
          <cell r="AD77">
            <v>0</v>
          </cell>
          <cell r="AE77">
            <v>146.25</v>
          </cell>
          <cell r="AF77">
            <v>0</v>
          </cell>
          <cell r="AG77">
            <v>0</v>
          </cell>
          <cell r="AH77">
            <v>11.25</v>
          </cell>
          <cell r="AI77">
            <v>0</v>
          </cell>
          <cell r="AJ77">
            <v>0</v>
          </cell>
          <cell r="AK77">
            <v>97.5</v>
          </cell>
          <cell r="AL77">
            <v>0</v>
          </cell>
          <cell r="AM77">
            <v>0</v>
          </cell>
          <cell r="AN77">
            <v>126.75</v>
          </cell>
          <cell r="AO77">
            <v>0</v>
          </cell>
          <cell r="AP77">
            <v>0</v>
          </cell>
          <cell r="AQ77">
            <v>9.75</v>
          </cell>
          <cell r="AR77">
            <v>0</v>
          </cell>
          <cell r="AS77">
            <v>0</v>
          </cell>
          <cell r="AT77">
            <v>150</v>
          </cell>
          <cell r="AU77">
            <v>0</v>
          </cell>
          <cell r="AV77">
            <v>0</v>
          </cell>
          <cell r="AW77">
            <v>195</v>
          </cell>
          <cell r="AX77">
            <v>0</v>
          </cell>
          <cell r="AY77">
            <v>0</v>
          </cell>
          <cell r="AZ77">
            <v>15</v>
          </cell>
          <cell r="BA77">
            <v>0</v>
          </cell>
          <cell r="BB77">
            <v>0</v>
          </cell>
          <cell r="BC77">
            <v>75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8850</v>
          </cell>
        </row>
        <row r="78">
          <cell r="C78">
            <v>12925</v>
          </cell>
          <cell r="D78" t="str">
            <v>Dabalos, Rizal Lito Salipot</v>
          </cell>
          <cell r="E78">
            <v>80</v>
          </cell>
          <cell r="F78">
            <v>10</v>
          </cell>
          <cell r="G78">
            <v>600</v>
          </cell>
          <cell r="H78">
            <v>6000</v>
          </cell>
          <cell r="I78">
            <v>5</v>
          </cell>
          <cell r="J78">
            <v>1.25</v>
          </cell>
          <cell r="K78">
            <v>-6.25</v>
          </cell>
          <cell r="L78">
            <v>23</v>
          </cell>
          <cell r="M78">
            <v>93.75</v>
          </cell>
          <cell r="N78">
            <v>2156.25</v>
          </cell>
          <cell r="O78">
            <v>32</v>
          </cell>
          <cell r="P78">
            <v>7.5</v>
          </cell>
          <cell r="Q78">
            <v>240</v>
          </cell>
          <cell r="R78">
            <v>0</v>
          </cell>
          <cell r="S78">
            <v>97.5</v>
          </cell>
          <cell r="T78">
            <v>0</v>
          </cell>
          <cell r="U78">
            <v>0</v>
          </cell>
          <cell r="V78">
            <v>126.75</v>
          </cell>
          <cell r="W78">
            <v>0</v>
          </cell>
          <cell r="X78">
            <v>0</v>
          </cell>
          <cell r="Y78">
            <v>9.75</v>
          </cell>
          <cell r="Z78">
            <v>0</v>
          </cell>
          <cell r="AA78">
            <v>0</v>
          </cell>
          <cell r="AB78">
            <v>112.5</v>
          </cell>
          <cell r="AC78">
            <v>0</v>
          </cell>
          <cell r="AD78">
            <v>0</v>
          </cell>
          <cell r="AE78">
            <v>146.25</v>
          </cell>
          <cell r="AF78">
            <v>0</v>
          </cell>
          <cell r="AG78">
            <v>0</v>
          </cell>
          <cell r="AH78">
            <v>11.25</v>
          </cell>
          <cell r="AI78">
            <v>0</v>
          </cell>
          <cell r="AJ78">
            <v>0</v>
          </cell>
          <cell r="AK78">
            <v>97.5</v>
          </cell>
          <cell r="AL78">
            <v>0</v>
          </cell>
          <cell r="AM78">
            <v>0</v>
          </cell>
          <cell r="AN78">
            <v>126.75</v>
          </cell>
          <cell r="AO78">
            <v>0</v>
          </cell>
          <cell r="AP78">
            <v>0</v>
          </cell>
          <cell r="AQ78">
            <v>9.75</v>
          </cell>
          <cell r="AR78">
            <v>0</v>
          </cell>
          <cell r="AS78">
            <v>0</v>
          </cell>
          <cell r="AT78">
            <v>150</v>
          </cell>
          <cell r="AU78">
            <v>0</v>
          </cell>
          <cell r="AV78">
            <v>0</v>
          </cell>
          <cell r="AW78">
            <v>195</v>
          </cell>
          <cell r="AX78">
            <v>0</v>
          </cell>
          <cell r="AY78">
            <v>0</v>
          </cell>
          <cell r="AZ78">
            <v>15</v>
          </cell>
          <cell r="BA78">
            <v>0</v>
          </cell>
          <cell r="BB78">
            <v>0</v>
          </cell>
          <cell r="BC78">
            <v>75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8390</v>
          </cell>
        </row>
        <row r="79">
          <cell r="C79">
            <v>5200</v>
          </cell>
          <cell r="D79" t="str">
            <v>Dapa, John Jimuel Abordo</v>
          </cell>
          <cell r="E79">
            <v>80</v>
          </cell>
          <cell r="F79">
            <v>10</v>
          </cell>
          <cell r="G79">
            <v>600</v>
          </cell>
          <cell r="H79">
            <v>6000</v>
          </cell>
          <cell r="I79">
            <v>0</v>
          </cell>
          <cell r="J79">
            <v>1.25</v>
          </cell>
          <cell r="K79">
            <v>0</v>
          </cell>
          <cell r="L79">
            <v>18</v>
          </cell>
          <cell r="M79">
            <v>93.75</v>
          </cell>
          <cell r="N79">
            <v>1687.5</v>
          </cell>
          <cell r="O79">
            <v>32</v>
          </cell>
          <cell r="P79">
            <v>7.5</v>
          </cell>
          <cell r="Q79">
            <v>240</v>
          </cell>
          <cell r="R79">
            <v>0</v>
          </cell>
          <cell r="S79">
            <v>97.5</v>
          </cell>
          <cell r="T79">
            <v>0</v>
          </cell>
          <cell r="U79">
            <v>0</v>
          </cell>
          <cell r="V79">
            <v>126.75</v>
          </cell>
          <cell r="W79">
            <v>0</v>
          </cell>
          <cell r="X79">
            <v>0</v>
          </cell>
          <cell r="Y79">
            <v>9.75</v>
          </cell>
          <cell r="Z79">
            <v>0</v>
          </cell>
          <cell r="AA79">
            <v>0</v>
          </cell>
          <cell r="AB79">
            <v>112.5</v>
          </cell>
          <cell r="AC79">
            <v>0</v>
          </cell>
          <cell r="AD79">
            <v>0</v>
          </cell>
          <cell r="AE79">
            <v>146.25</v>
          </cell>
          <cell r="AF79">
            <v>0</v>
          </cell>
          <cell r="AG79">
            <v>0</v>
          </cell>
          <cell r="AH79">
            <v>11.25</v>
          </cell>
          <cell r="AI79">
            <v>0</v>
          </cell>
          <cell r="AJ79">
            <v>0</v>
          </cell>
          <cell r="AK79">
            <v>97.5</v>
          </cell>
          <cell r="AL79">
            <v>0</v>
          </cell>
          <cell r="AM79">
            <v>0</v>
          </cell>
          <cell r="AN79">
            <v>126.75</v>
          </cell>
          <cell r="AO79">
            <v>0</v>
          </cell>
          <cell r="AP79">
            <v>0</v>
          </cell>
          <cell r="AQ79">
            <v>9.75</v>
          </cell>
          <cell r="AR79">
            <v>0</v>
          </cell>
          <cell r="AS79">
            <v>0</v>
          </cell>
          <cell r="AT79">
            <v>150</v>
          </cell>
          <cell r="AU79">
            <v>0</v>
          </cell>
          <cell r="AV79">
            <v>0</v>
          </cell>
          <cell r="AW79">
            <v>195</v>
          </cell>
          <cell r="AX79">
            <v>0</v>
          </cell>
          <cell r="AY79">
            <v>0</v>
          </cell>
          <cell r="AZ79">
            <v>15</v>
          </cell>
          <cell r="BA79">
            <v>0</v>
          </cell>
          <cell r="BB79">
            <v>0</v>
          </cell>
          <cell r="BC79">
            <v>75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7927.5</v>
          </cell>
        </row>
        <row r="80">
          <cell r="C80">
            <v>12929</v>
          </cell>
          <cell r="D80" t="str">
            <v>Davalos, Den Mark Espiritu</v>
          </cell>
          <cell r="E80">
            <v>80</v>
          </cell>
          <cell r="F80">
            <v>10</v>
          </cell>
          <cell r="G80">
            <v>600</v>
          </cell>
          <cell r="H80">
            <v>6000</v>
          </cell>
          <cell r="I80">
            <v>0</v>
          </cell>
          <cell r="J80">
            <v>1.25</v>
          </cell>
          <cell r="K80">
            <v>0</v>
          </cell>
          <cell r="L80">
            <v>16</v>
          </cell>
          <cell r="M80">
            <v>93.75</v>
          </cell>
          <cell r="N80">
            <v>1500</v>
          </cell>
          <cell r="O80">
            <v>76</v>
          </cell>
          <cell r="P80">
            <v>7.5</v>
          </cell>
          <cell r="Q80">
            <v>570</v>
          </cell>
          <cell r="R80">
            <v>8</v>
          </cell>
          <cell r="S80">
            <v>97.5</v>
          </cell>
          <cell r="T80">
            <v>780</v>
          </cell>
          <cell r="U80">
            <v>0</v>
          </cell>
          <cell r="V80">
            <v>126.75</v>
          </cell>
          <cell r="W80">
            <v>0</v>
          </cell>
          <cell r="X80">
            <v>0</v>
          </cell>
          <cell r="Y80">
            <v>9.75</v>
          </cell>
          <cell r="Z80">
            <v>0</v>
          </cell>
          <cell r="AA80">
            <v>0</v>
          </cell>
          <cell r="AB80">
            <v>112.5</v>
          </cell>
          <cell r="AC80">
            <v>0</v>
          </cell>
          <cell r="AD80">
            <v>0</v>
          </cell>
          <cell r="AE80">
            <v>146.25</v>
          </cell>
          <cell r="AF80">
            <v>0</v>
          </cell>
          <cell r="AG80">
            <v>0</v>
          </cell>
          <cell r="AH80">
            <v>11.25</v>
          </cell>
          <cell r="AI80">
            <v>0</v>
          </cell>
          <cell r="AJ80">
            <v>0</v>
          </cell>
          <cell r="AK80">
            <v>97.5</v>
          </cell>
          <cell r="AL80">
            <v>0</v>
          </cell>
          <cell r="AM80">
            <v>0</v>
          </cell>
          <cell r="AN80">
            <v>126.75</v>
          </cell>
          <cell r="AO80">
            <v>0</v>
          </cell>
          <cell r="AP80">
            <v>0</v>
          </cell>
          <cell r="AQ80">
            <v>9.75</v>
          </cell>
          <cell r="AR80">
            <v>0</v>
          </cell>
          <cell r="AS80">
            <v>0</v>
          </cell>
          <cell r="AT80">
            <v>150</v>
          </cell>
          <cell r="AU80">
            <v>0</v>
          </cell>
          <cell r="AV80">
            <v>0</v>
          </cell>
          <cell r="AW80">
            <v>195</v>
          </cell>
          <cell r="AX80">
            <v>0</v>
          </cell>
          <cell r="AY80">
            <v>0</v>
          </cell>
          <cell r="AZ80">
            <v>15</v>
          </cell>
          <cell r="BA80">
            <v>0</v>
          </cell>
          <cell r="BB80">
            <v>0</v>
          </cell>
          <cell r="BC80">
            <v>75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8850</v>
          </cell>
        </row>
        <row r="81">
          <cell r="C81">
            <v>30626</v>
          </cell>
          <cell r="D81" t="str">
            <v>De Asis, John Paul Marciano</v>
          </cell>
          <cell r="E81">
            <v>88</v>
          </cell>
          <cell r="F81">
            <v>11</v>
          </cell>
          <cell r="G81">
            <v>600</v>
          </cell>
          <cell r="H81">
            <v>6600</v>
          </cell>
          <cell r="I81">
            <v>0</v>
          </cell>
          <cell r="J81">
            <v>1.25</v>
          </cell>
          <cell r="K81">
            <v>0</v>
          </cell>
          <cell r="L81">
            <v>17</v>
          </cell>
          <cell r="M81">
            <v>93.75</v>
          </cell>
          <cell r="N81">
            <v>1593.75</v>
          </cell>
          <cell r="O81">
            <v>83</v>
          </cell>
          <cell r="P81">
            <v>7.5</v>
          </cell>
          <cell r="Q81">
            <v>622.5</v>
          </cell>
          <cell r="R81">
            <v>0</v>
          </cell>
          <cell r="S81">
            <v>97.5</v>
          </cell>
          <cell r="T81">
            <v>0</v>
          </cell>
          <cell r="U81">
            <v>0</v>
          </cell>
          <cell r="V81">
            <v>126.75</v>
          </cell>
          <cell r="W81">
            <v>0</v>
          </cell>
          <cell r="X81">
            <v>0</v>
          </cell>
          <cell r="Y81">
            <v>9.75</v>
          </cell>
          <cell r="Z81">
            <v>0</v>
          </cell>
          <cell r="AA81">
            <v>0</v>
          </cell>
          <cell r="AB81">
            <v>112.5</v>
          </cell>
          <cell r="AC81">
            <v>0</v>
          </cell>
          <cell r="AD81">
            <v>0</v>
          </cell>
          <cell r="AE81">
            <v>146.25</v>
          </cell>
          <cell r="AF81">
            <v>0</v>
          </cell>
          <cell r="AG81">
            <v>0</v>
          </cell>
          <cell r="AH81">
            <v>11.25</v>
          </cell>
          <cell r="AI81">
            <v>0</v>
          </cell>
          <cell r="AJ81">
            <v>0</v>
          </cell>
          <cell r="AK81">
            <v>97.5</v>
          </cell>
          <cell r="AL81">
            <v>0</v>
          </cell>
          <cell r="AM81">
            <v>0</v>
          </cell>
          <cell r="AN81">
            <v>126.75</v>
          </cell>
          <cell r="AO81">
            <v>0</v>
          </cell>
          <cell r="AP81">
            <v>0</v>
          </cell>
          <cell r="AQ81">
            <v>9.75</v>
          </cell>
          <cell r="AR81">
            <v>0</v>
          </cell>
          <cell r="AS81">
            <v>0</v>
          </cell>
          <cell r="AT81">
            <v>150</v>
          </cell>
          <cell r="AU81">
            <v>0</v>
          </cell>
          <cell r="AV81">
            <v>0</v>
          </cell>
          <cell r="AW81">
            <v>195</v>
          </cell>
          <cell r="AX81">
            <v>0</v>
          </cell>
          <cell r="AY81">
            <v>0</v>
          </cell>
          <cell r="AZ81">
            <v>15</v>
          </cell>
          <cell r="BA81">
            <v>0</v>
          </cell>
          <cell r="BB81">
            <v>0</v>
          </cell>
          <cell r="BC81">
            <v>75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8816.25</v>
          </cell>
        </row>
        <row r="82">
          <cell r="C82">
            <v>7719</v>
          </cell>
          <cell r="D82" t="str">
            <v>De Chavez, Dervin Aranas</v>
          </cell>
          <cell r="E82">
            <v>88</v>
          </cell>
          <cell r="F82">
            <v>11</v>
          </cell>
          <cell r="G82">
            <v>600</v>
          </cell>
          <cell r="H82">
            <v>6600</v>
          </cell>
          <cell r="I82">
            <v>0</v>
          </cell>
          <cell r="J82">
            <v>1.25</v>
          </cell>
          <cell r="K82">
            <v>0</v>
          </cell>
          <cell r="L82">
            <v>20</v>
          </cell>
          <cell r="M82">
            <v>93.75</v>
          </cell>
          <cell r="N82">
            <v>1875</v>
          </cell>
          <cell r="O82">
            <v>54</v>
          </cell>
          <cell r="P82">
            <v>7.5</v>
          </cell>
          <cell r="Q82">
            <v>405</v>
          </cell>
          <cell r="R82">
            <v>0</v>
          </cell>
          <cell r="S82">
            <v>97.5</v>
          </cell>
          <cell r="T82">
            <v>0</v>
          </cell>
          <cell r="U82">
            <v>0</v>
          </cell>
          <cell r="V82">
            <v>126.75</v>
          </cell>
          <cell r="W82">
            <v>0</v>
          </cell>
          <cell r="X82">
            <v>0</v>
          </cell>
          <cell r="Y82">
            <v>9.75</v>
          </cell>
          <cell r="Z82">
            <v>0</v>
          </cell>
          <cell r="AA82">
            <v>0</v>
          </cell>
          <cell r="AB82">
            <v>112.5</v>
          </cell>
          <cell r="AC82">
            <v>0</v>
          </cell>
          <cell r="AD82">
            <v>0</v>
          </cell>
          <cell r="AE82">
            <v>146.25</v>
          </cell>
          <cell r="AF82">
            <v>0</v>
          </cell>
          <cell r="AG82">
            <v>0</v>
          </cell>
          <cell r="AH82">
            <v>11.25</v>
          </cell>
          <cell r="AI82">
            <v>0</v>
          </cell>
          <cell r="AJ82">
            <v>0</v>
          </cell>
          <cell r="AK82">
            <v>97.5</v>
          </cell>
          <cell r="AL82">
            <v>0</v>
          </cell>
          <cell r="AM82">
            <v>0</v>
          </cell>
          <cell r="AN82">
            <v>126.75</v>
          </cell>
          <cell r="AO82">
            <v>0</v>
          </cell>
          <cell r="AP82">
            <v>0</v>
          </cell>
          <cell r="AQ82">
            <v>9.75</v>
          </cell>
          <cell r="AR82">
            <v>0</v>
          </cell>
          <cell r="AS82">
            <v>0</v>
          </cell>
          <cell r="AT82">
            <v>150</v>
          </cell>
          <cell r="AU82">
            <v>0</v>
          </cell>
          <cell r="AV82">
            <v>0</v>
          </cell>
          <cell r="AW82">
            <v>195</v>
          </cell>
          <cell r="AX82">
            <v>0</v>
          </cell>
          <cell r="AY82">
            <v>0</v>
          </cell>
          <cell r="AZ82">
            <v>15</v>
          </cell>
          <cell r="BA82">
            <v>0</v>
          </cell>
          <cell r="BB82">
            <v>0</v>
          </cell>
          <cell r="BC82">
            <v>75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8880</v>
          </cell>
        </row>
        <row r="83">
          <cell r="C83">
            <v>12932</v>
          </cell>
          <cell r="D83" t="str">
            <v>De Leon, Christine Joy Coralde</v>
          </cell>
          <cell r="E83">
            <v>72</v>
          </cell>
          <cell r="F83">
            <v>9</v>
          </cell>
          <cell r="G83">
            <v>600</v>
          </cell>
          <cell r="H83">
            <v>5400</v>
          </cell>
          <cell r="I83">
            <v>0</v>
          </cell>
          <cell r="J83">
            <v>1.25</v>
          </cell>
          <cell r="K83">
            <v>0</v>
          </cell>
          <cell r="L83">
            <v>17</v>
          </cell>
          <cell r="M83">
            <v>93.75</v>
          </cell>
          <cell r="N83">
            <v>1593.75</v>
          </cell>
          <cell r="O83">
            <v>0</v>
          </cell>
          <cell r="P83">
            <v>7.5</v>
          </cell>
          <cell r="Q83">
            <v>0</v>
          </cell>
          <cell r="R83">
            <v>8</v>
          </cell>
          <cell r="S83">
            <v>97.5</v>
          </cell>
          <cell r="T83">
            <v>780</v>
          </cell>
          <cell r="U83">
            <v>0</v>
          </cell>
          <cell r="V83">
            <v>126.75</v>
          </cell>
          <cell r="W83">
            <v>0</v>
          </cell>
          <cell r="X83">
            <v>0</v>
          </cell>
          <cell r="Y83">
            <v>9.75</v>
          </cell>
          <cell r="Z83">
            <v>0</v>
          </cell>
          <cell r="AA83">
            <v>0</v>
          </cell>
          <cell r="AB83">
            <v>112.5</v>
          </cell>
          <cell r="AC83">
            <v>0</v>
          </cell>
          <cell r="AD83">
            <v>0</v>
          </cell>
          <cell r="AE83">
            <v>146.25</v>
          </cell>
          <cell r="AF83">
            <v>0</v>
          </cell>
          <cell r="AG83">
            <v>0</v>
          </cell>
          <cell r="AH83">
            <v>11.25</v>
          </cell>
          <cell r="AI83">
            <v>0</v>
          </cell>
          <cell r="AJ83">
            <v>8</v>
          </cell>
          <cell r="AK83">
            <v>97.5</v>
          </cell>
          <cell r="AL83">
            <v>780</v>
          </cell>
          <cell r="AM83">
            <v>0</v>
          </cell>
          <cell r="AN83">
            <v>126.75</v>
          </cell>
          <cell r="AO83">
            <v>0</v>
          </cell>
          <cell r="AP83">
            <v>0</v>
          </cell>
          <cell r="AQ83">
            <v>9.75</v>
          </cell>
          <cell r="AR83">
            <v>0</v>
          </cell>
          <cell r="AS83">
            <v>0</v>
          </cell>
          <cell r="AT83">
            <v>150</v>
          </cell>
          <cell r="AU83">
            <v>0</v>
          </cell>
          <cell r="AV83">
            <v>0</v>
          </cell>
          <cell r="AW83">
            <v>195</v>
          </cell>
          <cell r="AX83">
            <v>0</v>
          </cell>
          <cell r="AY83">
            <v>0</v>
          </cell>
          <cell r="AZ83">
            <v>15</v>
          </cell>
          <cell r="BA83">
            <v>0</v>
          </cell>
          <cell r="BB83">
            <v>0</v>
          </cell>
          <cell r="BC83">
            <v>75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8553.75</v>
          </cell>
        </row>
        <row r="84">
          <cell r="C84">
            <v>12934</v>
          </cell>
          <cell r="D84" t="str">
            <v>De Padua, Marvin Soriano</v>
          </cell>
          <cell r="E84">
            <v>80</v>
          </cell>
          <cell r="F84">
            <v>10</v>
          </cell>
          <cell r="G84">
            <v>600</v>
          </cell>
          <cell r="H84">
            <v>6000</v>
          </cell>
          <cell r="I84">
            <v>0</v>
          </cell>
          <cell r="J84">
            <v>1.25</v>
          </cell>
          <cell r="K84">
            <v>0</v>
          </cell>
          <cell r="L84">
            <v>12</v>
          </cell>
          <cell r="M84">
            <v>93.75</v>
          </cell>
          <cell r="N84">
            <v>1125</v>
          </cell>
          <cell r="O84">
            <v>0</v>
          </cell>
          <cell r="P84">
            <v>7.5</v>
          </cell>
          <cell r="Q84">
            <v>0</v>
          </cell>
          <cell r="R84">
            <v>8</v>
          </cell>
          <cell r="S84">
            <v>97.5</v>
          </cell>
          <cell r="T84">
            <v>780</v>
          </cell>
          <cell r="U84">
            <v>0</v>
          </cell>
          <cell r="V84">
            <v>126.75</v>
          </cell>
          <cell r="W84">
            <v>0</v>
          </cell>
          <cell r="X84">
            <v>0</v>
          </cell>
          <cell r="Y84">
            <v>9.75</v>
          </cell>
          <cell r="Z84">
            <v>0</v>
          </cell>
          <cell r="AA84">
            <v>0</v>
          </cell>
          <cell r="AB84">
            <v>112.5</v>
          </cell>
          <cell r="AC84">
            <v>0</v>
          </cell>
          <cell r="AD84">
            <v>0</v>
          </cell>
          <cell r="AE84">
            <v>146.25</v>
          </cell>
          <cell r="AF84">
            <v>0</v>
          </cell>
          <cell r="AG84">
            <v>0</v>
          </cell>
          <cell r="AH84">
            <v>11.25</v>
          </cell>
          <cell r="AI84">
            <v>0</v>
          </cell>
          <cell r="AJ84">
            <v>0</v>
          </cell>
          <cell r="AK84">
            <v>97.5</v>
          </cell>
          <cell r="AL84">
            <v>0</v>
          </cell>
          <cell r="AM84">
            <v>0</v>
          </cell>
          <cell r="AN84">
            <v>126.75</v>
          </cell>
          <cell r="AO84">
            <v>0</v>
          </cell>
          <cell r="AP84">
            <v>0</v>
          </cell>
          <cell r="AQ84">
            <v>9.75</v>
          </cell>
          <cell r="AR84">
            <v>0</v>
          </cell>
          <cell r="AS84">
            <v>0</v>
          </cell>
          <cell r="AT84">
            <v>150</v>
          </cell>
          <cell r="AU84">
            <v>0</v>
          </cell>
          <cell r="AV84">
            <v>0</v>
          </cell>
          <cell r="AW84">
            <v>195</v>
          </cell>
          <cell r="AX84">
            <v>0</v>
          </cell>
          <cell r="AY84">
            <v>0</v>
          </cell>
          <cell r="AZ84">
            <v>15</v>
          </cell>
          <cell r="BA84">
            <v>0</v>
          </cell>
          <cell r="BB84">
            <v>0</v>
          </cell>
          <cell r="BC84">
            <v>75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7905</v>
          </cell>
        </row>
        <row r="85">
          <cell r="C85">
            <v>12936</v>
          </cell>
          <cell r="D85" t="str">
            <v>De Silva, Jerald Ras</v>
          </cell>
          <cell r="E85">
            <v>80</v>
          </cell>
          <cell r="F85">
            <v>10</v>
          </cell>
          <cell r="G85">
            <v>600</v>
          </cell>
          <cell r="H85">
            <v>6000</v>
          </cell>
          <cell r="I85">
            <v>0</v>
          </cell>
          <cell r="J85">
            <v>1.25</v>
          </cell>
          <cell r="K85">
            <v>0</v>
          </cell>
          <cell r="L85">
            <v>16</v>
          </cell>
          <cell r="M85">
            <v>93.75</v>
          </cell>
          <cell r="N85">
            <v>1500</v>
          </cell>
          <cell r="O85">
            <v>0</v>
          </cell>
          <cell r="P85">
            <v>7.5</v>
          </cell>
          <cell r="Q85">
            <v>0</v>
          </cell>
          <cell r="R85">
            <v>0</v>
          </cell>
          <cell r="S85">
            <v>97.5</v>
          </cell>
          <cell r="T85">
            <v>0</v>
          </cell>
          <cell r="U85">
            <v>0</v>
          </cell>
          <cell r="V85">
            <v>126.75</v>
          </cell>
          <cell r="W85">
            <v>0</v>
          </cell>
          <cell r="X85">
            <v>0</v>
          </cell>
          <cell r="Y85">
            <v>9.75</v>
          </cell>
          <cell r="Z85">
            <v>0</v>
          </cell>
          <cell r="AA85">
            <v>0</v>
          </cell>
          <cell r="AB85">
            <v>112.5</v>
          </cell>
          <cell r="AC85">
            <v>0</v>
          </cell>
          <cell r="AD85">
            <v>0</v>
          </cell>
          <cell r="AE85">
            <v>146.25</v>
          </cell>
          <cell r="AF85">
            <v>0</v>
          </cell>
          <cell r="AG85">
            <v>0</v>
          </cell>
          <cell r="AH85">
            <v>11.25</v>
          </cell>
          <cell r="AI85">
            <v>0</v>
          </cell>
          <cell r="AJ85">
            <v>8</v>
          </cell>
          <cell r="AK85">
            <v>97.5</v>
          </cell>
          <cell r="AL85">
            <v>780</v>
          </cell>
          <cell r="AM85">
            <v>0</v>
          </cell>
          <cell r="AN85">
            <v>126.75</v>
          </cell>
          <cell r="AO85">
            <v>0</v>
          </cell>
          <cell r="AP85">
            <v>0</v>
          </cell>
          <cell r="AQ85">
            <v>9.75</v>
          </cell>
          <cell r="AR85">
            <v>0</v>
          </cell>
          <cell r="AS85">
            <v>0</v>
          </cell>
          <cell r="AT85">
            <v>150</v>
          </cell>
          <cell r="AU85">
            <v>0</v>
          </cell>
          <cell r="AV85">
            <v>0</v>
          </cell>
          <cell r="AW85">
            <v>195</v>
          </cell>
          <cell r="AX85">
            <v>0</v>
          </cell>
          <cell r="AY85">
            <v>0</v>
          </cell>
          <cell r="AZ85">
            <v>15</v>
          </cell>
          <cell r="BA85">
            <v>0</v>
          </cell>
          <cell r="BB85">
            <v>0</v>
          </cell>
          <cell r="BC85">
            <v>75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8280</v>
          </cell>
        </row>
        <row r="86">
          <cell r="C86">
            <v>6358</v>
          </cell>
          <cell r="D86" t="str">
            <v>De Silva, Ruel M.</v>
          </cell>
          <cell r="E86">
            <v>72</v>
          </cell>
          <cell r="F86">
            <v>9</v>
          </cell>
          <cell r="G86">
            <v>600</v>
          </cell>
          <cell r="H86">
            <v>5400</v>
          </cell>
          <cell r="I86">
            <v>0</v>
          </cell>
          <cell r="J86">
            <v>1.25</v>
          </cell>
          <cell r="K86">
            <v>0</v>
          </cell>
          <cell r="L86">
            <v>14</v>
          </cell>
          <cell r="M86">
            <v>93.75</v>
          </cell>
          <cell r="N86">
            <v>1312.5</v>
          </cell>
          <cell r="O86">
            <v>36</v>
          </cell>
          <cell r="P86">
            <v>7.5</v>
          </cell>
          <cell r="Q86">
            <v>270</v>
          </cell>
          <cell r="R86">
            <v>0</v>
          </cell>
          <cell r="S86">
            <v>97.5</v>
          </cell>
          <cell r="T86">
            <v>0</v>
          </cell>
          <cell r="U86">
            <v>0</v>
          </cell>
          <cell r="V86">
            <v>126.75</v>
          </cell>
          <cell r="W86">
            <v>0</v>
          </cell>
          <cell r="X86">
            <v>0</v>
          </cell>
          <cell r="Y86">
            <v>9.75</v>
          </cell>
          <cell r="Z86">
            <v>0</v>
          </cell>
          <cell r="AA86">
            <v>0</v>
          </cell>
          <cell r="AB86">
            <v>112.5</v>
          </cell>
          <cell r="AC86">
            <v>0</v>
          </cell>
          <cell r="AD86">
            <v>0</v>
          </cell>
          <cell r="AE86">
            <v>146.25</v>
          </cell>
          <cell r="AF86">
            <v>0</v>
          </cell>
          <cell r="AG86">
            <v>0</v>
          </cell>
          <cell r="AH86">
            <v>11.25</v>
          </cell>
          <cell r="AI86">
            <v>0</v>
          </cell>
          <cell r="AJ86">
            <v>8</v>
          </cell>
          <cell r="AK86">
            <v>97.5</v>
          </cell>
          <cell r="AL86">
            <v>780</v>
          </cell>
          <cell r="AM86">
            <v>0</v>
          </cell>
          <cell r="AN86">
            <v>126.75</v>
          </cell>
          <cell r="AO86">
            <v>0</v>
          </cell>
          <cell r="AP86">
            <v>0</v>
          </cell>
          <cell r="AQ86">
            <v>9.75</v>
          </cell>
          <cell r="AR86">
            <v>0</v>
          </cell>
          <cell r="AS86">
            <v>0</v>
          </cell>
          <cell r="AT86">
            <v>150</v>
          </cell>
          <cell r="AU86">
            <v>0</v>
          </cell>
          <cell r="AV86">
            <v>0</v>
          </cell>
          <cell r="AW86">
            <v>195</v>
          </cell>
          <cell r="AX86">
            <v>0</v>
          </cell>
          <cell r="AY86">
            <v>0</v>
          </cell>
          <cell r="AZ86">
            <v>15</v>
          </cell>
          <cell r="BA86">
            <v>0</v>
          </cell>
          <cell r="BB86">
            <v>0</v>
          </cell>
          <cell r="BC86">
            <v>75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7762.5</v>
          </cell>
        </row>
        <row r="87">
          <cell r="C87">
            <v>12939</v>
          </cell>
          <cell r="D87" t="str">
            <v>De Torres, Jonalyn Carino</v>
          </cell>
          <cell r="E87">
            <v>80</v>
          </cell>
          <cell r="F87">
            <v>10</v>
          </cell>
          <cell r="G87">
            <v>600</v>
          </cell>
          <cell r="H87">
            <v>6000</v>
          </cell>
          <cell r="I87">
            <v>0</v>
          </cell>
          <cell r="J87">
            <v>1.25</v>
          </cell>
          <cell r="K87">
            <v>0</v>
          </cell>
          <cell r="L87">
            <v>18</v>
          </cell>
          <cell r="M87">
            <v>93.75</v>
          </cell>
          <cell r="N87">
            <v>1687.5</v>
          </cell>
          <cell r="O87">
            <v>32</v>
          </cell>
          <cell r="P87">
            <v>7.5</v>
          </cell>
          <cell r="Q87">
            <v>240</v>
          </cell>
          <cell r="R87">
            <v>0</v>
          </cell>
          <cell r="S87">
            <v>97.5</v>
          </cell>
          <cell r="T87">
            <v>0</v>
          </cell>
          <cell r="U87">
            <v>0</v>
          </cell>
          <cell r="V87">
            <v>126.75</v>
          </cell>
          <cell r="W87">
            <v>0</v>
          </cell>
          <cell r="X87">
            <v>0</v>
          </cell>
          <cell r="Y87">
            <v>9.75</v>
          </cell>
          <cell r="Z87">
            <v>0</v>
          </cell>
          <cell r="AA87">
            <v>0</v>
          </cell>
          <cell r="AB87">
            <v>112.5</v>
          </cell>
          <cell r="AC87">
            <v>0</v>
          </cell>
          <cell r="AD87">
            <v>0</v>
          </cell>
          <cell r="AE87">
            <v>146.25</v>
          </cell>
          <cell r="AF87">
            <v>0</v>
          </cell>
          <cell r="AG87">
            <v>0</v>
          </cell>
          <cell r="AH87">
            <v>11.25</v>
          </cell>
          <cell r="AI87">
            <v>0</v>
          </cell>
          <cell r="AJ87">
            <v>0</v>
          </cell>
          <cell r="AK87">
            <v>97.5</v>
          </cell>
          <cell r="AL87">
            <v>0</v>
          </cell>
          <cell r="AM87">
            <v>0</v>
          </cell>
          <cell r="AN87">
            <v>126.75</v>
          </cell>
          <cell r="AO87">
            <v>0</v>
          </cell>
          <cell r="AP87">
            <v>0</v>
          </cell>
          <cell r="AQ87">
            <v>9.75</v>
          </cell>
          <cell r="AR87">
            <v>0</v>
          </cell>
          <cell r="AS87">
            <v>0</v>
          </cell>
          <cell r="AT87">
            <v>150</v>
          </cell>
          <cell r="AU87">
            <v>0</v>
          </cell>
          <cell r="AV87">
            <v>0</v>
          </cell>
          <cell r="AW87">
            <v>195</v>
          </cell>
          <cell r="AX87">
            <v>0</v>
          </cell>
          <cell r="AY87">
            <v>0</v>
          </cell>
          <cell r="AZ87">
            <v>15</v>
          </cell>
          <cell r="BA87">
            <v>0</v>
          </cell>
          <cell r="BB87">
            <v>0</v>
          </cell>
          <cell r="BC87">
            <v>75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7927.5</v>
          </cell>
        </row>
        <row r="88">
          <cell r="C88">
            <v>12940</v>
          </cell>
          <cell r="D88" t="str">
            <v>De Torres, Joross Carino</v>
          </cell>
          <cell r="E88">
            <v>88</v>
          </cell>
          <cell r="F88">
            <v>11</v>
          </cell>
          <cell r="G88">
            <v>600</v>
          </cell>
          <cell r="H88">
            <v>6600</v>
          </cell>
          <cell r="I88">
            <v>0</v>
          </cell>
          <cell r="J88">
            <v>1.25</v>
          </cell>
          <cell r="K88">
            <v>0</v>
          </cell>
          <cell r="L88">
            <v>20</v>
          </cell>
          <cell r="M88">
            <v>93.75</v>
          </cell>
          <cell r="N88">
            <v>1875</v>
          </cell>
          <cell r="O88">
            <v>86</v>
          </cell>
          <cell r="P88">
            <v>7.5</v>
          </cell>
          <cell r="Q88">
            <v>645</v>
          </cell>
          <cell r="R88">
            <v>0</v>
          </cell>
          <cell r="S88">
            <v>97.5</v>
          </cell>
          <cell r="T88">
            <v>0</v>
          </cell>
          <cell r="U88">
            <v>0</v>
          </cell>
          <cell r="V88">
            <v>126.75</v>
          </cell>
          <cell r="W88">
            <v>0</v>
          </cell>
          <cell r="X88">
            <v>0</v>
          </cell>
          <cell r="Y88">
            <v>9.75</v>
          </cell>
          <cell r="Z88">
            <v>0</v>
          </cell>
          <cell r="AA88">
            <v>0</v>
          </cell>
          <cell r="AB88">
            <v>112.5</v>
          </cell>
          <cell r="AC88">
            <v>0</v>
          </cell>
          <cell r="AD88">
            <v>0</v>
          </cell>
          <cell r="AE88">
            <v>146.25</v>
          </cell>
          <cell r="AF88">
            <v>0</v>
          </cell>
          <cell r="AG88">
            <v>0</v>
          </cell>
          <cell r="AH88">
            <v>11.25</v>
          </cell>
          <cell r="AI88">
            <v>0</v>
          </cell>
          <cell r="AJ88">
            <v>0</v>
          </cell>
          <cell r="AK88">
            <v>97.5</v>
          </cell>
          <cell r="AL88">
            <v>0</v>
          </cell>
          <cell r="AM88">
            <v>0</v>
          </cell>
          <cell r="AN88">
            <v>126.75</v>
          </cell>
          <cell r="AO88">
            <v>0</v>
          </cell>
          <cell r="AP88">
            <v>0</v>
          </cell>
          <cell r="AQ88">
            <v>9.75</v>
          </cell>
          <cell r="AR88">
            <v>0</v>
          </cell>
          <cell r="AS88">
            <v>0</v>
          </cell>
          <cell r="AT88">
            <v>150</v>
          </cell>
          <cell r="AU88">
            <v>0</v>
          </cell>
          <cell r="AV88">
            <v>0</v>
          </cell>
          <cell r="AW88">
            <v>195</v>
          </cell>
          <cell r="AX88">
            <v>0</v>
          </cell>
          <cell r="AY88">
            <v>0</v>
          </cell>
          <cell r="AZ88">
            <v>15</v>
          </cell>
          <cell r="BA88">
            <v>0</v>
          </cell>
          <cell r="BB88">
            <v>0</v>
          </cell>
          <cell r="BC88">
            <v>75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9120</v>
          </cell>
        </row>
        <row r="89">
          <cell r="C89">
            <v>6520</v>
          </cell>
          <cell r="D89" t="str">
            <v>Dela Peña, Angel Maris Abellada</v>
          </cell>
          <cell r="E89">
            <v>88</v>
          </cell>
          <cell r="F89">
            <v>11</v>
          </cell>
          <cell r="G89">
            <v>600</v>
          </cell>
          <cell r="H89">
            <v>6600</v>
          </cell>
          <cell r="I89">
            <v>0</v>
          </cell>
          <cell r="J89">
            <v>1.25</v>
          </cell>
          <cell r="K89">
            <v>0</v>
          </cell>
          <cell r="L89">
            <v>20</v>
          </cell>
          <cell r="M89">
            <v>93.75</v>
          </cell>
          <cell r="N89">
            <v>1875</v>
          </cell>
          <cell r="O89">
            <v>54</v>
          </cell>
          <cell r="P89">
            <v>7.5</v>
          </cell>
          <cell r="Q89">
            <v>405</v>
          </cell>
          <cell r="R89">
            <v>0</v>
          </cell>
          <cell r="S89">
            <v>97.5</v>
          </cell>
          <cell r="T89">
            <v>0</v>
          </cell>
          <cell r="U89">
            <v>0</v>
          </cell>
          <cell r="V89">
            <v>126.75</v>
          </cell>
          <cell r="W89">
            <v>0</v>
          </cell>
          <cell r="X89">
            <v>0</v>
          </cell>
          <cell r="Y89">
            <v>9.75</v>
          </cell>
          <cell r="Z89">
            <v>0</v>
          </cell>
          <cell r="AA89">
            <v>0</v>
          </cell>
          <cell r="AB89">
            <v>112.5</v>
          </cell>
          <cell r="AC89">
            <v>0</v>
          </cell>
          <cell r="AD89">
            <v>0</v>
          </cell>
          <cell r="AE89">
            <v>146.25</v>
          </cell>
          <cell r="AF89">
            <v>0</v>
          </cell>
          <cell r="AG89">
            <v>0</v>
          </cell>
          <cell r="AH89">
            <v>11.25</v>
          </cell>
          <cell r="AI89">
            <v>0</v>
          </cell>
          <cell r="AJ89">
            <v>8</v>
          </cell>
          <cell r="AK89">
            <v>97.5</v>
          </cell>
          <cell r="AL89">
            <v>780</v>
          </cell>
          <cell r="AM89">
            <v>0</v>
          </cell>
          <cell r="AN89">
            <v>126.75</v>
          </cell>
          <cell r="AO89">
            <v>0</v>
          </cell>
          <cell r="AP89">
            <v>0</v>
          </cell>
          <cell r="AQ89">
            <v>9.75</v>
          </cell>
          <cell r="AR89">
            <v>0</v>
          </cell>
          <cell r="AS89">
            <v>0</v>
          </cell>
          <cell r="AT89">
            <v>150</v>
          </cell>
          <cell r="AU89">
            <v>0</v>
          </cell>
          <cell r="AV89">
            <v>0</v>
          </cell>
          <cell r="AW89">
            <v>195</v>
          </cell>
          <cell r="AX89">
            <v>0</v>
          </cell>
          <cell r="AY89">
            <v>0</v>
          </cell>
          <cell r="AZ89">
            <v>15</v>
          </cell>
          <cell r="BA89">
            <v>0</v>
          </cell>
          <cell r="BB89">
            <v>0</v>
          </cell>
          <cell r="BC89">
            <v>75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9660</v>
          </cell>
        </row>
        <row r="90">
          <cell r="C90">
            <v>12950</v>
          </cell>
          <cell r="D90" t="str">
            <v>Dela Torre, Jhomar Manalo</v>
          </cell>
          <cell r="E90">
            <v>72</v>
          </cell>
          <cell r="F90">
            <v>9</v>
          </cell>
          <cell r="G90">
            <v>600</v>
          </cell>
          <cell r="H90">
            <v>5400</v>
          </cell>
          <cell r="I90">
            <v>21</v>
          </cell>
          <cell r="J90">
            <v>1.25</v>
          </cell>
          <cell r="K90">
            <v>-26.25</v>
          </cell>
          <cell r="L90">
            <v>16</v>
          </cell>
          <cell r="M90">
            <v>93.75</v>
          </cell>
          <cell r="N90">
            <v>1500</v>
          </cell>
          <cell r="O90">
            <v>0</v>
          </cell>
          <cell r="P90">
            <v>7.5</v>
          </cell>
          <cell r="Q90">
            <v>0</v>
          </cell>
          <cell r="R90">
            <v>8</v>
          </cell>
          <cell r="S90">
            <v>97.5</v>
          </cell>
          <cell r="T90">
            <v>780</v>
          </cell>
          <cell r="U90">
            <v>1</v>
          </cell>
          <cell r="V90">
            <v>126.75</v>
          </cell>
          <cell r="W90">
            <v>126.75</v>
          </cell>
          <cell r="X90">
            <v>0</v>
          </cell>
          <cell r="Y90">
            <v>9.75</v>
          </cell>
          <cell r="Z90">
            <v>0</v>
          </cell>
          <cell r="AA90">
            <v>0</v>
          </cell>
          <cell r="AB90">
            <v>112.5</v>
          </cell>
          <cell r="AC90">
            <v>0</v>
          </cell>
          <cell r="AD90">
            <v>0</v>
          </cell>
          <cell r="AE90">
            <v>146.25</v>
          </cell>
          <cell r="AF90">
            <v>0</v>
          </cell>
          <cell r="AG90">
            <v>0</v>
          </cell>
          <cell r="AH90">
            <v>11.25</v>
          </cell>
          <cell r="AI90">
            <v>0</v>
          </cell>
          <cell r="AJ90">
            <v>0</v>
          </cell>
          <cell r="AK90">
            <v>97.5</v>
          </cell>
          <cell r="AL90">
            <v>0</v>
          </cell>
          <cell r="AM90">
            <v>0</v>
          </cell>
          <cell r="AN90">
            <v>126.75</v>
          </cell>
          <cell r="AO90">
            <v>0</v>
          </cell>
          <cell r="AP90">
            <v>0</v>
          </cell>
          <cell r="AQ90">
            <v>9.75</v>
          </cell>
          <cell r="AR90">
            <v>0</v>
          </cell>
          <cell r="AS90">
            <v>0</v>
          </cell>
          <cell r="AT90">
            <v>150</v>
          </cell>
          <cell r="AU90">
            <v>0</v>
          </cell>
          <cell r="AV90">
            <v>0</v>
          </cell>
          <cell r="AW90">
            <v>195</v>
          </cell>
          <cell r="AX90">
            <v>0</v>
          </cell>
          <cell r="AY90">
            <v>0</v>
          </cell>
          <cell r="AZ90">
            <v>15</v>
          </cell>
          <cell r="BA90">
            <v>0</v>
          </cell>
          <cell r="BB90">
            <v>0</v>
          </cell>
          <cell r="BC90">
            <v>75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7780.5</v>
          </cell>
        </row>
        <row r="91">
          <cell r="C91">
            <v>12951</v>
          </cell>
          <cell r="D91" t="str">
            <v>Delen, Juvelyn De Torres</v>
          </cell>
          <cell r="E91">
            <v>88</v>
          </cell>
          <cell r="F91">
            <v>11</v>
          </cell>
          <cell r="G91">
            <v>600</v>
          </cell>
          <cell r="H91">
            <v>6600</v>
          </cell>
          <cell r="I91">
            <v>0</v>
          </cell>
          <cell r="J91">
            <v>1.25</v>
          </cell>
          <cell r="K91">
            <v>0</v>
          </cell>
          <cell r="L91">
            <v>20</v>
          </cell>
          <cell r="M91">
            <v>93.75</v>
          </cell>
          <cell r="N91">
            <v>1875</v>
          </cell>
          <cell r="O91">
            <v>54</v>
          </cell>
          <cell r="P91">
            <v>7.5</v>
          </cell>
          <cell r="Q91">
            <v>405</v>
          </cell>
          <cell r="R91">
            <v>0</v>
          </cell>
          <cell r="S91">
            <v>97.5</v>
          </cell>
          <cell r="T91">
            <v>0</v>
          </cell>
          <cell r="U91">
            <v>0</v>
          </cell>
          <cell r="V91">
            <v>126.75</v>
          </cell>
          <cell r="W91">
            <v>0</v>
          </cell>
          <cell r="X91">
            <v>0</v>
          </cell>
          <cell r="Y91">
            <v>9.75</v>
          </cell>
          <cell r="Z91">
            <v>0</v>
          </cell>
          <cell r="AA91">
            <v>0</v>
          </cell>
          <cell r="AB91">
            <v>112.5</v>
          </cell>
          <cell r="AC91">
            <v>0</v>
          </cell>
          <cell r="AD91">
            <v>0</v>
          </cell>
          <cell r="AE91">
            <v>146.25</v>
          </cell>
          <cell r="AF91">
            <v>0</v>
          </cell>
          <cell r="AG91">
            <v>0</v>
          </cell>
          <cell r="AH91">
            <v>11.25</v>
          </cell>
          <cell r="AI91">
            <v>0</v>
          </cell>
          <cell r="AJ91">
            <v>8</v>
          </cell>
          <cell r="AK91">
            <v>97.5</v>
          </cell>
          <cell r="AL91">
            <v>780</v>
          </cell>
          <cell r="AM91">
            <v>0</v>
          </cell>
          <cell r="AN91">
            <v>126.75</v>
          </cell>
          <cell r="AO91">
            <v>0</v>
          </cell>
          <cell r="AP91">
            <v>0</v>
          </cell>
          <cell r="AQ91">
            <v>9.75</v>
          </cell>
          <cell r="AR91">
            <v>0</v>
          </cell>
          <cell r="AS91">
            <v>0</v>
          </cell>
          <cell r="AT91">
            <v>150</v>
          </cell>
          <cell r="AU91">
            <v>0</v>
          </cell>
          <cell r="AV91">
            <v>0</v>
          </cell>
          <cell r="AW91">
            <v>195</v>
          </cell>
          <cell r="AX91">
            <v>0</v>
          </cell>
          <cell r="AY91">
            <v>0</v>
          </cell>
          <cell r="AZ91">
            <v>15</v>
          </cell>
          <cell r="BA91">
            <v>0</v>
          </cell>
          <cell r="BB91">
            <v>0</v>
          </cell>
          <cell r="BC91">
            <v>75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9660</v>
          </cell>
        </row>
        <row r="92">
          <cell r="C92">
            <v>12953</v>
          </cell>
          <cell r="D92" t="str">
            <v>Delgado, Romuel Magbiray</v>
          </cell>
          <cell r="E92">
            <v>88</v>
          </cell>
          <cell r="F92">
            <v>11</v>
          </cell>
          <cell r="G92">
            <v>600</v>
          </cell>
          <cell r="H92">
            <v>6600</v>
          </cell>
          <cell r="I92">
            <v>0</v>
          </cell>
          <cell r="J92">
            <v>1.25</v>
          </cell>
          <cell r="K92">
            <v>0</v>
          </cell>
          <cell r="L92">
            <v>18</v>
          </cell>
          <cell r="M92">
            <v>93.75</v>
          </cell>
          <cell r="N92">
            <v>1687.5</v>
          </cell>
          <cell r="O92">
            <v>84</v>
          </cell>
          <cell r="P92">
            <v>7.5</v>
          </cell>
          <cell r="Q92">
            <v>630</v>
          </cell>
          <cell r="R92">
            <v>8</v>
          </cell>
          <cell r="S92">
            <v>97.5</v>
          </cell>
          <cell r="T92">
            <v>780</v>
          </cell>
          <cell r="U92">
            <v>0</v>
          </cell>
          <cell r="V92">
            <v>126.75</v>
          </cell>
          <cell r="W92">
            <v>0</v>
          </cell>
          <cell r="X92">
            <v>0</v>
          </cell>
          <cell r="Y92">
            <v>9.75</v>
          </cell>
          <cell r="Z92">
            <v>0</v>
          </cell>
          <cell r="AA92">
            <v>0</v>
          </cell>
          <cell r="AB92">
            <v>112.5</v>
          </cell>
          <cell r="AC92">
            <v>0</v>
          </cell>
          <cell r="AD92">
            <v>0</v>
          </cell>
          <cell r="AE92">
            <v>146.25</v>
          </cell>
          <cell r="AF92">
            <v>0</v>
          </cell>
          <cell r="AG92">
            <v>0</v>
          </cell>
          <cell r="AH92">
            <v>11.25</v>
          </cell>
          <cell r="AI92">
            <v>0</v>
          </cell>
          <cell r="AJ92">
            <v>0</v>
          </cell>
          <cell r="AK92">
            <v>97.5</v>
          </cell>
          <cell r="AL92">
            <v>0</v>
          </cell>
          <cell r="AM92">
            <v>0</v>
          </cell>
          <cell r="AN92">
            <v>126.75</v>
          </cell>
          <cell r="AO92">
            <v>0</v>
          </cell>
          <cell r="AP92">
            <v>0</v>
          </cell>
          <cell r="AQ92">
            <v>9.75</v>
          </cell>
          <cell r="AR92">
            <v>0</v>
          </cell>
          <cell r="AS92">
            <v>0</v>
          </cell>
          <cell r="AT92">
            <v>150</v>
          </cell>
          <cell r="AU92">
            <v>0</v>
          </cell>
          <cell r="AV92">
            <v>0</v>
          </cell>
          <cell r="AW92">
            <v>195</v>
          </cell>
          <cell r="AX92">
            <v>0</v>
          </cell>
          <cell r="AY92">
            <v>0</v>
          </cell>
          <cell r="AZ92">
            <v>15</v>
          </cell>
          <cell r="BA92">
            <v>0</v>
          </cell>
          <cell r="BB92">
            <v>0</v>
          </cell>
          <cell r="BC92">
            <v>75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9697.5</v>
          </cell>
        </row>
        <row r="93">
          <cell r="C93">
            <v>6364</v>
          </cell>
          <cell r="D93" t="str">
            <v>Delos Reyes, Julie Ann Rabino</v>
          </cell>
          <cell r="E93">
            <v>88</v>
          </cell>
          <cell r="F93">
            <v>11</v>
          </cell>
          <cell r="G93">
            <v>600</v>
          </cell>
          <cell r="H93">
            <v>6600</v>
          </cell>
          <cell r="I93">
            <v>0</v>
          </cell>
          <cell r="J93">
            <v>1.25</v>
          </cell>
          <cell r="K93">
            <v>0</v>
          </cell>
          <cell r="L93">
            <v>20</v>
          </cell>
          <cell r="M93">
            <v>93.75</v>
          </cell>
          <cell r="N93">
            <v>1875</v>
          </cell>
          <cell r="O93">
            <v>54</v>
          </cell>
          <cell r="P93">
            <v>7.5</v>
          </cell>
          <cell r="Q93">
            <v>405</v>
          </cell>
          <cell r="R93">
            <v>8</v>
          </cell>
          <cell r="S93">
            <v>97.5</v>
          </cell>
          <cell r="T93">
            <v>780</v>
          </cell>
          <cell r="U93">
            <v>0</v>
          </cell>
          <cell r="V93">
            <v>126.75</v>
          </cell>
          <cell r="W93">
            <v>0</v>
          </cell>
          <cell r="X93">
            <v>0</v>
          </cell>
          <cell r="Y93">
            <v>9.75</v>
          </cell>
          <cell r="Z93">
            <v>0</v>
          </cell>
          <cell r="AA93">
            <v>0</v>
          </cell>
          <cell r="AB93">
            <v>112.5</v>
          </cell>
          <cell r="AC93">
            <v>0</v>
          </cell>
          <cell r="AD93">
            <v>0</v>
          </cell>
          <cell r="AE93">
            <v>146.25</v>
          </cell>
          <cell r="AF93">
            <v>0</v>
          </cell>
          <cell r="AG93">
            <v>0</v>
          </cell>
          <cell r="AH93">
            <v>11.25</v>
          </cell>
          <cell r="AI93">
            <v>0</v>
          </cell>
          <cell r="AJ93">
            <v>0</v>
          </cell>
          <cell r="AK93">
            <v>97.5</v>
          </cell>
          <cell r="AL93">
            <v>0</v>
          </cell>
          <cell r="AM93">
            <v>0</v>
          </cell>
          <cell r="AN93">
            <v>126.75</v>
          </cell>
          <cell r="AO93">
            <v>0</v>
          </cell>
          <cell r="AP93">
            <v>0</v>
          </cell>
          <cell r="AQ93">
            <v>9.75</v>
          </cell>
          <cell r="AR93">
            <v>0</v>
          </cell>
          <cell r="AS93">
            <v>0</v>
          </cell>
          <cell r="AT93">
            <v>150</v>
          </cell>
          <cell r="AU93">
            <v>0</v>
          </cell>
          <cell r="AV93">
            <v>0</v>
          </cell>
          <cell r="AW93">
            <v>195</v>
          </cell>
          <cell r="AX93">
            <v>0</v>
          </cell>
          <cell r="AY93">
            <v>0</v>
          </cell>
          <cell r="AZ93">
            <v>15</v>
          </cell>
          <cell r="BA93">
            <v>0</v>
          </cell>
          <cell r="BB93">
            <v>0</v>
          </cell>
          <cell r="BC93">
            <v>75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9660</v>
          </cell>
        </row>
        <row r="94">
          <cell r="C94">
            <v>7797</v>
          </cell>
          <cell r="D94" t="str">
            <v>Delos Santos, Rockie Dela Cruz</v>
          </cell>
          <cell r="E94">
            <v>80</v>
          </cell>
          <cell r="F94">
            <v>10</v>
          </cell>
          <cell r="G94">
            <v>600</v>
          </cell>
          <cell r="H94">
            <v>6000</v>
          </cell>
          <cell r="I94">
            <v>1</v>
          </cell>
          <cell r="J94">
            <v>1.25</v>
          </cell>
          <cell r="K94">
            <v>-1.25</v>
          </cell>
          <cell r="L94">
            <v>17</v>
          </cell>
          <cell r="M94">
            <v>93.75</v>
          </cell>
          <cell r="N94">
            <v>1593.75</v>
          </cell>
          <cell r="O94">
            <v>31</v>
          </cell>
          <cell r="P94">
            <v>7.5</v>
          </cell>
          <cell r="Q94">
            <v>232.5</v>
          </cell>
          <cell r="R94">
            <v>0</v>
          </cell>
          <cell r="S94">
            <v>97.5</v>
          </cell>
          <cell r="T94">
            <v>0</v>
          </cell>
          <cell r="U94">
            <v>0</v>
          </cell>
          <cell r="V94">
            <v>126.75</v>
          </cell>
          <cell r="W94">
            <v>0</v>
          </cell>
          <cell r="X94">
            <v>0</v>
          </cell>
          <cell r="Y94">
            <v>9.75</v>
          </cell>
          <cell r="Z94">
            <v>0</v>
          </cell>
          <cell r="AA94">
            <v>0</v>
          </cell>
          <cell r="AB94">
            <v>112.5</v>
          </cell>
          <cell r="AC94">
            <v>0</v>
          </cell>
          <cell r="AD94">
            <v>0</v>
          </cell>
          <cell r="AE94">
            <v>146.25</v>
          </cell>
          <cell r="AF94">
            <v>0</v>
          </cell>
          <cell r="AG94">
            <v>0</v>
          </cell>
          <cell r="AH94">
            <v>11.25</v>
          </cell>
          <cell r="AI94">
            <v>0</v>
          </cell>
          <cell r="AJ94">
            <v>0</v>
          </cell>
          <cell r="AK94">
            <v>97.5</v>
          </cell>
          <cell r="AL94">
            <v>0</v>
          </cell>
          <cell r="AM94">
            <v>0</v>
          </cell>
          <cell r="AN94">
            <v>126.75</v>
          </cell>
          <cell r="AO94">
            <v>0</v>
          </cell>
          <cell r="AP94">
            <v>0</v>
          </cell>
          <cell r="AQ94">
            <v>9.75</v>
          </cell>
          <cell r="AR94">
            <v>0</v>
          </cell>
          <cell r="AS94">
            <v>0</v>
          </cell>
          <cell r="AT94">
            <v>150</v>
          </cell>
          <cell r="AU94">
            <v>0</v>
          </cell>
          <cell r="AV94">
            <v>0</v>
          </cell>
          <cell r="AW94">
            <v>195</v>
          </cell>
          <cell r="AX94">
            <v>0</v>
          </cell>
          <cell r="AY94">
            <v>0</v>
          </cell>
          <cell r="AZ94">
            <v>15</v>
          </cell>
          <cell r="BA94">
            <v>0</v>
          </cell>
          <cell r="BB94">
            <v>0</v>
          </cell>
          <cell r="BC94">
            <v>75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7825</v>
          </cell>
        </row>
        <row r="95">
          <cell r="C95">
            <v>14173</v>
          </cell>
          <cell r="D95" t="str">
            <v>Desuyo, Deither Ababan</v>
          </cell>
          <cell r="E95">
            <v>64</v>
          </cell>
          <cell r="F95">
            <v>8</v>
          </cell>
          <cell r="G95">
            <v>600</v>
          </cell>
          <cell r="H95">
            <v>4800</v>
          </cell>
          <cell r="I95">
            <v>0</v>
          </cell>
          <cell r="J95">
            <v>1.25</v>
          </cell>
          <cell r="K95">
            <v>0</v>
          </cell>
          <cell r="L95">
            <v>14</v>
          </cell>
          <cell r="M95">
            <v>93.75</v>
          </cell>
          <cell r="N95">
            <v>1312.5</v>
          </cell>
          <cell r="O95">
            <v>46</v>
          </cell>
          <cell r="P95">
            <v>7.5</v>
          </cell>
          <cell r="Q95">
            <v>345</v>
          </cell>
          <cell r="R95">
            <v>8</v>
          </cell>
          <cell r="S95">
            <v>97.5</v>
          </cell>
          <cell r="T95">
            <v>780</v>
          </cell>
          <cell r="U95">
            <v>0</v>
          </cell>
          <cell r="V95">
            <v>126.75</v>
          </cell>
          <cell r="W95">
            <v>0</v>
          </cell>
          <cell r="X95">
            <v>0</v>
          </cell>
          <cell r="Y95">
            <v>9.75</v>
          </cell>
          <cell r="Z95">
            <v>0</v>
          </cell>
          <cell r="AA95">
            <v>0</v>
          </cell>
          <cell r="AB95">
            <v>112.5</v>
          </cell>
          <cell r="AC95">
            <v>0</v>
          </cell>
          <cell r="AD95">
            <v>0</v>
          </cell>
          <cell r="AE95">
            <v>146.25</v>
          </cell>
          <cell r="AF95">
            <v>0</v>
          </cell>
          <cell r="AG95">
            <v>0</v>
          </cell>
          <cell r="AH95">
            <v>11.25</v>
          </cell>
          <cell r="AI95">
            <v>0</v>
          </cell>
          <cell r="AJ95">
            <v>8</v>
          </cell>
          <cell r="AK95">
            <v>97.5</v>
          </cell>
          <cell r="AL95">
            <v>780</v>
          </cell>
          <cell r="AM95">
            <v>0</v>
          </cell>
          <cell r="AN95">
            <v>126.75</v>
          </cell>
          <cell r="AO95">
            <v>0</v>
          </cell>
          <cell r="AP95">
            <v>0</v>
          </cell>
          <cell r="AQ95">
            <v>9.75</v>
          </cell>
          <cell r="AR95">
            <v>0</v>
          </cell>
          <cell r="AS95">
            <v>0</v>
          </cell>
          <cell r="AT95">
            <v>150</v>
          </cell>
          <cell r="AU95">
            <v>0</v>
          </cell>
          <cell r="AV95">
            <v>0</v>
          </cell>
          <cell r="AW95">
            <v>195</v>
          </cell>
          <cell r="AX95">
            <v>0</v>
          </cell>
          <cell r="AY95">
            <v>0</v>
          </cell>
          <cell r="AZ95">
            <v>15</v>
          </cell>
          <cell r="BA95">
            <v>0</v>
          </cell>
          <cell r="BB95">
            <v>0</v>
          </cell>
          <cell r="BC95">
            <v>75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8017.5</v>
          </cell>
        </row>
        <row r="96">
          <cell r="C96">
            <v>12958</v>
          </cell>
          <cell r="D96" t="str">
            <v>Diaz, RenatoJr. Cana</v>
          </cell>
          <cell r="E96">
            <v>80</v>
          </cell>
          <cell r="F96">
            <v>10</v>
          </cell>
          <cell r="G96">
            <v>600</v>
          </cell>
          <cell r="H96">
            <v>6000</v>
          </cell>
          <cell r="I96">
            <v>0</v>
          </cell>
          <cell r="J96">
            <v>1.25</v>
          </cell>
          <cell r="K96">
            <v>0</v>
          </cell>
          <cell r="L96">
            <v>18</v>
          </cell>
          <cell r="M96">
            <v>93.75</v>
          </cell>
          <cell r="N96">
            <v>1687.5</v>
          </cell>
          <cell r="O96">
            <v>32</v>
          </cell>
          <cell r="P96">
            <v>7.5</v>
          </cell>
          <cell r="Q96">
            <v>240</v>
          </cell>
          <cell r="R96">
            <v>0</v>
          </cell>
          <cell r="S96">
            <v>97.5</v>
          </cell>
          <cell r="T96">
            <v>0</v>
          </cell>
          <cell r="U96">
            <v>0</v>
          </cell>
          <cell r="V96">
            <v>126.75</v>
          </cell>
          <cell r="W96">
            <v>0</v>
          </cell>
          <cell r="X96">
            <v>0</v>
          </cell>
          <cell r="Y96">
            <v>9.75</v>
          </cell>
          <cell r="Z96">
            <v>0</v>
          </cell>
          <cell r="AA96">
            <v>0</v>
          </cell>
          <cell r="AB96">
            <v>112.5</v>
          </cell>
          <cell r="AC96">
            <v>0</v>
          </cell>
          <cell r="AD96">
            <v>0</v>
          </cell>
          <cell r="AE96">
            <v>146.25</v>
          </cell>
          <cell r="AF96">
            <v>0</v>
          </cell>
          <cell r="AG96">
            <v>0</v>
          </cell>
          <cell r="AH96">
            <v>11.25</v>
          </cell>
          <cell r="AI96">
            <v>0</v>
          </cell>
          <cell r="AJ96">
            <v>0</v>
          </cell>
          <cell r="AK96">
            <v>97.5</v>
          </cell>
          <cell r="AL96">
            <v>0</v>
          </cell>
          <cell r="AM96">
            <v>0</v>
          </cell>
          <cell r="AN96">
            <v>126.75</v>
          </cell>
          <cell r="AO96">
            <v>0</v>
          </cell>
          <cell r="AP96">
            <v>0</v>
          </cell>
          <cell r="AQ96">
            <v>9.75</v>
          </cell>
          <cell r="AR96">
            <v>0</v>
          </cell>
          <cell r="AS96">
            <v>0</v>
          </cell>
          <cell r="AT96">
            <v>150</v>
          </cell>
          <cell r="AU96">
            <v>0</v>
          </cell>
          <cell r="AV96">
            <v>0</v>
          </cell>
          <cell r="AW96">
            <v>195</v>
          </cell>
          <cell r="AX96">
            <v>0</v>
          </cell>
          <cell r="AY96">
            <v>0</v>
          </cell>
          <cell r="AZ96">
            <v>15</v>
          </cell>
          <cell r="BA96">
            <v>0</v>
          </cell>
          <cell r="BB96">
            <v>0</v>
          </cell>
          <cell r="BC96">
            <v>75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7927.5</v>
          </cell>
        </row>
        <row r="97">
          <cell r="C97">
            <v>12057</v>
          </cell>
          <cell r="D97" t="str">
            <v>Dimailig, Jan Mark Noche</v>
          </cell>
          <cell r="E97">
            <v>80</v>
          </cell>
          <cell r="F97">
            <v>10</v>
          </cell>
          <cell r="G97">
            <v>600</v>
          </cell>
          <cell r="H97">
            <v>6000</v>
          </cell>
          <cell r="I97">
            <v>0</v>
          </cell>
          <cell r="J97">
            <v>1.25</v>
          </cell>
          <cell r="K97">
            <v>0</v>
          </cell>
          <cell r="L97">
            <v>16</v>
          </cell>
          <cell r="M97">
            <v>93.75</v>
          </cell>
          <cell r="N97">
            <v>1500</v>
          </cell>
          <cell r="O97">
            <v>30</v>
          </cell>
          <cell r="P97">
            <v>7.5</v>
          </cell>
          <cell r="Q97">
            <v>225</v>
          </cell>
          <cell r="R97">
            <v>0</v>
          </cell>
          <cell r="S97">
            <v>97.5</v>
          </cell>
          <cell r="T97">
            <v>0</v>
          </cell>
          <cell r="U97">
            <v>0</v>
          </cell>
          <cell r="V97">
            <v>126.75</v>
          </cell>
          <cell r="W97">
            <v>0</v>
          </cell>
          <cell r="X97">
            <v>0</v>
          </cell>
          <cell r="Y97">
            <v>9.75</v>
          </cell>
          <cell r="Z97">
            <v>0</v>
          </cell>
          <cell r="AA97">
            <v>0</v>
          </cell>
          <cell r="AB97">
            <v>112.5</v>
          </cell>
          <cell r="AC97">
            <v>0</v>
          </cell>
          <cell r="AD97">
            <v>0</v>
          </cell>
          <cell r="AE97">
            <v>146.25</v>
          </cell>
          <cell r="AF97">
            <v>0</v>
          </cell>
          <cell r="AG97">
            <v>0</v>
          </cell>
          <cell r="AH97">
            <v>11.25</v>
          </cell>
          <cell r="AI97">
            <v>0</v>
          </cell>
          <cell r="AJ97">
            <v>0</v>
          </cell>
          <cell r="AK97">
            <v>97.5</v>
          </cell>
          <cell r="AL97">
            <v>0</v>
          </cell>
          <cell r="AM97">
            <v>0</v>
          </cell>
          <cell r="AN97">
            <v>126.75</v>
          </cell>
          <cell r="AO97">
            <v>0</v>
          </cell>
          <cell r="AP97">
            <v>0</v>
          </cell>
          <cell r="AQ97">
            <v>9.75</v>
          </cell>
          <cell r="AR97">
            <v>0</v>
          </cell>
          <cell r="AS97">
            <v>0</v>
          </cell>
          <cell r="AT97">
            <v>150</v>
          </cell>
          <cell r="AU97">
            <v>0</v>
          </cell>
          <cell r="AV97">
            <v>0</v>
          </cell>
          <cell r="AW97">
            <v>195</v>
          </cell>
          <cell r="AX97">
            <v>0</v>
          </cell>
          <cell r="AY97">
            <v>0</v>
          </cell>
          <cell r="AZ97">
            <v>15</v>
          </cell>
          <cell r="BA97">
            <v>0</v>
          </cell>
          <cell r="BB97">
            <v>0</v>
          </cell>
          <cell r="BC97">
            <v>75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8</v>
          </cell>
          <cell r="BN97">
            <v>780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8505</v>
          </cell>
        </row>
        <row r="98">
          <cell r="C98">
            <v>12963</v>
          </cell>
          <cell r="D98" t="str">
            <v>Dimasupil, Brendalyn Villaluz</v>
          </cell>
          <cell r="E98">
            <v>72</v>
          </cell>
          <cell r="F98">
            <v>9</v>
          </cell>
          <cell r="G98">
            <v>600</v>
          </cell>
          <cell r="H98">
            <v>5400</v>
          </cell>
          <cell r="I98">
            <v>0</v>
          </cell>
          <cell r="J98">
            <v>1.25</v>
          </cell>
          <cell r="K98">
            <v>0</v>
          </cell>
          <cell r="L98">
            <v>19</v>
          </cell>
          <cell r="M98">
            <v>93.75</v>
          </cell>
          <cell r="N98">
            <v>1781.25</v>
          </cell>
          <cell r="O98">
            <v>24</v>
          </cell>
          <cell r="P98">
            <v>7.5</v>
          </cell>
          <cell r="Q98">
            <v>180</v>
          </cell>
          <cell r="R98">
            <v>0</v>
          </cell>
          <cell r="S98">
            <v>97.5</v>
          </cell>
          <cell r="T98">
            <v>0</v>
          </cell>
          <cell r="U98">
            <v>0</v>
          </cell>
          <cell r="V98">
            <v>126.75</v>
          </cell>
          <cell r="W98">
            <v>0</v>
          </cell>
          <cell r="X98">
            <v>0</v>
          </cell>
          <cell r="Y98">
            <v>9.75</v>
          </cell>
          <cell r="Z98">
            <v>0</v>
          </cell>
          <cell r="AA98">
            <v>0</v>
          </cell>
          <cell r="AB98">
            <v>112.5</v>
          </cell>
          <cell r="AC98">
            <v>0</v>
          </cell>
          <cell r="AD98">
            <v>0</v>
          </cell>
          <cell r="AE98">
            <v>146.25</v>
          </cell>
          <cell r="AF98">
            <v>0</v>
          </cell>
          <cell r="AG98">
            <v>0</v>
          </cell>
          <cell r="AH98">
            <v>11.25</v>
          </cell>
          <cell r="AI98">
            <v>0</v>
          </cell>
          <cell r="AJ98">
            <v>0</v>
          </cell>
          <cell r="AK98">
            <v>97.5</v>
          </cell>
          <cell r="AL98">
            <v>0</v>
          </cell>
          <cell r="AM98">
            <v>0</v>
          </cell>
          <cell r="AN98">
            <v>126.75</v>
          </cell>
          <cell r="AO98">
            <v>0</v>
          </cell>
          <cell r="AP98">
            <v>0</v>
          </cell>
          <cell r="AQ98">
            <v>9.75</v>
          </cell>
          <cell r="AR98">
            <v>0</v>
          </cell>
          <cell r="AS98">
            <v>0</v>
          </cell>
          <cell r="AT98">
            <v>150</v>
          </cell>
          <cell r="AU98">
            <v>0</v>
          </cell>
          <cell r="AV98">
            <v>0</v>
          </cell>
          <cell r="AW98">
            <v>195</v>
          </cell>
          <cell r="AX98">
            <v>0</v>
          </cell>
          <cell r="AY98">
            <v>0</v>
          </cell>
          <cell r="AZ98">
            <v>15</v>
          </cell>
          <cell r="BA98">
            <v>0</v>
          </cell>
          <cell r="BB98">
            <v>0</v>
          </cell>
          <cell r="BC98">
            <v>75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7361.25</v>
          </cell>
        </row>
        <row r="99">
          <cell r="C99">
            <v>12964</v>
          </cell>
          <cell r="D99" t="str">
            <v>Dimaunahan, Danica Montallana</v>
          </cell>
          <cell r="E99">
            <v>72</v>
          </cell>
          <cell r="F99">
            <v>9</v>
          </cell>
          <cell r="G99">
            <v>600</v>
          </cell>
          <cell r="H99">
            <v>5400</v>
          </cell>
          <cell r="I99">
            <v>0</v>
          </cell>
          <cell r="J99">
            <v>1.25</v>
          </cell>
          <cell r="K99">
            <v>0</v>
          </cell>
          <cell r="L99">
            <v>15</v>
          </cell>
          <cell r="M99">
            <v>93.75</v>
          </cell>
          <cell r="N99">
            <v>1406.25</v>
          </cell>
          <cell r="O99">
            <v>0</v>
          </cell>
          <cell r="P99">
            <v>7.5</v>
          </cell>
          <cell r="Q99">
            <v>0</v>
          </cell>
          <cell r="R99">
            <v>0</v>
          </cell>
          <cell r="S99">
            <v>97.5</v>
          </cell>
          <cell r="T99">
            <v>0</v>
          </cell>
          <cell r="U99">
            <v>0</v>
          </cell>
          <cell r="V99">
            <v>126.75</v>
          </cell>
          <cell r="W99">
            <v>0</v>
          </cell>
          <cell r="X99">
            <v>0</v>
          </cell>
          <cell r="Y99">
            <v>9.75</v>
          </cell>
          <cell r="Z99">
            <v>0</v>
          </cell>
          <cell r="AA99">
            <v>0</v>
          </cell>
          <cell r="AB99">
            <v>112.5</v>
          </cell>
          <cell r="AC99">
            <v>0</v>
          </cell>
          <cell r="AD99">
            <v>0</v>
          </cell>
          <cell r="AE99">
            <v>146.25</v>
          </cell>
          <cell r="AF99">
            <v>0</v>
          </cell>
          <cell r="AG99">
            <v>0</v>
          </cell>
          <cell r="AH99">
            <v>11.25</v>
          </cell>
          <cell r="AI99">
            <v>0</v>
          </cell>
          <cell r="AJ99">
            <v>8</v>
          </cell>
          <cell r="AK99">
            <v>97.5</v>
          </cell>
          <cell r="AL99">
            <v>780</v>
          </cell>
          <cell r="AM99">
            <v>0</v>
          </cell>
          <cell r="AN99">
            <v>126.75</v>
          </cell>
          <cell r="AO99">
            <v>0</v>
          </cell>
          <cell r="AP99">
            <v>0</v>
          </cell>
          <cell r="AQ99">
            <v>9.75</v>
          </cell>
          <cell r="AR99">
            <v>0</v>
          </cell>
          <cell r="AS99">
            <v>0</v>
          </cell>
          <cell r="AT99">
            <v>150</v>
          </cell>
          <cell r="AU99">
            <v>0</v>
          </cell>
          <cell r="AV99">
            <v>0</v>
          </cell>
          <cell r="AW99">
            <v>195</v>
          </cell>
          <cell r="AX99">
            <v>0</v>
          </cell>
          <cell r="AY99">
            <v>0</v>
          </cell>
          <cell r="AZ99">
            <v>15</v>
          </cell>
          <cell r="BA99">
            <v>0</v>
          </cell>
          <cell r="BB99">
            <v>0</v>
          </cell>
          <cell r="BC99">
            <v>75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7586.25</v>
          </cell>
        </row>
        <row r="100">
          <cell r="C100">
            <v>13229</v>
          </cell>
          <cell r="D100" t="str">
            <v>Eguia, Ma. Nicole N/A</v>
          </cell>
          <cell r="E100">
            <v>80</v>
          </cell>
          <cell r="F100">
            <v>10</v>
          </cell>
          <cell r="G100">
            <v>600</v>
          </cell>
          <cell r="H100">
            <v>6000</v>
          </cell>
          <cell r="I100">
            <v>0</v>
          </cell>
          <cell r="J100">
            <v>1.25</v>
          </cell>
          <cell r="K100">
            <v>0</v>
          </cell>
          <cell r="L100">
            <v>23</v>
          </cell>
          <cell r="M100">
            <v>93.75</v>
          </cell>
          <cell r="N100">
            <v>2156.25</v>
          </cell>
          <cell r="O100">
            <v>32</v>
          </cell>
          <cell r="P100">
            <v>7.5</v>
          </cell>
          <cell r="Q100">
            <v>240</v>
          </cell>
          <cell r="R100">
            <v>0</v>
          </cell>
          <cell r="S100">
            <v>97.5</v>
          </cell>
          <cell r="T100">
            <v>0</v>
          </cell>
          <cell r="U100">
            <v>0</v>
          </cell>
          <cell r="V100">
            <v>126.75</v>
          </cell>
          <cell r="W100">
            <v>0</v>
          </cell>
          <cell r="X100">
            <v>0</v>
          </cell>
          <cell r="Y100">
            <v>9.75</v>
          </cell>
          <cell r="Z100">
            <v>0</v>
          </cell>
          <cell r="AA100">
            <v>0</v>
          </cell>
          <cell r="AB100">
            <v>112.5</v>
          </cell>
          <cell r="AC100">
            <v>0</v>
          </cell>
          <cell r="AD100">
            <v>0</v>
          </cell>
          <cell r="AE100">
            <v>146.25</v>
          </cell>
          <cell r="AF100">
            <v>0</v>
          </cell>
          <cell r="AG100">
            <v>0</v>
          </cell>
          <cell r="AH100">
            <v>11.25</v>
          </cell>
          <cell r="AI100">
            <v>0</v>
          </cell>
          <cell r="AJ100">
            <v>0</v>
          </cell>
          <cell r="AK100">
            <v>97.5</v>
          </cell>
          <cell r="AL100">
            <v>0</v>
          </cell>
          <cell r="AM100">
            <v>0</v>
          </cell>
          <cell r="AN100">
            <v>126.75</v>
          </cell>
          <cell r="AO100">
            <v>0</v>
          </cell>
          <cell r="AP100">
            <v>0</v>
          </cell>
          <cell r="AQ100">
            <v>9.75</v>
          </cell>
          <cell r="AR100">
            <v>0</v>
          </cell>
          <cell r="AS100">
            <v>0</v>
          </cell>
          <cell r="AT100">
            <v>150</v>
          </cell>
          <cell r="AU100">
            <v>0</v>
          </cell>
          <cell r="AV100">
            <v>0</v>
          </cell>
          <cell r="AW100">
            <v>195</v>
          </cell>
          <cell r="AX100">
            <v>0</v>
          </cell>
          <cell r="AY100">
            <v>0</v>
          </cell>
          <cell r="AZ100">
            <v>15</v>
          </cell>
          <cell r="BA100">
            <v>0</v>
          </cell>
          <cell r="BB100">
            <v>0</v>
          </cell>
          <cell r="BC100">
            <v>75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8396.25</v>
          </cell>
        </row>
        <row r="101">
          <cell r="C101">
            <v>12131</v>
          </cell>
          <cell r="D101" t="str">
            <v>Elaurza, Rizaldy Guineta Jr.</v>
          </cell>
          <cell r="E101">
            <v>80</v>
          </cell>
          <cell r="F101">
            <v>10</v>
          </cell>
          <cell r="G101">
            <v>600</v>
          </cell>
          <cell r="H101">
            <v>6000</v>
          </cell>
          <cell r="I101">
            <v>0</v>
          </cell>
          <cell r="J101">
            <v>1.25</v>
          </cell>
          <cell r="K101">
            <v>0</v>
          </cell>
          <cell r="L101">
            <v>18</v>
          </cell>
          <cell r="M101">
            <v>93.75</v>
          </cell>
          <cell r="N101">
            <v>1687.5</v>
          </cell>
          <cell r="O101">
            <v>54</v>
          </cell>
          <cell r="P101">
            <v>7.5</v>
          </cell>
          <cell r="Q101">
            <v>405</v>
          </cell>
          <cell r="R101">
            <v>8</v>
          </cell>
          <cell r="S101">
            <v>97.5</v>
          </cell>
          <cell r="T101">
            <v>780</v>
          </cell>
          <cell r="U101">
            <v>0</v>
          </cell>
          <cell r="V101">
            <v>126.75</v>
          </cell>
          <cell r="W101">
            <v>0</v>
          </cell>
          <cell r="X101">
            <v>0</v>
          </cell>
          <cell r="Y101">
            <v>9.75</v>
          </cell>
          <cell r="Z101">
            <v>0</v>
          </cell>
          <cell r="AA101">
            <v>0</v>
          </cell>
          <cell r="AB101">
            <v>112.5</v>
          </cell>
          <cell r="AC101">
            <v>0</v>
          </cell>
          <cell r="AD101">
            <v>0</v>
          </cell>
          <cell r="AE101">
            <v>146.25</v>
          </cell>
          <cell r="AF101">
            <v>0</v>
          </cell>
          <cell r="AG101">
            <v>0</v>
          </cell>
          <cell r="AH101">
            <v>11.25</v>
          </cell>
          <cell r="AI101">
            <v>0</v>
          </cell>
          <cell r="AJ101">
            <v>8</v>
          </cell>
          <cell r="AK101">
            <v>97.5</v>
          </cell>
          <cell r="AL101">
            <v>780</v>
          </cell>
          <cell r="AM101">
            <v>0</v>
          </cell>
          <cell r="AN101">
            <v>126.75</v>
          </cell>
          <cell r="AO101">
            <v>0</v>
          </cell>
          <cell r="AP101">
            <v>0</v>
          </cell>
          <cell r="AQ101">
            <v>9.75</v>
          </cell>
          <cell r="AR101">
            <v>0</v>
          </cell>
          <cell r="AS101">
            <v>0</v>
          </cell>
          <cell r="AT101">
            <v>150</v>
          </cell>
          <cell r="AU101">
            <v>0</v>
          </cell>
          <cell r="AV101">
            <v>0</v>
          </cell>
          <cell r="AW101">
            <v>195</v>
          </cell>
          <cell r="AX101">
            <v>0</v>
          </cell>
          <cell r="AY101">
            <v>0</v>
          </cell>
          <cell r="AZ101">
            <v>15</v>
          </cell>
          <cell r="BA101">
            <v>0</v>
          </cell>
          <cell r="BB101">
            <v>0</v>
          </cell>
          <cell r="BC101">
            <v>75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9652.5</v>
          </cell>
        </row>
        <row r="102">
          <cell r="C102">
            <v>30726</v>
          </cell>
          <cell r="D102" t="str">
            <v>Emboy, Jover Perera Jr.</v>
          </cell>
          <cell r="E102">
            <v>38</v>
          </cell>
          <cell r="F102">
            <v>4.75</v>
          </cell>
          <cell r="G102">
            <v>600</v>
          </cell>
          <cell r="H102">
            <v>2850</v>
          </cell>
          <cell r="I102">
            <v>13</v>
          </cell>
          <cell r="J102">
            <v>1.25</v>
          </cell>
          <cell r="K102">
            <v>-16.25</v>
          </cell>
          <cell r="L102">
            <v>4</v>
          </cell>
          <cell r="M102">
            <v>93.75</v>
          </cell>
          <cell r="N102">
            <v>375</v>
          </cell>
          <cell r="O102">
            <v>0</v>
          </cell>
          <cell r="P102">
            <v>7.5</v>
          </cell>
          <cell r="Q102">
            <v>0</v>
          </cell>
          <cell r="R102">
            <v>0</v>
          </cell>
          <cell r="S102">
            <v>97.5</v>
          </cell>
          <cell r="T102">
            <v>0</v>
          </cell>
          <cell r="U102">
            <v>0</v>
          </cell>
          <cell r="V102">
            <v>126.75</v>
          </cell>
          <cell r="W102">
            <v>0</v>
          </cell>
          <cell r="X102">
            <v>0</v>
          </cell>
          <cell r="Y102">
            <v>9.75</v>
          </cell>
          <cell r="Z102">
            <v>0</v>
          </cell>
          <cell r="AA102">
            <v>0</v>
          </cell>
          <cell r="AB102">
            <v>112.5</v>
          </cell>
          <cell r="AC102">
            <v>0</v>
          </cell>
          <cell r="AD102">
            <v>0</v>
          </cell>
          <cell r="AE102">
            <v>146.25</v>
          </cell>
          <cell r="AF102">
            <v>0</v>
          </cell>
          <cell r="AG102">
            <v>0</v>
          </cell>
          <cell r="AH102">
            <v>11.25</v>
          </cell>
          <cell r="AI102">
            <v>0</v>
          </cell>
          <cell r="AJ102">
            <v>0</v>
          </cell>
          <cell r="AK102">
            <v>97.5</v>
          </cell>
          <cell r="AL102">
            <v>0</v>
          </cell>
          <cell r="AM102">
            <v>0</v>
          </cell>
          <cell r="AN102">
            <v>126.75</v>
          </cell>
          <cell r="AO102">
            <v>0</v>
          </cell>
          <cell r="AP102">
            <v>0</v>
          </cell>
          <cell r="AQ102">
            <v>9.75</v>
          </cell>
          <cell r="AR102">
            <v>0</v>
          </cell>
          <cell r="AS102">
            <v>0</v>
          </cell>
          <cell r="AT102">
            <v>150</v>
          </cell>
          <cell r="AU102">
            <v>0</v>
          </cell>
          <cell r="AV102">
            <v>0</v>
          </cell>
          <cell r="AW102">
            <v>195</v>
          </cell>
          <cell r="AX102">
            <v>0</v>
          </cell>
          <cell r="AY102">
            <v>0</v>
          </cell>
          <cell r="AZ102">
            <v>15</v>
          </cell>
          <cell r="BA102">
            <v>0</v>
          </cell>
          <cell r="BB102">
            <v>0</v>
          </cell>
          <cell r="BC102">
            <v>75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3208.75</v>
          </cell>
        </row>
        <row r="103">
          <cell r="C103">
            <v>12375</v>
          </cell>
          <cell r="D103" t="str">
            <v>Espina, Danielle Ann F.</v>
          </cell>
          <cell r="E103">
            <v>88</v>
          </cell>
          <cell r="F103">
            <v>11</v>
          </cell>
          <cell r="G103">
            <v>600</v>
          </cell>
          <cell r="H103">
            <v>6600</v>
          </cell>
          <cell r="I103">
            <v>0</v>
          </cell>
          <cell r="J103">
            <v>1.25</v>
          </cell>
          <cell r="K103">
            <v>0</v>
          </cell>
          <cell r="L103">
            <v>18</v>
          </cell>
          <cell r="M103">
            <v>93.75</v>
          </cell>
          <cell r="N103">
            <v>1687.5</v>
          </cell>
          <cell r="O103">
            <v>84</v>
          </cell>
          <cell r="P103">
            <v>7.5</v>
          </cell>
          <cell r="Q103">
            <v>630</v>
          </cell>
          <cell r="R103">
            <v>0</v>
          </cell>
          <cell r="S103">
            <v>97.5</v>
          </cell>
          <cell r="T103">
            <v>0</v>
          </cell>
          <cell r="U103">
            <v>0</v>
          </cell>
          <cell r="V103">
            <v>126.75</v>
          </cell>
          <cell r="W103">
            <v>0</v>
          </cell>
          <cell r="X103">
            <v>0</v>
          </cell>
          <cell r="Y103">
            <v>9.75</v>
          </cell>
          <cell r="Z103">
            <v>0</v>
          </cell>
          <cell r="AA103">
            <v>0</v>
          </cell>
          <cell r="AB103">
            <v>112.5</v>
          </cell>
          <cell r="AC103">
            <v>0</v>
          </cell>
          <cell r="AD103">
            <v>0</v>
          </cell>
          <cell r="AE103">
            <v>146.25</v>
          </cell>
          <cell r="AF103">
            <v>0</v>
          </cell>
          <cell r="AG103">
            <v>0</v>
          </cell>
          <cell r="AH103">
            <v>11.25</v>
          </cell>
          <cell r="AI103">
            <v>0</v>
          </cell>
          <cell r="AJ103">
            <v>0</v>
          </cell>
          <cell r="AK103">
            <v>97.5</v>
          </cell>
          <cell r="AL103">
            <v>0</v>
          </cell>
          <cell r="AM103">
            <v>0</v>
          </cell>
          <cell r="AN103">
            <v>126.75</v>
          </cell>
          <cell r="AO103">
            <v>0</v>
          </cell>
          <cell r="AP103">
            <v>0</v>
          </cell>
          <cell r="AQ103">
            <v>9.75</v>
          </cell>
          <cell r="AR103">
            <v>0</v>
          </cell>
          <cell r="AS103">
            <v>0</v>
          </cell>
          <cell r="AT103">
            <v>150</v>
          </cell>
          <cell r="AU103">
            <v>0</v>
          </cell>
          <cell r="AV103">
            <v>0</v>
          </cell>
          <cell r="AW103">
            <v>195</v>
          </cell>
          <cell r="AX103">
            <v>0</v>
          </cell>
          <cell r="AY103">
            <v>0</v>
          </cell>
          <cell r="AZ103">
            <v>15</v>
          </cell>
          <cell r="BA103">
            <v>0</v>
          </cell>
          <cell r="BB103">
            <v>0</v>
          </cell>
          <cell r="BC103">
            <v>75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8917.5</v>
          </cell>
        </row>
        <row r="104">
          <cell r="C104">
            <v>12978</v>
          </cell>
          <cell r="D104" t="str">
            <v>Espiritu, Alvin Lucero</v>
          </cell>
          <cell r="E104">
            <v>72</v>
          </cell>
          <cell r="F104">
            <v>9</v>
          </cell>
          <cell r="G104">
            <v>600</v>
          </cell>
          <cell r="H104">
            <v>5400</v>
          </cell>
          <cell r="I104">
            <v>0</v>
          </cell>
          <cell r="J104">
            <v>1.25</v>
          </cell>
          <cell r="K104">
            <v>0</v>
          </cell>
          <cell r="L104">
            <v>11</v>
          </cell>
          <cell r="M104">
            <v>93.75</v>
          </cell>
          <cell r="N104">
            <v>1031.25</v>
          </cell>
          <cell r="O104">
            <v>0</v>
          </cell>
          <cell r="P104">
            <v>7.5</v>
          </cell>
          <cell r="Q104">
            <v>0</v>
          </cell>
          <cell r="R104">
            <v>0</v>
          </cell>
          <cell r="S104">
            <v>97.5</v>
          </cell>
          <cell r="T104">
            <v>0</v>
          </cell>
          <cell r="U104">
            <v>0</v>
          </cell>
          <cell r="V104">
            <v>126.75</v>
          </cell>
          <cell r="W104">
            <v>0</v>
          </cell>
          <cell r="X104">
            <v>0</v>
          </cell>
          <cell r="Y104">
            <v>9.75</v>
          </cell>
          <cell r="Z104">
            <v>0</v>
          </cell>
          <cell r="AA104">
            <v>0</v>
          </cell>
          <cell r="AB104">
            <v>112.5</v>
          </cell>
          <cell r="AC104">
            <v>0</v>
          </cell>
          <cell r="AD104">
            <v>0</v>
          </cell>
          <cell r="AE104">
            <v>146.25</v>
          </cell>
          <cell r="AF104">
            <v>0</v>
          </cell>
          <cell r="AG104">
            <v>0</v>
          </cell>
          <cell r="AH104">
            <v>11.25</v>
          </cell>
          <cell r="AI104">
            <v>0</v>
          </cell>
          <cell r="AJ104">
            <v>0</v>
          </cell>
          <cell r="AK104">
            <v>97.5</v>
          </cell>
          <cell r="AL104">
            <v>0</v>
          </cell>
          <cell r="AM104">
            <v>0</v>
          </cell>
          <cell r="AN104">
            <v>126.75</v>
          </cell>
          <cell r="AO104">
            <v>0</v>
          </cell>
          <cell r="AP104">
            <v>0</v>
          </cell>
          <cell r="AQ104">
            <v>9.75</v>
          </cell>
          <cell r="AR104">
            <v>0</v>
          </cell>
          <cell r="AS104">
            <v>0</v>
          </cell>
          <cell r="AT104">
            <v>150</v>
          </cell>
          <cell r="AU104">
            <v>0</v>
          </cell>
          <cell r="AV104">
            <v>0</v>
          </cell>
          <cell r="AW104">
            <v>195</v>
          </cell>
          <cell r="AX104">
            <v>0</v>
          </cell>
          <cell r="AY104">
            <v>0</v>
          </cell>
          <cell r="AZ104">
            <v>15</v>
          </cell>
          <cell r="BA104">
            <v>0</v>
          </cell>
          <cell r="BB104">
            <v>0</v>
          </cell>
          <cell r="BC104">
            <v>75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6431.25</v>
          </cell>
        </row>
        <row r="105">
          <cell r="C105">
            <v>11698</v>
          </cell>
          <cell r="D105" t="str">
            <v>Etrata, Lawrence M.</v>
          </cell>
          <cell r="E105">
            <v>80</v>
          </cell>
          <cell r="F105">
            <v>10</v>
          </cell>
          <cell r="G105">
            <v>600</v>
          </cell>
          <cell r="H105">
            <v>6000</v>
          </cell>
          <cell r="I105">
            <v>0</v>
          </cell>
          <cell r="J105">
            <v>1.25</v>
          </cell>
          <cell r="K105">
            <v>0</v>
          </cell>
          <cell r="L105">
            <v>18</v>
          </cell>
          <cell r="M105">
            <v>93.75</v>
          </cell>
          <cell r="N105">
            <v>1687.5</v>
          </cell>
          <cell r="O105">
            <v>32</v>
          </cell>
          <cell r="P105">
            <v>7.5</v>
          </cell>
          <cell r="Q105">
            <v>240</v>
          </cell>
          <cell r="R105">
            <v>0</v>
          </cell>
          <cell r="S105">
            <v>97.5</v>
          </cell>
          <cell r="T105">
            <v>0</v>
          </cell>
          <cell r="U105">
            <v>0</v>
          </cell>
          <cell r="V105">
            <v>126.75</v>
          </cell>
          <cell r="W105">
            <v>0</v>
          </cell>
          <cell r="X105">
            <v>0</v>
          </cell>
          <cell r="Y105">
            <v>9.75</v>
          </cell>
          <cell r="Z105">
            <v>0</v>
          </cell>
          <cell r="AA105">
            <v>0</v>
          </cell>
          <cell r="AB105">
            <v>112.5</v>
          </cell>
          <cell r="AC105">
            <v>0</v>
          </cell>
          <cell r="AD105">
            <v>0</v>
          </cell>
          <cell r="AE105">
            <v>146.25</v>
          </cell>
          <cell r="AF105">
            <v>0</v>
          </cell>
          <cell r="AG105">
            <v>0</v>
          </cell>
          <cell r="AH105">
            <v>11.25</v>
          </cell>
          <cell r="AI105">
            <v>0</v>
          </cell>
          <cell r="AJ105">
            <v>0</v>
          </cell>
          <cell r="AK105">
            <v>97.5</v>
          </cell>
          <cell r="AL105">
            <v>0</v>
          </cell>
          <cell r="AM105">
            <v>0</v>
          </cell>
          <cell r="AN105">
            <v>126.75</v>
          </cell>
          <cell r="AO105">
            <v>0</v>
          </cell>
          <cell r="AP105">
            <v>0</v>
          </cell>
          <cell r="AQ105">
            <v>9.75</v>
          </cell>
          <cell r="AR105">
            <v>0</v>
          </cell>
          <cell r="AS105">
            <v>0</v>
          </cell>
          <cell r="AT105">
            <v>150</v>
          </cell>
          <cell r="AU105">
            <v>0</v>
          </cell>
          <cell r="AV105">
            <v>0</v>
          </cell>
          <cell r="AW105">
            <v>195</v>
          </cell>
          <cell r="AX105">
            <v>0</v>
          </cell>
          <cell r="AY105">
            <v>0</v>
          </cell>
          <cell r="AZ105">
            <v>15</v>
          </cell>
          <cell r="BA105">
            <v>0</v>
          </cell>
          <cell r="BB105">
            <v>0</v>
          </cell>
          <cell r="BC105">
            <v>75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7927.5</v>
          </cell>
        </row>
        <row r="106">
          <cell r="C106">
            <v>12982</v>
          </cell>
          <cell r="D106" t="str">
            <v>Fernandez, Joshua Gupit</v>
          </cell>
          <cell r="E106">
            <v>64</v>
          </cell>
          <cell r="F106">
            <v>8</v>
          </cell>
          <cell r="G106">
            <v>600</v>
          </cell>
          <cell r="H106">
            <v>4800</v>
          </cell>
          <cell r="I106">
            <v>0</v>
          </cell>
          <cell r="J106">
            <v>1.25</v>
          </cell>
          <cell r="K106">
            <v>0</v>
          </cell>
          <cell r="L106">
            <v>14</v>
          </cell>
          <cell r="M106">
            <v>93.75</v>
          </cell>
          <cell r="N106">
            <v>1312.5</v>
          </cell>
          <cell r="O106">
            <v>32</v>
          </cell>
          <cell r="P106">
            <v>7.5</v>
          </cell>
          <cell r="Q106">
            <v>240</v>
          </cell>
          <cell r="R106">
            <v>0</v>
          </cell>
          <cell r="S106">
            <v>97.5</v>
          </cell>
          <cell r="T106">
            <v>0</v>
          </cell>
          <cell r="U106">
            <v>0</v>
          </cell>
          <cell r="V106">
            <v>126.75</v>
          </cell>
          <cell r="W106">
            <v>0</v>
          </cell>
          <cell r="X106">
            <v>0</v>
          </cell>
          <cell r="Y106">
            <v>9.75</v>
          </cell>
          <cell r="Z106">
            <v>0</v>
          </cell>
          <cell r="AA106">
            <v>0</v>
          </cell>
          <cell r="AB106">
            <v>112.5</v>
          </cell>
          <cell r="AC106">
            <v>0</v>
          </cell>
          <cell r="AD106">
            <v>0</v>
          </cell>
          <cell r="AE106">
            <v>146.25</v>
          </cell>
          <cell r="AF106">
            <v>0</v>
          </cell>
          <cell r="AG106">
            <v>0</v>
          </cell>
          <cell r="AH106">
            <v>11.25</v>
          </cell>
          <cell r="AI106">
            <v>0</v>
          </cell>
          <cell r="AJ106">
            <v>8</v>
          </cell>
          <cell r="AK106">
            <v>97.5</v>
          </cell>
          <cell r="AL106">
            <v>780</v>
          </cell>
          <cell r="AM106">
            <v>0</v>
          </cell>
          <cell r="AN106">
            <v>126.75</v>
          </cell>
          <cell r="AO106">
            <v>0</v>
          </cell>
          <cell r="AP106">
            <v>0</v>
          </cell>
          <cell r="AQ106">
            <v>9.75</v>
          </cell>
          <cell r="AR106">
            <v>0</v>
          </cell>
          <cell r="AS106">
            <v>0</v>
          </cell>
          <cell r="AT106">
            <v>150</v>
          </cell>
          <cell r="AU106">
            <v>0</v>
          </cell>
          <cell r="AV106">
            <v>0</v>
          </cell>
          <cell r="AW106">
            <v>195</v>
          </cell>
          <cell r="AX106">
            <v>0</v>
          </cell>
          <cell r="AY106">
            <v>0</v>
          </cell>
          <cell r="AZ106">
            <v>15</v>
          </cell>
          <cell r="BA106">
            <v>0</v>
          </cell>
          <cell r="BB106">
            <v>0</v>
          </cell>
          <cell r="BC106">
            <v>75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7132.5</v>
          </cell>
        </row>
        <row r="107">
          <cell r="C107">
            <v>12988</v>
          </cell>
          <cell r="D107" t="str">
            <v>Floresca, Efsim Abad</v>
          </cell>
          <cell r="E107">
            <v>80</v>
          </cell>
          <cell r="F107">
            <v>10</v>
          </cell>
          <cell r="G107">
            <v>600</v>
          </cell>
          <cell r="H107">
            <v>6000</v>
          </cell>
          <cell r="I107">
            <v>0</v>
          </cell>
          <cell r="J107">
            <v>1.25</v>
          </cell>
          <cell r="K107">
            <v>0</v>
          </cell>
          <cell r="L107">
            <v>18</v>
          </cell>
          <cell r="M107">
            <v>93.75</v>
          </cell>
          <cell r="N107">
            <v>1687.5</v>
          </cell>
          <cell r="O107">
            <v>32</v>
          </cell>
          <cell r="P107">
            <v>7.5</v>
          </cell>
          <cell r="Q107">
            <v>240</v>
          </cell>
          <cell r="R107">
            <v>0</v>
          </cell>
          <cell r="S107">
            <v>97.5</v>
          </cell>
          <cell r="T107">
            <v>0</v>
          </cell>
          <cell r="U107">
            <v>0</v>
          </cell>
          <cell r="V107">
            <v>126.75</v>
          </cell>
          <cell r="W107">
            <v>0</v>
          </cell>
          <cell r="X107">
            <v>0</v>
          </cell>
          <cell r="Y107">
            <v>9.75</v>
          </cell>
          <cell r="Z107">
            <v>0</v>
          </cell>
          <cell r="AA107">
            <v>0</v>
          </cell>
          <cell r="AB107">
            <v>112.5</v>
          </cell>
          <cell r="AC107">
            <v>0</v>
          </cell>
          <cell r="AD107">
            <v>0</v>
          </cell>
          <cell r="AE107">
            <v>146.25</v>
          </cell>
          <cell r="AF107">
            <v>0</v>
          </cell>
          <cell r="AG107">
            <v>0</v>
          </cell>
          <cell r="AH107">
            <v>11.25</v>
          </cell>
          <cell r="AI107">
            <v>0</v>
          </cell>
          <cell r="AJ107">
            <v>0</v>
          </cell>
          <cell r="AK107">
            <v>97.5</v>
          </cell>
          <cell r="AL107">
            <v>0</v>
          </cell>
          <cell r="AM107">
            <v>0</v>
          </cell>
          <cell r="AN107">
            <v>126.75</v>
          </cell>
          <cell r="AO107">
            <v>0</v>
          </cell>
          <cell r="AP107">
            <v>0</v>
          </cell>
          <cell r="AQ107">
            <v>9.75</v>
          </cell>
          <cell r="AR107">
            <v>0</v>
          </cell>
          <cell r="AS107">
            <v>0</v>
          </cell>
          <cell r="AT107">
            <v>150</v>
          </cell>
          <cell r="AU107">
            <v>0</v>
          </cell>
          <cell r="AV107">
            <v>0</v>
          </cell>
          <cell r="AW107">
            <v>195</v>
          </cell>
          <cell r="AX107">
            <v>0</v>
          </cell>
          <cell r="AY107">
            <v>0</v>
          </cell>
          <cell r="AZ107">
            <v>15</v>
          </cell>
          <cell r="BA107">
            <v>0</v>
          </cell>
          <cell r="BB107">
            <v>0</v>
          </cell>
          <cell r="BC107">
            <v>75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7927.5</v>
          </cell>
        </row>
        <row r="108">
          <cell r="C108">
            <v>30605</v>
          </cell>
          <cell r="D108" t="str">
            <v>Forto, Junel Fernando</v>
          </cell>
          <cell r="E108">
            <v>72</v>
          </cell>
          <cell r="F108">
            <v>9</v>
          </cell>
          <cell r="G108">
            <v>600</v>
          </cell>
          <cell r="H108">
            <v>5400</v>
          </cell>
          <cell r="I108">
            <v>0</v>
          </cell>
          <cell r="J108">
            <v>1.25</v>
          </cell>
          <cell r="K108">
            <v>0</v>
          </cell>
          <cell r="L108">
            <v>16</v>
          </cell>
          <cell r="M108">
            <v>93.75</v>
          </cell>
          <cell r="N108">
            <v>1500</v>
          </cell>
          <cell r="O108">
            <v>32</v>
          </cell>
          <cell r="P108">
            <v>7.5</v>
          </cell>
          <cell r="Q108">
            <v>240</v>
          </cell>
          <cell r="R108">
            <v>0</v>
          </cell>
          <cell r="S108">
            <v>97.5</v>
          </cell>
          <cell r="T108">
            <v>0</v>
          </cell>
          <cell r="U108">
            <v>0</v>
          </cell>
          <cell r="V108">
            <v>126.75</v>
          </cell>
          <cell r="W108">
            <v>0</v>
          </cell>
          <cell r="X108">
            <v>0</v>
          </cell>
          <cell r="Y108">
            <v>9.75</v>
          </cell>
          <cell r="Z108">
            <v>0</v>
          </cell>
          <cell r="AA108">
            <v>0</v>
          </cell>
          <cell r="AB108">
            <v>112.5</v>
          </cell>
          <cell r="AC108">
            <v>0</v>
          </cell>
          <cell r="AD108">
            <v>0</v>
          </cell>
          <cell r="AE108">
            <v>146.25</v>
          </cell>
          <cell r="AF108">
            <v>0</v>
          </cell>
          <cell r="AG108">
            <v>0</v>
          </cell>
          <cell r="AH108">
            <v>11.25</v>
          </cell>
          <cell r="AI108">
            <v>0</v>
          </cell>
          <cell r="AJ108">
            <v>0</v>
          </cell>
          <cell r="AK108">
            <v>97.5</v>
          </cell>
          <cell r="AL108">
            <v>0</v>
          </cell>
          <cell r="AM108">
            <v>0</v>
          </cell>
          <cell r="AN108">
            <v>126.75</v>
          </cell>
          <cell r="AO108">
            <v>0</v>
          </cell>
          <cell r="AP108">
            <v>0</v>
          </cell>
          <cell r="AQ108">
            <v>9.75</v>
          </cell>
          <cell r="AR108">
            <v>0</v>
          </cell>
          <cell r="AS108">
            <v>0</v>
          </cell>
          <cell r="AT108">
            <v>150</v>
          </cell>
          <cell r="AU108">
            <v>0</v>
          </cell>
          <cell r="AV108">
            <v>0</v>
          </cell>
          <cell r="AW108">
            <v>195</v>
          </cell>
          <cell r="AX108">
            <v>0</v>
          </cell>
          <cell r="AY108">
            <v>0</v>
          </cell>
          <cell r="AZ108">
            <v>15</v>
          </cell>
          <cell r="BA108">
            <v>0</v>
          </cell>
          <cell r="BB108">
            <v>0</v>
          </cell>
          <cell r="BC108">
            <v>75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7140</v>
          </cell>
        </row>
        <row r="109">
          <cell r="C109">
            <v>6281</v>
          </cell>
          <cell r="D109" t="str">
            <v>Gapol, Prichell Anfone</v>
          </cell>
          <cell r="E109">
            <v>80</v>
          </cell>
          <cell r="F109">
            <v>10</v>
          </cell>
          <cell r="G109">
            <v>600</v>
          </cell>
          <cell r="H109">
            <v>6000</v>
          </cell>
          <cell r="I109">
            <v>0</v>
          </cell>
          <cell r="J109">
            <v>1.25</v>
          </cell>
          <cell r="K109">
            <v>0</v>
          </cell>
          <cell r="L109">
            <v>16</v>
          </cell>
          <cell r="M109">
            <v>93.75</v>
          </cell>
          <cell r="N109">
            <v>1500</v>
          </cell>
          <cell r="O109">
            <v>52</v>
          </cell>
          <cell r="P109">
            <v>7.5</v>
          </cell>
          <cell r="Q109">
            <v>390</v>
          </cell>
          <cell r="R109">
            <v>0</v>
          </cell>
          <cell r="S109">
            <v>97.5</v>
          </cell>
          <cell r="T109">
            <v>0</v>
          </cell>
          <cell r="U109">
            <v>0</v>
          </cell>
          <cell r="V109">
            <v>126.75</v>
          </cell>
          <cell r="W109">
            <v>0</v>
          </cell>
          <cell r="X109">
            <v>0</v>
          </cell>
          <cell r="Y109">
            <v>9.75</v>
          </cell>
          <cell r="Z109">
            <v>0</v>
          </cell>
          <cell r="AA109">
            <v>0</v>
          </cell>
          <cell r="AB109">
            <v>112.5</v>
          </cell>
          <cell r="AC109">
            <v>0</v>
          </cell>
          <cell r="AD109">
            <v>0</v>
          </cell>
          <cell r="AE109">
            <v>146.25</v>
          </cell>
          <cell r="AF109">
            <v>0</v>
          </cell>
          <cell r="AG109">
            <v>0</v>
          </cell>
          <cell r="AH109">
            <v>11.25</v>
          </cell>
          <cell r="AI109">
            <v>0</v>
          </cell>
          <cell r="AJ109">
            <v>8</v>
          </cell>
          <cell r="AK109">
            <v>97.5</v>
          </cell>
          <cell r="AL109">
            <v>780</v>
          </cell>
          <cell r="AM109">
            <v>0</v>
          </cell>
          <cell r="AN109">
            <v>126.75</v>
          </cell>
          <cell r="AO109">
            <v>0</v>
          </cell>
          <cell r="AP109">
            <v>0</v>
          </cell>
          <cell r="AQ109">
            <v>9.75</v>
          </cell>
          <cell r="AR109">
            <v>0</v>
          </cell>
          <cell r="AS109">
            <v>0</v>
          </cell>
          <cell r="AT109">
            <v>150</v>
          </cell>
          <cell r="AU109">
            <v>0</v>
          </cell>
          <cell r="AV109">
            <v>0</v>
          </cell>
          <cell r="AW109">
            <v>195</v>
          </cell>
          <cell r="AX109">
            <v>0</v>
          </cell>
          <cell r="AY109">
            <v>0</v>
          </cell>
          <cell r="AZ109">
            <v>15</v>
          </cell>
          <cell r="BA109">
            <v>0</v>
          </cell>
          <cell r="BB109">
            <v>0</v>
          </cell>
          <cell r="BC109">
            <v>75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8670</v>
          </cell>
        </row>
        <row r="110">
          <cell r="C110">
            <v>12996</v>
          </cell>
          <cell r="D110" t="str">
            <v>Garcia, Grace Cuevas</v>
          </cell>
          <cell r="E110">
            <v>72</v>
          </cell>
          <cell r="F110">
            <v>9</v>
          </cell>
          <cell r="G110">
            <v>600</v>
          </cell>
          <cell r="H110">
            <v>5400</v>
          </cell>
          <cell r="I110">
            <v>11</v>
          </cell>
          <cell r="J110">
            <v>1.25</v>
          </cell>
          <cell r="K110">
            <v>-13.75</v>
          </cell>
          <cell r="L110">
            <v>15</v>
          </cell>
          <cell r="M110">
            <v>93.75</v>
          </cell>
          <cell r="N110">
            <v>1406.25</v>
          </cell>
          <cell r="O110">
            <v>0</v>
          </cell>
          <cell r="P110">
            <v>7.5</v>
          </cell>
          <cell r="Q110">
            <v>0</v>
          </cell>
          <cell r="R110">
            <v>8</v>
          </cell>
          <cell r="S110">
            <v>97.5</v>
          </cell>
          <cell r="T110">
            <v>780</v>
          </cell>
          <cell r="U110">
            <v>0</v>
          </cell>
          <cell r="V110">
            <v>126.75</v>
          </cell>
          <cell r="W110">
            <v>0</v>
          </cell>
          <cell r="X110">
            <v>0</v>
          </cell>
          <cell r="Y110">
            <v>9.75</v>
          </cell>
          <cell r="Z110">
            <v>0</v>
          </cell>
          <cell r="AA110">
            <v>0</v>
          </cell>
          <cell r="AB110">
            <v>112.5</v>
          </cell>
          <cell r="AC110">
            <v>0</v>
          </cell>
          <cell r="AD110">
            <v>0</v>
          </cell>
          <cell r="AE110">
            <v>146.25</v>
          </cell>
          <cell r="AF110">
            <v>0</v>
          </cell>
          <cell r="AG110">
            <v>0</v>
          </cell>
          <cell r="AH110">
            <v>11.25</v>
          </cell>
          <cell r="AI110">
            <v>0</v>
          </cell>
          <cell r="AJ110">
            <v>8</v>
          </cell>
          <cell r="AK110">
            <v>97.5</v>
          </cell>
          <cell r="AL110">
            <v>780</v>
          </cell>
          <cell r="AM110">
            <v>0</v>
          </cell>
          <cell r="AN110">
            <v>126.75</v>
          </cell>
          <cell r="AO110">
            <v>0</v>
          </cell>
          <cell r="AP110">
            <v>0</v>
          </cell>
          <cell r="AQ110">
            <v>9.75</v>
          </cell>
          <cell r="AR110">
            <v>0</v>
          </cell>
          <cell r="AS110">
            <v>0</v>
          </cell>
          <cell r="AT110">
            <v>150</v>
          </cell>
          <cell r="AU110">
            <v>0</v>
          </cell>
          <cell r="AV110">
            <v>0</v>
          </cell>
          <cell r="AW110">
            <v>195</v>
          </cell>
          <cell r="AX110">
            <v>0</v>
          </cell>
          <cell r="AY110">
            <v>0</v>
          </cell>
          <cell r="AZ110">
            <v>15</v>
          </cell>
          <cell r="BA110">
            <v>0</v>
          </cell>
          <cell r="BB110">
            <v>0</v>
          </cell>
          <cell r="BC110">
            <v>75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8352.5</v>
          </cell>
        </row>
        <row r="111">
          <cell r="C111">
            <v>12999</v>
          </cell>
          <cell r="D111" t="str">
            <v>Garcia, Kenneth Roy Onaba</v>
          </cell>
          <cell r="E111">
            <v>88</v>
          </cell>
          <cell r="F111">
            <v>11</v>
          </cell>
          <cell r="G111">
            <v>600</v>
          </cell>
          <cell r="H111">
            <v>6600</v>
          </cell>
          <cell r="I111">
            <v>0</v>
          </cell>
          <cell r="J111">
            <v>1.25</v>
          </cell>
          <cell r="K111">
            <v>0</v>
          </cell>
          <cell r="L111">
            <v>20</v>
          </cell>
          <cell r="M111">
            <v>93.75</v>
          </cell>
          <cell r="N111">
            <v>1875</v>
          </cell>
          <cell r="O111">
            <v>54</v>
          </cell>
          <cell r="P111">
            <v>7.5</v>
          </cell>
          <cell r="Q111">
            <v>405</v>
          </cell>
          <cell r="R111">
            <v>8</v>
          </cell>
          <cell r="S111">
            <v>97.5</v>
          </cell>
          <cell r="T111">
            <v>780</v>
          </cell>
          <cell r="U111">
            <v>0</v>
          </cell>
          <cell r="V111">
            <v>126.75</v>
          </cell>
          <cell r="W111">
            <v>0</v>
          </cell>
          <cell r="X111">
            <v>0</v>
          </cell>
          <cell r="Y111">
            <v>9.75</v>
          </cell>
          <cell r="Z111">
            <v>0</v>
          </cell>
          <cell r="AA111">
            <v>0</v>
          </cell>
          <cell r="AB111">
            <v>112.5</v>
          </cell>
          <cell r="AC111">
            <v>0</v>
          </cell>
          <cell r="AD111">
            <v>0</v>
          </cell>
          <cell r="AE111">
            <v>146.25</v>
          </cell>
          <cell r="AF111">
            <v>0</v>
          </cell>
          <cell r="AG111">
            <v>0</v>
          </cell>
          <cell r="AH111">
            <v>11.25</v>
          </cell>
          <cell r="AI111">
            <v>0</v>
          </cell>
          <cell r="AJ111">
            <v>8</v>
          </cell>
          <cell r="AK111">
            <v>97.5</v>
          </cell>
          <cell r="AL111">
            <v>780</v>
          </cell>
          <cell r="AM111">
            <v>0</v>
          </cell>
          <cell r="AN111">
            <v>126.75</v>
          </cell>
          <cell r="AO111">
            <v>0</v>
          </cell>
          <cell r="AP111">
            <v>0</v>
          </cell>
          <cell r="AQ111">
            <v>9.75</v>
          </cell>
          <cell r="AR111">
            <v>0</v>
          </cell>
          <cell r="AS111">
            <v>0</v>
          </cell>
          <cell r="AT111">
            <v>150</v>
          </cell>
          <cell r="AU111">
            <v>0</v>
          </cell>
          <cell r="AV111">
            <v>0</v>
          </cell>
          <cell r="AW111">
            <v>195</v>
          </cell>
          <cell r="AX111">
            <v>0</v>
          </cell>
          <cell r="AY111">
            <v>0</v>
          </cell>
          <cell r="AZ111">
            <v>15</v>
          </cell>
          <cell r="BA111">
            <v>0</v>
          </cell>
          <cell r="BB111">
            <v>0</v>
          </cell>
          <cell r="BC111">
            <v>75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10440</v>
          </cell>
        </row>
        <row r="112">
          <cell r="C112">
            <v>14201</v>
          </cell>
          <cell r="D112" t="str">
            <v>Garcia, Marlon Dellosa</v>
          </cell>
          <cell r="E112">
            <v>40</v>
          </cell>
          <cell r="F112">
            <v>5</v>
          </cell>
          <cell r="G112">
            <v>600</v>
          </cell>
          <cell r="H112">
            <v>3000</v>
          </cell>
          <cell r="I112">
            <v>0</v>
          </cell>
          <cell r="J112">
            <v>1.25</v>
          </cell>
          <cell r="K112">
            <v>0</v>
          </cell>
          <cell r="L112">
            <v>10</v>
          </cell>
          <cell r="M112">
            <v>93.75</v>
          </cell>
          <cell r="N112">
            <v>937.5</v>
          </cell>
          <cell r="O112">
            <v>16</v>
          </cell>
          <cell r="P112">
            <v>7.5</v>
          </cell>
          <cell r="Q112">
            <v>120</v>
          </cell>
          <cell r="R112">
            <v>0</v>
          </cell>
          <cell r="S112">
            <v>97.5</v>
          </cell>
          <cell r="T112">
            <v>0</v>
          </cell>
          <cell r="U112">
            <v>0</v>
          </cell>
          <cell r="V112">
            <v>126.75</v>
          </cell>
          <cell r="W112">
            <v>0</v>
          </cell>
          <cell r="X112">
            <v>0</v>
          </cell>
          <cell r="Y112">
            <v>9.75</v>
          </cell>
          <cell r="Z112">
            <v>0</v>
          </cell>
          <cell r="AA112">
            <v>0</v>
          </cell>
          <cell r="AB112">
            <v>112.5</v>
          </cell>
          <cell r="AC112">
            <v>0</v>
          </cell>
          <cell r="AD112">
            <v>0</v>
          </cell>
          <cell r="AE112">
            <v>146.25</v>
          </cell>
          <cell r="AF112">
            <v>0</v>
          </cell>
          <cell r="AG112">
            <v>0</v>
          </cell>
          <cell r="AH112">
            <v>11.25</v>
          </cell>
          <cell r="AI112">
            <v>0</v>
          </cell>
          <cell r="AJ112">
            <v>0</v>
          </cell>
          <cell r="AK112">
            <v>97.5</v>
          </cell>
          <cell r="AL112">
            <v>0</v>
          </cell>
          <cell r="AM112">
            <v>0</v>
          </cell>
          <cell r="AN112">
            <v>126.75</v>
          </cell>
          <cell r="AO112">
            <v>0</v>
          </cell>
          <cell r="AP112">
            <v>0</v>
          </cell>
          <cell r="AQ112">
            <v>9.75</v>
          </cell>
          <cell r="AR112">
            <v>0</v>
          </cell>
          <cell r="AS112">
            <v>0</v>
          </cell>
          <cell r="AT112">
            <v>150</v>
          </cell>
          <cell r="AU112">
            <v>0</v>
          </cell>
          <cell r="AV112">
            <v>0</v>
          </cell>
          <cell r="AW112">
            <v>195</v>
          </cell>
          <cell r="AX112">
            <v>0</v>
          </cell>
          <cell r="AY112">
            <v>0</v>
          </cell>
          <cell r="AZ112">
            <v>15</v>
          </cell>
          <cell r="BA112">
            <v>0</v>
          </cell>
          <cell r="BB112">
            <v>0</v>
          </cell>
          <cell r="BC112">
            <v>75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4057.5</v>
          </cell>
        </row>
        <row r="113">
          <cell r="C113">
            <v>12595</v>
          </cell>
          <cell r="D113" t="str">
            <v>Genabe, Jeric Villanueva</v>
          </cell>
          <cell r="E113">
            <v>88</v>
          </cell>
          <cell r="F113">
            <v>11</v>
          </cell>
          <cell r="G113">
            <v>600</v>
          </cell>
          <cell r="H113">
            <v>6600</v>
          </cell>
          <cell r="I113">
            <v>0</v>
          </cell>
          <cell r="J113">
            <v>1.25</v>
          </cell>
          <cell r="K113">
            <v>0</v>
          </cell>
          <cell r="L113">
            <v>20</v>
          </cell>
          <cell r="M113">
            <v>93.75</v>
          </cell>
          <cell r="N113">
            <v>1875</v>
          </cell>
          <cell r="O113">
            <v>54</v>
          </cell>
          <cell r="P113">
            <v>7.5</v>
          </cell>
          <cell r="Q113">
            <v>405</v>
          </cell>
          <cell r="R113">
            <v>8</v>
          </cell>
          <cell r="S113">
            <v>97.5</v>
          </cell>
          <cell r="T113">
            <v>780</v>
          </cell>
          <cell r="U113">
            <v>0</v>
          </cell>
          <cell r="V113">
            <v>126.75</v>
          </cell>
          <cell r="W113">
            <v>0</v>
          </cell>
          <cell r="X113">
            <v>0</v>
          </cell>
          <cell r="Y113">
            <v>9.75</v>
          </cell>
          <cell r="Z113">
            <v>0</v>
          </cell>
          <cell r="AA113">
            <v>0</v>
          </cell>
          <cell r="AB113">
            <v>112.5</v>
          </cell>
          <cell r="AC113">
            <v>0</v>
          </cell>
          <cell r="AD113">
            <v>0</v>
          </cell>
          <cell r="AE113">
            <v>146.25</v>
          </cell>
          <cell r="AF113">
            <v>0</v>
          </cell>
          <cell r="AG113">
            <v>0</v>
          </cell>
          <cell r="AH113">
            <v>11.25</v>
          </cell>
          <cell r="AI113">
            <v>0</v>
          </cell>
          <cell r="AJ113">
            <v>8</v>
          </cell>
          <cell r="AK113">
            <v>97.5</v>
          </cell>
          <cell r="AL113">
            <v>780</v>
          </cell>
          <cell r="AM113">
            <v>0</v>
          </cell>
          <cell r="AN113">
            <v>126.75</v>
          </cell>
          <cell r="AO113">
            <v>0</v>
          </cell>
          <cell r="AP113">
            <v>0</v>
          </cell>
          <cell r="AQ113">
            <v>9.75</v>
          </cell>
          <cell r="AR113">
            <v>0</v>
          </cell>
          <cell r="AS113">
            <v>0</v>
          </cell>
          <cell r="AT113">
            <v>150</v>
          </cell>
          <cell r="AU113">
            <v>0</v>
          </cell>
          <cell r="AV113">
            <v>0</v>
          </cell>
          <cell r="AW113">
            <v>195</v>
          </cell>
          <cell r="AX113">
            <v>0</v>
          </cell>
          <cell r="AY113">
            <v>0</v>
          </cell>
          <cell r="AZ113">
            <v>15</v>
          </cell>
          <cell r="BA113">
            <v>0</v>
          </cell>
          <cell r="BB113">
            <v>0</v>
          </cell>
          <cell r="BC113">
            <v>75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10440</v>
          </cell>
        </row>
        <row r="114">
          <cell r="C114">
            <v>14208</v>
          </cell>
          <cell r="D114" t="str">
            <v>Goc-ong, Nefel Casilagan</v>
          </cell>
          <cell r="E114">
            <v>80</v>
          </cell>
          <cell r="F114">
            <v>10</v>
          </cell>
          <cell r="G114">
            <v>600</v>
          </cell>
          <cell r="H114">
            <v>6000</v>
          </cell>
          <cell r="I114">
            <v>0</v>
          </cell>
          <cell r="J114">
            <v>1.25</v>
          </cell>
          <cell r="K114">
            <v>0</v>
          </cell>
          <cell r="L114">
            <v>18</v>
          </cell>
          <cell r="M114">
            <v>93.75</v>
          </cell>
          <cell r="N114">
            <v>1687.5</v>
          </cell>
          <cell r="O114">
            <v>32</v>
          </cell>
          <cell r="P114">
            <v>7.5</v>
          </cell>
          <cell r="Q114">
            <v>240</v>
          </cell>
          <cell r="R114">
            <v>0</v>
          </cell>
          <cell r="S114">
            <v>97.5</v>
          </cell>
          <cell r="T114">
            <v>0</v>
          </cell>
          <cell r="U114">
            <v>0</v>
          </cell>
          <cell r="V114">
            <v>126.75</v>
          </cell>
          <cell r="W114">
            <v>0</v>
          </cell>
          <cell r="X114">
            <v>0</v>
          </cell>
          <cell r="Y114">
            <v>9.75</v>
          </cell>
          <cell r="Z114">
            <v>0</v>
          </cell>
          <cell r="AA114">
            <v>0</v>
          </cell>
          <cell r="AB114">
            <v>112.5</v>
          </cell>
          <cell r="AC114">
            <v>0</v>
          </cell>
          <cell r="AD114">
            <v>0</v>
          </cell>
          <cell r="AE114">
            <v>146.25</v>
          </cell>
          <cell r="AF114">
            <v>0</v>
          </cell>
          <cell r="AG114">
            <v>0</v>
          </cell>
          <cell r="AH114">
            <v>11.25</v>
          </cell>
          <cell r="AI114">
            <v>0</v>
          </cell>
          <cell r="AJ114">
            <v>0</v>
          </cell>
          <cell r="AK114">
            <v>97.5</v>
          </cell>
          <cell r="AL114">
            <v>0</v>
          </cell>
          <cell r="AM114">
            <v>0</v>
          </cell>
          <cell r="AN114">
            <v>126.75</v>
          </cell>
          <cell r="AO114">
            <v>0</v>
          </cell>
          <cell r="AP114">
            <v>0</v>
          </cell>
          <cell r="AQ114">
            <v>9.75</v>
          </cell>
          <cell r="AR114">
            <v>0</v>
          </cell>
          <cell r="AS114">
            <v>0</v>
          </cell>
          <cell r="AT114">
            <v>150</v>
          </cell>
          <cell r="AU114">
            <v>0</v>
          </cell>
          <cell r="AV114">
            <v>0</v>
          </cell>
          <cell r="AW114">
            <v>195</v>
          </cell>
          <cell r="AX114">
            <v>0</v>
          </cell>
          <cell r="AY114">
            <v>0</v>
          </cell>
          <cell r="AZ114">
            <v>15</v>
          </cell>
          <cell r="BA114">
            <v>0</v>
          </cell>
          <cell r="BB114">
            <v>0</v>
          </cell>
          <cell r="BC114">
            <v>75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7927.5</v>
          </cell>
        </row>
        <row r="115">
          <cell r="C115">
            <v>6638</v>
          </cell>
          <cell r="D115" t="str">
            <v>Goc-ong, Rotsen Casilagan</v>
          </cell>
          <cell r="E115">
            <v>80</v>
          </cell>
          <cell r="F115">
            <v>10</v>
          </cell>
          <cell r="G115">
            <v>600</v>
          </cell>
          <cell r="H115">
            <v>6000</v>
          </cell>
          <cell r="I115">
            <v>0</v>
          </cell>
          <cell r="J115">
            <v>1.25</v>
          </cell>
          <cell r="K115">
            <v>0</v>
          </cell>
          <cell r="L115">
            <v>18</v>
          </cell>
          <cell r="M115">
            <v>93.75</v>
          </cell>
          <cell r="N115">
            <v>1687.5</v>
          </cell>
          <cell r="O115">
            <v>24</v>
          </cell>
          <cell r="P115">
            <v>7.5</v>
          </cell>
          <cell r="Q115">
            <v>180</v>
          </cell>
          <cell r="R115">
            <v>0</v>
          </cell>
          <cell r="S115">
            <v>97.5</v>
          </cell>
          <cell r="T115">
            <v>0</v>
          </cell>
          <cell r="U115">
            <v>0</v>
          </cell>
          <cell r="V115">
            <v>126.75</v>
          </cell>
          <cell r="W115">
            <v>0</v>
          </cell>
          <cell r="X115">
            <v>0</v>
          </cell>
          <cell r="Y115">
            <v>9.75</v>
          </cell>
          <cell r="Z115">
            <v>0</v>
          </cell>
          <cell r="AA115">
            <v>0</v>
          </cell>
          <cell r="AB115">
            <v>112.5</v>
          </cell>
          <cell r="AC115">
            <v>0</v>
          </cell>
          <cell r="AD115">
            <v>0</v>
          </cell>
          <cell r="AE115">
            <v>146.25</v>
          </cell>
          <cell r="AF115">
            <v>0</v>
          </cell>
          <cell r="AG115">
            <v>0</v>
          </cell>
          <cell r="AH115">
            <v>11.25</v>
          </cell>
          <cell r="AI115">
            <v>0</v>
          </cell>
          <cell r="AJ115">
            <v>0</v>
          </cell>
          <cell r="AK115">
            <v>97.5</v>
          </cell>
          <cell r="AL115">
            <v>0</v>
          </cell>
          <cell r="AM115">
            <v>0</v>
          </cell>
          <cell r="AN115">
            <v>126.75</v>
          </cell>
          <cell r="AO115">
            <v>0</v>
          </cell>
          <cell r="AP115">
            <v>0</v>
          </cell>
          <cell r="AQ115">
            <v>9.75</v>
          </cell>
          <cell r="AR115">
            <v>0</v>
          </cell>
          <cell r="AS115">
            <v>0</v>
          </cell>
          <cell r="AT115">
            <v>150</v>
          </cell>
          <cell r="AU115">
            <v>0</v>
          </cell>
          <cell r="AV115">
            <v>0</v>
          </cell>
          <cell r="AW115">
            <v>195</v>
          </cell>
          <cell r="AX115">
            <v>0</v>
          </cell>
          <cell r="AY115">
            <v>0</v>
          </cell>
          <cell r="AZ115">
            <v>15</v>
          </cell>
          <cell r="BA115">
            <v>0</v>
          </cell>
          <cell r="BB115">
            <v>0</v>
          </cell>
          <cell r="BC115">
            <v>75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7867.5</v>
          </cell>
        </row>
        <row r="116">
          <cell r="C116">
            <v>11843</v>
          </cell>
          <cell r="D116" t="str">
            <v>Gonzales, John Anthony Gualvez</v>
          </cell>
          <cell r="E116">
            <v>80</v>
          </cell>
          <cell r="F116">
            <v>10</v>
          </cell>
          <cell r="G116">
            <v>600</v>
          </cell>
          <cell r="H116">
            <v>6000</v>
          </cell>
          <cell r="I116">
            <v>0</v>
          </cell>
          <cell r="J116">
            <v>1.25</v>
          </cell>
          <cell r="K116">
            <v>0</v>
          </cell>
          <cell r="L116">
            <v>16</v>
          </cell>
          <cell r="M116">
            <v>93.75</v>
          </cell>
          <cell r="N116">
            <v>1500</v>
          </cell>
          <cell r="O116">
            <v>32</v>
          </cell>
          <cell r="P116">
            <v>7.5</v>
          </cell>
          <cell r="Q116">
            <v>240</v>
          </cell>
          <cell r="R116">
            <v>0</v>
          </cell>
          <cell r="S116">
            <v>97.5</v>
          </cell>
          <cell r="T116">
            <v>0</v>
          </cell>
          <cell r="U116">
            <v>0</v>
          </cell>
          <cell r="V116">
            <v>126.75</v>
          </cell>
          <cell r="W116">
            <v>0</v>
          </cell>
          <cell r="X116">
            <v>0</v>
          </cell>
          <cell r="Y116">
            <v>9.75</v>
          </cell>
          <cell r="Z116">
            <v>0</v>
          </cell>
          <cell r="AA116">
            <v>0</v>
          </cell>
          <cell r="AB116">
            <v>112.5</v>
          </cell>
          <cell r="AC116">
            <v>0</v>
          </cell>
          <cell r="AD116">
            <v>0</v>
          </cell>
          <cell r="AE116">
            <v>146.25</v>
          </cell>
          <cell r="AF116">
            <v>0</v>
          </cell>
          <cell r="AG116">
            <v>0</v>
          </cell>
          <cell r="AH116">
            <v>11.25</v>
          </cell>
          <cell r="AI116">
            <v>0</v>
          </cell>
          <cell r="AJ116">
            <v>0</v>
          </cell>
          <cell r="AK116">
            <v>97.5</v>
          </cell>
          <cell r="AL116">
            <v>0</v>
          </cell>
          <cell r="AM116">
            <v>0</v>
          </cell>
          <cell r="AN116">
            <v>126.75</v>
          </cell>
          <cell r="AO116">
            <v>0</v>
          </cell>
          <cell r="AP116">
            <v>0</v>
          </cell>
          <cell r="AQ116">
            <v>9.75</v>
          </cell>
          <cell r="AR116">
            <v>0</v>
          </cell>
          <cell r="AS116">
            <v>0</v>
          </cell>
          <cell r="AT116">
            <v>150</v>
          </cell>
          <cell r="AU116">
            <v>0</v>
          </cell>
          <cell r="AV116">
            <v>0</v>
          </cell>
          <cell r="AW116">
            <v>195</v>
          </cell>
          <cell r="AX116">
            <v>0</v>
          </cell>
          <cell r="AY116">
            <v>0</v>
          </cell>
          <cell r="AZ116">
            <v>15</v>
          </cell>
          <cell r="BA116">
            <v>0</v>
          </cell>
          <cell r="BB116">
            <v>0</v>
          </cell>
          <cell r="BC116">
            <v>75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7740</v>
          </cell>
        </row>
        <row r="117">
          <cell r="C117">
            <v>30219</v>
          </cell>
          <cell r="D117" t="str">
            <v>Gonzales, Redd Gualvez</v>
          </cell>
          <cell r="E117">
            <v>32</v>
          </cell>
          <cell r="F117">
            <v>4</v>
          </cell>
          <cell r="G117">
            <v>600</v>
          </cell>
          <cell r="H117">
            <v>2400</v>
          </cell>
          <cell r="I117">
            <v>0</v>
          </cell>
          <cell r="J117">
            <v>1.25</v>
          </cell>
          <cell r="K117">
            <v>0</v>
          </cell>
          <cell r="L117">
            <v>8</v>
          </cell>
          <cell r="M117">
            <v>93.75</v>
          </cell>
          <cell r="N117">
            <v>750</v>
          </cell>
          <cell r="O117">
            <v>32</v>
          </cell>
          <cell r="P117">
            <v>7.5</v>
          </cell>
          <cell r="Q117">
            <v>240</v>
          </cell>
          <cell r="R117">
            <v>0</v>
          </cell>
          <cell r="S117">
            <v>97.5</v>
          </cell>
          <cell r="T117">
            <v>0</v>
          </cell>
          <cell r="U117">
            <v>0</v>
          </cell>
          <cell r="V117">
            <v>126.75</v>
          </cell>
          <cell r="W117">
            <v>0</v>
          </cell>
          <cell r="X117">
            <v>0</v>
          </cell>
          <cell r="Y117">
            <v>9.75</v>
          </cell>
          <cell r="Z117">
            <v>0</v>
          </cell>
          <cell r="AA117">
            <v>0</v>
          </cell>
          <cell r="AB117">
            <v>112.5</v>
          </cell>
          <cell r="AC117">
            <v>0</v>
          </cell>
          <cell r="AD117">
            <v>0</v>
          </cell>
          <cell r="AE117">
            <v>146.25</v>
          </cell>
          <cell r="AF117">
            <v>0</v>
          </cell>
          <cell r="AG117">
            <v>0</v>
          </cell>
          <cell r="AH117">
            <v>11.25</v>
          </cell>
          <cell r="AI117">
            <v>0</v>
          </cell>
          <cell r="AJ117">
            <v>0</v>
          </cell>
          <cell r="AK117">
            <v>97.5</v>
          </cell>
          <cell r="AL117">
            <v>0</v>
          </cell>
          <cell r="AM117">
            <v>0</v>
          </cell>
          <cell r="AN117">
            <v>126.75</v>
          </cell>
          <cell r="AO117">
            <v>0</v>
          </cell>
          <cell r="AP117">
            <v>0</v>
          </cell>
          <cell r="AQ117">
            <v>9.75</v>
          </cell>
          <cell r="AR117">
            <v>0</v>
          </cell>
          <cell r="AS117">
            <v>0</v>
          </cell>
          <cell r="AT117">
            <v>150</v>
          </cell>
          <cell r="AU117">
            <v>0</v>
          </cell>
          <cell r="AV117">
            <v>0</v>
          </cell>
          <cell r="AW117">
            <v>195</v>
          </cell>
          <cell r="AX117">
            <v>0</v>
          </cell>
          <cell r="AY117">
            <v>0</v>
          </cell>
          <cell r="AZ117">
            <v>15</v>
          </cell>
          <cell r="BA117">
            <v>0</v>
          </cell>
          <cell r="BB117">
            <v>0</v>
          </cell>
          <cell r="BC117">
            <v>75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3390</v>
          </cell>
        </row>
        <row r="118">
          <cell r="C118">
            <v>14214</v>
          </cell>
          <cell r="D118" t="str">
            <v>Griego, Cyrelle Carable</v>
          </cell>
          <cell r="E118">
            <v>80</v>
          </cell>
          <cell r="F118">
            <v>10</v>
          </cell>
          <cell r="G118">
            <v>600</v>
          </cell>
          <cell r="H118">
            <v>6000</v>
          </cell>
          <cell r="I118">
            <v>0</v>
          </cell>
          <cell r="J118">
            <v>1.25</v>
          </cell>
          <cell r="K118">
            <v>0</v>
          </cell>
          <cell r="L118">
            <v>18</v>
          </cell>
          <cell r="M118">
            <v>93.75</v>
          </cell>
          <cell r="N118">
            <v>1687.5</v>
          </cell>
          <cell r="O118">
            <v>32</v>
          </cell>
          <cell r="P118">
            <v>7.5</v>
          </cell>
          <cell r="Q118">
            <v>240</v>
          </cell>
          <cell r="R118">
            <v>0</v>
          </cell>
          <cell r="S118">
            <v>97.5</v>
          </cell>
          <cell r="T118">
            <v>0</v>
          </cell>
          <cell r="U118">
            <v>0</v>
          </cell>
          <cell r="V118">
            <v>126.75</v>
          </cell>
          <cell r="W118">
            <v>0</v>
          </cell>
          <cell r="X118">
            <v>0</v>
          </cell>
          <cell r="Y118">
            <v>9.75</v>
          </cell>
          <cell r="Z118">
            <v>0</v>
          </cell>
          <cell r="AA118">
            <v>0</v>
          </cell>
          <cell r="AB118">
            <v>112.5</v>
          </cell>
          <cell r="AC118">
            <v>0</v>
          </cell>
          <cell r="AD118">
            <v>0</v>
          </cell>
          <cell r="AE118">
            <v>146.25</v>
          </cell>
          <cell r="AF118">
            <v>0</v>
          </cell>
          <cell r="AG118">
            <v>0</v>
          </cell>
          <cell r="AH118">
            <v>11.25</v>
          </cell>
          <cell r="AI118">
            <v>0</v>
          </cell>
          <cell r="AJ118">
            <v>0</v>
          </cell>
          <cell r="AK118">
            <v>97.5</v>
          </cell>
          <cell r="AL118">
            <v>0</v>
          </cell>
          <cell r="AM118">
            <v>0</v>
          </cell>
          <cell r="AN118">
            <v>126.75</v>
          </cell>
          <cell r="AO118">
            <v>0</v>
          </cell>
          <cell r="AP118">
            <v>0</v>
          </cell>
          <cell r="AQ118">
            <v>9.75</v>
          </cell>
          <cell r="AR118">
            <v>0</v>
          </cell>
          <cell r="AS118">
            <v>0</v>
          </cell>
          <cell r="AT118">
            <v>150</v>
          </cell>
          <cell r="AU118">
            <v>0</v>
          </cell>
          <cell r="AV118">
            <v>0</v>
          </cell>
          <cell r="AW118">
            <v>195</v>
          </cell>
          <cell r="AX118">
            <v>0</v>
          </cell>
          <cell r="AY118">
            <v>0</v>
          </cell>
          <cell r="AZ118">
            <v>15</v>
          </cell>
          <cell r="BA118">
            <v>0</v>
          </cell>
          <cell r="BB118">
            <v>0</v>
          </cell>
          <cell r="BC118">
            <v>75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7927.5</v>
          </cell>
        </row>
        <row r="119">
          <cell r="C119">
            <v>12000</v>
          </cell>
          <cell r="D119" t="str">
            <v>Gucilatar, Ivan Caranzo</v>
          </cell>
          <cell r="E119">
            <v>72</v>
          </cell>
          <cell r="F119">
            <v>9</v>
          </cell>
          <cell r="G119">
            <v>600</v>
          </cell>
          <cell r="H119">
            <v>5400</v>
          </cell>
          <cell r="I119">
            <v>0</v>
          </cell>
          <cell r="J119">
            <v>1.25</v>
          </cell>
          <cell r="K119">
            <v>0</v>
          </cell>
          <cell r="L119">
            <v>15</v>
          </cell>
          <cell r="M119">
            <v>93.75</v>
          </cell>
          <cell r="N119">
            <v>1406.25</v>
          </cell>
          <cell r="O119">
            <v>0</v>
          </cell>
          <cell r="P119">
            <v>7.5</v>
          </cell>
          <cell r="Q119">
            <v>0</v>
          </cell>
          <cell r="R119">
            <v>0</v>
          </cell>
          <cell r="S119">
            <v>97.5</v>
          </cell>
          <cell r="T119">
            <v>0</v>
          </cell>
          <cell r="U119">
            <v>0</v>
          </cell>
          <cell r="V119">
            <v>126.75</v>
          </cell>
          <cell r="W119">
            <v>0</v>
          </cell>
          <cell r="X119">
            <v>0</v>
          </cell>
          <cell r="Y119">
            <v>9.75</v>
          </cell>
          <cell r="Z119">
            <v>0</v>
          </cell>
          <cell r="AA119">
            <v>0</v>
          </cell>
          <cell r="AB119">
            <v>112.5</v>
          </cell>
          <cell r="AC119">
            <v>0</v>
          </cell>
          <cell r="AD119">
            <v>0</v>
          </cell>
          <cell r="AE119">
            <v>146.25</v>
          </cell>
          <cell r="AF119">
            <v>0</v>
          </cell>
          <cell r="AG119">
            <v>0</v>
          </cell>
          <cell r="AH119">
            <v>11.25</v>
          </cell>
          <cell r="AI119">
            <v>0</v>
          </cell>
          <cell r="AJ119">
            <v>8</v>
          </cell>
          <cell r="AK119">
            <v>97.5</v>
          </cell>
          <cell r="AL119">
            <v>780</v>
          </cell>
          <cell r="AM119">
            <v>0</v>
          </cell>
          <cell r="AN119">
            <v>126.75</v>
          </cell>
          <cell r="AO119">
            <v>0</v>
          </cell>
          <cell r="AP119">
            <v>0</v>
          </cell>
          <cell r="AQ119">
            <v>9.75</v>
          </cell>
          <cell r="AR119">
            <v>0</v>
          </cell>
          <cell r="AS119">
            <v>0</v>
          </cell>
          <cell r="AT119">
            <v>150</v>
          </cell>
          <cell r="AU119">
            <v>0</v>
          </cell>
          <cell r="AV119">
            <v>0</v>
          </cell>
          <cell r="AW119">
            <v>195</v>
          </cell>
          <cell r="AX119">
            <v>0</v>
          </cell>
          <cell r="AY119">
            <v>0</v>
          </cell>
          <cell r="AZ119">
            <v>15</v>
          </cell>
          <cell r="BA119">
            <v>0</v>
          </cell>
          <cell r="BB119">
            <v>0</v>
          </cell>
          <cell r="BC119">
            <v>75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7586.25</v>
          </cell>
        </row>
        <row r="120">
          <cell r="C120">
            <v>30217</v>
          </cell>
          <cell r="D120" t="str">
            <v>Guerrero, Roberto Borja</v>
          </cell>
          <cell r="E120">
            <v>72</v>
          </cell>
          <cell r="F120">
            <v>9</v>
          </cell>
          <cell r="G120">
            <v>600</v>
          </cell>
          <cell r="H120">
            <v>5400</v>
          </cell>
          <cell r="I120">
            <v>57</v>
          </cell>
          <cell r="J120">
            <v>1.25</v>
          </cell>
          <cell r="K120">
            <v>-71.25</v>
          </cell>
          <cell r="L120">
            <v>15</v>
          </cell>
          <cell r="M120">
            <v>93.75</v>
          </cell>
          <cell r="N120">
            <v>1406.25</v>
          </cell>
          <cell r="O120">
            <v>31</v>
          </cell>
          <cell r="P120">
            <v>7.5</v>
          </cell>
          <cell r="Q120">
            <v>232.5</v>
          </cell>
          <cell r="R120">
            <v>0</v>
          </cell>
          <cell r="S120">
            <v>97.5</v>
          </cell>
          <cell r="T120">
            <v>0</v>
          </cell>
          <cell r="U120">
            <v>0</v>
          </cell>
          <cell r="V120">
            <v>126.75</v>
          </cell>
          <cell r="W120">
            <v>0</v>
          </cell>
          <cell r="X120">
            <v>0</v>
          </cell>
          <cell r="Y120">
            <v>9.75</v>
          </cell>
          <cell r="Z120">
            <v>0</v>
          </cell>
          <cell r="AA120">
            <v>0</v>
          </cell>
          <cell r="AB120">
            <v>112.5</v>
          </cell>
          <cell r="AC120">
            <v>0</v>
          </cell>
          <cell r="AD120">
            <v>0</v>
          </cell>
          <cell r="AE120">
            <v>146.25</v>
          </cell>
          <cell r="AF120">
            <v>0</v>
          </cell>
          <cell r="AG120">
            <v>0</v>
          </cell>
          <cell r="AH120">
            <v>11.25</v>
          </cell>
          <cell r="AI120">
            <v>0</v>
          </cell>
          <cell r="AJ120">
            <v>0</v>
          </cell>
          <cell r="AK120">
            <v>97.5</v>
          </cell>
          <cell r="AL120">
            <v>0</v>
          </cell>
          <cell r="AM120">
            <v>0</v>
          </cell>
          <cell r="AN120">
            <v>126.75</v>
          </cell>
          <cell r="AO120">
            <v>0</v>
          </cell>
          <cell r="AP120">
            <v>0</v>
          </cell>
          <cell r="AQ120">
            <v>9.75</v>
          </cell>
          <cell r="AR120">
            <v>0</v>
          </cell>
          <cell r="AS120">
            <v>0</v>
          </cell>
          <cell r="AT120">
            <v>150</v>
          </cell>
          <cell r="AU120">
            <v>0</v>
          </cell>
          <cell r="AV120">
            <v>0</v>
          </cell>
          <cell r="AW120">
            <v>195</v>
          </cell>
          <cell r="AX120">
            <v>0</v>
          </cell>
          <cell r="AY120">
            <v>0</v>
          </cell>
          <cell r="AZ120">
            <v>15</v>
          </cell>
          <cell r="BA120">
            <v>0</v>
          </cell>
          <cell r="BB120">
            <v>0</v>
          </cell>
          <cell r="BC120">
            <v>75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6967.5</v>
          </cell>
        </row>
        <row r="121">
          <cell r="C121">
            <v>14217</v>
          </cell>
          <cell r="D121" t="str">
            <v>Guevarra, Mark Joseph Dejon</v>
          </cell>
          <cell r="E121">
            <v>24</v>
          </cell>
          <cell r="F121">
            <v>3</v>
          </cell>
          <cell r="G121">
            <v>600</v>
          </cell>
          <cell r="H121">
            <v>1800</v>
          </cell>
          <cell r="I121">
            <v>0</v>
          </cell>
          <cell r="J121">
            <v>1.25</v>
          </cell>
          <cell r="K121">
            <v>0</v>
          </cell>
          <cell r="L121">
            <v>6</v>
          </cell>
          <cell r="M121">
            <v>93.75</v>
          </cell>
          <cell r="N121">
            <v>562.5</v>
          </cell>
          <cell r="O121">
            <v>24</v>
          </cell>
          <cell r="P121">
            <v>7.5</v>
          </cell>
          <cell r="Q121">
            <v>180</v>
          </cell>
          <cell r="R121">
            <v>0</v>
          </cell>
          <cell r="S121">
            <v>97.5</v>
          </cell>
          <cell r="T121">
            <v>0</v>
          </cell>
          <cell r="U121">
            <v>0</v>
          </cell>
          <cell r="V121">
            <v>126.75</v>
          </cell>
          <cell r="W121">
            <v>0</v>
          </cell>
          <cell r="X121">
            <v>0</v>
          </cell>
          <cell r="Y121">
            <v>9.75</v>
          </cell>
          <cell r="Z121">
            <v>0</v>
          </cell>
          <cell r="AA121">
            <v>0</v>
          </cell>
          <cell r="AB121">
            <v>112.5</v>
          </cell>
          <cell r="AC121">
            <v>0</v>
          </cell>
          <cell r="AD121">
            <v>0</v>
          </cell>
          <cell r="AE121">
            <v>146.25</v>
          </cell>
          <cell r="AF121">
            <v>0</v>
          </cell>
          <cell r="AG121">
            <v>0</v>
          </cell>
          <cell r="AH121">
            <v>11.25</v>
          </cell>
          <cell r="AI121">
            <v>0</v>
          </cell>
          <cell r="AJ121">
            <v>0</v>
          </cell>
          <cell r="AK121">
            <v>97.5</v>
          </cell>
          <cell r="AL121">
            <v>0</v>
          </cell>
          <cell r="AM121">
            <v>0</v>
          </cell>
          <cell r="AN121">
            <v>126.75</v>
          </cell>
          <cell r="AO121">
            <v>0</v>
          </cell>
          <cell r="AP121">
            <v>0</v>
          </cell>
          <cell r="AQ121">
            <v>9.75</v>
          </cell>
          <cell r="AR121">
            <v>0</v>
          </cell>
          <cell r="AS121">
            <v>0</v>
          </cell>
          <cell r="AT121">
            <v>150</v>
          </cell>
          <cell r="AU121">
            <v>0</v>
          </cell>
          <cell r="AV121">
            <v>0</v>
          </cell>
          <cell r="AW121">
            <v>195</v>
          </cell>
          <cell r="AX121">
            <v>0</v>
          </cell>
          <cell r="AY121">
            <v>0</v>
          </cell>
          <cell r="AZ121">
            <v>15</v>
          </cell>
          <cell r="BA121">
            <v>0</v>
          </cell>
          <cell r="BB121">
            <v>0</v>
          </cell>
          <cell r="BC121">
            <v>75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2542.5</v>
          </cell>
        </row>
        <row r="122">
          <cell r="C122">
            <v>14218</v>
          </cell>
          <cell r="D122" t="str">
            <v>Guianan, Aira Llagas</v>
          </cell>
          <cell r="E122">
            <v>88</v>
          </cell>
          <cell r="F122">
            <v>11</v>
          </cell>
          <cell r="G122">
            <v>600</v>
          </cell>
          <cell r="H122">
            <v>6600</v>
          </cell>
          <cell r="I122">
            <v>0</v>
          </cell>
          <cell r="J122">
            <v>1.25</v>
          </cell>
          <cell r="K122">
            <v>0</v>
          </cell>
          <cell r="L122">
            <v>17</v>
          </cell>
          <cell r="M122">
            <v>93.75</v>
          </cell>
          <cell r="N122">
            <v>1593.75</v>
          </cell>
          <cell r="O122">
            <v>52</v>
          </cell>
          <cell r="P122">
            <v>7.5</v>
          </cell>
          <cell r="Q122">
            <v>390</v>
          </cell>
          <cell r="R122">
            <v>0</v>
          </cell>
          <cell r="S122">
            <v>97.5</v>
          </cell>
          <cell r="T122">
            <v>0</v>
          </cell>
          <cell r="U122">
            <v>0</v>
          </cell>
          <cell r="V122">
            <v>126.75</v>
          </cell>
          <cell r="W122">
            <v>0</v>
          </cell>
          <cell r="X122">
            <v>0</v>
          </cell>
          <cell r="Y122">
            <v>9.75</v>
          </cell>
          <cell r="Z122">
            <v>0</v>
          </cell>
          <cell r="AA122">
            <v>0</v>
          </cell>
          <cell r="AB122">
            <v>112.5</v>
          </cell>
          <cell r="AC122">
            <v>0</v>
          </cell>
          <cell r="AD122">
            <v>0</v>
          </cell>
          <cell r="AE122">
            <v>146.25</v>
          </cell>
          <cell r="AF122">
            <v>0</v>
          </cell>
          <cell r="AG122">
            <v>0</v>
          </cell>
          <cell r="AH122">
            <v>11.25</v>
          </cell>
          <cell r="AI122">
            <v>0</v>
          </cell>
          <cell r="AJ122">
            <v>8</v>
          </cell>
          <cell r="AK122">
            <v>97.5</v>
          </cell>
          <cell r="AL122">
            <v>780</v>
          </cell>
          <cell r="AM122">
            <v>0</v>
          </cell>
          <cell r="AN122">
            <v>126.75</v>
          </cell>
          <cell r="AO122">
            <v>0</v>
          </cell>
          <cell r="AP122">
            <v>0</v>
          </cell>
          <cell r="AQ122">
            <v>9.75</v>
          </cell>
          <cell r="AR122">
            <v>0</v>
          </cell>
          <cell r="AS122">
            <v>0</v>
          </cell>
          <cell r="AT122">
            <v>150</v>
          </cell>
          <cell r="AU122">
            <v>0</v>
          </cell>
          <cell r="AV122">
            <v>0</v>
          </cell>
          <cell r="AW122">
            <v>195</v>
          </cell>
          <cell r="AX122">
            <v>0</v>
          </cell>
          <cell r="AY122">
            <v>0</v>
          </cell>
          <cell r="AZ122">
            <v>15</v>
          </cell>
          <cell r="BA122">
            <v>0</v>
          </cell>
          <cell r="BB122">
            <v>0</v>
          </cell>
          <cell r="BC122">
            <v>75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9363.75</v>
          </cell>
        </row>
        <row r="123">
          <cell r="C123">
            <v>14222</v>
          </cell>
          <cell r="D123" t="str">
            <v>Hernandez, Angelo Ramos</v>
          </cell>
          <cell r="E123">
            <v>64</v>
          </cell>
          <cell r="F123">
            <v>8</v>
          </cell>
          <cell r="G123">
            <v>600</v>
          </cell>
          <cell r="H123">
            <v>4800</v>
          </cell>
          <cell r="I123">
            <v>0</v>
          </cell>
          <cell r="J123">
            <v>1.25</v>
          </cell>
          <cell r="K123">
            <v>0</v>
          </cell>
          <cell r="L123">
            <v>14</v>
          </cell>
          <cell r="M123">
            <v>93.75</v>
          </cell>
          <cell r="N123">
            <v>1312.5</v>
          </cell>
          <cell r="O123">
            <v>32</v>
          </cell>
          <cell r="P123">
            <v>7.5</v>
          </cell>
          <cell r="Q123">
            <v>240</v>
          </cell>
          <cell r="R123">
            <v>0</v>
          </cell>
          <cell r="S123">
            <v>97.5</v>
          </cell>
          <cell r="T123">
            <v>0</v>
          </cell>
          <cell r="U123">
            <v>0</v>
          </cell>
          <cell r="V123">
            <v>126.75</v>
          </cell>
          <cell r="W123">
            <v>0</v>
          </cell>
          <cell r="X123">
            <v>0</v>
          </cell>
          <cell r="Y123">
            <v>9.75</v>
          </cell>
          <cell r="Z123">
            <v>0</v>
          </cell>
          <cell r="AA123">
            <v>0</v>
          </cell>
          <cell r="AB123">
            <v>112.5</v>
          </cell>
          <cell r="AC123">
            <v>0</v>
          </cell>
          <cell r="AD123">
            <v>0</v>
          </cell>
          <cell r="AE123">
            <v>146.25</v>
          </cell>
          <cell r="AF123">
            <v>0</v>
          </cell>
          <cell r="AG123">
            <v>0</v>
          </cell>
          <cell r="AH123">
            <v>11.25</v>
          </cell>
          <cell r="AI123">
            <v>0</v>
          </cell>
          <cell r="AJ123">
            <v>0</v>
          </cell>
          <cell r="AK123">
            <v>97.5</v>
          </cell>
          <cell r="AL123">
            <v>0</v>
          </cell>
          <cell r="AM123">
            <v>0</v>
          </cell>
          <cell r="AN123">
            <v>126.75</v>
          </cell>
          <cell r="AO123">
            <v>0</v>
          </cell>
          <cell r="AP123">
            <v>0</v>
          </cell>
          <cell r="AQ123">
            <v>9.75</v>
          </cell>
          <cell r="AR123">
            <v>0</v>
          </cell>
          <cell r="AS123">
            <v>0</v>
          </cell>
          <cell r="AT123">
            <v>150</v>
          </cell>
          <cell r="AU123">
            <v>0</v>
          </cell>
          <cell r="AV123">
            <v>0</v>
          </cell>
          <cell r="AW123">
            <v>195</v>
          </cell>
          <cell r="AX123">
            <v>0</v>
          </cell>
          <cell r="AY123">
            <v>0</v>
          </cell>
          <cell r="AZ123">
            <v>15</v>
          </cell>
          <cell r="BA123">
            <v>0</v>
          </cell>
          <cell r="BB123">
            <v>0</v>
          </cell>
          <cell r="BC123">
            <v>75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6352.5</v>
          </cell>
        </row>
        <row r="124">
          <cell r="C124">
            <v>14568</v>
          </cell>
          <cell r="D124" t="str">
            <v>Hernandez, Jan Mark</v>
          </cell>
          <cell r="E124">
            <v>80</v>
          </cell>
          <cell r="F124">
            <v>10</v>
          </cell>
          <cell r="G124">
            <v>600</v>
          </cell>
          <cell r="H124">
            <v>6000</v>
          </cell>
          <cell r="I124">
            <v>5</v>
          </cell>
          <cell r="J124">
            <v>1.25</v>
          </cell>
          <cell r="K124">
            <v>-6.25</v>
          </cell>
          <cell r="L124">
            <v>21</v>
          </cell>
          <cell r="M124">
            <v>93.75</v>
          </cell>
          <cell r="N124">
            <v>1968.75</v>
          </cell>
          <cell r="O124">
            <v>32</v>
          </cell>
          <cell r="P124">
            <v>7.5</v>
          </cell>
          <cell r="Q124">
            <v>240</v>
          </cell>
          <cell r="R124">
            <v>0</v>
          </cell>
          <cell r="S124">
            <v>97.5</v>
          </cell>
          <cell r="T124">
            <v>0</v>
          </cell>
          <cell r="U124">
            <v>0</v>
          </cell>
          <cell r="V124">
            <v>126.75</v>
          </cell>
          <cell r="W124">
            <v>0</v>
          </cell>
          <cell r="X124">
            <v>0</v>
          </cell>
          <cell r="Y124">
            <v>9.75</v>
          </cell>
          <cell r="Z124">
            <v>0</v>
          </cell>
          <cell r="AA124">
            <v>0</v>
          </cell>
          <cell r="AB124">
            <v>112.5</v>
          </cell>
          <cell r="AC124">
            <v>0</v>
          </cell>
          <cell r="AD124">
            <v>0</v>
          </cell>
          <cell r="AE124">
            <v>146.25</v>
          </cell>
          <cell r="AF124">
            <v>0</v>
          </cell>
          <cell r="AG124">
            <v>0</v>
          </cell>
          <cell r="AH124">
            <v>11.25</v>
          </cell>
          <cell r="AI124">
            <v>0</v>
          </cell>
          <cell r="AJ124">
            <v>0</v>
          </cell>
          <cell r="AK124">
            <v>97.5</v>
          </cell>
          <cell r="AL124">
            <v>0</v>
          </cell>
          <cell r="AM124">
            <v>0</v>
          </cell>
          <cell r="AN124">
            <v>126.75</v>
          </cell>
          <cell r="AO124">
            <v>0</v>
          </cell>
          <cell r="AP124">
            <v>0</v>
          </cell>
          <cell r="AQ124">
            <v>9.75</v>
          </cell>
          <cell r="AR124">
            <v>0</v>
          </cell>
          <cell r="AS124">
            <v>0</v>
          </cell>
          <cell r="AT124">
            <v>150</v>
          </cell>
          <cell r="AU124">
            <v>0</v>
          </cell>
          <cell r="AV124">
            <v>0</v>
          </cell>
          <cell r="AW124">
            <v>195</v>
          </cell>
          <cell r="AX124">
            <v>0</v>
          </cell>
          <cell r="AY124">
            <v>0</v>
          </cell>
          <cell r="AZ124">
            <v>15</v>
          </cell>
          <cell r="BA124">
            <v>0</v>
          </cell>
          <cell r="BB124">
            <v>0</v>
          </cell>
          <cell r="BC124">
            <v>75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8202.5</v>
          </cell>
        </row>
        <row r="125">
          <cell r="C125">
            <v>14567</v>
          </cell>
          <cell r="D125" t="str">
            <v>Hernandez, Marco</v>
          </cell>
          <cell r="E125">
            <v>80</v>
          </cell>
          <cell r="F125">
            <v>10</v>
          </cell>
          <cell r="G125">
            <v>600</v>
          </cell>
          <cell r="H125">
            <v>6000</v>
          </cell>
          <cell r="I125">
            <v>7</v>
          </cell>
          <cell r="J125">
            <v>1.25</v>
          </cell>
          <cell r="K125">
            <v>-8.75</v>
          </cell>
          <cell r="L125">
            <v>21</v>
          </cell>
          <cell r="M125">
            <v>93.75</v>
          </cell>
          <cell r="N125">
            <v>1968.75</v>
          </cell>
          <cell r="O125">
            <v>32</v>
          </cell>
          <cell r="P125">
            <v>7.5</v>
          </cell>
          <cell r="Q125">
            <v>240</v>
          </cell>
          <cell r="R125">
            <v>0</v>
          </cell>
          <cell r="S125">
            <v>97.5</v>
          </cell>
          <cell r="T125">
            <v>0</v>
          </cell>
          <cell r="U125">
            <v>0</v>
          </cell>
          <cell r="V125">
            <v>126.75</v>
          </cell>
          <cell r="W125">
            <v>0</v>
          </cell>
          <cell r="X125">
            <v>0</v>
          </cell>
          <cell r="Y125">
            <v>9.75</v>
          </cell>
          <cell r="Z125">
            <v>0</v>
          </cell>
          <cell r="AA125">
            <v>0</v>
          </cell>
          <cell r="AB125">
            <v>112.5</v>
          </cell>
          <cell r="AC125">
            <v>0</v>
          </cell>
          <cell r="AD125">
            <v>0</v>
          </cell>
          <cell r="AE125">
            <v>146.25</v>
          </cell>
          <cell r="AF125">
            <v>0</v>
          </cell>
          <cell r="AG125">
            <v>0</v>
          </cell>
          <cell r="AH125">
            <v>11.25</v>
          </cell>
          <cell r="AI125">
            <v>0</v>
          </cell>
          <cell r="AJ125">
            <v>0</v>
          </cell>
          <cell r="AK125">
            <v>97.5</v>
          </cell>
          <cell r="AL125">
            <v>0</v>
          </cell>
          <cell r="AM125">
            <v>0</v>
          </cell>
          <cell r="AN125">
            <v>126.75</v>
          </cell>
          <cell r="AO125">
            <v>0</v>
          </cell>
          <cell r="AP125">
            <v>0</v>
          </cell>
          <cell r="AQ125">
            <v>9.75</v>
          </cell>
          <cell r="AR125">
            <v>0</v>
          </cell>
          <cell r="AS125">
            <v>0</v>
          </cell>
          <cell r="AT125">
            <v>150</v>
          </cell>
          <cell r="AU125">
            <v>0</v>
          </cell>
          <cell r="AV125">
            <v>0</v>
          </cell>
          <cell r="AW125">
            <v>195</v>
          </cell>
          <cell r="AX125">
            <v>0</v>
          </cell>
          <cell r="AY125">
            <v>0</v>
          </cell>
          <cell r="AZ125">
            <v>15</v>
          </cell>
          <cell r="BA125">
            <v>0</v>
          </cell>
          <cell r="BB125">
            <v>0</v>
          </cell>
          <cell r="BC125">
            <v>75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8200</v>
          </cell>
        </row>
        <row r="126">
          <cell r="C126">
            <v>14223</v>
          </cell>
          <cell r="D126" t="str">
            <v>Hernando, Maria Rebecca Cajontoy</v>
          </cell>
          <cell r="E126">
            <v>80</v>
          </cell>
          <cell r="F126">
            <v>10</v>
          </cell>
          <cell r="G126">
            <v>600</v>
          </cell>
          <cell r="H126">
            <v>6000</v>
          </cell>
          <cell r="I126">
            <v>0</v>
          </cell>
          <cell r="J126">
            <v>1.25</v>
          </cell>
          <cell r="K126">
            <v>0</v>
          </cell>
          <cell r="L126">
            <v>18</v>
          </cell>
          <cell r="M126">
            <v>93.75</v>
          </cell>
          <cell r="N126">
            <v>1687.5</v>
          </cell>
          <cell r="O126">
            <v>32</v>
          </cell>
          <cell r="P126">
            <v>7.5</v>
          </cell>
          <cell r="Q126">
            <v>240</v>
          </cell>
          <cell r="R126">
            <v>0</v>
          </cell>
          <cell r="S126">
            <v>97.5</v>
          </cell>
          <cell r="T126">
            <v>0</v>
          </cell>
          <cell r="U126">
            <v>0</v>
          </cell>
          <cell r="V126">
            <v>126.75</v>
          </cell>
          <cell r="W126">
            <v>0</v>
          </cell>
          <cell r="X126">
            <v>0</v>
          </cell>
          <cell r="Y126">
            <v>9.75</v>
          </cell>
          <cell r="Z126">
            <v>0</v>
          </cell>
          <cell r="AA126">
            <v>0</v>
          </cell>
          <cell r="AB126">
            <v>112.5</v>
          </cell>
          <cell r="AC126">
            <v>0</v>
          </cell>
          <cell r="AD126">
            <v>0</v>
          </cell>
          <cell r="AE126">
            <v>146.25</v>
          </cell>
          <cell r="AF126">
            <v>0</v>
          </cell>
          <cell r="AG126">
            <v>0</v>
          </cell>
          <cell r="AH126">
            <v>11.25</v>
          </cell>
          <cell r="AI126">
            <v>0</v>
          </cell>
          <cell r="AJ126">
            <v>0</v>
          </cell>
          <cell r="AK126">
            <v>97.5</v>
          </cell>
          <cell r="AL126">
            <v>0</v>
          </cell>
          <cell r="AM126">
            <v>0</v>
          </cell>
          <cell r="AN126">
            <v>126.75</v>
          </cell>
          <cell r="AO126">
            <v>0</v>
          </cell>
          <cell r="AP126">
            <v>0</v>
          </cell>
          <cell r="AQ126">
            <v>9.75</v>
          </cell>
          <cell r="AR126">
            <v>0</v>
          </cell>
          <cell r="AS126">
            <v>0</v>
          </cell>
          <cell r="AT126">
            <v>150</v>
          </cell>
          <cell r="AU126">
            <v>0</v>
          </cell>
          <cell r="AV126">
            <v>0</v>
          </cell>
          <cell r="AW126">
            <v>195</v>
          </cell>
          <cell r="AX126">
            <v>0</v>
          </cell>
          <cell r="AY126">
            <v>0</v>
          </cell>
          <cell r="AZ126">
            <v>15</v>
          </cell>
          <cell r="BA126">
            <v>0</v>
          </cell>
          <cell r="BB126">
            <v>0</v>
          </cell>
          <cell r="BC126">
            <v>75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7927.5</v>
          </cell>
        </row>
        <row r="127">
          <cell r="C127">
            <v>14225</v>
          </cell>
          <cell r="D127" t="str">
            <v>Huerto, Jhon Rick Guardian</v>
          </cell>
          <cell r="E127">
            <v>80</v>
          </cell>
          <cell r="F127">
            <v>10</v>
          </cell>
          <cell r="G127">
            <v>600</v>
          </cell>
          <cell r="H127">
            <v>6000</v>
          </cell>
          <cell r="I127">
            <v>0</v>
          </cell>
          <cell r="J127">
            <v>1.25</v>
          </cell>
          <cell r="K127">
            <v>0</v>
          </cell>
          <cell r="L127">
            <v>18</v>
          </cell>
          <cell r="M127">
            <v>93.75</v>
          </cell>
          <cell r="N127">
            <v>1687.5</v>
          </cell>
          <cell r="O127">
            <v>0</v>
          </cell>
          <cell r="P127">
            <v>7.5</v>
          </cell>
          <cell r="Q127">
            <v>0</v>
          </cell>
          <cell r="R127">
            <v>8</v>
          </cell>
          <cell r="S127">
            <v>97.5</v>
          </cell>
          <cell r="T127">
            <v>780</v>
          </cell>
          <cell r="U127">
            <v>0</v>
          </cell>
          <cell r="V127">
            <v>126.75</v>
          </cell>
          <cell r="W127">
            <v>0</v>
          </cell>
          <cell r="X127">
            <v>0</v>
          </cell>
          <cell r="Y127">
            <v>9.75</v>
          </cell>
          <cell r="Z127">
            <v>0</v>
          </cell>
          <cell r="AA127">
            <v>0</v>
          </cell>
          <cell r="AB127">
            <v>112.5</v>
          </cell>
          <cell r="AC127">
            <v>0</v>
          </cell>
          <cell r="AD127">
            <v>0</v>
          </cell>
          <cell r="AE127">
            <v>146.25</v>
          </cell>
          <cell r="AF127">
            <v>0</v>
          </cell>
          <cell r="AG127">
            <v>0</v>
          </cell>
          <cell r="AH127">
            <v>11.25</v>
          </cell>
          <cell r="AI127">
            <v>0</v>
          </cell>
          <cell r="AJ127">
            <v>8</v>
          </cell>
          <cell r="AK127">
            <v>97.5</v>
          </cell>
          <cell r="AL127">
            <v>780</v>
          </cell>
          <cell r="AM127">
            <v>0</v>
          </cell>
          <cell r="AN127">
            <v>126.75</v>
          </cell>
          <cell r="AO127">
            <v>0</v>
          </cell>
          <cell r="AP127">
            <v>0</v>
          </cell>
          <cell r="AQ127">
            <v>9.75</v>
          </cell>
          <cell r="AR127">
            <v>0</v>
          </cell>
          <cell r="AS127">
            <v>0</v>
          </cell>
          <cell r="AT127">
            <v>150</v>
          </cell>
          <cell r="AU127">
            <v>0</v>
          </cell>
          <cell r="AV127">
            <v>0</v>
          </cell>
          <cell r="AW127">
            <v>195</v>
          </cell>
          <cell r="AX127">
            <v>0</v>
          </cell>
          <cell r="AY127">
            <v>0</v>
          </cell>
          <cell r="AZ127">
            <v>15</v>
          </cell>
          <cell r="BA127">
            <v>0</v>
          </cell>
          <cell r="BB127">
            <v>0</v>
          </cell>
          <cell r="BC127">
            <v>75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9247.5</v>
          </cell>
        </row>
        <row r="128">
          <cell r="C128">
            <v>14231</v>
          </cell>
          <cell r="D128" t="str">
            <v>Javier, Rhomer De Castro</v>
          </cell>
          <cell r="E128">
            <v>72</v>
          </cell>
          <cell r="F128">
            <v>9</v>
          </cell>
          <cell r="G128">
            <v>600</v>
          </cell>
          <cell r="H128">
            <v>5400</v>
          </cell>
          <cell r="I128">
            <v>91</v>
          </cell>
          <cell r="J128">
            <v>1.25</v>
          </cell>
          <cell r="K128">
            <v>-113.75</v>
          </cell>
          <cell r="L128">
            <v>11</v>
          </cell>
          <cell r="M128">
            <v>93.75</v>
          </cell>
          <cell r="N128">
            <v>1031.25</v>
          </cell>
          <cell r="O128">
            <v>0</v>
          </cell>
          <cell r="P128">
            <v>7.5</v>
          </cell>
          <cell r="Q128">
            <v>0</v>
          </cell>
          <cell r="R128">
            <v>0</v>
          </cell>
          <cell r="S128">
            <v>97.5</v>
          </cell>
          <cell r="T128">
            <v>0</v>
          </cell>
          <cell r="U128">
            <v>0</v>
          </cell>
          <cell r="V128">
            <v>126.75</v>
          </cell>
          <cell r="W128">
            <v>0</v>
          </cell>
          <cell r="X128">
            <v>0</v>
          </cell>
          <cell r="Y128">
            <v>9.75</v>
          </cell>
          <cell r="Z128">
            <v>0</v>
          </cell>
          <cell r="AA128">
            <v>0</v>
          </cell>
          <cell r="AB128">
            <v>112.5</v>
          </cell>
          <cell r="AC128">
            <v>0</v>
          </cell>
          <cell r="AD128">
            <v>0</v>
          </cell>
          <cell r="AE128">
            <v>146.25</v>
          </cell>
          <cell r="AF128">
            <v>0</v>
          </cell>
          <cell r="AG128">
            <v>0</v>
          </cell>
          <cell r="AH128">
            <v>11.25</v>
          </cell>
          <cell r="AI128">
            <v>0</v>
          </cell>
          <cell r="AJ128">
            <v>0</v>
          </cell>
          <cell r="AK128">
            <v>97.5</v>
          </cell>
          <cell r="AL128">
            <v>0</v>
          </cell>
          <cell r="AM128">
            <v>0</v>
          </cell>
          <cell r="AN128">
            <v>126.75</v>
          </cell>
          <cell r="AO128">
            <v>0</v>
          </cell>
          <cell r="AP128">
            <v>0</v>
          </cell>
          <cell r="AQ128">
            <v>9.75</v>
          </cell>
          <cell r="AR128">
            <v>0</v>
          </cell>
          <cell r="AS128">
            <v>0</v>
          </cell>
          <cell r="AT128">
            <v>150</v>
          </cell>
          <cell r="AU128">
            <v>0</v>
          </cell>
          <cell r="AV128">
            <v>0</v>
          </cell>
          <cell r="AW128">
            <v>195</v>
          </cell>
          <cell r="AX128">
            <v>0</v>
          </cell>
          <cell r="AY128">
            <v>0</v>
          </cell>
          <cell r="AZ128">
            <v>15</v>
          </cell>
          <cell r="BA128">
            <v>0</v>
          </cell>
          <cell r="BB128">
            <v>0</v>
          </cell>
          <cell r="BC128">
            <v>75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6317.5</v>
          </cell>
        </row>
        <row r="129">
          <cell r="C129">
            <v>14232</v>
          </cell>
          <cell r="D129" t="str">
            <v>Javier, Sarah Espinosa</v>
          </cell>
          <cell r="E129">
            <v>72</v>
          </cell>
          <cell r="F129">
            <v>9</v>
          </cell>
          <cell r="G129">
            <v>600</v>
          </cell>
          <cell r="H129">
            <v>5400</v>
          </cell>
          <cell r="I129">
            <v>0</v>
          </cell>
          <cell r="J129">
            <v>1.25</v>
          </cell>
          <cell r="K129">
            <v>0</v>
          </cell>
          <cell r="L129">
            <v>15</v>
          </cell>
          <cell r="M129">
            <v>93.75</v>
          </cell>
          <cell r="N129">
            <v>1406.25</v>
          </cell>
          <cell r="O129">
            <v>0</v>
          </cell>
          <cell r="P129">
            <v>7.5</v>
          </cell>
          <cell r="Q129">
            <v>0</v>
          </cell>
          <cell r="R129">
            <v>8</v>
          </cell>
          <cell r="S129">
            <v>97.5</v>
          </cell>
          <cell r="T129">
            <v>780</v>
          </cell>
          <cell r="U129">
            <v>0</v>
          </cell>
          <cell r="V129">
            <v>126.75</v>
          </cell>
          <cell r="W129">
            <v>0</v>
          </cell>
          <cell r="X129">
            <v>0</v>
          </cell>
          <cell r="Y129">
            <v>9.75</v>
          </cell>
          <cell r="Z129">
            <v>0</v>
          </cell>
          <cell r="AA129">
            <v>0</v>
          </cell>
          <cell r="AB129">
            <v>112.5</v>
          </cell>
          <cell r="AC129">
            <v>0</v>
          </cell>
          <cell r="AD129">
            <v>0</v>
          </cell>
          <cell r="AE129">
            <v>146.25</v>
          </cell>
          <cell r="AF129">
            <v>0</v>
          </cell>
          <cell r="AG129">
            <v>0</v>
          </cell>
          <cell r="AH129">
            <v>11.25</v>
          </cell>
          <cell r="AI129">
            <v>0</v>
          </cell>
          <cell r="AJ129">
            <v>8</v>
          </cell>
          <cell r="AK129">
            <v>97.5</v>
          </cell>
          <cell r="AL129">
            <v>780</v>
          </cell>
          <cell r="AM129">
            <v>0</v>
          </cell>
          <cell r="AN129">
            <v>126.75</v>
          </cell>
          <cell r="AO129">
            <v>0</v>
          </cell>
          <cell r="AP129">
            <v>0</v>
          </cell>
          <cell r="AQ129">
            <v>9.75</v>
          </cell>
          <cell r="AR129">
            <v>0</v>
          </cell>
          <cell r="AS129">
            <v>0</v>
          </cell>
          <cell r="AT129">
            <v>150</v>
          </cell>
          <cell r="AU129">
            <v>0</v>
          </cell>
          <cell r="AV129">
            <v>0</v>
          </cell>
          <cell r="AW129">
            <v>195</v>
          </cell>
          <cell r="AX129">
            <v>0</v>
          </cell>
          <cell r="AY129">
            <v>0</v>
          </cell>
          <cell r="AZ129">
            <v>15</v>
          </cell>
          <cell r="BA129">
            <v>0</v>
          </cell>
          <cell r="BB129">
            <v>0</v>
          </cell>
          <cell r="BC129">
            <v>75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8366.25</v>
          </cell>
        </row>
        <row r="130">
          <cell r="C130">
            <v>6519</v>
          </cell>
          <cell r="D130" t="str">
            <v>Lacbay, Trixia Mae Aguilera</v>
          </cell>
          <cell r="E130">
            <v>80</v>
          </cell>
          <cell r="F130">
            <v>10</v>
          </cell>
          <cell r="G130">
            <v>600</v>
          </cell>
          <cell r="H130">
            <v>6000</v>
          </cell>
          <cell r="I130">
            <v>11</v>
          </cell>
          <cell r="J130">
            <v>1.25</v>
          </cell>
          <cell r="K130">
            <v>-13.75</v>
          </cell>
          <cell r="L130">
            <v>18</v>
          </cell>
          <cell r="M130">
            <v>93.75</v>
          </cell>
          <cell r="N130">
            <v>1687.5</v>
          </cell>
          <cell r="O130">
            <v>46</v>
          </cell>
          <cell r="P130">
            <v>7.5</v>
          </cell>
          <cell r="Q130">
            <v>345</v>
          </cell>
          <cell r="R130">
            <v>0</v>
          </cell>
          <cell r="S130">
            <v>97.5</v>
          </cell>
          <cell r="T130">
            <v>0</v>
          </cell>
          <cell r="U130">
            <v>0</v>
          </cell>
          <cell r="V130">
            <v>126.75</v>
          </cell>
          <cell r="W130">
            <v>0</v>
          </cell>
          <cell r="X130">
            <v>0</v>
          </cell>
          <cell r="Y130">
            <v>9.75</v>
          </cell>
          <cell r="Z130">
            <v>0</v>
          </cell>
          <cell r="AA130">
            <v>0</v>
          </cell>
          <cell r="AB130">
            <v>112.5</v>
          </cell>
          <cell r="AC130">
            <v>0</v>
          </cell>
          <cell r="AD130">
            <v>0</v>
          </cell>
          <cell r="AE130">
            <v>146.25</v>
          </cell>
          <cell r="AF130">
            <v>0</v>
          </cell>
          <cell r="AG130">
            <v>0</v>
          </cell>
          <cell r="AH130">
            <v>11.25</v>
          </cell>
          <cell r="AI130">
            <v>0</v>
          </cell>
          <cell r="AJ130">
            <v>8</v>
          </cell>
          <cell r="AK130">
            <v>97.5</v>
          </cell>
          <cell r="AL130">
            <v>780</v>
          </cell>
          <cell r="AM130">
            <v>0</v>
          </cell>
          <cell r="AN130">
            <v>126.75</v>
          </cell>
          <cell r="AO130">
            <v>0</v>
          </cell>
          <cell r="AP130">
            <v>0</v>
          </cell>
          <cell r="AQ130">
            <v>9.75</v>
          </cell>
          <cell r="AR130">
            <v>0</v>
          </cell>
          <cell r="AS130">
            <v>0</v>
          </cell>
          <cell r="AT130">
            <v>150</v>
          </cell>
          <cell r="AU130">
            <v>0</v>
          </cell>
          <cell r="AV130">
            <v>0</v>
          </cell>
          <cell r="AW130">
            <v>195</v>
          </cell>
          <cell r="AX130">
            <v>0</v>
          </cell>
          <cell r="AY130">
            <v>0</v>
          </cell>
          <cell r="AZ130">
            <v>15</v>
          </cell>
          <cell r="BA130">
            <v>0</v>
          </cell>
          <cell r="BB130">
            <v>0</v>
          </cell>
          <cell r="BC130">
            <v>75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8798.75</v>
          </cell>
        </row>
        <row r="131">
          <cell r="C131">
            <v>14239</v>
          </cell>
          <cell r="D131" t="str">
            <v>Ladia, Abegail Candelaria</v>
          </cell>
          <cell r="E131">
            <v>80</v>
          </cell>
          <cell r="F131">
            <v>10</v>
          </cell>
          <cell r="G131">
            <v>600</v>
          </cell>
          <cell r="H131">
            <v>6000</v>
          </cell>
          <cell r="I131">
            <v>0</v>
          </cell>
          <cell r="J131">
            <v>1.25</v>
          </cell>
          <cell r="K131">
            <v>0</v>
          </cell>
          <cell r="L131">
            <v>18</v>
          </cell>
          <cell r="M131">
            <v>93.75</v>
          </cell>
          <cell r="N131">
            <v>1687.5</v>
          </cell>
          <cell r="O131">
            <v>32</v>
          </cell>
          <cell r="P131">
            <v>7.5</v>
          </cell>
          <cell r="Q131">
            <v>240</v>
          </cell>
          <cell r="R131">
            <v>0</v>
          </cell>
          <cell r="S131">
            <v>97.5</v>
          </cell>
          <cell r="T131">
            <v>0</v>
          </cell>
          <cell r="U131">
            <v>0</v>
          </cell>
          <cell r="V131">
            <v>126.75</v>
          </cell>
          <cell r="W131">
            <v>0</v>
          </cell>
          <cell r="X131">
            <v>0</v>
          </cell>
          <cell r="Y131">
            <v>9.75</v>
          </cell>
          <cell r="Z131">
            <v>0</v>
          </cell>
          <cell r="AA131">
            <v>0</v>
          </cell>
          <cell r="AB131">
            <v>112.5</v>
          </cell>
          <cell r="AC131">
            <v>0</v>
          </cell>
          <cell r="AD131">
            <v>0</v>
          </cell>
          <cell r="AE131">
            <v>146.25</v>
          </cell>
          <cell r="AF131">
            <v>0</v>
          </cell>
          <cell r="AG131">
            <v>0</v>
          </cell>
          <cell r="AH131">
            <v>11.25</v>
          </cell>
          <cell r="AI131">
            <v>0</v>
          </cell>
          <cell r="AJ131">
            <v>0</v>
          </cell>
          <cell r="AK131">
            <v>97.5</v>
          </cell>
          <cell r="AL131">
            <v>0</v>
          </cell>
          <cell r="AM131">
            <v>0</v>
          </cell>
          <cell r="AN131">
            <v>126.75</v>
          </cell>
          <cell r="AO131">
            <v>0</v>
          </cell>
          <cell r="AP131">
            <v>0</v>
          </cell>
          <cell r="AQ131">
            <v>9.75</v>
          </cell>
          <cell r="AR131">
            <v>0</v>
          </cell>
          <cell r="AS131">
            <v>0</v>
          </cell>
          <cell r="AT131">
            <v>150</v>
          </cell>
          <cell r="AU131">
            <v>0</v>
          </cell>
          <cell r="AV131">
            <v>0</v>
          </cell>
          <cell r="AW131">
            <v>195</v>
          </cell>
          <cell r="AX131">
            <v>0</v>
          </cell>
          <cell r="AY131">
            <v>0</v>
          </cell>
          <cell r="AZ131">
            <v>15</v>
          </cell>
          <cell r="BA131">
            <v>0</v>
          </cell>
          <cell r="BB131">
            <v>0</v>
          </cell>
          <cell r="BC131">
            <v>75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7927.5</v>
          </cell>
        </row>
        <row r="132">
          <cell r="C132">
            <v>14240</v>
          </cell>
          <cell r="D132" t="str">
            <v>Lagasca, Ivy Marie Guiriba</v>
          </cell>
          <cell r="E132">
            <v>72</v>
          </cell>
          <cell r="F132">
            <v>9</v>
          </cell>
          <cell r="G132">
            <v>600</v>
          </cell>
          <cell r="H132">
            <v>5400</v>
          </cell>
          <cell r="I132">
            <v>0</v>
          </cell>
          <cell r="J132">
            <v>1.25</v>
          </cell>
          <cell r="K132">
            <v>0</v>
          </cell>
          <cell r="L132">
            <v>15</v>
          </cell>
          <cell r="M132">
            <v>93.75</v>
          </cell>
          <cell r="N132">
            <v>1406.25</v>
          </cell>
          <cell r="O132">
            <v>0</v>
          </cell>
          <cell r="P132">
            <v>7.5</v>
          </cell>
          <cell r="Q132">
            <v>0</v>
          </cell>
          <cell r="R132">
            <v>0</v>
          </cell>
          <cell r="S132">
            <v>97.5</v>
          </cell>
          <cell r="T132">
            <v>0</v>
          </cell>
          <cell r="U132">
            <v>0</v>
          </cell>
          <cell r="V132">
            <v>126.75</v>
          </cell>
          <cell r="W132">
            <v>0</v>
          </cell>
          <cell r="X132">
            <v>0</v>
          </cell>
          <cell r="Y132">
            <v>9.75</v>
          </cell>
          <cell r="Z132">
            <v>0</v>
          </cell>
          <cell r="AA132">
            <v>0</v>
          </cell>
          <cell r="AB132">
            <v>112.5</v>
          </cell>
          <cell r="AC132">
            <v>0</v>
          </cell>
          <cell r="AD132">
            <v>0</v>
          </cell>
          <cell r="AE132">
            <v>146.25</v>
          </cell>
          <cell r="AF132">
            <v>0</v>
          </cell>
          <cell r="AG132">
            <v>0</v>
          </cell>
          <cell r="AH132">
            <v>11.25</v>
          </cell>
          <cell r="AI132">
            <v>0</v>
          </cell>
          <cell r="AJ132">
            <v>8</v>
          </cell>
          <cell r="AK132">
            <v>97.5</v>
          </cell>
          <cell r="AL132">
            <v>780</v>
          </cell>
          <cell r="AM132">
            <v>0</v>
          </cell>
          <cell r="AN132">
            <v>126.75</v>
          </cell>
          <cell r="AO132">
            <v>0</v>
          </cell>
          <cell r="AP132">
            <v>0</v>
          </cell>
          <cell r="AQ132">
            <v>9.75</v>
          </cell>
          <cell r="AR132">
            <v>0</v>
          </cell>
          <cell r="AS132">
            <v>0</v>
          </cell>
          <cell r="AT132">
            <v>150</v>
          </cell>
          <cell r="AU132">
            <v>0</v>
          </cell>
          <cell r="AV132">
            <v>0</v>
          </cell>
          <cell r="AW132">
            <v>195</v>
          </cell>
          <cell r="AX132">
            <v>0</v>
          </cell>
          <cell r="AY132">
            <v>0</v>
          </cell>
          <cell r="AZ132">
            <v>15</v>
          </cell>
          <cell r="BA132">
            <v>0</v>
          </cell>
          <cell r="BB132">
            <v>0</v>
          </cell>
          <cell r="BC132">
            <v>75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7586.25</v>
          </cell>
        </row>
        <row r="133">
          <cell r="C133">
            <v>2061</v>
          </cell>
          <cell r="D133" t="str">
            <v>Lantin, Ernive Lompero</v>
          </cell>
          <cell r="E133">
            <v>88</v>
          </cell>
          <cell r="F133">
            <v>11</v>
          </cell>
          <cell r="G133">
            <v>600</v>
          </cell>
          <cell r="H133">
            <v>6600</v>
          </cell>
          <cell r="I133">
            <v>0</v>
          </cell>
          <cell r="J133">
            <v>1.25</v>
          </cell>
          <cell r="K133">
            <v>0</v>
          </cell>
          <cell r="L133">
            <v>18</v>
          </cell>
          <cell r="M133">
            <v>93.75</v>
          </cell>
          <cell r="N133">
            <v>1687.5</v>
          </cell>
          <cell r="O133">
            <v>52</v>
          </cell>
          <cell r="P133">
            <v>7.5</v>
          </cell>
          <cell r="Q133">
            <v>390</v>
          </cell>
          <cell r="R133">
            <v>8</v>
          </cell>
          <cell r="S133">
            <v>97.5</v>
          </cell>
          <cell r="T133">
            <v>780</v>
          </cell>
          <cell r="U133">
            <v>0</v>
          </cell>
          <cell r="V133">
            <v>126.75</v>
          </cell>
          <cell r="W133">
            <v>0</v>
          </cell>
          <cell r="X133">
            <v>0</v>
          </cell>
          <cell r="Y133">
            <v>9.75</v>
          </cell>
          <cell r="Z133">
            <v>0</v>
          </cell>
          <cell r="AA133">
            <v>0</v>
          </cell>
          <cell r="AB133">
            <v>112.5</v>
          </cell>
          <cell r="AC133">
            <v>0</v>
          </cell>
          <cell r="AD133">
            <v>0</v>
          </cell>
          <cell r="AE133">
            <v>146.25</v>
          </cell>
          <cell r="AF133">
            <v>0</v>
          </cell>
          <cell r="AG133">
            <v>0</v>
          </cell>
          <cell r="AH133">
            <v>11.25</v>
          </cell>
          <cell r="AI133">
            <v>0</v>
          </cell>
          <cell r="AJ133">
            <v>0</v>
          </cell>
          <cell r="AK133">
            <v>97.5</v>
          </cell>
          <cell r="AL133">
            <v>0</v>
          </cell>
          <cell r="AM133">
            <v>0</v>
          </cell>
          <cell r="AN133">
            <v>126.75</v>
          </cell>
          <cell r="AO133">
            <v>0</v>
          </cell>
          <cell r="AP133">
            <v>0</v>
          </cell>
          <cell r="AQ133">
            <v>9.75</v>
          </cell>
          <cell r="AR133">
            <v>0</v>
          </cell>
          <cell r="AS133">
            <v>0</v>
          </cell>
          <cell r="AT133">
            <v>150</v>
          </cell>
          <cell r="AU133">
            <v>0</v>
          </cell>
          <cell r="AV133">
            <v>0</v>
          </cell>
          <cell r="AW133">
            <v>195</v>
          </cell>
          <cell r="AX133">
            <v>0</v>
          </cell>
          <cell r="AY133">
            <v>0</v>
          </cell>
          <cell r="AZ133">
            <v>15</v>
          </cell>
          <cell r="BA133">
            <v>0</v>
          </cell>
          <cell r="BB133">
            <v>0</v>
          </cell>
          <cell r="BC133">
            <v>75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9457.5</v>
          </cell>
        </row>
        <row r="134">
          <cell r="C134">
            <v>14246</v>
          </cell>
          <cell r="D134" t="str">
            <v>Laurel, Christian Angel Bendoy</v>
          </cell>
          <cell r="E134">
            <v>80</v>
          </cell>
          <cell r="F134">
            <v>10</v>
          </cell>
          <cell r="G134">
            <v>600</v>
          </cell>
          <cell r="H134">
            <v>6000</v>
          </cell>
          <cell r="I134">
            <v>14</v>
          </cell>
          <cell r="J134">
            <v>1.25</v>
          </cell>
          <cell r="K134">
            <v>-17.5</v>
          </cell>
          <cell r="L134">
            <v>17</v>
          </cell>
          <cell r="M134">
            <v>93.75</v>
          </cell>
          <cell r="N134">
            <v>1593.75</v>
          </cell>
          <cell r="O134">
            <v>46</v>
          </cell>
          <cell r="P134">
            <v>7.5</v>
          </cell>
          <cell r="Q134">
            <v>345</v>
          </cell>
          <cell r="R134">
            <v>0</v>
          </cell>
          <cell r="S134">
            <v>97.5</v>
          </cell>
          <cell r="T134">
            <v>0</v>
          </cell>
          <cell r="U134">
            <v>0</v>
          </cell>
          <cell r="V134">
            <v>126.75</v>
          </cell>
          <cell r="W134">
            <v>0</v>
          </cell>
          <cell r="X134">
            <v>0</v>
          </cell>
          <cell r="Y134">
            <v>9.75</v>
          </cell>
          <cell r="Z134">
            <v>0</v>
          </cell>
          <cell r="AA134">
            <v>0</v>
          </cell>
          <cell r="AB134">
            <v>112.5</v>
          </cell>
          <cell r="AC134">
            <v>0</v>
          </cell>
          <cell r="AD134">
            <v>0</v>
          </cell>
          <cell r="AE134">
            <v>146.25</v>
          </cell>
          <cell r="AF134">
            <v>0</v>
          </cell>
          <cell r="AG134">
            <v>0</v>
          </cell>
          <cell r="AH134">
            <v>11.25</v>
          </cell>
          <cell r="AI134">
            <v>0</v>
          </cell>
          <cell r="AJ134">
            <v>8</v>
          </cell>
          <cell r="AK134">
            <v>97.5</v>
          </cell>
          <cell r="AL134">
            <v>780</v>
          </cell>
          <cell r="AM134">
            <v>0</v>
          </cell>
          <cell r="AN134">
            <v>126.75</v>
          </cell>
          <cell r="AO134">
            <v>0</v>
          </cell>
          <cell r="AP134">
            <v>0</v>
          </cell>
          <cell r="AQ134">
            <v>9.75</v>
          </cell>
          <cell r="AR134">
            <v>0</v>
          </cell>
          <cell r="AS134">
            <v>0</v>
          </cell>
          <cell r="AT134">
            <v>150</v>
          </cell>
          <cell r="AU134">
            <v>0</v>
          </cell>
          <cell r="AV134">
            <v>0</v>
          </cell>
          <cell r="AW134">
            <v>195</v>
          </cell>
          <cell r="AX134">
            <v>0</v>
          </cell>
          <cell r="AY134">
            <v>0</v>
          </cell>
          <cell r="AZ134">
            <v>15</v>
          </cell>
          <cell r="BA134">
            <v>0</v>
          </cell>
          <cell r="BB134">
            <v>0</v>
          </cell>
          <cell r="BC134">
            <v>75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8701.25</v>
          </cell>
        </row>
        <row r="135">
          <cell r="C135">
            <v>14247</v>
          </cell>
          <cell r="D135" t="str">
            <v>Lavega, Gino Paul Competente</v>
          </cell>
          <cell r="E135">
            <v>80</v>
          </cell>
          <cell r="F135">
            <v>10</v>
          </cell>
          <cell r="G135">
            <v>600</v>
          </cell>
          <cell r="H135">
            <v>6000</v>
          </cell>
          <cell r="I135">
            <v>55</v>
          </cell>
          <cell r="J135">
            <v>1.25</v>
          </cell>
          <cell r="K135">
            <v>-68.75</v>
          </cell>
          <cell r="L135">
            <v>16</v>
          </cell>
          <cell r="M135">
            <v>93.75</v>
          </cell>
          <cell r="N135">
            <v>1500</v>
          </cell>
          <cell r="O135">
            <v>0</v>
          </cell>
          <cell r="P135">
            <v>7.5</v>
          </cell>
          <cell r="Q135">
            <v>0</v>
          </cell>
          <cell r="R135">
            <v>0</v>
          </cell>
          <cell r="S135">
            <v>97.5</v>
          </cell>
          <cell r="T135">
            <v>0</v>
          </cell>
          <cell r="U135">
            <v>0</v>
          </cell>
          <cell r="V135">
            <v>126.75</v>
          </cell>
          <cell r="W135">
            <v>0</v>
          </cell>
          <cell r="X135">
            <v>0</v>
          </cell>
          <cell r="Y135">
            <v>9.75</v>
          </cell>
          <cell r="Z135">
            <v>0</v>
          </cell>
          <cell r="AA135">
            <v>0</v>
          </cell>
          <cell r="AB135">
            <v>112.5</v>
          </cell>
          <cell r="AC135">
            <v>0</v>
          </cell>
          <cell r="AD135">
            <v>0</v>
          </cell>
          <cell r="AE135">
            <v>146.25</v>
          </cell>
          <cell r="AF135">
            <v>0</v>
          </cell>
          <cell r="AG135">
            <v>0</v>
          </cell>
          <cell r="AH135">
            <v>11.25</v>
          </cell>
          <cell r="AI135">
            <v>0</v>
          </cell>
          <cell r="AJ135">
            <v>8</v>
          </cell>
          <cell r="AK135">
            <v>97.5</v>
          </cell>
          <cell r="AL135">
            <v>780</v>
          </cell>
          <cell r="AM135">
            <v>0</v>
          </cell>
          <cell r="AN135">
            <v>126.75</v>
          </cell>
          <cell r="AO135">
            <v>0</v>
          </cell>
          <cell r="AP135">
            <v>0</v>
          </cell>
          <cell r="AQ135">
            <v>9.75</v>
          </cell>
          <cell r="AR135">
            <v>0</v>
          </cell>
          <cell r="AS135">
            <v>0</v>
          </cell>
          <cell r="AT135">
            <v>150</v>
          </cell>
          <cell r="AU135">
            <v>0</v>
          </cell>
          <cell r="AV135">
            <v>0</v>
          </cell>
          <cell r="AW135">
            <v>195</v>
          </cell>
          <cell r="AX135">
            <v>0</v>
          </cell>
          <cell r="AY135">
            <v>0</v>
          </cell>
          <cell r="AZ135">
            <v>15</v>
          </cell>
          <cell r="BA135">
            <v>0</v>
          </cell>
          <cell r="BB135">
            <v>0</v>
          </cell>
          <cell r="BC135">
            <v>75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8211.25</v>
          </cell>
        </row>
        <row r="136">
          <cell r="C136">
            <v>8163</v>
          </cell>
          <cell r="D136" t="str">
            <v>Lazona, Noriel Lodor</v>
          </cell>
          <cell r="E136">
            <v>16</v>
          </cell>
          <cell r="F136">
            <v>2</v>
          </cell>
          <cell r="G136">
            <v>600</v>
          </cell>
          <cell r="H136">
            <v>1200</v>
          </cell>
          <cell r="I136">
            <v>0</v>
          </cell>
          <cell r="J136">
            <v>1.25</v>
          </cell>
          <cell r="K136">
            <v>0</v>
          </cell>
          <cell r="L136">
            <v>3.5</v>
          </cell>
          <cell r="M136">
            <v>93.75</v>
          </cell>
          <cell r="N136">
            <v>328.125</v>
          </cell>
          <cell r="O136">
            <v>0</v>
          </cell>
          <cell r="P136">
            <v>7.5</v>
          </cell>
          <cell r="Q136">
            <v>0</v>
          </cell>
          <cell r="R136">
            <v>0</v>
          </cell>
          <cell r="S136">
            <v>97.5</v>
          </cell>
          <cell r="T136">
            <v>0</v>
          </cell>
          <cell r="U136">
            <v>0</v>
          </cell>
          <cell r="V136">
            <v>126.75</v>
          </cell>
          <cell r="W136">
            <v>0</v>
          </cell>
          <cell r="X136">
            <v>0</v>
          </cell>
          <cell r="Y136">
            <v>9.75</v>
          </cell>
          <cell r="Z136">
            <v>0</v>
          </cell>
          <cell r="AA136">
            <v>0</v>
          </cell>
          <cell r="AB136">
            <v>112.5</v>
          </cell>
          <cell r="AC136">
            <v>0</v>
          </cell>
          <cell r="AD136">
            <v>0</v>
          </cell>
          <cell r="AE136">
            <v>146.25</v>
          </cell>
          <cell r="AF136">
            <v>0</v>
          </cell>
          <cell r="AG136">
            <v>0</v>
          </cell>
          <cell r="AH136">
            <v>11.25</v>
          </cell>
          <cell r="AI136">
            <v>0</v>
          </cell>
          <cell r="AJ136">
            <v>0</v>
          </cell>
          <cell r="AK136">
            <v>97.5</v>
          </cell>
          <cell r="AL136">
            <v>0</v>
          </cell>
          <cell r="AM136">
            <v>0</v>
          </cell>
          <cell r="AN136">
            <v>126.75</v>
          </cell>
          <cell r="AO136">
            <v>0</v>
          </cell>
          <cell r="AP136">
            <v>0</v>
          </cell>
          <cell r="AQ136">
            <v>9.75</v>
          </cell>
          <cell r="AR136">
            <v>0</v>
          </cell>
          <cell r="AS136">
            <v>0</v>
          </cell>
          <cell r="AT136">
            <v>150</v>
          </cell>
          <cell r="AU136">
            <v>0</v>
          </cell>
          <cell r="AV136">
            <v>0</v>
          </cell>
          <cell r="AW136">
            <v>195</v>
          </cell>
          <cell r="AX136">
            <v>0</v>
          </cell>
          <cell r="AY136">
            <v>0</v>
          </cell>
          <cell r="AZ136">
            <v>15</v>
          </cell>
          <cell r="BA136">
            <v>0</v>
          </cell>
          <cell r="BB136">
            <v>0</v>
          </cell>
          <cell r="BC136">
            <v>75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1528.125</v>
          </cell>
        </row>
        <row r="137">
          <cell r="C137">
            <v>5989</v>
          </cell>
          <cell r="D137" t="str">
            <v>Leynes, Elenor Longyapon</v>
          </cell>
          <cell r="E137">
            <v>80</v>
          </cell>
          <cell r="F137">
            <v>10</v>
          </cell>
          <cell r="G137">
            <v>600</v>
          </cell>
          <cell r="H137">
            <v>6000</v>
          </cell>
          <cell r="I137">
            <v>0</v>
          </cell>
          <cell r="J137">
            <v>1.25</v>
          </cell>
          <cell r="K137">
            <v>0</v>
          </cell>
          <cell r="L137">
            <v>23</v>
          </cell>
          <cell r="M137">
            <v>93.75</v>
          </cell>
          <cell r="N137">
            <v>2156.25</v>
          </cell>
          <cell r="O137">
            <v>32</v>
          </cell>
          <cell r="P137">
            <v>7.5</v>
          </cell>
          <cell r="Q137">
            <v>240</v>
          </cell>
          <cell r="R137">
            <v>0</v>
          </cell>
          <cell r="S137">
            <v>97.5</v>
          </cell>
          <cell r="T137">
            <v>0</v>
          </cell>
          <cell r="U137">
            <v>0</v>
          </cell>
          <cell r="V137">
            <v>126.75</v>
          </cell>
          <cell r="W137">
            <v>0</v>
          </cell>
          <cell r="X137">
            <v>0</v>
          </cell>
          <cell r="Y137">
            <v>9.75</v>
          </cell>
          <cell r="Z137">
            <v>0</v>
          </cell>
          <cell r="AA137">
            <v>0</v>
          </cell>
          <cell r="AB137">
            <v>112.5</v>
          </cell>
          <cell r="AC137">
            <v>0</v>
          </cell>
          <cell r="AD137">
            <v>0</v>
          </cell>
          <cell r="AE137">
            <v>146.25</v>
          </cell>
          <cell r="AF137">
            <v>0</v>
          </cell>
          <cell r="AG137">
            <v>0</v>
          </cell>
          <cell r="AH137">
            <v>11.25</v>
          </cell>
          <cell r="AI137">
            <v>0</v>
          </cell>
          <cell r="AJ137">
            <v>0</v>
          </cell>
          <cell r="AK137">
            <v>97.5</v>
          </cell>
          <cell r="AL137">
            <v>0</v>
          </cell>
          <cell r="AM137">
            <v>0</v>
          </cell>
          <cell r="AN137">
            <v>126.75</v>
          </cell>
          <cell r="AO137">
            <v>0</v>
          </cell>
          <cell r="AP137">
            <v>0</v>
          </cell>
          <cell r="AQ137">
            <v>9.75</v>
          </cell>
          <cell r="AR137">
            <v>0</v>
          </cell>
          <cell r="AS137">
            <v>0</v>
          </cell>
          <cell r="AT137">
            <v>150</v>
          </cell>
          <cell r="AU137">
            <v>0</v>
          </cell>
          <cell r="AV137">
            <v>0</v>
          </cell>
          <cell r="AW137">
            <v>195</v>
          </cell>
          <cell r="AX137">
            <v>0</v>
          </cell>
          <cell r="AY137">
            <v>0</v>
          </cell>
          <cell r="AZ137">
            <v>15</v>
          </cell>
          <cell r="BA137">
            <v>0</v>
          </cell>
          <cell r="BB137">
            <v>0</v>
          </cell>
          <cell r="BC137">
            <v>75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3000</v>
          </cell>
          <cell r="BX137">
            <v>0</v>
          </cell>
          <cell r="BY137">
            <v>11396.25</v>
          </cell>
        </row>
        <row r="138">
          <cell r="C138">
            <v>14252</v>
          </cell>
          <cell r="D138" t="str">
            <v>Librea, Mark Jerico Pahiwalay</v>
          </cell>
          <cell r="E138">
            <v>72</v>
          </cell>
          <cell r="F138">
            <v>9</v>
          </cell>
          <cell r="G138">
            <v>600</v>
          </cell>
          <cell r="H138">
            <v>5400</v>
          </cell>
          <cell r="I138">
            <v>16</v>
          </cell>
          <cell r="J138">
            <v>1.25</v>
          </cell>
          <cell r="K138">
            <v>-20</v>
          </cell>
          <cell r="L138">
            <v>10</v>
          </cell>
          <cell r="M138">
            <v>93.75</v>
          </cell>
          <cell r="N138">
            <v>937.5</v>
          </cell>
          <cell r="O138">
            <v>0</v>
          </cell>
          <cell r="P138">
            <v>7.5</v>
          </cell>
          <cell r="Q138">
            <v>0</v>
          </cell>
          <cell r="R138">
            <v>8</v>
          </cell>
          <cell r="S138">
            <v>97.5</v>
          </cell>
          <cell r="T138">
            <v>780</v>
          </cell>
          <cell r="U138">
            <v>0</v>
          </cell>
          <cell r="V138">
            <v>126.75</v>
          </cell>
          <cell r="W138">
            <v>0</v>
          </cell>
          <cell r="X138">
            <v>0</v>
          </cell>
          <cell r="Y138">
            <v>9.75</v>
          </cell>
          <cell r="Z138">
            <v>0</v>
          </cell>
          <cell r="AA138">
            <v>0</v>
          </cell>
          <cell r="AB138">
            <v>112.5</v>
          </cell>
          <cell r="AC138">
            <v>0</v>
          </cell>
          <cell r="AD138">
            <v>0</v>
          </cell>
          <cell r="AE138">
            <v>146.25</v>
          </cell>
          <cell r="AF138">
            <v>0</v>
          </cell>
          <cell r="AG138">
            <v>0</v>
          </cell>
          <cell r="AH138">
            <v>11.25</v>
          </cell>
          <cell r="AI138">
            <v>0</v>
          </cell>
          <cell r="AJ138">
            <v>8</v>
          </cell>
          <cell r="AK138">
            <v>97.5</v>
          </cell>
          <cell r="AL138">
            <v>780</v>
          </cell>
          <cell r="AM138">
            <v>0</v>
          </cell>
          <cell r="AN138">
            <v>126.75</v>
          </cell>
          <cell r="AO138">
            <v>0</v>
          </cell>
          <cell r="AP138">
            <v>0</v>
          </cell>
          <cell r="AQ138">
            <v>9.75</v>
          </cell>
          <cell r="AR138">
            <v>0</v>
          </cell>
          <cell r="AS138">
            <v>0</v>
          </cell>
          <cell r="AT138">
            <v>150</v>
          </cell>
          <cell r="AU138">
            <v>0</v>
          </cell>
          <cell r="AV138">
            <v>0</v>
          </cell>
          <cell r="AW138">
            <v>195</v>
          </cell>
          <cell r="AX138">
            <v>0</v>
          </cell>
          <cell r="AY138">
            <v>0</v>
          </cell>
          <cell r="AZ138">
            <v>15</v>
          </cell>
          <cell r="BA138">
            <v>0</v>
          </cell>
          <cell r="BB138">
            <v>0</v>
          </cell>
          <cell r="BC138">
            <v>75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7877.5</v>
          </cell>
        </row>
        <row r="139">
          <cell r="C139">
            <v>14253</v>
          </cell>
          <cell r="D139" t="str">
            <v>Librea, Warren Magsino</v>
          </cell>
          <cell r="E139">
            <v>80</v>
          </cell>
          <cell r="F139">
            <v>10</v>
          </cell>
          <cell r="G139">
            <v>600</v>
          </cell>
          <cell r="H139">
            <v>6000</v>
          </cell>
          <cell r="I139">
            <v>0</v>
          </cell>
          <cell r="J139">
            <v>1.25</v>
          </cell>
          <cell r="K139">
            <v>0</v>
          </cell>
          <cell r="L139">
            <v>18</v>
          </cell>
          <cell r="M139">
            <v>93.75</v>
          </cell>
          <cell r="N139">
            <v>1687.5</v>
          </cell>
          <cell r="O139">
            <v>32</v>
          </cell>
          <cell r="P139">
            <v>7.5</v>
          </cell>
          <cell r="Q139">
            <v>240</v>
          </cell>
          <cell r="R139">
            <v>0</v>
          </cell>
          <cell r="S139">
            <v>97.5</v>
          </cell>
          <cell r="T139">
            <v>0</v>
          </cell>
          <cell r="U139">
            <v>0</v>
          </cell>
          <cell r="V139">
            <v>126.75</v>
          </cell>
          <cell r="W139">
            <v>0</v>
          </cell>
          <cell r="X139">
            <v>0</v>
          </cell>
          <cell r="Y139">
            <v>9.75</v>
          </cell>
          <cell r="Z139">
            <v>0</v>
          </cell>
          <cell r="AA139">
            <v>0</v>
          </cell>
          <cell r="AB139">
            <v>112.5</v>
          </cell>
          <cell r="AC139">
            <v>0</v>
          </cell>
          <cell r="AD139">
            <v>0</v>
          </cell>
          <cell r="AE139">
            <v>146.25</v>
          </cell>
          <cell r="AF139">
            <v>0</v>
          </cell>
          <cell r="AG139">
            <v>0</v>
          </cell>
          <cell r="AH139">
            <v>11.25</v>
          </cell>
          <cell r="AI139">
            <v>0</v>
          </cell>
          <cell r="AJ139">
            <v>0</v>
          </cell>
          <cell r="AK139">
            <v>97.5</v>
          </cell>
          <cell r="AL139">
            <v>0</v>
          </cell>
          <cell r="AM139">
            <v>0</v>
          </cell>
          <cell r="AN139">
            <v>126.75</v>
          </cell>
          <cell r="AO139">
            <v>0</v>
          </cell>
          <cell r="AP139">
            <v>0</v>
          </cell>
          <cell r="AQ139">
            <v>9.75</v>
          </cell>
          <cell r="AR139">
            <v>0</v>
          </cell>
          <cell r="AS139">
            <v>0</v>
          </cell>
          <cell r="AT139">
            <v>150</v>
          </cell>
          <cell r="AU139">
            <v>0</v>
          </cell>
          <cell r="AV139">
            <v>0</v>
          </cell>
          <cell r="AW139">
            <v>195</v>
          </cell>
          <cell r="AX139">
            <v>0</v>
          </cell>
          <cell r="AY139">
            <v>0</v>
          </cell>
          <cell r="AZ139">
            <v>15</v>
          </cell>
          <cell r="BA139">
            <v>0</v>
          </cell>
          <cell r="BB139">
            <v>0</v>
          </cell>
          <cell r="BC139">
            <v>75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7927.5</v>
          </cell>
        </row>
        <row r="140">
          <cell r="C140">
            <v>12357</v>
          </cell>
          <cell r="D140" t="str">
            <v xml:space="preserve">Lingcoran, Francis De Silva </v>
          </cell>
          <cell r="E140">
            <v>56</v>
          </cell>
          <cell r="F140">
            <v>7</v>
          </cell>
          <cell r="G140">
            <v>600</v>
          </cell>
          <cell r="H140">
            <v>4200</v>
          </cell>
          <cell r="I140">
            <v>0</v>
          </cell>
          <cell r="J140">
            <v>1.25</v>
          </cell>
          <cell r="K140">
            <v>0</v>
          </cell>
          <cell r="L140">
            <v>8</v>
          </cell>
          <cell r="M140">
            <v>93.75</v>
          </cell>
          <cell r="N140">
            <v>750</v>
          </cell>
          <cell r="O140">
            <v>50</v>
          </cell>
          <cell r="P140">
            <v>7.5</v>
          </cell>
          <cell r="Q140">
            <v>375</v>
          </cell>
          <cell r="R140">
            <v>0</v>
          </cell>
          <cell r="S140">
            <v>97.5</v>
          </cell>
          <cell r="T140">
            <v>0</v>
          </cell>
          <cell r="U140">
            <v>0</v>
          </cell>
          <cell r="V140">
            <v>126.75</v>
          </cell>
          <cell r="W140">
            <v>0</v>
          </cell>
          <cell r="X140">
            <v>0</v>
          </cell>
          <cell r="Y140">
            <v>9.75</v>
          </cell>
          <cell r="Z140">
            <v>0</v>
          </cell>
          <cell r="AA140">
            <v>0</v>
          </cell>
          <cell r="AB140">
            <v>112.5</v>
          </cell>
          <cell r="AC140">
            <v>0</v>
          </cell>
          <cell r="AD140">
            <v>0</v>
          </cell>
          <cell r="AE140">
            <v>146.25</v>
          </cell>
          <cell r="AF140">
            <v>0</v>
          </cell>
          <cell r="AG140">
            <v>0</v>
          </cell>
          <cell r="AH140">
            <v>11.25</v>
          </cell>
          <cell r="AI140">
            <v>0</v>
          </cell>
          <cell r="AJ140">
            <v>0</v>
          </cell>
          <cell r="AK140">
            <v>97.5</v>
          </cell>
          <cell r="AL140">
            <v>0</v>
          </cell>
          <cell r="AM140">
            <v>0</v>
          </cell>
          <cell r="AN140">
            <v>126.75</v>
          </cell>
          <cell r="AO140">
            <v>0</v>
          </cell>
          <cell r="AP140">
            <v>0</v>
          </cell>
          <cell r="AQ140">
            <v>9.75</v>
          </cell>
          <cell r="AR140">
            <v>0</v>
          </cell>
          <cell r="AS140">
            <v>0</v>
          </cell>
          <cell r="AT140">
            <v>150</v>
          </cell>
          <cell r="AU140">
            <v>0</v>
          </cell>
          <cell r="AV140">
            <v>0</v>
          </cell>
          <cell r="AW140">
            <v>195</v>
          </cell>
          <cell r="AX140">
            <v>0</v>
          </cell>
          <cell r="AY140">
            <v>0</v>
          </cell>
          <cell r="AZ140">
            <v>15</v>
          </cell>
          <cell r="BA140">
            <v>0</v>
          </cell>
          <cell r="BB140">
            <v>0</v>
          </cell>
          <cell r="BC140">
            <v>75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5325</v>
          </cell>
        </row>
        <row r="141">
          <cell r="C141">
            <v>12551</v>
          </cell>
          <cell r="D141" t="str">
            <v>Lingcuran, Raymunda Morrera</v>
          </cell>
          <cell r="E141">
            <v>68</v>
          </cell>
          <cell r="F141">
            <v>8.5</v>
          </cell>
          <cell r="G141">
            <v>600</v>
          </cell>
          <cell r="H141">
            <v>5100</v>
          </cell>
          <cell r="I141">
            <v>5</v>
          </cell>
          <cell r="J141">
            <v>1.25</v>
          </cell>
          <cell r="K141">
            <v>-6.25</v>
          </cell>
          <cell r="L141">
            <v>14</v>
          </cell>
          <cell r="M141">
            <v>93.75</v>
          </cell>
          <cell r="N141">
            <v>1312.5</v>
          </cell>
          <cell r="O141">
            <v>54</v>
          </cell>
          <cell r="P141">
            <v>7.5</v>
          </cell>
          <cell r="Q141">
            <v>405</v>
          </cell>
          <cell r="R141">
            <v>8</v>
          </cell>
          <cell r="S141">
            <v>97.5</v>
          </cell>
          <cell r="T141">
            <v>780</v>
          </cell>
          <cell r="U141">
            <v>0</v>
          </cell>
          <cell r="V141">
            <v>126.75</v>
          </cell>
          <cell r="W141">
            <v>0</v>
          </cell>
          <cell r="X141">
            <v>0</v>
          </cell>
          <cell r="Y141">
            <v>9.75</v>
          </cell>
          <cell r="Z141">
            <v>0</v>
          </cell>
          <cell r="AA141">
            <v>0</v>
          </cell>
          <cell r="AB141">
            <v>112.5</v>
          </cell>
          <cell r="AC141">
            <v>0</v>
          </cell>
          <cell r="AD141">
            <v>0</v>
          </cell>
          <cell r="AE141">
            <v>146.25</v>
          </cell>
          <cell r="AF141">
            <v>0</v>
          </cell>
          <cell r="AG141">
            <v>0</v>
          </cell>
          <cell r="AH141">
            <v>11.25</v>
          </cell>
          <cell r="AI141">
            <v>0</v>
          </cell>
          <cell r="AJ141">
            <v>8</v>
          </cell>
          <cell r="AK141">
            <v>97.5</v>
          </cell>
          <cell r="AL141">
            <v>780</v>
          </cell>
          <cell r="AM141">
            <v>0</v>
          </cell>
          <cell r="AN141">
            <v>126.75</v>
          </cell>
          <cell r="AO141">
            <v>0</v>
          </cell>
          <cell r="AP141">
            <v>0</v>
          </cell>
          <cell r="AQ141">
            <v>9.75</v>
          </cell>
          <cell r="AR141">
            <v>0</v>
          </cell>
          <cell r="AS141">
            <v>0</v>
          </cell>
          <cell r="AT141">
            <v>150</v>
          </cell>
          <cell r="AU141">
            <v>0</v>
          </cell>
          <cell r="AV141">
            <v>0</v>
          </cell>
          <cell r="AW141">
            <v>195</v>
          </cell>
          <cell r="AX141">
            <v>0</v>
          </cell>
          <cell r="AY141">
            <v>0</v>
          </cell>
          <cell r="AZ141">
            <v>15</v>
          </cell>
          <cell r="BA141">
            <v>0</v>
          </cell>
          <cell r="BB141">
            <v>0</v>
          </cell>
          <cell r="BC141">
            <v>75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8371.25</v>
          </cell>
        </row>
        <row r="142">
          <cell r="C142">
            <v>6498</v>
          </cell>
          <cell r="D142" t="str">
            <v>Lingon, Jay-ar Sosa</v>
          </cell>
          <cell r="E142">
            <v>72</v>
          </cell>
          <cell r="F142">
            <v>9</v>
          </cell>
          <cell r="G142">
            <v>600</v>
          </cell>
          <cell r="H142">
            <v>5400</v>
          </cell>
          <cell r="I142">
            <v>0</v>
          </cell>
          <cell r="J142">
            <v>1.25</v>
          </cell>
          <cell r="K142">
            <v>0</v>
          </cell>
          <cell r="L142">
            <v>16</v>
          </cell>
          <cell r="M142">
            <v>93.75</v>
          </cell>
          <cell r="N142">
            <v>1500</v>
          </cell>
          <cell r="O142">
            <v>0</v>
          </cell>
          <cell r="P142">
            <v>7.5</v>
          </cell>
          <cell r="Q142">
            <v>0</v>
          </cell>
          <cell r="R142">
            <v>8</v>
          </cell>
          <cell r="S142">
            <v>97.5</v>
          </cell>
          <cell r="T142">
            <v>780</v>
          </cell>
          <cell r="U142">
            <v>0</v>
          </cell>
          <cell r="V142">
            <v>126.75</v>
          </cell>
          <cell r="W142">
            <v>0</v>
          </cell>
          <cell r="X142">
            <v>0</v>
          </cell>
          <cell r="Y142">
            <v>9.75</v>
          </cell>
          <cell r="Z142">
            <v>0</v>
          </cell>
          <cell r="AA142">
            <v>0</v>
          </cell>
          <cell r="AB142">
            <v>112.5</v>
          </cell>
          <cell r="AC142">
            <v>0</v>
          </cell>
          <cell r="AD142">
            <v>0</v>
          </cell>
          <cell r="AE142">
            <v>146.25</v>
          </cell>
          <cell r="AF142">
            <v>0</v>
          </cell>
          <cell r="AG142">
            <v>0</v>
          </cell>
          <cell r="AH142">
            <v>11.25</v>
          </cell>
          <cell r="AI142">
            <v>0</v>
          </cell>
          <cell r="AJ142">
            <v>8</v>
          </cell>
          <cell r="AK142">
            <v>97.5</v>
          </cell>
          <cell r="AL142">
            <v>780</v>
          </cell>
          <cell r="AM142">
            <v>0</v>
          </cell>
          <cell r="AN142">
            <v>126.75</v>
          </cell>
          <cell r="AO142">
            <v>0</v>
          </cell>
          <cell r="AP142">
            <v>0</v>
          </cell>
          <cell r="AQ142">
            <v>9.75</v>
          </cell>
          <cell r="AR142">
            <v>0</v>
          </cell>
          <cell r="AS142">
            <v>0</v>
          </cell>
          <cell r="AT142">
            <v>150</v>
          </cell>
          <cell r="AU142">
            <v>0</v>
          </cell>
          <cell r="AV142">
            <v>0</v>
          </cell>
          <cell r="AW142">
            <v>195</v>
          </cell>
          <cell r="AX142">
            <v>0</v>
          </cell>
          <cell r="AY142">
            <v>0</v>
          </cell>
          <cell r="AZ142">
            <v>15</v>
          </cell>
          <cell r="BA142">
            <v>0</v>
          </cell>
          <cell r="BB142">
            <v>0</v>
          </cell>
          <cell r="BC142">
            <v>75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8460</v>
          </cell>
        </row>
        <row r="143">
          <cell r="C143">
            <v>6922</v>
          </cell>
          <cell r="D143" t="str">
            <v>Lizano, Andrea Victoria Dacles</v>
          </cell>
          <cell r="E143">
            <v>88</v>
          </cell>
          <cell r="F143">
            <v>11</v>
          </cell>
          <cell r="G143">
            <v>600</v>
          </cell>
          <cell r="H143">
            <v>6600</v>
          </cell>
          <cell r="I143">
            <v>0</v>
          </cell>
          <cell r="J143">
            <v>1.25</v>
          </cell>
          <cell r="K143">
            <v>0</v>
          </cell>
          <cell r="L143">
            <v>20</v>
          </cell>
          <cell r="M143">
            <v>93.75</v>
          </cell>
          <cell r="N143">
            <v>1875</v>
          </cell>
          <cell r="O143">
            <v>54</v>
          </cell>
          <cell r="P143">
            <v>7.5</v>
          </cell>
          <cell r="Q143">
            <v>405</v>
          </cell>
          <cell r="R143">
            <v>0</v>
          </cell>
          <cell r="S143">
            <v>97.5</v>
          </cell>
          <cell r="T143">
            <v>0</v>
          </cell>
          <cell r="U143">
            <v>0</v>
          </cell>
          <cell r="V143">
            <v>126.75</v>
          </cell>
          <cell r="W143">
            <v>0</v>
          </cell>
          <cell r="X143">
            <v>0</v>
          </cell>
          <cell r="Y143">
            <v>9.75</v>
          </cell>
          <cell r="Z143">
            <v>0</v>
          </cell>
          <cell r="AA143">
            <v>0</v>
          </cell>
          <cell r="AB143">
            <v>112.5</v>
          </cell>
          <cell r="AC143">
            <v>0</v>
          </cell>
          <cell r="AD143">
            <v>0</v>
          </cell>
          <cell r="AE143">
            <v>146.25</v>
          </cell>
          <cell r="AF143">
            <v>0</v>
          </cell>
          <cell r="AG143">
            <v>0</v>
          </cell>
          <cell r="AH143">
            <v>11.25</v>
          </cell>
          <cell r="AI143">
            <v>0</v>
          </cell>
          <cell r="AJ143">
            <v>0</v>
          </cell>
          <cell r="AK143">
            <v>97.5</v>
          </cell>
          <cell r="AL143">
            <v>0</v>
          </cell>
          <cell r="AM143">
            <v>0</v>
          </cell>
          <cell r="AN143">
            <v>126.75</v>
          </cell>
          <cell r="AO143">
            <v>0</v>
          </cell>
          <cell r="AP143">
            <v>0</v>
          </cell>
          <cell r="AQ143">
            <v>9.75</v>
          </cell>
          <cell r="AR143">
            <v>0</v>
          </cell>
          <cell r="AS143">
            <v>0</v>
          </cell>
          <cell r="AT143">
            <v>150</v>
          </cell>
          <cell r="AU143">
            <v>0</v>
          </cell>
          <cell r="AV143">
            <v>0</v>
          </cell>
          <cell r="AW143">
            <v>195</v>
          </cell>
          <cell r="AX143">
            <v>0</v>
          </cell>
          <cell r="AY143">
            <v>0</v>
          </cell>
          <cell r="AZ143">
            <v>15</v>
          </cell>
          <cell r="BA143">
            <v>0</v>
          </cell>
          <cell r="BB143">
            <v>0</v>
          </cell>
          <cell r="BC143">
            <v>75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8880</v>
          </cell>
        </row>
        <row r="144">
          <cell r="C144">
            <v>14256</v>
          </cell>
          <cell r="D144" t="str">
            <v>Llanza, Wendell</v>
          </cell>
          <cell r="E144">
            <v>88</v>
          </cell>
          <cell r="F144">
            <v>11</v>
          </cell>
          <cell r="G144">
            <v>600</v>
          </cell>
          <cell r="H144">
            <v>6600</v>
          </cell>
          <cell r="I144">
            <v>0</v>
          </cell>
          <cell r="J144">
            <v>1.25</v>
          </cell>
          <cell r="K144">
            <v>0</v>
          </cell>
          <cell r="L144">
            <v>20</v>
          </cell>
          <cell r="M144">
            <v>93.75</v>
          </cell>
          <cell r="N144">
            <v>1875</v>
          </cell>
          <cell r="O144">
            <v>54</v>
          </cell>
          <cell r="P144">
            <v>7.5</v>
          </cell>
          <cell r="Q144">
            <v>405</v>
          </cell>
          <cell r="R144">
            <v>8</v>
          </cell>
          <cell r="S144">
            <v>97.5</v>
          </cell>
          <cell r="T144">
            <v>780</v>
          </cell>
          <cell r="U144">
            <v>0</v>
          </cell>
          <cell r="V144">
            <v>126.75</v>
          </cell>
          <cell r="W144">
            <v>0</v>
          </cell>
          <cell r="X144">
            <v>0</v>
          </cell>
          <cell r="Y144">
            <v>9.75</v>
          </cell>
          <cell r="Z144">
            <v>0</v>
          </cell>
          <cell r="AA144">
            <v>0</v>
          </cell>
          <cell r="AB144">
            <v>112.5</v>
          </cell>
          <cell r="AC144">
            <v>0</v>
          </cell>
          <cell r="AD144">
            <v>0</v>
          </cell>
          <cell r="AE144">
            <v>146.25</v>
          </cell>
          <cell r="AF144">
            <v>0</v>
          </cell>
          <cell r="AG144">
            <v>0</v>
          </cell>
          <cell r="AH144">
            <v>11.25</v>
          </cell>
          <cell r="AI144">
            <v>0</v>
          </cell>
          <cell r="AJ144">
            <v>8</v>
          </cell>
          <cell r="AK144">
            <v>97.5</v>
          </cell>
          <cell r="AL144">
            <v>780</v>
          </cell>
          <cell r="AM144">
            <v>0</v>
          </cell>
          <cell r="AN144">
            <v>126.75</v>
          </cell>
          <cell r="AO144">
            <v>0</v>
          </cell>
          <cell r="AP144">
            <v>0</v>
          </cell>
          <cell r="AQ144">
            <v>9.75</v>
          </cell>
          <cell r="AR144">
            <v>0</v>
          </cell>
          <cell r="AS144">
            <v>0</v>
          </cell>
          <cell r="AT144">
            <v>150</v>
          </cell>
          <cell r="AU144">
            <v>0</v>
          </cell>
          <cell r="AV144">
            <v>0</v>
          </cell>
          <cell r="AW144">
            <v>195</v>
          </cell>
          <cell r="AX144">
            <v>0</v>
          </cell>
          <cell r="AY144">
            <v>0</v>
          </cell>
          <cell r="AZ144">
            <v>15</v>
          </cell>
          <cell r="BA144">
            <v>0</v>
          </cell>
          <cell r="BB144">
            <v>0</v>
          </cell>
          <cell r="BC144">
            <v>75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10440</v>
          </cell>
        </row>
        <row r="145">
          <cell r="C145">
            <v>14262</v>
          </cell>
          <cell r="D145" t="str">
            <v>Loren, Shyra Ellaine Maglaway</v>
          </cell>
          <cell r="E145">
            <v>88</v>
          </cell>
          <cell r="F145">
            <v>11</v>
          </cell>
          <cell r="G145">
            <v>600</v>
          </cell>
          <cell r="H145">
            <v>6600</v>
          </cell>
          <cell r="I145">
            <v>2</v>
          </cell>
          <cell r="J145">
            <v>1.25</v>
          </cell>
          <cell r="K145">
            <v>-2.5</v>
          </cell>
          <cell r="L145">
            <v>23</v>
          </cell>
          <cell r="M145">
            <v>93.75</v>
          </cell>
          <cell r="N145">
            <v>2156.25</v>
          </cell>
          <cell r="O145">
            <v>86</v>
          </cell>
          <cell r="P145">
            <v>7.5</v>
          </cell>
          <cell r="Q145">
            <v>645</v>
          </cell>
          <cell r="R145">
            <v>8</v>
          </cell>
          <cell r="S145">
            <v>97.5</v>
          </cell>
          <cell r="T145">
            <v>780</v>
          </cell>
          <cell r="U145">
            <v>0</v>
          </cell>
          <cell r="V145">
            <v>126.75</v>
          </cell>
          <cell r="W145">
            <v>0</v>
          </cell>
          <cell r="X145">
            <v>0</v>
          </cell>
          <cell r="Y145">
            <v>9.75</v>
          </cell>
          <cell r="Z145">
            <v>0</v>
          </cell>
          <cell r="AA145">
            <v>0</v>
          </cell>
          <cell r="AB145">
            <v>112.5</v>
          </cell>
          <cell r="AC145">
            <v>0</v>
          </cell>
          <cell r="AD145">
            <v>0</v>
          </cell>
          <cell r="AE145">
            <v>146.25</v>
          </cell>
          <cell r="AF145">
            <v>0</v>
          </cell>
          <cell r="AG145">
            <v>0</v>
          </cell>
          <cell r="AH145">
            <v>11.25</v>
          </cell>
          <cell r="AI145">
            <v>0</v>
          </cell>
          <cell r="AJ145">
            <v>0</v>
          </cell>
          <cell r="AK145">
            <v>97.5</v>
          </cell>
          <cell r="AL145">
            <v>0</v>
          </cell>
          <cell r="AM145">
            <v>0</v>
          </cell>
          <cell r="AN145">
            <v>126.75</v>
          </cell>
          <cell r="AO145">
            <v>0</v>
          </cell>
          <cell r="AP145">
            <v>0</v>
          </cell>
          <cell r="AQ145">
            <v>9.75</v>
          </cell>
          <cell r="AR145">
            <v>0</v>
          </cell>
          <cell r="AS145">
            <v>0</v>
          </cell>
          <cell r="AT145">
            <v>150</v>
          </cell>
          <cell r="AU145">
            <v>0</v>
          </cell>
          <cell r="AV145">
            <v>0</v>
          </cell>
          <cell r="AW145">
            <v>195</v>
          </cell>
          <cell r="AX145">
            <v>0</v>
          </cell>
          <cell r="AY145">
            <v>0</v>
          </cell>
          <cell r="AZ145">
            <v>15</v>
          </cell>
          <cell r="BA145">
            <v>0</v>
          </cell>
          <cell r="BB145">
            <v>0</v>
          </cell>
          <cell r="BC145">
            <v>75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10178.75</v>
          </cell>
        </row>
        <row r="146">
          <cell r="C146">
            <v>14263</v>
          </cell>
          <cell r="D146" t="str">
            <v>Loriaga, Aldrin Nedruda</v>
          </cell>
          <cell r="E146">
            <v>88</v>
          </cell>
          <cell r="F146">
            <v>11</v>
          </cell>
          <cell r="G146">
            <v>600</v>
          </cell>
          <cell r="H146">
            <v>6600</v>
          </cell>
          <cell r="I146">
            <v>0</v>
          </cell>
          <cell r="J146">
            <v>1.25</v>
          </cell>
          <cell r="K146">
            <v>0</v>
          </cell>
          <cell r="L146">
            <v>18</v>
          </cell>
          <cell r="M146">
            <v>93.75</v>
          </cell>
          <cell r="N146">
            <v>1687.5</v>
          </cell>
          <cell r="O146">
            <v>54</v>
          </cell>
          <cell r="P146">
            <v>7.5</v>
          </cell>
          <cell r="Q146">
            <v>405</v>
          </cell>
          <cell r="R146">
            <v>0</v>
          </cell>
          <cell r="S146">
            <v>97.5</v>
          </cell>
          <cell r="T146">
            <v>0</v>
          </cell>
          <cell r="U146">
            <v>0</v>
          </cell>
          <cell r="V146">
            <v>126.75</v>
          </cell>
          <cell r="W146">
            <v>0</v>
          </cell>
          <cell r="X146">
            <v>0</v>
          </cell>
          <cell r="Y146">
            <v>9.75</v>
          </cell>
          <cell r="Z146">
            <v>0</v>
          </cell>
          <cell r="AA146">
            <v>0</v>
          </cell>
          <cell r="AB146">
            <v>112.5</v>
          </cell>
          <cell r="AC146">
            <v>0</v>
          </cell>
          <cell r="AD146">
            <v>0</v>
          </cell>
          <cell r="AE146">
            <v>146.25</v>
          </cell>
          <cell r="AF146">
            <v>0</v>
          </cell>
          <cell r="AG146">
            <v>0</v>
          </cell>
          <cell r="AH146">
            <v>11.25</v>
          </cell>
          <cell r="AI146">
            <v>0</v>
          </cell>
          <cell r="AJ146">
            <v>8</v>
          </cell>
          <cell r="AK146">
            <v>97.5</v>
          </cell>
          <cell r="AL146">
            <v>780</v>
          </cell>
          <cell r="AM146">
            <v>0</v>
          </cell>
          <cell r="AN146">
            <v>126.75</v>
          </cell>
          <cell r="AO146">
            <v>0</v>
          </cell>
          <cell r="AP146">
            <v>0</v>
          </cell>
          <cell r="AQ146">
            <v>9.75</v>
          </cell>
          <cell r="AR146">
            <v>0</v>
          </cell>
          <cell r="AS146">
            <v>0</v>
          </cell>
          <cell r="AT146">
            <v>150</v>
          </cell>
          <cell r="AU146">
            <v>0</v>
          </cell>
          <cell r="AV146">
            <v>0</v>
          </cell>
          <cell r="AW146">
            <v>195</v>
          </cell>
          <cell r="AX146">
            <v>0</v>
          </cell>
          <cell r="AY146">
            <v>0</v>
          </cell>
          <cell r="AZ146">
            <v>15</v>
          </cell>
          <cell r="BA146">
            <v>0</v>
          </cell>
          <cell r="BB146">
            <v>0</v>
          </cell>
          <cell r="BC146">
            <v>75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9472.5</v>
          </cell>
        </row>
        <row r="147">
          <cell r="C147">
            <v>12596</v>
          </cell>
          <cell r="D147" t="str">
            <v>Loto, Jake Israel Ornejas</v>
          </cell>
          <cell r="E147">
            <v>88</v>
          </cell>
          <cell r="F147">
            <v>11</v>
          </cell>
          <cell r="G147">
            <v>600</v>
          </cell>
          <cell r="H147">
            <v>6600</v>
          </cell>
          <cell r="I147">
            <v>0</v>
          </cell>
          <cell r="J147">
            <v>1.25</v>
          </cell>
          <cell r="K147">
            <v>0</v>
          </cell>
          <cell r="L147">
            <v>18</v>
          </cell>
          <cell r="M147">
            <v>93.75</v>
          </cell>
          <cell r="N147">
            <v>1687.5</v>
          </cell>
          <cell r="O147">
            <v>52</v>
          </cell>
          <cell r="P147">
            <v>7.5</v>
          </cell>
          <cell r="Q147">
            <v>390</v>
          </cell>
          <cell r="R147">
            <v>8</v>
          </cell>
          <cell r="S147">
            <v>97.5</v>
          </cell>
          <cell r="T147">
            <v>780</v>
          </cell>
          <cell r="U147">
            <v>0</v>
          </cell>
          <cell r="V147">
            <v>126.75</v>
          </cell>
          <cell r="W147">
            <v>0</v>
          </cell>
          <cell r="X147">
            <v>0</v>
          </cell>
          <cell r="Y147">
            <v>9.75</v>
          </cell>
          <cell r="Z147">
            <v>0</v>
          </cell>
          <cell r="AA147">
            <v>0</v>
          </cell>
          <cell r="AB147">
            <v>112.5</v>
          </cell>
          <cell r="AC147">
            <v>0</v>
          </cell>
          <cell r="AD147">
            <v>0</v>
          </cell>
          <cell r="AE147">
            <v>146.25</v>
          </cell>
          <cell r="AF147">
            <v>0</v>
          </cell>
          <cell r="AG147">
            <v>0</v>
          </cell>
          <cell r="AH147">
            <v>11.25</v>
          </cell>
          <cell r="AI147">
            <v>0</v>
          </cell>
          <cell r="AJ147">
            <v>0</v>
          </cell>
          <cell r="AK147">
            <v>97.5</v>
          </cell>
          <cell r="AL147">
            <v>0</v>
          </cell>
          <cell r="AM147">
            <v>0</v>
          </cell>
          <cell r="AN147">
            <v>126.75</v>
          </cell>
          <cell r="AO147">
            <v>0</v>
          </cell>
          <cell r="AP147">
            <v>0</v>
          </cell>
          <cell r="AQ147">
            <v>9.75</v>
          </cell>
          <cell r="AR147">
            <v>0</v>
          </cell>
          <cell r="AS147">
            <v>0</v>
          </cell>
          <cell r="AT147">
            <v>150</v>
          </cell>
          <cell r="AU147">
            <v>0</v>
          </cell>
          <cell r="AV147">
            <v>0</v>
          </cell>
          <cell r="AW147">
            <v>195</v>
          </cell>
          <cell r="AX147">
            <v>0</v>
          </cell>
          <cell r="AY147">
            <v>0</v>
          </cell>
          <cell r="AZ147">
            <v>15</v>
          </cell>
          <cell r="BA147">
            <v>0</v>
          </cell>
          <cell r="BB147">
            <v>0</v>
          </cell>
          <cell r="BC147">
            <v>75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9457.5</v>
          </cell>
        </row>
        <row r="148">
          <cell r="C148">
            <v>30140</v>
          </cell>
          <cell r="D148" t="str">
            <v>Lucillo, Evangeline Organo</v>
          </cell>
          <cell r="E148">
            <v>72</v>
          </cell>
          <cell r="F148">
            <v>9</v>
          </cell>
          <cell r="G148">
            <v>600</v>
          </cell>
          <cell r="H148">
            <v>5400</v>
          </cell>
          <cell r="I148">
            <v>4</v>
          </cell>
          <cell r="J148">
            <v>1.25</v>
          </cell>
          <cell r="K148">
            <v>-5</v>
          </cell>
          <cell r="L148">
            <v>13</v>
          </cell>
          <cell r="M148">
            <v>93.75</v>
          </cell>
          <cell r="N148">
            <v>1218.75</v>
          </cell>
          <cell r="O148">
            <v>0</v>
          </cell>
          <cell r="P148">
            <v>7.5</v>
          </cell>
          <cell r="Q148">
            <v>0</v>
          </cell>
          <cell r="R148">
            <v>8</v>
          </cell>
          <cell r="S148">
            <v>97.5</v>
          </cell>
          <cell r="T148">
            <v>780</v>
          </cell>
          <cell r="U148">
            <v>0</v>
          </cell>
          <cell r="V148">
            <v>126.75</v>
          </cell>
          <cell r="W148">
            <v>0</v>
          </cell>
          <cell r="X148">
            <v>0</v>
          </cell>
          <cell r="Y148">
            <v>9.75</v>
          </cell>
          <cell r="Z148">
            <v>0</v>
          </cell>
          <cell r="AA148">
            <v>0</v>
          </cell>
          <cell r="AB148">
            <v>112.5</v>
          </cell>
          <cell r="AC148">
            <v>0</v>
          </cell>
          <cell r="AD148">
            <v>0</v>
          </cell>
          <cell r="AE148">
            <v>146.25</v>
          </cell>
          <cell r="AF148">
            <v>0</v>
          </cell>
          <cell r="AG148">
            <v>0</v>
          </cell>
          <cell r="AH148">
            <v>11.25</v>
          </cell>
          <cell r="AI148">
            <v>0</v>
          </cell>
          <cell r="AJ148">
            <v>8</v>
          </cell>
          <cell r="AK148">
            <v>97.5</v>
          </cell>
          <cell r="AL148">
            <v>780</v>
          </cell>
          <cell r="AM148">
            <v>0</v>
          </cell>
          <cell r="AN148">
            <v>126.75</v>
          </cell>
          <cell r="AO148">
            <v>0</v>
          </cell>
          <cell r="AP148">
            <v>0</v>
          </cell>
          <cell r="AQ148">
            <v>9.75</v>
          </cell>
          <cell r="AR148">
            <v>0</v>
          </cell>
          <cell r="AS148">
            <v>0</v>
          </cell>
          <cell r="AT148">
            <v>150</v>
          </cell>
          <cell r="AU148">
            <v>0</v>
          </cell>
          <cell r="AV148">
            <v>0</v>
          </cell>
          <cell r="AW148">
            <v>195</v>
          </cell>
          <cell r="AX148">
            <v>0</v>
          </cell>
          <cell r="AY148">
            <v>0</v>
          </cell>
          <cell r="AZ148">
            <v>15</v>
          </cell>
          <cell r="BA148">
            <v>0</v>
          </cell>
          <cell r="BB148">
            <v>0</v>
          </cell>
          <cell r="BC148">
            <v>75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8173.75</v>
          </cell>
        </row>
        <row r="149">
          <cell r="C149">
            <v>30358</v>
          </cell>
          <cell r="D149" t="str">
            <v>Macadatar, Nashzir Narvaez</v>
          </cell>
          <cell r="E149">
            <v>68</v>
          </cell>
          <cell r="F149">
            <v>8.5</v>
          </cell>
          <cell r="G149">
            <v>600</v>
          </cell>
          <cell r="H149">
            <v>5100</v>
          </cell>
          <cell r="I149">
            <v>0</v>
          </cell>
          <cell r="J149">
            <v>1.25</v>
          </cell>
          <cell r="K149">
            <v>0</v>
          </cell>
          <cell r="L149">
            <v>12</v>
          </cell>
          <cell r="M149">
            <v>93.75</v>
          </cell>
          <cell r="N149">
            <v>1125</v>
          </cell>
          <cell r="O149">
            <v>62</v>
          </cell>
          <cell r="P149">
            <v>7.5</v>
          </cell>
          <cell r="Q149">
            <v>465</v>
          </cell>
          <cell r="R149">
            <v>0</v>
          </cell>
          <cell r="S149">
            <v>97.5</v>
          </cell>
          <cell r="T149">
            <v>0</v>
          </cell>
          <cell r="U149">
            <v>0</v>
          </cell>
          <cell r="V149">
            <v>126.75</v>
          </cell>
          <cell r="W149">
            <v>0</v>
          </cell>
          <cell r="X149">
            <v>0</v>
          </cell>
          <cell r="Y149">
            <v>9.75</v>
          </cell>
          <cell r="Z149">
            <v>0</v>
          </cell>
          <cell r="AA149">
            <v>0</v>
          </cell>
          <cell r="AB149">
            <v>112.5</v>
          </cell>
          <cell r="AC149">
            <v>0</v>
          </cell>
          <cell r="AD149">
            <v>0</v>
          </cell>
          <cell r="AE149">
            <v>146.25</v>
          </cell>
          <cell r="AF149">
            <v>0</v>
          </cell>
          <cell r="AG149">
            <v>0</v>
          </cell>
          <cell r="AH149">
            <v>11.25</v>
          </cell>
          <cell r="AI149">
            <v>0</v>
          </cell>
          <cell r="AJ149">
            <v>0</v>
          </cell>
          <cell r="AK149">
            <v>97.5</v>
          </cell>
          <cell r="AL149">
            <v>0</v>
          </cell>
          <cell r="AM149">
            <v>0</v>
          </cell>
          <cell r="AN149">
            <v>126.75</v>
          </cell>
          <cell r="AO149">
            <v>0</v>
          </cell>
          <cell r="AP149">
            <v>0</v>
          </cell>
          <cell r="AQ149">
            <v>9.75</v>
          </cell>
          <cell r="AR149">
            <v>0</v>
          </cell>
          <cell r="AS149">
            <v>0</v>
          </cell>
          <cell r="AT149">
            <v>150</v>
          </cell>
          <cell r="AU149">
            <v>0</v>
          </cell>
          <cell r="AV149">
            <v>0</v>
          </cell>
          <cell r="AW149">
            <v>195</v>
          </cell>
          <cell r="AX149">
            <v>0</v>
          </cell>
          <cell r="AY149">
            <v>0</v>
          </cell>
          <cell r="AZ149">
            <v>15</v>
          </cell>
          <cell r="BA149">
            <v>0</v>
          </cell>
          <cell r="BB149">
            <v>0</v>
          </cell>
          <cell r="BC149">
            <v>75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6690</v>
          </cell>
        </row>
        <row r="150">
          <cell r="C150">
            <v>12303</v>
          </cell>
          <cell r="D150" t="str">
            <v>Macasinag, John Joshua T</v>
          </cell>
          <cell r="E150">
            <v>72</v>
          </cell>
          <cell r="F150">
            <v>9</v>
          </cell>
          <cell r="G150">
            <v>600</v>
          </cell>
          <cell r="H150">
            <v>5400</v>
          </cell>
          <cell r="I150">
            <v>0</v>
          </cell>
          <cell r="J150">
            <v>1.25</v>
          </cell>
          <cell r="K150">
            <v>0</v>
          </cell>
          <cell r="L150">
            <v>9</v>
          </cell>
          <cell r="M150">
            <v>93.75</v>
          </cell>
          <cell r="N150">
            <v>843.75</v>
          </cell>
          <cell r="O150">
            <v>40</v>
          </cell>
          <cell r="P150">
            <v>7.5</v>
          </cell>
          <cell r="Q150">
            <v>300</v>
          </cell>
          <cell r="R150">
            <v>8</v>
          </cell>
          <cell r="S150">
            <v>97.5</v>
          </cell>
          <cell r="T150">
            <v>780</v>
          </cell>
          <cell r="U150">
            <v>0</v>
          </cell>
          <cell r="V150">
            <v>126.75</v>
          </cell>
          <cell r="W150">
            <v>0</v>
          </cell>
          <cell r="X150">
            <v>0</v>
          </cell>
          <cell r="Y150">
            <v>9.75</v>
          </cell>
          <cell r="Z150">
            <v>0</v>
          </cell>
          <cell r="AA150">
            <v>0</v>
          </cell>
          <cell r="AB150">
            <v>112.5</v>
          </cell>
          <cell r="AC150">
            <v>0</v>
          </cell>
          <cell r="AD150">
            <v>0</v>
          </cell>
          <cell r="AE150">
            <v>146.25</v>
          </cell>
          <cell r="AF150">
            <v>0</v>
          </cell>
          <cell r="AG150">
            <v>0</v>
          </cell>
          <cell r="AH150">
            <v>11.25</v>
          </cell>
          <cell r="AI150">
            <v>0</v>
          </cell>
          <cell r="AJ150">
            <v>8</v>
          </cell>
          <cell r="AK150">
            <v>97.5</v>
          </cell>
          <cell r="AL150">
            <v>780</v>
          </cell>
          <cell r="AM150">
            <v>0</v>
          </cell>
          <cell r="AN150">
            <v>126.75</v>
          </cell>
          <cell r="AO150">
            <v>0</v>
          </cell>
          <cell r="AP150">
            <v>0</v>
          </cell>
          <cell r="AQ150">
            <v>9.75</v>
          </cell>
          <cell r="AR150">
            <v>0</v>
          </cell>
          <cell r="AS150">
            <v>0</v>
          </cell>
          <cell r="AT150">
            <v>150</v>
          </cell>
          <cell r="AU150">
            <v>0</v>
          </cell>
          <cell r="AV150">
            <v>0</v>
          </cell>
          <cell r="AW150">
            <v>195</v>
          </cell>
          <cell r="AX150">
            <v>0</v>
          </cell>
          <cell r="AY150">
            <v>0</v>
          </cell>
          <cell r="AZ150">
            <v>15</v>
          </cell>
          <cell r="BA150">
            <v>0</v>
          </cell>
          <cell r="BB150">
            <v>0</v>
          </cell>
          <cell r="BC150">
            <v>75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8103.75</v>
          </cell>
        </row>
        <row r="151">
          <cell r="C151">
            <v>30022</v>
          </cell>
          <cell r="D151" t="str">
            <v>Macion, Russel May Porto</v>
          </cell>
          <cell r="E151">
            <v>80</v>
          </cell>
          <cell r="F151">
            <v>10</v>
          </cell>
          <cell r="G151">
            <v>600</v>
          </cell>
          <cell r="H151">
            <v>6000</v>
          </cell>
          <cell r="I151">
            <v>0</v>
          </cell>
          <cell r="J151">
            <v>1.25</v>
          </cell>
          <cell r="K151">
            <v>0</v>
          </cell>
          <cell r="L151">
            <v>18</v>
          </cell>
          <cell r="M151">
            <v>93.75</v>
          </cell>
          <cell r="N151">
            <v>1687.5</v>
          </cell>
          <cell r="O151">
            <v>32</v>
          </cell>
          <cell r="P151">
            <v>7.5</v>
          </cell>
          <cell r="Q151">
            <v>240</v>
          </cell>
          <cell r="R151">
            <v>0</v>
          </cell>
          <cell r="S151">
            <v>97.5</v>
          </cell>
          <cell r="T151">
            <v>0</v>
          </cell>
          <cell r="U151">
            <v>0</v>
          </cell>
          <cell r="V151">
            <v>126.75</v>
          </cell>
          <cell r="W151">
            <v>0</v>
          </cell>
          <cell r="X151">
            <v>0</v>
          </cell>
          <cell r="Y151">
            <v>9.75</v>
          </cell>
          <cell r="Z151">
            <v>0</v>
          </cell>
          <cell r="AA151">
            <v>0</v>
          </cell>
          <cell r="AB151">
            <v>112.5</v>
          </cell>
          <cell r="AC151">
            <v>0</v>
          </cell>
          <cell r="AD151">
            <v>0</v>
          </cell>
          <cell r="AE151">
            <v>146.25</v>
          </cell>
          <cell r="AF151">
            <v>0</v>
          </cell>
          <cell r="AG151">
            <v>0</v>
          </cell>
          <cell r="AH151">
            <v>11.25</v>
          </cell>
          <cell r="AI151">
            <v>0</v>
          </cell>
          <cell r="AJ151">
            <v>0</v>
          </cell>
          <cell r="AK151">
            <v>97.5</v>
          </cell>
          <cell r="AL151">
            <v>0</v>
          </cell>
          <cell r="AM151">
            <v>0</v>
          </cell>
          <cell r="AN151">
            <v>126.75</v>
          </cell>
          <cell r="AO151">
            <v>0</v>
          </cell>
          <cell r="AP151">
            <v>0</v>
          </cell>
          <cell r="AQ151">
            <v>9.75</v>
          </cell>
          <cell r="AR151">
            <v>0</v>
          </cell>
          <cell r="AS151">
            <v>0</v>
          </cell>
          <cell r="AT151">
            <v>150</v>
          </cell>
          <cell r="AU151">
            <v>0</v>
          </cell>
          <cell r="AV151">
            <v>0</v>
          </cell>
          <cell r="AW151">
            <v>195</v>
          </cell>
          <cell r="AX151">
            <v>0</v>
          </cell>
          <cell r="AY151">
            <v>0</v>
          </cell>
          <cell r="AZ151">
            <v>15</v>
          </cell>
          <cell r="BA151">
            <v>0</v>
          </cell>
          <cell r="BB151">
            <v>0</v>
          </cell>
          <cell r="BC151">
            <v>75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7927.5</v>
          </cell>
        </row>
        <row r="152">
          <cell r="C152">
            <v>14196</v>
          </cell>
          <cell r="D152" t="str">
            <v>Magalona, Jay-p P.</v>
          </cell>
          <cell r="E152">
            <v>72</v>
          </cell>
          <cell r="F152">
            <v>9</v>
          </cell>
          <cell r="G152">
            <v>600</v>
          </cell>
          <cell r="H152">
            <v>5400</v>
          </cell>
          <cell r="I152">
            <v>0</v>
          </cell>
          <cell r="J152">
            <v>1.25</v>
          </cell>
          <cell r="K152">
            <v>0</v>
          </cell>
          <cell r="L152">
            <v>17</v>
          </cell>
          <cell r="M152">
            <v>93.75</v>
          </cell>
          <cell r="N152">
            <v>1593.75</v>
          </cell>
          <cell r="O152">
            <v>0</v>
          </cell>
          <cell r="P152">
            <v>7.5</v>
          </cell>
          <cell r="Q152">
            <v>0</v>
          </cell>
          <cell r="R152">
            <v>8</v>
          </cell>
          <cell r="S152">
            <v>97.5</v>
          </cell>
          <cell r="T152">
            <v>780</v>
          </cell>
          <cell r="U152">
            <v>0</v>
          </cell>
          <cell r="V152">
            <v>126.75</v>
          </cell>
          <cell r="W152">
            <v>0</v>
          </cell>
          <cell r="X152">
            <v>0</v>
          </cell>
          <cell r="Y152">
            <v>9.75</v>
          </cell>
          <cell r="Z152">
            <v>0</v>
          </cell>
          <cell r="AA152">
            <v>0</v>
          </cell>
          <cell r="AB152">
            <v>112.5</v>
          </cell>
          <cell r="AC152">
            <v>0</v>
          </cell>
          <cell r="AD152">
            <v>0</v>
          </cell>
          <cell r="AE152">
            <v>146.25</v>
          </cell>
          <cell r="AF152">
            <v>0</v>
          </cell>
          <cell r="AG152">
            <v>0</v>
          </cell>
          <cell r="AH152">
            <v>11.25</v>
          </cell>
          <cell r="AI152">
            <v>0</v>
          </cell>
          <cell r="AJ152">
            <v>8</v>
          </cell>
          <cell r="AK152">
            <v>97.5</v>
          </cell>
          <cell r="AL152">
            <v>780</v>
          </cell>
          <cell r="AM152">
            <v>0</v>
          </cell>
          <cell r="AN152">
            <v>126.75</v>
          </cell>
          <cell r="AO152">
            <v>0</v>
          </cell>
          <cell r="AP152">
            <v>0</v>
          </cell>
          <cell r="AQ152">
            <v>9.75</v>
          </cell>
          <cell r="AR152">
            <v>0</v>
          </cell>
          <cell r="AS152">
            <v>0</v>
          </cell>
          <cell r="AT152">
            <v>150</v>
          </cell>
          <cell r="AU152">
            <v>0</v>
          </cell>
          <cell r="AV152">
            <v>0</v>
          </cell>
          <cell r="AW152">
            <v>195</v>
          </cell>
          <cell r="AX152">
            <v>0</v>
          </cell>
          <cell r="AY152">
            <v>0</v>
          </cell>
          <cell r="AZ152">
            <v>15</v>
          </cell>
          <cell r="BA152">
            <v>0</v>
          </cell>
          <cell r="BB152">
            <v>0</v>
          </cell>
          <cell r="BC152">
            <v>75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8553.75</v>
          </cell>
        </row>
        <row r="153">
          <cell r="C153">
            <v>14278</v>
          </cell>
          <cell r="D153" t="str">
            <v>Malabanan, Mary Ann Medina</v>
          </cell>
          <cell r="E153">
            <v>72</v>
          </cell>
          <cell r="F153">
            <v>9</v>
          </cell>
          <cell r="G153">
            <v>600</v>
          </cell>
          <cell r="H153">
            <v>5400</v>
          </cell>
          <cell r="I153">
            <v>12</v>
          </cell>
          <cell r="J153">
            <v>1.25</v>
          </cell>
          <cell r="K153">
            <v>-15</v>
          </cell>
          <cell r="L153">
            <v>16</v>
          </cell>
          <cell r="M153">
            <v>93.75</v>
          </cell>
          <cell r="N153">
            <v>1500</v>
          </cell>
          <cell r="O153">
            <v>32</v>
          </cell>
          <cell r="P153">
            <v>7.5</v>
          </cell>
          <cell r="Q153">
            <v>240</v>
          </cell>
          <cell r="R153">
            <v>0</v>
          </cell>
          <cell r="S153">
            <v>97.5</v>
          </cell>
          <cell r="T153">
            <v>0</v>
          </cell>
          <cell r="U153">
            <v>0</v>
          </cell>
          <cell r="V153">
            <v>126.75</v>
          </cell>
          <cell r="W153">
            <v>0</v>
          </cell>
          <cell r="X153">
            <v>0</v>
          </cell>
          <cell r="Y153">
            <v>9.75</v>
          </cell>
          <cell r="Z153">
            <v>0</v>
          </cell>
          <cell r="AA153">
            <v>0</v>
          </cell>
          <cell r="AB153">
            <v>112.5</v>
          </cell>
          <cell r="AC153">
            <v>0</v>
          </cell>
          <cell r="AD153">
            <v>0</v>
          </cell>
          <cell r="AE153">
            <v>146.25</v>
          </cell>
          <cell r="AF153">
            <v>0</v>
          </cell>
          <cell r="AG153">
            <v>0</v>
          </cell>
          <cell r="AH153">
            <v>11.25</v>
          </cell>
          <cell r="AI153">
            <v>0</v>
          </cell>
          <cell r="AJ153">
            <v>0</v>
          </cell>
          <cell r="AK153">
            <v>97.5</v>
          </cell>
          <cell r="AL153">
            <v>0</v>
          </cell>
          <cell r="AM153">
            <v>0</v>
          </cell>
          <cell r="AN153">
            <v>126.75</v>
          </cell>
          <cell r="AO153">
            <v>0</v>
          </cell>
          <cell r="AP153">
            <v>0</v>
          </cell>
          <cell r="AQ153">
            <v>9.75</v>
          </cell>
          <cell r="AR153">
            <v>0</v>
          </cell>
          <cell r="AS153">
            <v>0</v>
          </cell>
          <cell r="AT153">
            <v>150</v>
          </cell>
          <cell r="AU153">
            <v>0</v>
          </cell>
          <cell r="AV153">
            <v>0</v>
          </cell>
          <cell r="AW153">
            <v>195</v>
          </cell>
          <cell r="AX153">
            <v>0</v>
          </cell>
          <cell r="AY153">
            <v>0</v>
          </cell>
          <cell r="AZ153">
            <v>15</v>
          </cell>
          <cell r="BA153">
            <v>0</v>
          </cell>
          <cell r="BB153">
            <v>0</v>
          </cell>
          <cell r="BC153">
            <v>75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7125</v>
          </cell>
        </row>
        <row r="154">
          <cell r="C154">
            <v>14282</v>
          </cell>
          <cell r="D154" t="str">
            <v>Mamba, Markel Fabregas</v>
          </cell>
          <cell r="E154">
            <v>80</v>
          </cell>
          <cell r="F154">
            <v>10</v>
          </cell>
          <cell r="G154">
            <v>600</v>
          </cell>
          <cell r="H154">
            <v>6000</v>
          </cell>
          <cell r="I154">
            <v>2</v>
          </cell>
          <cell r="J154">
            <v>1.25</v>
          </cell>
          <cell r="K154">
            <v>-2.5</v>
          </cell>
          <cell r="L154">
            <v>18</v>
          </cell>
          <cell r="M154">
            <v>93.75</v>
          </cell>
          <cell r="N154">
            <v>1687.5</v>
          </cell>
          <cell r="O154">
            <v>46</v>
          </cell>
          <cell r="P154">
            <v>7.5</v>
          </cell>
          <cell r="Q154">
            <v>345</v>
          </cell>
          <cell r="R154">
            <v>8</v>
          </cell>
          <cell r="S154">
            <v>97.5</v>
          </cell>
          <cell r="T154">
            <v>780</v>
          </cell>
          <cell r="U154">
            <v>0</v>
          </cell>
          <cell r="V154">
            <v>126.75</v>
          </cell>
          <cell r="W154">
            <v>0</v>
          </cell>
          <cell r="X154">
            <v>0</v>
          </cell>
          <cell r="Y154">
            <v>9.75</v>
          </cell>
          <cell r="Z154">
            <v>0</v>
          </cell>
          <cell r="AA154">
            <v>0</v>
          </cell>
          <cell r="AB154">
            <v>112.5</v>
          </cell>
          <cell r="AC154">
            <v>0</v>
          </cell>
          <cell r="AD154">
            <v>0</v>
          </cell>
          <cell r="AE154">
            <v>146.25</v>
          </cell>
          <cell r="AF154">
            <v>0</v>
          </cell>
          <cell r="AG154">
            <v>0</v>
          </cell>
          <cell r="AH154">
            <v>11.25</v>
          </cell>
          <cell r="AI154">
            <v>0</v>
          </cell>
          <cell r="AJ154">
            <v>8</v>
          </cell>
          <cell r="AK154">
            <v>97.5</v>
          </cell>
          <cell r="AL154">
            <v>780</v>
          </cell>
          <cell r="AM154">
            <v>0</v>
          </cell>
          <cell r="AN154">
            <v>126.75</v>
          </cell>
          <cell r="AO154">
            <v>0</v>
          </cell>
          <cell r="AP154">
            <v>0</v>
          </cell>
          <cell r="AQ154">
            <v>9.75</v>
          </cell>
          <cell r="AR154">
            <v>0</v>
          </cell>
          <cell r="AS154">
            <v>0</v>
          </cell>
          <cell r="AT154">
            <v>150</v>
          </cell>
          <cell r="AU154">
            <v>0</v>
          </cell>
          <cell r="AV154">
            <v>0</v>
          </cell>
          <cell r="AW154">
            <v>195</v>
          </cell>
          <cell r="AX154">
            <v>0</v>
          </cell>
          <cell r="AY154">
            <v>0</v>
          </cell>
          <cell r="AZ154">
            <v>15</v>
          </cell>
          <cell r="BA154">
            <v>0</v>
          </cell>
          <cell r="BB154">
            <v>0</v>
          </cell>
          <cell r="BC154">
            <v>75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9590</v>
          </cell>
        </row>
        <row r="155">
          <cell r="C155">
            <v>11714</v>
          </cell>
          <cell r="D155" t="str">
            <v>Manalo, Joshua</v>
          </cell>
          <cell r="E155">
            <v>80</v>
          </cell>
          <cell r="F155">
            <v>10</v>
          </cell>
          <cell r="G155">
            <v>600</v>
          </cell>
          <cell r="H155">
            <v>6000</v>
          </cell>
          <cell r="I155">
            <v>11</v>
          </cell>
          <cell r="J155">
            <v>1.25</v>
          </cell>
          <cell r="K155">
            <v>-13.75</v>
          </cell>
          <cell r="L155">
            <v>17.5</v>
          </cell>
          <cell r="M155">
            <v>93.75</v>
          </cell>
          <cell r="N155">
            <v>1640.625</v>
          </cell>
          <cell r="O155">
            <v>32</v>
          </cell>
          <cell r="P155">
            <v>7.5</v>
          </cell>
          <cell r="Q155">
            <v>240</v>
          </cell>
          <cell r="R155">
            <v>0</v>
          </cell>
          <cell r="S155">
            <v>97.5</v>
          </cell>
          <cell r="T155">
            <v>0</v>
          </cell>
          <cell r="U155">
            <v>0</v>
          </cell>
          <cell r="V155">
            <v>126.75</v>
          </cell>
          <cell r="W155">
            <v>0</v>
          </cell>
          <cell r="X155">
            <v>0</v>
          </cell>
          <cell r="Y155">
            <v>9.75</v>
          </cell>
          <cell r="Z155">
            <v>0</v>
          </cell>
          <cell r="AA155">
            <v>0</v>
          </cell>
          <cell r="AB155">
            <v>112.5</v>
          </cell>
          <cell r="AC155">
            <v>0</v>
          </cell>
          <cell r="AD155">
            <v>0</v>
          </cell>
          <cell r="AE155">
            <v>146.25</v>
          </cell>
          <cell r="AF155">
            <v>0</v>
          </cell>
          <cell r="AG155">
            <v>0</v>
          </cell>
          <cell r="AH155">
            <v>11.25</v>
          </cell>
          <cell r="AI155">
            <v>0</v>
          </cell>
          <cell r="AJ155">
            <v>0</v>
          </cell>
          <cell r="AK155">
            <v>97.5</v>
          </cell>
          <cell r="AL155">
            <v>0</v>
          </cell>
          <cell r="AM155">
            <v>0</v>
          </cell>
          <cell r="AN155">
            <v>126.75</v>
          </cell>
          <cell r="AO155">
            <v>0</v>
          </cell>
          <cell r="AP155">
            <v>0</v>
          </cell>
          <cell r="AQ155">
            <v>9.75</v>
          </cell>
          <cell r="AR155">
            <v>0</v>
          </cell>
          <cell r="AS155">
            <v>0</v>
          </cell>
          <cell r="AT155">
            <v>150</v>
          </cell>
          <cell r="AU155">
            <v>0</v>
          </cell>
          <cell r="AV155">
            <v>0</v>
          </cell>
          <cell r="AW155">
            <v>195</v>
          </cell>
          <cell r="AX155">
            <v>0</v>
          </cell>
          <cell r="AY155">
            <v>0</v>
          </cell>
          <cell r="AZ155">
            <v>15</v>
          </cell>
          <cell r="BA155">
            <v>0</v>
          </cell>
          <cell r="BB155">
            <v>0</v>
          </cell>
          <cell r="BC155">
            <v>75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7866.875</v>
          </cell>
        </row>
        <row r="156">
          <cell r="C156">
            <v>7251</v>
          </cell>
          <cell r="D156" t="str">
            <v>Mangao, Rose Anne Alegre</v>
          </cell>
          <cell r="E156">
            <v>80</v>
          </cell>
          <cell r="F156">
            <v>10</v>
          </cell>
          <cell r="G156">
            <v>600</v>
          </cell>
          <cell r="H156">
            <v>6000</v>
          </cell>
          <cell r="I156">
            <v>21</v>
          </cell>
          <cell r="J156">
            <v>1.25</v>
          </cell>
          <cell r="K156">
            <v>-26.25</v>
          </cell>
          <cell r="L156">
            <v>24</v>
          </cell>
          <cell r="M156">
            <v>93.75</v>
          </cell>
          <cell r="N156">
            <v>2250</v>
          </cell>
          <cell r="O156">
            <v>0</v>
          </cell>
          <cell r="P156">
            <v>7.5</v>
          </cell>
          <cell r="Q156">
            <v>0</v>
          </cell>
          <cell r="R156">
            <v>0</v>
          </cell>
          <cell r="S156">
            <v>97.5</v>
          </cell>
          <cell r="T156">
            <v>0</v>
          </cell>
          <cell r="U156">
            <v>0</v>
          </cell>
          <cell r="V156">
            <v>126.75</v>
          </cell>
          <cell r="W156">
            <v>0</v>
          </cell>
          <cell r="X156">
            <v>0</v>
          </cell>
          <cell r="Y156">
            <v>9.75</v>
          </cell>
          <cell r="Z156">
            <v>0</v>
          </cell>
          <cell r="AA156">
            <v>0</v>
          </cell>
          <cell r="AB156">
            <v>112.5</v>
          </cell>
          <cell r="AC156">
            <v>0</v>
          </cell>
          <cell r="AD156">
            <v>0</v>
          </cell>
          <cell r="AE156">
            <v>146.25</v>
          </cell>
          <cell r="AF156">
            <v>0</v>
          </cell>
          <cell r="AG156">
            <v>0</v>
          </cell>
          <cell r="AH156">
            <v>11.25</v>
          </cell>
          <cell r="AI156">
            <v>0</v>
          </cell>
          <cell r="AJ156">
            <v>8</v>
          </cell>
          <cell r="AK156">
            <v>97.5</v>
          </cell>
          <cell r="AL156">
            <v>780</v>
          </cell>
          <cell r="AM156">
            <v>0</v>
          </cell>
          <cell r="AN156">
            <v>126.75</v>
          </cell>
          <cell r="AO156">
            <v>0</v>
          </cell>
          <cell r="AP156">
            <v>0</v>
          </cell>
          <cell r="AQ156">
            <v>9.75</v>
          </cell>
          <cell r="AR156">
            <v>0</v>
          </cell>
          <cell r="AS156">
            <v>0</v>
          </cell>
          <cell r="AT156">
            <v>150</v>
          </cell>
          <cell r="AU156">
            <v>0</v>
          </cell>
          <cell r="AV156">
            <v>0</v>
          </cell>
          <cell r="AW156">
            <v>195</v>
          </cell>
          <cell r="AX156">
            <v>0</v>
          </cell>
          <cell r="AY156">
            <v>0</v>
          </cell>
          <cell r="AZ156">
            <v>15</v>
          </cell>
          <cell r="BA156">
            <v>0</v>
          </cell>
          <cell r="BB156">
            <v>0</v>
          </cell>
          <cell r="BC156">
            <v>75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9003.75</v>
          </cell>
        </row>
        <row r="157">
          <cell r="C157">
            <v>14290</v>
          </cell>
          <cell r="D157" t="str">
            <v>Mapa, Blessie Lyn Alberto</v>
          </cell>
          <cell r="E157">
            <v>80</v>
          </cell>
          <cell r="F157">
            <v>10</v>
          </cell>
          <cell r="G157">
            <v>600</v>
          </cell>
          <cell r="H157">
            <v>6000</v>
          </cell>
          <cell r="I157">
            <v>0</v>
          </cell>
          <cell r="J157">
            <v>1.25</v>
          </cell>
          <cell r="K157">
            <v>0</v>
          </cell>
          <cell r="L157">
            <v>18</v>
          </cell>
          <cell r="M157">
            <v>93.75</v>
          </cell>
          <cell r="N157">
            <v>1687.5</v>
          </cell>
          <cell r="O157">
            <v>32</v>
          </cell>
          <cell r="P157">
            <v>7.5</v>
          </cell>
          <cell r="Q157">
            <v>240</v>
          </cell>
          <cell r="R157">
            <v>0</v>
          </cell>
          <cell r="S157">
            <v>97.5</v>
          </cell>
          <cell r="T157">
            <v>0</v>
          </cell>
          <cell r="U157">
            <v>0</v>
          </cell>
          <cell r="V157">
            <v>126.75</v>
          </cell>
          <cell r="W157">
            <v>0</v>
          </cell>
          <cell r="X157">
            <v>0</v>
          </cell>
          <cell r="Y157">
            <v>9.75</v>
          </cell>
          <cell r="Z157">
            <v>0</v>
          </cell>
          <cell r="AA157">
            <v>0</v>
          </cell>
          <cell r="AB157">
            <v>112.5</v>
          </cell>
          <cell r="AC157">
            <v>0</v>
          </cell>
          <cell r="AD157">
            <v>0</v>
          </cell>
          <cell r="AE157">
            <v>146.25</v>
          </cell>
          <cell r="AF157">
            <v>0</v>
          </cell>
          <cell r="AG157">
            <v>0</v>
          </cell>
          <cell r="AH157">
            <v>11.25</v>
          </cell>
          <cell r="AI157">
            <v>0</v>
          </cell>
          <cell r="AJ157">
            <v>0</v>
          </cell>
          <cell r="AK157">
            <v>97.5</v>
          </cell>
          <cell r="AL157">
            <v>0</v>
          </cell>
          <cell r="AM157">
            <v>0</v>
          </cell>
          <cell r="AN157">
            <v>126.75</v>
          </cell>
          <cell r="AO157">
            <v>0</v>
          </cell>
          <cell r="AP157">
            <v>0</v>
          </cell>
          <cell r="AQ157">
            <v>9.75</v>
          </cell>
          <cell r="AR157">
            <v>0</v>
          </cell>
          <cell r="AS157">
            <v>0</v>
          </cell>
          <cell r="AT157">
            <v>150</v>
          </cell>
          <cell r="AU157">
            <v>0</v>
          </cell>
          <cell r="AV157">
            <v>0</v>
          </cell>
          <cell r="AW157">
            <v>195</v>
          </cell>
          <cell r="AX157">
            <v>0</v>
          </cell>
          <cell r="AY157">
            <v>0</v>
          </cell>
          <cell r="AZ157">
            <v>15</v>
          </cell>
          <cell r="BA157">
            <v>0</v>
          </cell>
          <cell r="BB157">
            <v>0</v>
          </cell>
          <cell r="BC157">
            <v>75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7927.5</v>
          </cell>
        </row>
        <row r="158">
          <cell r="C158">
            <v>12377</v>
          </cell>
          <cell r="D158" t="str">
            <v>Maralit, Monica M.</v>
          </cell>
          <cell r="E158">
            <v>80</v>
          </cell>
          <cell r="F158">
            <v>10</v>
          </cell>
          <cell r="G158">
            <v>600</v>
          </cell>
          <cell r="H158">
            <v>6000</v>
          </cell>
          <cell r="I158">
            <v>0</v>
          </cell>
          <cell r="J158">
            <v>1.25</v>
          </cell>
          <cell r="K158">
            <v>0</v>
          </cell>
          <cell r="L158">
            <v>18</v>
          </cell>
          <cell r="M158">
            <v>93.75</v>
          </cell>
          <cell r="N158">
            <v>1687.5</v>
          </cell>
          <cell r="O158">
            <v>78</v>
          </cell>
          <cell r="P158">
            <v>7.5</v>
          </cell>
          <cell r="Q158">
            <v>585</v>
          </cell>
          <cell r="R158">
            <v>0</v>
          </cell>
          <cell r="S158">
            <v>97.5</v>
          </cell>
          <cell r="T158">
            <v>0</v>
          </cell>
          <cell r="U158">
            <v>0</v>
          </cell>
          <cell r="V158">
            <v>126.75</v>
          </cell>
          <cell r="W158">
            <v>0</v>
          </cell>
          <cell r="X158">
            <v>0</v>
          </cell>
          <cell r="Y158">
            <v>9.75</v>
          </cell>
          <cell r="Z158">
            <v>0</v>
          </cell>
          <cell r="AA158">
            <v>0</v>
          </cell>
          <cell r="AB158">
            <v>112.5</v>
          </cell>
          <cell r="AC158">
            <v>0</v>
          </cell>
          <cell r="AD158">
            <v>0</v>
          </cell>
          <cell r="AE158">
            <v>146.25</v>
          </cell>
          <cell r="AF158">
            <v>0</v>
          </cell>
          <cell r="AG158">
            <v>0</v>
          </cell>
          <cell r="AH158">
            <v>11.25</v>
          </cell>
          <cell r="AI158">
            <v>0</v>
          </cell>
          <cell r="AJ158">
            <v>0</v>
          </cell>
          <cell r="AK158">
            <v>97.5</v>
          </cell>
          <cell r="AL158">
            <v>0</v>
          </cell>
          <cell r="AM158">
            <v>0</v>
          </cell>
          <cell r="AN158">
            <v>126.75</v>
          </cell>
          <cell r="AO158">
            <v>0</v>
          </cell>
          <cell r="AP158">
            <v>0</v>
          </cell>
          <cell r="AQ158">
            <v>9.75</v>
          </cell>
          <cell r="AR158">
            <v>0</v>
          </cell>
          <cell r="AS158">
            <v>0</v>
          </cell>
          <cell r="AT158">
            <v>150</v>
          </cell>
          <cell r="AU158">
            <v>0</v>
          </cell>
          <cell r="AV158">
            <v>0</v>
          </cell>
          <cell r="AW158">
            <v>195</v>
          </cell>
          <cell r="AX158">
            <v>0</v>
          </cell>
          <cell r="AY158">
            <v>0</v>
          </cell>
          <cell r="AZ158">
            <v>15</v>
          </cell>
          <cell r="BA158">
            <v>0</v>
          </cell>
          <cell r="BB158">
            <v>0</v>
          </cell>
          <cell r="BC158">
            <v>75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8272.5</v>
          </cell>
        </row>
        <row r="159">
          <cell r="C159">
            <v>30180</v>
          </cell>
          <cell r="D159" t="str">
            <v>Marasigan, Adrian De Leon</v>
          </cell>
          <cell r="E159">
            <v>72</v>
          </cell>
          <cell r="F159">
            <v>9</v>
          </cell>
          <cell r="G159">
            <v>600</v>
          </cell>
          <cell r="H159">
            <v>5400</v>
          </cell>
          <cell r="I159">
            <v>66</v>
          </cell>
          <cell r="J159">
            <v>1.25</v>
          </cell>
          <cell r="K159">
            <v>-82.5</v>
          </cell>
          <cell r="L159">
            <v>18</v>
          </cell>
          <cell r="M159">
            <v>93.75</v>
          </cell>
          <cell r="N159">
            <v>1687.5</v>
          </cell>
          <cell r="O159">
            <v>32</v>
          </cell>
          <cell r="P159">
            <v>7.5</v>
          </cell>
          <cell r="Q159">
            <v>240</v>
          </cell>
          <cell r="R159">
            <v>0</v>
          </cell>
          <cell r="S159">
            <v>97.5</v>
          </cell>
          <cell r="T159">
            <v>0</v>
          </cell>
          <cell r="U159">
            <v>0</v>
          </cell>
          <cell r="V159">
            <v>126.75</v>
          </cell>
          <cell r="W159">
            <v>0</v>
          </cell>
          <cell r="X159">
            <v>0</v>
          </cell>
          <cell r="Y159">
            <v>9.75</v>
          </cell>
          <cell r="Z159">
            <v>0</v>
          </cell>
          <cell r="AA159">
            <v>0</v>
          </cell>
          <cell r="AB159">
            <v>112.5</v>
          </cell>
          <cell r="AC159">
            <v>0</v>
          </cell>
          <cell r="AD159">
            <v>0</v>
          </cell>
          <cell r="AE159">
            <v>146.25</v>
          </cell>
          <cell r="AF159">
            <v>0</v>
          </cell>
          <cell r="AG159">
            <v>0</v>
          </cell>
          <cell r="AH159">
            <v>11.25</v>
          </cell>
          <cell r="AI159">
            <v>0</v>
          </cell>
          <cell r="AJ159">
            <v>0</v>
          </cell>
          <cell r="AK159">
            <v>97.5</v>
          </cell>
          <cell r="AL159">
            <v>0</v>
          </cell>
          <cell r="AM159">
            <v>0</v>
          </cell>
          <cell r="AN159">
            <v>126.75</v>
          </cell>
          <cell r="AO159">
            <v>0</v>
          </cell>
          <cell r="AP159">
            <v>0</v>
          </cell>
          <cell r="AQ159">
            <v>9.75</v>
          </cell>
          <cell r="AR159">
            <v>0</v>
          </cell>
          <cell r="AS159">
            <v>0</v>
          </cell>
          <cell r="AT159">
            <v>150</v>
          </cell>
          <cell r="AU159">
            <v>0</v>
          </cell>
          <cell r="AV159">
            <v>0</v>
          </cell>
          <cell r="AW159">
            <v>195</v>
          </cell>
          <cell r="AX159">
            <v>0</v>
          </cell>
          <cell r="AY159">
            <v>0</v>
          </cell>
          <cell r="AZ159">
            <v>15</v>
          </cell>
          <cell r="BA159">
            <v>0</v>
          </cell>
          <cell r="BB159">
            <v>0</v>
          </cell>
          <cell r="BC159">
            <v>75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7245</v>
          </cell>
        </row>
        <row r="160">
          <cell r="C160">
            <v>12089</v>
          </cell>
          <cell r="D160" t="str">
            <v>Marasigan, John Marcel O.</v>
          </cell>
          <cell r="E160">
            <v>72</v>
          </cell>
          <cell r="F160">
            <v>9</v>
          </cell>
          <cell r="G160">
            <v>600</v>
          </cell>
          <cell r="H160">
            <v>5400</v>
          </cell>
          <cell r="I160">
            <v>0</v>
          </cell>
          <cell r="J160">
            <v>1.25</v>
          </cell>
          <cell r="K160">
            <v>0</v>
          </cell>
          <cell r="L160">
            <v>12</v>
          </cell>
          <cell r="M160">
            <v>93.75</v>
          </cell>
          <cell r="N160">
            <v>1125</v>
          </cell>
          <cell r="O160">
            <v>30</v>
          </cell>
          <cell r="P160">
            <v>7.5</v>
          </cell>
          <cell r="Q160">
            <v>225</v>
          </cell>
          <cell r="R160">
            <v>0</v>
          </cell>
          <cell r="S160">
            <v>97.5</v>
          </cell>
          <cell r="T160">
            <v>0</v>
          </cell>
          <cell r="U160">
            <v>0</v>
          </cell>
          <cell r="V160">
            <v>126.75</v>
          </cell>
          <cell r="W160">
            <v>0</v>
          </cell>
          <cell r="X160">
            <v>0</v>
          </cell>
          <cell r="Y160">
            <v>9.75</v>
          </cell>
          <cell r="Z160">
            <v>0</v>
          </cell>
          <cell r="AA160">
            <v>0</v>
          </cell>
          <cell r="AB160">
            <v>112.5</v>
          </cell>
          <cell r="AC160">
            <v>0</v>
          </cell>
          <cell r="AD160">
            <v>0</v>
          </cell>
          <cell r="AE160">
            <v>146.25</v>
          </cell>
          <cell r="AF160">
            <v>0</v>
          </cell>
          <cell r="AG160">
            <v>0</v>
          </cell>
          <cell r="AH160">
            <v>11.25</v>
          </cell>
          <cell r="AI160">
            <v>0</v>
          </cell>
          <cell r="AJ160">
            <v>0</v>
          </cell>
          <cell r="AK160">
            <v>97.5</v>
          </cell>
          <cell r="AL160">
            <v>0</v>
          </cell>
          <cell r="AM160">
            <v>0</v>
          </cell>
          <cell r="AN160">
            <v>126.75</v>
          </cell>
          <cell r="AO160">
            <v>0</v>
          </cell>
          <cell r="AP160">
            <v>0</v>
          </cell>
          <cell r="AQ160">
            <v>9.75</v>
          </cell>
          <cell r="AR160">
            <v>0</v>
          </cell>
          <cell r="AS160">
            <v>0</v>
          </cell>
          <cell r="AT160">
            <v>150</v>
          </cell>
          <cell r="AU160">
            <v>0</v>
          </cell>
          <cell r="AV160">
            <v>0</v>
          </cell>
          <cell r="AW160">
            <v>195</v>
          </cell>
          <cell r="AX160">
            <v>0</v>
          </cell>
          <cell r="AY160">
            <v>0</v>
          </cell>
          <cell r="AZ160">
            <v>15</v>
          </cell>
          <cell r="BA160">
            <v>0</v>
          </cell>
          <cell r="BB160">
            <v>0</v>
          </cell>
          <cell r="BC160">
            <v>75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6750</v>
          </cell>
        </row>
        <row r="161">
          <cell r="C161">
            <v>30773</v>
          </cell>
          <cell r="D161" t="str">
            <v>Marpiga, Cathyren</v>
          </cell>
          <cell r="E161">
            <v>80</v>
          </cell>
          <cell r="F161">
            <v>10</v>
          </cell>
          <cell r="G161">
            <v>600</v>
          </cell>
          <cell r="H161">
            <v>6000</v>
          </cell>
          <cell r="I161">
            <v>43</v>
          </cell>
          <cell r="J161">
            <v>1.25</v>
          </cell>
          <cell r="K161">
            <v>-53.75</v>
          </cell>
          <cell r="L161">
            <v>16</v>
          </cell>
          <cell r="M161">
            <v>93.75</v>
          </cell>
          <cell r="N161">
            <v>1500</v>
          </cell>
          <cell r="O161">
            <v>30</v>
          </cell>
          <cell r="P161">
            <v>7.5</v>
          </cell>
          <cell r="Q161">
            <v>225</v>
          </cell>
          <cell r="R161">
            <v>0</v>
          </cell>
          <cell r="S161">
            <v>97.5</v>
          </cell>
          <cell r="T161">
            <v>0</v>
          </cell>
          <cell r="U161">
            <v>0</v>
          </cell>
          <cell r="V161">
            <v>126.75</v>
          </cell>
          <cell r="W161">
            <v>0</v>
          </cell>
          <cell r="X161">
            <v>0</v>
          </cell>
          <cell r="Y161">
            <v>9.75</v>
          </cell>
          <cell r="Z161">
            <v>0</v>
          </cell>
          <cell r="AA161">
            <v>0</v>
          </cell>
          <cell r="AB161">
            <v>112.5</v>
          </cell>
          <cell r="AC161">
            <v>0</v>
          </cell>
          <cell r="AD161">
            <v>0</v>
          </cell>
          <cell r="AE161">
            <v>146.25</v>
          </cell>
          <cell r="AF161">
            <v>0</v>
          </cell>
          <cell r="AG161">
            <v>0</v>
          </cell>
          <cell r="AH161">
            <v>11.25</v>
          </cell>
          <cell r="AI161">
            <v>0</v>
          </cell>
          <cell r="AJ161">
            <v>0</v>
          </cell>
          <cell r="AK161">
            <v>97.5</v>
          </cell>
          <cell r="AL161">
            <v>0</v>
          </cell>
          <cell r="AM161">
            <v>0</v>
          </cell>
          <cell r="AN161">
            <v>126.75</v>
          </cell>
          <cell r="AO161">
            <v>0</v>
          </cell>
          <cell r="AP161">
            <v>0</v>
          </cell>
          <cell r="AQ161">
            <v>9.75</v>
          </cell>
          <cell r="AR161">
            <v>0</v>
          </cell>
          <cell r="AS161">
            <v>0</v>
          </cell>
          <cell r="AT161">
            <v>150</v>
          </cell>
          <cell r="AU161">
            <v>0</v>
          </cell>
          <cell r="AV161">
            <v>0</v>
          </cell>
          <cell r="AW161">
            <v>195</v>
          </cell>
          <cell r="AX161">
            <v>0</v>
          </cell>
          <cell r="AY161">
            <v>0</v>
          </cell>
          <cell r="AZ161">
            <v>15</v>
          </cell>
          <cell r="BA161">
            <v>0</v>
          </cell>
          <cell r="BB161">
            <v>0</v>
          </cell>
          <cell r="BC161">
            <v>75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7671.25</v>
          </cell>
        </row>
        <row r="162">
          <cell r="C162">
            <v>14295</v>
          </cell>
          <cell r="D162" t="str">
            <v>Marquez, Aubrey Mendoza</v>
          </cell>
          <cell r="E162">
            <v>32</v>
          </cell>
          <cell r="F162">
            <v>4</v>
          </cell>
          <cell r="G162">
            <v>600</v>
          </cell>
          <cell r="H162">
            <v>2400</v>
          </cell>
          <cell r="I162">
            <v>0</v>
          </cell>
          <cell r="J162">
            <v>1.25</v>
          </cell>
          <cell r="K162">
            <v>0</v>
          </cell>
          <cell r="L162">
            <v>6</v>
          </cell>
          <cell r="M162">
            <v>93.75</v>
          </cell>
          <cell r="N162">
            <v>562.5</v>
          </cell>
          <cell r="O162">
            <v>0</v>
          </cell>
          <cell r="P162">
            <v>7.5</v>
          </cell>
          <cell r="Q162">
            <v>0</v>
          </cell>
          <cell r="R162">
            <v>8</v>
          </cell>
          <cell r="S162">
            <v>97.5</v>
          </cell>
          <cell r="T162">
            <v>780</v>
          </cell>
          <cell r="U162">
            <v>0</v>
          </cell>
          <cell r="V162">
            <v>126.75</v>
          </cell>
          <cell r="W162">
            <v>0</v>
          </cell>
          <cell r="X162">
            <v>0</v>
          </cell>
          <cell r="Y162">
            <v>9.75</v>
          </cell>
          <cell r="Z162">
            <v>0</v>
          </cell>
          <cell r="AA162">
            <v>0</v>
          </cell>
          <cell r="AB162">
            <v>112.5</v>
          </cell>
          <cell r="AC162">
            <v>0</v>
          </cell>
          <cell r="AD162">
            <v>0</v>
          </cell>
          <cell r="AE162">
            <v>146.25</v>
          </cell>
          <cell r="AF162">
            <v>0</v>
          </cell>
          <cell r="AG162">
            <v>0</v>
          </cell>
          <cell r="AH162">
            <v>11.25</v>
          </cell>
          <cell r="AI162">
            <v>0</v>
          </cell>
          <cell r="AJ162">
            <v>8</v>
          </cell>
          <cell r="AK162">
            <v>97.5</v>
          </cell>
          <cell r="AL162">
            <v>780</v>
          </cell>
          <cell r="AM162">
            <v>0</v>
          </cell>
          <cell r="AN162">
            <v>126.75</v>
          </cell>
          <cell r="AO162">
            <v>0</v>
          </cell>
          <cell r="AP162">
            <v>0</v>
          </cell>
          <cell r="AQ162">
            <v>9.75</v>
          </cell>
          <cell r="AR162">
            <v>0</v>
          </cell>
          <cell r="AS162">
            <v>0</v>
          </cell>
          <cell r="AT162">
            <v>150</v>
          </cell>
          <cell r="AU162">
            <v>0</v>
          </cell>
          <cell r="AV162">
            <v>0</v>
          </cell>
          <cell r="AW162">
            <v>195</v>
          </cell>
          <cell r="AX162">
            <v>0</v>
          </cell>
          <cell r="AY162">
            <v>0</v>
          </cell>
          <cell r="AZ162">
            <v>15</v>
          </cell>
          <cell r="BA162">
            <v>0</v>
          </cell>
          <cell r="BB162">
            <v>0</v>
          </cell>
          <cell r="BC162">
            <v>75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4522.5</v>
          </cell>
        </row>
        <row r="163">
          <cell r="C163">
            <v>14296</v>
          </cell>
          <cell r="D163" t="str">
            <v>Marquez, Jerald Luay</v>
          </cell>
          <cell r="E163">
            <v>88</v>
          </cell>
          <cell r="F163">
            <v>11</v>
          </cell>
          <cell r="G163">
            <v>600</v>
          </cell>
          <cell r="H163">
            <v>6600</v>
          </cell>
          <cell r="I163">
            <v>0</v>
          </cell>
          <cell r="J163">
            <v>1.25</v>
          </cell>
          <cell r="K163">
            <v>0</v>
          </cell>
          <cell r="L163">
            <v>20</v>
          </cell>
          <cell r="M163">
            <v>93.75</v>
          </cell>
          <cell r="N163">
            <v>1875</v>
          </cell>
          <cell r="O163">
            <v>54</v>
          </cell>
          <cell r="P163">
            <v>7.5</v>
          </cell>
          <cell r="Q163">
            <v>405</v>
          </cell>
          <cell r="R163">
            <v>0</v>
          </cell>
          <cell r="S163">
            <v>97.5</v>
          </cell>
          <cell r="T163">
            <v>0</v>
          </cell>
          <cell r="U163">
            <v>0</v>
          </cell>
          <cell r="V163">
            <v>126.75</v>
          </cell>
          <cell r="W163">
            <v>0</v>
          </cell>
          <cell r="X163">
            <v>0</v>
          </cell>
          <cell r="Y163">
            <v>9.75</v>
          </cell>
          <cell r="Z163">
            <v>0</v>
          </cell>
          <cell r="AA163">
            <v>0</v>
          </cell>
          <cell r="AB163">
            <v>112.5</v>
          </cell>
          <cell r="AC163">
            <v>0</v>
          </cell>
          <cell r="AD163">
            <v>0</v>
          </cell>
          <cell r="AE163">
            <v>146.25</v>
          </cell>
          <cell r="AF163">
            <v>0</v>
          </cell>
          <cell r="AG163">
            <v>0</v>
          </cell>
          <cell r="AH163">
            <v>11.25</v>
          </cell>
          <cell r="AI163">
            <v>0</v>
          </cell>
          <cell r="AJ163">
            <v>0</v>
          </cell>
          <cell r="AK163">
            <v>97.5</v>
          </cell>
          <cell r="AL163">
            <v>0</v>
          </cell>
          <cell r="AM163">
            <v>0</v>
          </cell>
          <cell r="AN163">
            <v>126.75</v>
          </cell>
          <cell r="AO163">
            <v>0</v>
          </cell>
          <cell r="AP163">
            <v>0</v>
          </cell>
          <cell r="AQ163">
            <v>9.75</v>
          </cell>
          <cell r="AR163">
            <v>0</v>
          </cell>
          <cell r="AS163">
            <v>0</v>
          </cell>
          <cell r="AT163">
            <v>150</v>
          </cell>
          <cell r="AU163">
            <v>0</v>
          </cell>
          <cell r="AV163">
            <v>0</v>
          </cell>
          <cell r="AW163">
            <v>195</v>
          </cell>
          <cell r="AX163">
            <v>0</v>
          </cell>
          <cell r="AY163">
            <v>0</v>
          </cell>
          <cell r="AZ163">
            <v>15</v>
          </cell>
          <cell r="BA163">
            <v>0</v>
          </cell>
          <cell r="BB163">
            <v>0</v>
          </cell>
          <cell r="BC163">
            <v>75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8880</v>
          </cell>
        </row>
        <row r="164">
          <cell r="C164">
            <v>14298</v>
          </cell>
          <cell r="D164" t="str">
            <v>Marquinez, Kimberlie Garcia</v>
          </cell>
          <cell r="E164">
            <v>72</v>
          </cell>
          <cell r="F164">
            <v>9</v>
          </cell>
          <cell r="G164">
            <v>600</v>
          </cell>
          <cell r="H164">
            <v>5400</v>
          </cell>
          <cell r="I164">
            <v>0</v>
          </cell>
          <cell r="J164">
            <v>1.25</v>
          </cell>
          <cell r="K164">
            <v>0</v>
          </cell>
          <cell r="L164">
            <v>11</v>
          </cell>
          <cell r="M164">
            <v>93.75</v>
          </cell>
          <cell r="N164">
            <v>1031.25</v>
          </cell>
          <cell r="O164">
            <v>0</v>
          </cell>
          <cell r="P164">
            <v>7.5</v>
          </cell>
          <cell r="Q164">
            <v>0</v>
          </cell>
          <cell r="R164">
            <v>0</v>
          </cell>
          <cell r="S164">
            <v>97.5</v>
          </cell>
          <cell r="T164">
            <v>0</v>
          </cell>
          <cell r="U164">
            <v>0</v>
          </cell>
          <cell r="V164">
            <v>126.75</v>
          </cell>
          <cell r="W164">
            <v>0</v>
          </cell>
          <cell r="X164">
            <v>0</v>
          </cell>
          <cell r="Y164">
            <v>9.75</v>
          </cell>
          <cell r="Z164">
            <v>0</v>
          </cell>
          <cell r="AA164">
            <v>0</v>
          </cell>
          <cell r="AB164">
            <v>112.5</v>
          </cell>
          <cell r="AC164">
            <v>0</v>
          </cell>
          <cell r="AD164">
            <v>0</v>
          </cell>
          <cell r="AE164">
            <v>146.25</v>
          </cell>
          <cell r="AF164">
            <v>0</v>
          </cell>
          <cell r="AG164">
            <v>0</v>
          </cell>
          <cell r="AH164">
            <v>11.25</v>
          </cell>
          <cell r="AI164">
            <v>0</v>
          </cell>
          <cell r="AJ164">
            <v>8</v>
          </cell>
          <cell r="AK164">
            <v>97.5</v>
          </cell>
          <cell r="AL164">
            <v>780</v>
          </cell>
          <cell r="AM164">
            <v>0</v>
          </cell>
          <cell r="AN164">
            <v>126.75</v>
          </cell>
          <cell r="AO164">
            <v>0</v>
          </cell>
          <cell r="AP164">
            <v>0</v>
          </cell>
          <cell r="AQ164">
            <v>9.75</v>
          </cell>
          <cell r="AR164">
            <v>0</v>
          </cell>
          <cell r="AS164">
            <v>0</v>
          </cell>
          <cell r="AT164">
            <v>150</v>
          </cell>
          <cell r="AU164">
            <v>0</v>
          </cell>
          <cell r="AV164">
            <v>0</v>
          </cell>
          <cell r="AW164">
            <v>195</v>
          </cell>
          <cell r="AX164">
            <v>0</v>
          </cell>
          <cell r="AY164">
            <v>0</v>
          </cell>
          <cell r="AZ164">
            <v>15</v>
          </cell>
          <cell r="BA164">
            <v>0</v>
          </cell>
          <cell r="BB164">
            <v>0</v>
          </cell>
          <cell r="BC164">
            <v>75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7211.25</v>
          </cell>
        </row>
        <row r="165">
          <cell r="C165">
            <v>14300</v>
          </cell>
          <cell r="D165" t="str">
            <v>Masikap, Ailene Olgado</v>
          </cell>
          <cell r="E165">
            <v>72</v>
          </cell>
          <cell r="F165">
            <v>9</v>
          </cell>
          <cell r="G165">
            <v>600</v>
          </cell>
          <cell r="H165">
            <v>5400</v>
          </cell>
          <cell r="I165">
            <v>0</v>
          </cell>
          <cell r="J165">
            <v>1.25</v>
          </cell>
          <cell r="K165">
            <v>0</v>
          </cell>
          <cell r="L165">
            <v>18</v>
          </cell>
          <cell r="M165">
            <v>93.75</v>
          </cell>
          <cell r="N165">
            <v>1687.5</v>
          </cell>
          <cell r="O165">
            <v>0</v>
          </cell>
          <cell r="P165">
            <v>7.5</v>
          </cell>
          <cell r="Q165">
            <v>0</v>
          </cell>
          <cell r="R165">
            <v>0</v>
          </cell>
          <cell r="S165">
            <v>97.5</v>
          </cell>
          <cell r="T165">
            <v>0</v>
          </cell>
          <cell r="U165">
            <v>0</v>
          </cell>
          <cell r="V165">
            <v>126.75</v>
          </cell>
          <cell r="W165">
            <v>0</v>
          </cell>
          <cell r="X165">
            <v>0</v>
          </cell>
          <cell r="Y165">
            <v>9.75</v>
          </cell>
          <cell r="Z165">
            <v>0</v>
          </cell>
          <cell r="AA165">
            <v>0</v>
          </cell>
          <cell r="AB165">
            <v>112.5</v>
          </cell>
          <cell r="AC165">
            <v>0</v>
          </cell>
          <cell r="AD165">
            <v>0</v>
          </cell>
          <cell r="AE165">
            <v>146.25</v>
          </cell>
          <cell r="AF165">
            <v>0</v>
          </cell>
          <cell r="AG165">
            <v>0</v>
          </cell>
          <cell r="AH165">
            <v>11.25</v>
          </cell>
          <cell r="AI165">
            <v>0</v>
          </cell>
          <cell r="AJ165">
            <v>0</v>
          </cell>
          <cell r="AK165">
            <v>97.5</v>
          </cell>
          <cell r="AL165">
            <v>0</v>
          </cell>
          <cell r="AM165">
            <v>0</v>
          </cell>
          <cell r="AN165">
            <v>126.75</v>
          </cell>
          <cell r="AO165">
            <v>0</v>
          </cell>
          <cell r="AP165">
            <v>0</v>
          </cell>
          <cell r="AQ165">
            <v>9.75</v>
          </cell>
          <cell r="AR165">
            <v>0</v>
          </cell>
          <cell r="AS165">
            <v>0</v>
          </cell>
          <cell r="AT165">
            <v>150</v>
          </cell>
          <cell r="AU165">
            <v>0</v>
          </cell>
          <cell r="AV165">
            <v>0</v>
          </cell>
          <cell r="AW165">
            <v>195</v>
          </cell>
          <cell r="AX165">
            <v>0</v>
          </cell>
          <cell r="AY165">
            <v>0</v>
          </cell>
          <cell r="AZ165">
            <v>15</v>
          </cell>
          <cell r="BA165">
            <v>0</v>
          </cell>
          <cell r="BB165">
            <v>0</v>
          </cell>
          <cell r="BC165">
            <v>75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7087.5</v>
          </cell>
        </row>
        <row r="166">
          <cell r="C166">
            <v>14301</v>
          </cell>
          <cell r="D166" t="str">
            <v>Masotes, Marny Flores</v>
          </cell>
          <cell r="E166">
            <v>80</v>
          </cell>
          <cell r="F166">
            <v>10</v>
          </cell>
          <cell r="G166">
            <v>600</v>
          </cell>
          <cell r="H166">
            <v>6000</v>
          </cell>
          <cell r="I166">
            <v>0</v>
          </cell>
          <cell r="J166">
            <v>1.25</v>
          </cell>
          <cell r="K166">
            <v>0</v>
          </cell>
          <cell r="L166">
            <v>13</v>
          </cell>
          <cell r="M166">
            <v>93.75</v>
          </cell>
          <cell r="N166">
            <v>1218.75</v>
          </cell>
          <cell r="O166">
            <v>0</v>
          </cell>
          <cell r="P166">
            <v>7.5</v>
          </cell>
          <cell r="Q166">
            <v>0</v>
          </cell>
          <cell r="R166">
            <v>16</v>
          </cell>
          <cell r="S166">
            <v>97.5</v>
          </cell>
          <cell r="T166">
            <v>1560</v>
          </cell>
          <cell r="U166">
            <v>0</v>
          </cell>
          <cell r="V166">
            <v>126.75</v>
          </cell>
          <cell r="W166">
            <v>0</v>
          </cell>
          <cell r="X166">
            <v>0</v>
          </cell>
          <cell r="Y166">
            <v>9.75</v>
          </cell>
          <cell r="Z166">
            <v>0</v>
          </cell>
          <cell r="AA166">
            <v>0</v>
          </cell>
          <cell r="AB166">
            <v>112.5</v>
          </cell>
          <cell r="AC166">
            <v>0</v>
          </cell>
          <cell r="AD166">
            <v>0</v>
          </cell>
          <cell r="AE166">
            <v>146.25</v>
          </cell>
          <cell r="AF166">
            <v>0</v>
          </cell>
          <cell r="AG166">
            <v>0</v>
          </cell>
          <cell r="AH166">
            <v>11.25</v>
          </cell>
          <cell r="AI166">
            <v>0</v>
          </cell>
          <cell r="AJ166">
            <v>8</v>
          </cell>
          <cell r="AK166">
            <v>97.5</v>
          </cell>
          <cell r="AL166">
            <v>780</v>
          </cell>
          <cell r="AM166">
            <v>0</v>
          </cell>
          <cell r="AN166">
            <v>126.75</v>
          </cell>
          <cell r="AO166">
            <v>0</v>
          </cell>
          <cell r="AP166">
            <v>0</v>
          </cell>
          <cell r="AQ166">
            <v>9.75</v>
          </cell>
          <cell r="AR166">
            <v>0</v>
          </cell>
          <cell r="AS166">
            <v>0</v>
          </cell>
          <cell r="AT166">
            <v>150</v>
          </cell>
          <cell r="AU166">
            <v>0</v>
          </cell>
          <cell r="AV166">
            <v>0</v>
          </cell>
          <cell r="AW166">
            <v>195</v>
          </cell>
          <cell r="AX166">
            <v>0</v>
          </cell>
          <cell r="AY166">
            <v>0</v>
          </cell>
          <cell r="AZ166">
            <v>15</v>
          </cell>
          <cell r="BA166">
            <v>0</v>
          </cell>
          <cell r="BB166">
            <v>0</v>
          </cell>
          <cell r="BC166">
            <v>75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9558.75</v>
          </cell>
        </row>
        <row r="167">
          <cell r="C167">
            <v>12113</v>
          </cell>
          <cell r="D167" t="str">
            <v>Mendoza, Edmond Abanilla</v>
          </cell>
          <cell r="E167">
            <v>72</v>
          </cell>
          <cell r="F167">
            <v>9</v>
          </cell>
          <cell r="G167">
            <v>600</v>
          </cell>
          <cell r="H167">
            <v>5400</v>
          </cell>
          <cell r="I167">
            <v>0</v>
          </cell>
          <cell r="J167">
            <v>1.25</v>
          </cell>
          <cell r="K167">
            <v>0</v>
          </cell>
          <cell r="L167">
            <v>23</v>
          </cell>
          <cell r="M167">
            <v>93.75</v>
          </cell>
          <cell r="N167">
            <v>2156.25</v>
          </cell>
          <cell r="O167">
            <v>0</v>
          </cell>
          <cell r="P167">
            <v>7.5</v>
          </cell>
          <cell r="Q167">
            <v>0</v>
          </cell>
          <cell r="R167">
            <v>8</v>
          </cell>
          <cell r="S167">
            <v>97.5</v>
          </cell>
          <cell r="T167">
            <v>780</v>
          </cell>
          <cell r="U167">
            <v>0</v>
          </cell>
          <cell r="V167">
            <v>126.75</v>
          </cell>
          <cell r="W167">
            <v>0</v>
          </cell>
          <cell r="X167">
            <v>0</v>
          </cell>
          <cell r="Y167">
            <v>9.75</v>
          </cell>
          <cell r="Z167">
            <v>0</v>
          </cell>
          <cell r="AA167">
            <v>0</v>
          </cell>
          <cell r="AB167">
            <v>112.5</v>
          </cell>
          <cell r="AC167">
            <v>0</v>
          </cell>
          <cell r="AD167">
            <v>0</v>
          </cell>
          <cell r="AE167">
            <v>146.25</v>
          </cell>
          <cell r="AF167">
            <v>0</v>
          </cell>
          <cell r="AG167">
            <v>0</v>
          </cell>
          <cell r="AH167">
            <v>11.25</v>
          </cell>
          <cell r="AI167">
            <v>0</v>
          </cell>
          <cell r="AJ167">
            <v>8</v>
          </cell>
          <cell r="AK167">
            <v>97.5</v>
          </cell>
          <cell r="AL167">
            <v>780</v>
          </cell>
          <cell r="AM167">
            <v>0</v>
          </cell>
          <cell r="AN167">
            <v>126.75</v>
          </cell>
          <cell r="AO167">
            <v>0</v>
          </cell>
          <cell r="AP167">
            <v>0</v>
          </cell>
          <cell r="AQ167">
            <v>9.75</v>
          </cell>
          <cell r="AR167">
            <v>0</v>
          </cell>
          <cell r="AS167">
            <v>0</v>
          </cell>
          <cell r="AT167">
            <v>150</v>
          </cell>
          <cell r="AU167">
            <v>0</v>
          </cell>
          <cell r="AV167">
            <v>0</v>
          </cell>
          <cell r="AW167">
            <v>195</v>
          </cell>
          <cell r="AX167">
            <v>0</v>
          </cell>
          <cell r="AY167">
            <v>0</v>
          </cell>
          <cell r="AZ167">
            <v>15</v>
          </cell>
          <cell r="BA167">
            <v>0</v>
          </cell>
          <cell r="BB167">
            <v>0</v>
          </cell>
          <cell r="BC167">
            <v>75</v>
          </cell>
          <cell r="BD167">
            <v>0</v>
          </cell>
          <cell r="BE167">
            <v>8</v>
          </cell>
          <cell r="BF167">
            <v>600</v>
          </cell>
          <cell r="BG167">
            <v>0</v>
          </cell>
          <cell r="BH167">
            <v>0</v>
          </cell>
          <cell r="BI167">
            <v>8</v>
          </cell>
          <cell r="BJ167">
            <v>60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9776.25</v>
          </cell>
        </row>
        <row r="168">
          <cell r="C168">
            <v>12524</v>
          </cell>
          <cell r="D168" t="str">
            <v>Mercado, Liezel Walo</v>
          </cell>
          <cell r="E168">
            <v>72</v>
          </cell>
          <cell r="F168">
            <v>9</v>
          </cell>
          <cell r="G168">
            <v>600</v>
          </cell>
          <cell r="H168">
            <v>5400</v>
          </cell>
          <cell r="I168">
            <v>0</v>
          </cell>
          <cell r="J168">
            <v>1.25</v>
          </cell>
          <cell r="K168">
            <v>0</v>
          </cell>
          <cell r="L168">
            <v>12</v>
          </cell>
          <cell r="M168">
            <v>93.75</v>
          </cell>
          <cell r="N168">
            <v>1125</v>
          </cell>
          <cell r="O168">
            <v>66</v>
          </cell>
          <cell r="P168">
            <v>7.5</v>
          </cell>
          <cell r="Q168">
            <v>495</v>
          </cell>
          <cell r="R168">
            <v>8</v>
          </cell>
          <cell r="S168">
            <v>97.5</v>
          </cell>
          <cell r="T168">
            <v>780</v>
          </cell>
          <cell r="U168">
            <v>0</v>
          </cell>
          <cell r="V168">
            <v>126.75</v>
          </cell>
          <cell r="W168">
            <v>0</v>
          </cell>
          <cell r="X168">
            <v>0</v>
          </cell>
          <cell r="Y168">
            <v>9.75</v>
          </cell>
          <cell r="Z168">
            <v>0</v>
          </cell>
          <cell r="AA168">
            <v>0</v>
          </cell>
          <cell r="AB168">
            <v>112.5</v>
          </cell>
          <cell r="AC168">
            <v>0</v>
          </cell>
          <cell r="AD168">
            <v>0</v>
          </cell>
          <cell r="AE168">
            <v>146.25</v>
          </cell>
          <cell r="AF168">
            <v>0</v>
          </cell>
          <cell r="AG168">
            <v>0</v>
          </cell>
          <cell r="AH168">
            <v>11.25</v>
          </cell>
          <cell r="AI168">
            <v>0</v>
          </cell>
          <cell r="AJ168">
            <v>0</v>
          </cell>
          <cell r="AK168">
            <v>97.5</v>
          </cell>
          <cell r="AL168">
            <v>0</v>
          </cell>
          <cell r="AM168">
            <v>0</v>
          </cell>
          <cell r="AN168">
            <v>126.75</v>
          </cell>
          <cell r="AO168">
            <v>0</v>
          </cell>
          <cell r="AP168">
            <v>0</v>
          </cell>
          <cell r="AQ168">
            <v>9.75</v>
          </cell>
          <cell r="AR168">
            <v>0</v>
          </cell>
          <cell r="AS168">
            <v>0</v>
          </cell>
          <cell r="AT168">
            <v>150</v>
          </cell>
          <cell r="AU168">
            <v>0</v>
          </cell>
          <cell r="AV168">
            <v>0</v>
          </cell>
          <cell r="AW168">
            <v>195</v>
          </cell>
          <cell r="AX168">
            <v>0</v>
          </cell>
          <cell r="AY168">
            <v>0</v>
          </cell>
          <cell r="AZ168">
            <v>15</v>
          </cell>
          <cell r="BA168">
            <v>0</v>
          </cell>
          <cell r="BB168">
            <v>0</v>
          </cell>
          <cell r="BC168">
            <v>75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7800</v>
          </cell>
        </row>
        <row r="169">
          <cell r="C169">
            <v>8138</v>
          </cell>
          <cell r="D169" t="str">
            <v>Mercano, Jerry Bugayong</v>
          </cell>
          <cell r="E169">
            <v>72</v>
          </cell>
          <cell r="F169">
            <v>9</v>
          </cell>
          <cell r="G169">
            <v>600</v>
          </cell>
          <cell r="H169">
            <v>5400</v>
          </cell>
          <cell r="I169">
            <v>0</v>
          </cell>
          <cell r="J169">
            <v>1.25</v>
          </cell>
          <cell r="K169">
            <v>0</v>
          </cell>
          <cell r="L169">
            <v>10</v>
          </cell>
          <cell r="M169">
            <v>93.75</v>
          </cell>
          <cell r="N169">
            <v>937.5</v>
          </cell>
          <cell r="O169">
            <v>30</v>
          </cell>
          <cell r="P169">
            <v>7.5</v>
          </cell>
          <cell r="Q169">
            <v>225</v>
          </cell>
          <cell r="R169">
            <v>0</v>
          </cell>
          <cell r="S169">
            <v>97.5</v>
          </cell>
          <cell r="T169">
            <v>0</v>
          </cell>
          <cell r="U169">
            <v>0</v>
          </cell>
          <cell r="V169">
            <v>126.75</v>
          </cell>
          <cell r="W169">
            <v>0</v>
          </cell>
          <cell r="X169">
            <v>0</v>
          </cell>
          <cell r="Y169">
            <v>9.75</v>
          </cell>
          <cell r="Z169">
            <v>0</v>
          </cell>
          <cell r="AA169">
            <v>0</v>
          </cell>
          <cell r="AB169">
            <v>112.5</v>
          </cell>
          <cell r="AC169">
            <v>0</v>
          </cell>
          <cell r="AD169">
            <v>0</v>
          </cell>
          <cell r="AE169">
            <v>146.25</v>
          </cell>
          <cell r="AF169">
            <v>0</v>
          </cell>
          <cell r="AG169">
            <v>0</v>
          </cell>
          <cell r="AH169">
            <v>11.25</v>
          </cell>
          <cell r="AI169">
            <v>0</v>
          </cell>
          <cell r="AJ169">
            <v>0</v>
          </cell>
          <cell r="AK169">
            <v>97.5</v>
          </cell>
          <cell r="AL169">
            <v>0</v>
          </cell>
          <cell r="AM169">
            <v>0</v>
          </cell>
          <cell r="AN169">
            <v>126.75</v>
          </cell>
          <cell r="AO169">
            <v>0</v>
          </cell>
          <cell r="AP169">
            <v>0</v>
          </cell>
          <cell r="AQ169">
            <v>9.75</v>
          </cell>
          <cell r="AR169">
            <v>0</v>
          </cell>
          <cell r="AS169">
            <v>0</v>
          </cell>
          <cell r="AT169">
            <v>150</v>
          </cell>
          <cell r="AU169">
            <v>0</v>
          </cell>
          <cell r="AV169">
            <v>0</v>
          </cell>
          <cell r="AW169">
            <v>195</v>
          </cell>
          <cell r="AX169">
            <v>0</v>
          </cell>
          <cell r="AY169">
            <v>0</v>
          </cell>
          <cell r="AZ169">
            <v>15</v>
          </cell>
          <cell r="BA169">
            <v>0</v>
          </cell>
          <cell r="BB169">
            <v>0</v>
          </cell>
          <cell r="BC169">
            <v>75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6562.5</v>
          </cell>
        </row>
        <row r="170">
          <cell r="C170">
            <v>14446</v>
          </cell>
          <cell r="D170" t="str">
            <v>Metrillo, Harold Bautista</v>
          </cell>
          <cell r="E170">
            <v>80</v>
          </cell>
          <cell r="F170">
            <v>10</v>
          </cell>
          <cell r="G170">
            <v>600</v>
          </cell>
          <cell r="H170">
            <v>6000</v>
          </cell>
          <cell r="I170">
            <v>0</v>
          </cell>
          <cell r="J170">
            <v>1.25</v>
          </cell>
          <cell r="K170">
            <v>0</v>
          </cell>
          <cell r="L170">
            <v>13</v>
          </cell>
          <cell r="M170">
            <v>93.75</v>
          </cell>
          <cell r="N170">
            <v>1218.75</v>
          </cell>
          <cell r="O170">
            <v>30</v>
          </cell>
          <cell r="P170">
            <v>7.5</v>
          </cell>
          <cell r="Q170">
            <v>225</v>
          </cell>
          <cell r="R170">
            <v>0</v>
          </cell>
          <cell r="S170">
            <v>97.5</v>
          </cell>
          <cell r="T170">
            <v>0</v>
          </cell>
          <cell r="U170">
            <v>0</v>
          </cell>
          <cell r="V170">
            <v>126.75</v>
          </cell>
          <cell r="W170">
            <v>0</v>
          </cell>
          <cell r="X170">
            <v>0</v>
          </cell>
          <cell r="Y170">
            <v>9.75</v>
          </cell>
          <cell r="Z170">
            <v>0</v>
          </cell>
          <cell r="AA170">
            <v>0</v>
          </cell>
          <cell r="AB170">
            <v>112.5</v>
          </cell>
          <cell r="AC170">
            <v>0</v>
          </cell>
          <cell r="AD170">
            <v>0</v>
          </cell>
          <cell r="AE170">
            <v>146.25</v>
          </cell>
          <cell r="AF170">
            <v>0</v>
          </cell>
          <cell r="AG170">
            <v>0</v>
          </cell>
          <cell r="AH170">
            <v>11.25</v>
          </cell>
          <cell r="AI170">
            <v>0</v>
          </cell>
          <cell r="AJ170">
            <v>0</v>
          </cell>
          <cell r="AK170">
            <v>97.5</v>
          </cell>
          <cell r="AL170">
            <v>0</v>
          </cell>
          <cell r="AM170">
            <v>0</v>
          </cell>
          <cell r="AN170">
            <v>126.75</v>
          </cell>
          <cell r="AO170">
            <v>0</v>
          </cell>
          <cell r="AP170">
            <v>0</v>
          </cell>
          <cell r="AQ170">
            <v>9.75</v>
          </cell>
          <cell r="AR170">
            <v>0</v>
          </cell>
          <cell r="AS170">
            <v>0</v>
          </cell>
          <cell r="AT170">
            <v>150</v>
          </cell>
          <cell r="AU170">
            <v>0</v>
          </cell>
          <cell r="AV170">
            <v>0</v>
          </cell>
          <cell r="AW170">
            <v>195</v>
          </cell>
          <cell r="AX170">
            <v>0</v>
          </cell>
          <cell r="AY170">
            <v>0</v>
          </cell>
          <cell r="AZ170">
            <v>15</v>
          </cell>
          <cell r="BA170">
            <v>0</v>
          </cell>
          <cell r="BB170">
            <v>0</v>
          </cell>
          <cell r="BC170">
            <v>75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7443.75</v>
          </cell>
        </row>
        <row r="171">
          <cell r="C171">
            <v>11083</v>
          </cell>
          <cell r="D171" t="str">
            <v>Milano, Alex Lleva</v>
          </cell>
          <cell r="E171">
            <v>80</v>
          </cell>
          <cell r="F171">
            <v>10</v>
          </cell>
          <cell r="G171">
            <v>600</v>
          </cell>
          <cell r="H171">
            <v>6000</v>
          </cell>
          <cell r="I171">
            <v>2</v>
          </cell>
          <cell r="J171">
            <v>1.25</v>
          </cell>
          <cell r="K171">
            <v>-2.5</v>
          </cell>
          <cell r="L171">
            <v>18</v>
          </cell>
          <cell r="M171">
            <v>93.75</v>
          </cell>
          <cell r="N171">
            <v>1687.5</v>
          </cell>
          <cell r="O171">
            <v>32</v>
          </cell>
          <cell r="P171">
            <v>7.5</v>
          </cell>
          <cell r="Q171">
            <v>240</v>
          </cell>
          <cell r="R171">
            <v>0</v>
          </cell>
          <cell r="S171">
            <v>97.5</v>
          </cell>
          <cell r="T171">
            <v>0</v>
          </cell>
          <cell r="U171">
            <v>0</v>
          </cell>
          <cell r="V171">
            <v>126.75</v>
          </cell>
          <cell r="W171">
            <v>0</v>
          </cell>
          <cell r="X171">
            <v>0</v>
          </cell>
          <cell r="Y171">
            <v>9.75</v>
          </cell>
          <cell r="Z171">
            <v>0</v>
          </cell>
          <cell r="AA171">
            <v>0</v>
          </cell>
          <cell r="AB171">
            <v>112.5</v>
          </cell>
          <cell r="AC171">
            <v>0</v>
          </cell>
          <cell r="AD171">
            <v>0</v>
          </cell>
          <cell r="AE171">
            <v>146.25</v>
          </cell>
          <cell r="AF171">
            <v>0</v>
          </cell>
          <cell r="AG171">
            <v>0</v>
          </cell>
          <cell r="AH171">
            <v>11.25</v>
          </cell>
          <cell r="AI171">
            <v>0</v>
          </cell>
          <cell r="AJ171">
            <v>0</v>
          </cell>
          <cell r="AK171">
            <v>97.5</v>
          </cell>
          <cell r="AL171">
            <v>0</v>
          </cell>
          <cell r="AM171">
            <v>0</v>
          </cell>
          <cell r="AN171">
            <v>126.75</v>
          </cell>
          <cell r="AO171">
            <v>0</v>
          </cell>
          <cell r="AP171">
            <v>0</v>
          </cell>
          <cell r="AQ171">
            <v>9.75</v>
          </cell>
          <cell r="AR171">
            <v>0</v>
          </cell>
          <cell r="AS171">
            <v>0</v>
          </cell>
          <cell r="AT171">
            <v>150</v>
          </cell>
          <cell r="AU171">
            <v>0</v>
          </cell>
          <cell r="AV171">
            <v>0</v>
          </cell>
          <cell r="AW171">
            <v>195</v>
          </cell>
          <cell r="AX171">
            <v>0</v>
          </cell>
          <cell r="AY171">
            <v>0</v>
          </cell>
          <cell r="AZ171">
            <v>15</v>
          </cell>
          <cell r="BA171">
            <v>0</v>
          </cell>
          <cell r="BB171">
            <v>0</v>
          </cell>
          <cell r="BC171">
            <v>75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7925</v>
          </cell>
        </row>
        <row r="172">
          <cell r="C172">
            <v>14306</v>
          </cell>
          <cell r="D172" t="str">
            <v>Mirabueno, Rico</v>
          </cell>
          <cell r="E172">
            <v>80</v>
          </cell>
          <cell r="F172">
            <v>10</v>
          </cell>
          <cell r="G172">
            <v>600</v>
          </cell>
          <cell r="H172">
            <v>6000</v>
          </cell>
          <cell r="I172">
            <v>0</v>
          </cell>
          <cell r="J172">
            <v>1.25</v>
          </cell>
          <cell r="K172">
            <v>0</v>
          </cell>
          <cell r="L172">
            <v>18</v>
          </cell>
          <cell r="M172">
            <v>93.75</v>
          </cell>
          <cell r="N172">
            <v>1687.5</v>
          </cell>
          <cell r="O172">
            <v>0</v>
          </cell>
          <cell r="P172">
            <v>7.5</v>
          </cell>
          <cell r="Q172">
            <v>0</v>
          </cell>
          <cell r="R172">
            <v>0</v>
          </cell>
          <cell r="S172">
            <v>97.5</v>
          </cell>
          <cell r="T172">
            <v>0</v>
          </cell>
          <cell r="U172">
            <v>0</v>
          </cell>
          <cell r="V172">
            <v>126.75</v>
          </cell>
          <cell r="W172">
            <v>0</v>
          </cell>
          <cell r="X172">
            <v>0</v>
          </cell>
          <cell r="Y172">
            <v>9.75</v>
          </cell>
          <cell r="Z172">
            <v>0</v>
          </cell>
          <cell r="AA172">
            <v>0</v>
          </cell>
          <cell r="AB172">
            <v>112.5</v>
          </cell>
          <cell r="AC172">
            <v>0</v>
          </cell>
          <cell r="AD172">
            <v>0</v>
          </cell>
          <cell r="AE172">
            <v>146.25</v>
          </cell>
          <cell r="AF172">
            <v>0</v>
          </cell>
          <cell r="AG172">
            <v>0</v>
          </cell>
          <cell r="AH172">
            <v>11.25</v>
          </cell>
          <cell r="AI172">
            <v>0</v>
          </cell>
          <cell r="AJ172">
            <v>8</v>
          </cell>
          <cell r="AK172">
            <v>97.5</v>
          </cell>
          <cell r="AL172">
            <v>780</v>
          </cell>
          <cell r="AM172">
            <v>0</v>
          </cell>
          <cell r="AN172">
            <v>126.75</v>
          </cell>
          <cell r="AO172">
            <v>0</v>
          </cell>
          <cell r="AP172">
            <v>0</v>
          </cell>
          <cell r="AQ172">
            <v>9.75</v>
          </cell>
          <cell r="AR172">
            <v>0</v>
          </cell>
          <cell r="AS172">
            <v>0</v>
          </cell>
          <cell r="AT172">
            <v>150</v>
          </cell>
          <cell r="AU172">
            <v>0</v>
          </cell>
          <cell r="AV172">
            <v>0</v>
          </cell>
          <cell r="AW172">
            <v>195</v>
          </cell>
          <cell r="AX172">
            <v>0</v>
          </cell>
          <cell r="AY172">
            <v>0</v>
          </cell>
          <cell r="AZ172">
            <v>15</v>
          </cell>
          <cell r="BA172">
            <v>0</v>
          </cell>
          <cell r="BB172">
            <v>0</v>
          </cell>
          <cell r="BC172">
            <v>75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8467.5</v>
          </cell>
        </row>
        <row r="173">
          <cell r="C173">
            <v>14307</v>
          </cell>
          <cell r="D173" t="str">
            <v>Miralles, Hyro Delos Santos</v>
          </cell>
          <cell r="E173">
            <v>40</v>
          </cell>
          <cell r="F173">
            <v>5</v>
          </cell>
          <cell r="G173">
            <v>600</v>
          </cell>
          <cell r="H173">
            <v>3000</v>
          </cell>
          <cell r="I173">
            <v>0</v>
          </cell>
          <cell r="J173">
            <v>1.25</v>
          </cell>
          <cell r="K173">
            <v>0</v>
          </cell>
          <cell r="L173">
            <v>6</v>
          </cell>
          <cell r="M173">
            <v>93.75</v>
          </cell>
          <cell r="N173">
            <v>562.5</v>
          </cell>
          <cell r="O173">
            <v>0</v>
          </cell>
          <cell r="P173">
            <v>7.5</v>
          </cell>
          <cell r="Q173">
            <v>0</v>
          </cell>
          <cell r="R173">
            <v>0</v>
          </cell>
          <cell r="S173">
            <v>97.5</v>
          </cell>
          <cell r="T173">
            <v>0</v>
          </cell>
          <cell r="U173">
            <v>0</v>
          </cell>
          <cell r="V173">
            <v>126.75</v>
          </cell>
          <cell r="W173">
            <v>0</v>
          </cell>
          <cell r="X173">
            <v>0</v>
          </cell>
          <cell r="Y173">
            <v>9.75</v>
          </cell>
          <cell r="Z173">
            <v>0</v>
          </cell>
          <cell r="AA173">
            <v>0</v>
          </cell>
          <cell r="AB173">
            <v>112.5</v>
          </cell>
          <cell r="AC173">
            <v>0</v>
          </cell>
          <cell r="AD173">
            <v>0</v>
          </cell>
          <cell r="AE173">
            <v>146.25</v>
          </cell>
          <cell r="AF173">
            <v>0</v>
          </cell>
          <cell r="AG173">
            <v>0</v>
          </cell>
          <cell r="AH173">
            <v>11.25</v>
          </cell>
          <cell r="AI173">
            <v>0</v>
          </cell>
          <cell r="AJ173">
            <v>0</v>
          </cell>
          <cell r="AK173">
            <v>97.5</v>
          </cell>
          <cell r="AL173">
            <v>0</v>
          </cell>
          <cell r="AM173">
            <v>0</v>
          </cell>
          <cell r="AN173">
            <v>126.75</v>
          </cell>
          <cell r="AO173">
            <v>0</v>
          </cell>
          <cell r="AP173">
            <v>0</v>
          </cell>
          <cell r="AQ173">
            <v>9.75</v>
          </cell>
          <cell r="AR173">
            <v>0</v>
          </cell>
          <cell r="AS173">
            <v>0</v>
          </cell>
          <cell r="AT173">
            <v>150</v>
          </cell>
          <cell r="AU173">
            <v>0</v>
          </cell>
          <cell r="AV173">
            <v>0</v>
          </cell>
          <cell r="AW173">
            <v>195</v>
          </cell>
          <cell r="AX173">
            <v>0</v>
          </cell>
          <cell r="AY173">
            <v>0</v>
          </cell>
          <cell r="AZ173">
            <v>15</v>
          </cell>
          <cell r="BA173">
            <v>0</v>
          </cell>
          <cell r="BB173">
            <v>0</v>
          </cell>
          <cell r="BC173">
            <v>75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3562.5</v>
          </cell>
        </row>
        <row r="174">
          <cell r="C174">
            <v>14310</v>
          </cell>
          <cell r="D174" t="str">
            <v>Miranda, Mary Joyce Franco</v>
          </cell>
          <cell r="E174">
            <v>64</v>
          </cell>
          <cell r="F174">
            <v>8</v>
          </cell>
          <cell r="G174">
            <v>600</v>
          </cell>
          <cell r="H174">
            <v>4800</v>
          </cell>
          <cell r="I174">
            <v>0</v>
          </cell>
          <cell r="J174">
            <v>1.25</v>
          </cell>
          <cell r="K174">
            <v>0</v>
          </cell>
          <cell r="L174">
            <v>8</v>
          </cell>
          <cell r="M174">
            <v>93.75</v>
          </cell>
          <cell r="N174">
            <v>750</v>
          </cell>
          <cell r="O174">
            <v>32</v>
          </cell>
          <cell r="P174">
            <v>7.5</v>
          </cell>
          <cell r="Q174">
            <v>240</v>
          </cell>
          <cell r="R174">
            <v>0</v>
          </cell>
          <cell r="S174">
            <v>97.5</v>
          </cell>
          <cell r="T174">
            <v>0</v>
          </cell>
          <cell r="U174">
            <v>0</v>
          </cell>
          <cell r="V174">
            <v>126.75</v>
          </cell>
          <cell r="W174">
            <v>0</v>
          </cell>
          <cell r="X174">
            <v>0</v>
          </cell>
          <cell r="Y174">
            <v>9.75</v>
          </cell>
          <cell r="Z174">
            <v>0</v>
          </cell>
          <cell r="AA174">
            <v>0</v>
          </cell>
          <cell r="AB174">
            <v>112.5</v>
          </cell>
          <cell r="AC174">
            <v>0</v>
          </cell>
          <cell r="AD174">
            <v>0</v>
          </cell>
          <cell r="AE174">
            <v>146.25</v>
          </cell>
          <cell r="AF174">
            <v>0</v>
          </cell>
          <cell r="AG174">
            <v>0</v>
          </cell>
          <cell r="AH174">
            <v>11.25</v>
          </cell>
          <cell r="AI174">
            <v>0</v>
          </cell>
          <cell r="AJ174">
            <v>8</v>
          </cell>
          <cell r="AK174">
            <v>97.5</v>
          </cell>
          <cell r="AL174">
            <v>780</v>
          </cell>
          <cell r="AM174">
            <v>0</v>
          </cell>
          <cell r="AN174">
            <v>126.75</v>
          </cell>
          <cell r="AO174">
            <v>0</v>
          </cell>
          <cell r="AP174">
            <v>0</v>
          </cell>
          <cell r="AQ174">
            <v>9.75</v>
          </cell>
          <cell r="AR174">
            <v>0</v>
          </cell>
          <cell r="AS174">
            <v>0</v>
          </cell>
          <cell r="AT174">
            <v>150</v>
          </cell>
          <cell r="AU174">
            <v>0</v>
          </cell>
          <cell r="AV174">
            <v>0</v>
          </cell>
          <cell r="AW174">
            <v>195</v>
          </cell>
          <cell r="AX174">
            <v>0</v>
          </cell>
          <cell r="AY174">
            <v>0</v>
          </cell>
          <cell r="AZ174">
            <v>15</v>
          </cell>
          <cell r="BA174">
            <v>0</v>
          </cell>
          <cell r="BB174">
            <v>0</v>
          </cell>
          <cell r="BC174">
            <v>75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6570</v>
          </cell>
        </row>
        <row r="175">
          <cell r="C175">
            <v>3492</v>
          </cell>
          <cell r="D175" t="str">
            <v>Misano, Laiza Mae Fajura</v>
          </cell>
          <cell r="E175">
            <v>88</v>
          </cell>
          <cell r="F175">
            <v>11</v>
          </cell>
          <cell r="G175">
            <v>600</v>
          </cell>
          <cell r="H175">
            <v>6600</v>
          </cell>
          <cell r="I175">
            <v>0</v>
          </cell>
          <cell r="J175">
            <v>1.25</v>
          </cell>
          <cell r="K175">
            <v>0</v>
          </cell>
          <cell r="L175">
            <v>18</v>
          </cell>
          <cell r="M175">
            <v>93.75</v>
          </cell>
          <cell r="N175">
            <v>1687.5</v>
          </cell>
          <cell r="O175">
            <v>52</v>
          </cell>
          <cell r="P175">
            <v>7.5</v>
          </cell>
          <cell r="Q175">
            <v>390</v>
          </cell>
          <cell r="R175">
            <v>8</v>
          </cell>
          <cell r="S175">
            <v>97.5</v>
          </cell>
          <cell r="T175">
            <v>780</v>
          </cell>
          <cell r="U175">
            <v>0</v>
          </cell>
          <cell r="V175">
            <v>126.75</v>
          </cell>
          <cell r="W175">
            <v>0</v>
          </cell>
          <cell r="X175">
            <v>0</v>
          </cell>
          <cell r="Y175">
            <v>9.75</v>
          </cell>
          <cell r="Z175">
            <v>0</v>
          </cell>
          <cell r="AA175">
            <v>0</v>
          </cell>
          <cell r="AB175">
            <v>112.5</v>
          </cell>
          <cell r="AC175">
            <v>0</v>
          </cell>
          <cell r="AD175">
            <v>0</v>
          </cell>
          <cell r="AE175">
            <v>146.25</v>
          </cell>
          <cell r="AF175">
            <v>0</v>
          </cell>
          <cell r="AG175">
            <v>0</v>
          </cell>
          <cell r="AH175">
            <v>11.25</v>
          </cell>
          <cell r="AI175">
            <v>0</v>
          </cell>
          <cell r="AJ175">
            <v>0</v>
          </cell>
          <cell r="AK175">
            <v>97.5</v>
          </cell>
          <cell r="AL175">
            <v>0</v>
          </cell>
          <cell r="AM175">
            <v>0</v>
          </cell>
          <cell r="AN175">
            <v>126.75</v>
          </cell>
          <cell r="AO175">
            <v>0</v>
          </cell>
          <cell r="AP175">
            <v>0</v>
          </cell>
          <cell r="AQ175">
            <v>9.75</v>
          </cell>
          <cell r="AR175">
            <v>0</v>
          </cell>
          <cell r="AS175">
            <v>0</v>
          </cell>
          <cell r="AT175">
            <v>150</v>
          </cell>
          <cell r="AU175">
            <v>0</v>
          </cell>
          <cell r="AV175">
            <v>0</v>
          </cell>
          <cell r="AW175">
            <v>195</v>
          </cell>
          <cell r="AX175">
            <v>0</v>
          </cell>
          <cell r="AY175">
            <v>0</v>
          </cell>
          <cell r="AZ175">
            <v>15</v>
          </cell>
          <cell r="BA175">
            <v>0</v>
          </cell>
          <cell r="BB175">
            <v>0</v>
          </cell>
          <cell r="BC175">
            <v>75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9457.5</v>
          </cell>
        </row>
        <row r="176">
          <cell r="C176">
            <v>7788</v>
          </cell>
          <cell r="D176" t="str">
            <v>Moico, Troy Andre Tolentino</v>
          </cell>
          <cell r="E176">
            <v>88</v>
          </cell>
          <cell r="F176">
            <v>11</v>
          </cell>
          <cell r="G176">
            <v>600</v>
          </cell>
          <cell r="H176">
            <v>6600</v>
          </cell>
          <cell r="I176">
            <v>37</v>
          </cell>
          <cell r="J176">
            <v>1.25</v>
          </cell>
          <cell r="K176">
            <v>-46.25</v>
          </cell>
          <cell r="L176">
            <v>19</v>
          </cell>
          <cell r="M176">
            <v>93.75</v>
          </cell>
          <cell r="N176">
            <v>1781.25</v>
          </cell>
          <cell r="O176">
            <v>54</v>
          </cell>
          <cell r="P176">
            <v>7.5</v>
          </cell>
          <cell r="Q176">
            <v>405</v>
          </cell>
          <cell r="R176">
            <v>0</v>
          </cell>
          <cell r="S176">
            <v>97.5</v>
          </cell>
          <cell r="T176">
            <v>0</v>
          </cell>
          <cell r="U176">
            <v>0</v>
          </cell>
          <cell r="V176">
            <v>126.75</v>
          </cell>
          <cell r="W176">
            <v>0</v>
          </cell>
          <cell r="X176">
            <v>0</v>
          </cell>
          <cell r="Y176">
            <v>9.75</v>
          </cell>
          <cell r="Z176">
            <v>0</v>
          </cell>
          <cell r="AA176">
            <v>0</v>
          </cell>
          <cell r="AB176">
            <v>112.5</v>
          </cell>
          <cell r="AC176">
            <v>0</v>
          </cell>
          <cell r="AD176">
            <v>0</v>
          </cell>
          <cell r="AE176">
            <v>146.25</v>
          </cell>
          <cell r="AF176">
            <v>0</v>
          </cell>
          <cell r="AG176">
            <v>0</v>
          </cell>
          <cell r="AH176">
            <v>11.25</v>
          </cell>
          <cell r="AI176">
            <v>0</v>
          </cell>
          <cell r="AJ176">
            <v>8</v>
          </cell>
          <cell r="AK176">
            <v>97.5</v>
          </cell>
          <cell r="AL176">
            <v>780</v>
          </cell>
          <cell r="AM176">
            <v>0</v>
          </cell>
          <cell r="AN176">
            <v>126.75</v>
          </cell>
          <cell r="AO176">
            <v>0</v>
          </cell>
          <cell r="AP176">
            <v>0</v>
          </cell>
          <cell r="AQ176">
            <v>9.75</v>
          </cell>
          <cell r="AR176">
            <v>0</v>
          </cell>
          <cell r="AS176">
            <v>0</v>
          </cell>
          <cell r="AT176">
            <v>150</v>
          </cell>
          <cell r="AU176">
            <v>0</v>
          </cell>
          <cell r="AV176">
            <v>0</v>
          </cell>
          <cell r="AW176">
            <v>195</v>
          </cell>
          <cell r="AX176">
            <v>0</v>
          </cell>
          <cell r="AY176">
            <v>0</v>
          </cell>
          <cell r="AZ176">
            <v>15</v>
          </cell>
          <cell r="BA176">
            <v>0</v>
          </cell>
          <cell r="BB176">
            <v>0</v>
          </cell>
          <cell r="BC176">
            <v>75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9520</v>
          </cell>
        </row>
        <row r="177">
          <cell r="C177">
            <v>6369</v>
          </cell>
          <cell r="D177" t="str">
            <v>Molina, Romar Bellen</v>
          </cell>
          <cell r="E177">
            <v>80</v>
          </cell>
          <cell r="F177">
            <v>10</v>
          </cell>
          <cell r="G177">
            <v>600</v>
          </cell>
          <cell r="H177">
            <v>6000</v>
          </cell>
          <cell r="I177">
            <v>0</v>
          </cell>
          <cell r="J177">
            <v>1.25</v>
          </cell>
          <cell r="K177">
            <v>0</v>
          </cell>
          <cell r="L177">
            <v>17</v>
          </cell>
          <cell r="M177">
            <v>93.75</v>
          </cell>
          <cell r="N177">
            <v>1593.75</v>
          </cell>
          <cell r="O177">
            <v>31</v>
          </cell>
          <cell r="P177">
            <v>7.5</v>
          </cell>
          <cell r="Q177">
            <v>232.5</v>
          </cell>
          <cell r="R177">
            <v>0</v>
          </cell>
          <cell r="S177">
            <v>97.5</v>
          </cell>
          <cell r="T177">
            <v>0</v>
          </cell>
          <cell r="U177">
            <v>0</v>
          </cell>
          <cell r="V177">
            <v>126.75</v>
          </cell>
          <cell r="W177">
            <v>0</v>
          </cell>
          <cell r="X177">
            <v>0</v>
          </cell>
          <cell r="Y177">
            <v>9.75</v>
          </cell>
          <cell r="Z177">
            <v>0</v>
          </cell>
          <cell r="AA177">
            <v>0</v>
          </cell>
          <cell r="AB177">
            <v>112.5</v>
          </cell>
          <cell r="AC177">
            <v>0</v>
          </cell>
          <cell r="AD177">
            <v>0</v>
          </cell>
          <cell r="AE177">
            <v>146.25</v>
          </cell>
          <cell r="AF177">
            <v>0</v>
          </cell>
          <cell r="AG177">
            <v>0</v>
          </cell>
          <cell r="AH177">
            <v>11.25</v>
          </cell>
          <cell r="AI177">
            <v>0</v>
          </cell>
          <cell r="AJ177">
            <v>0</v>
          </cell>
          <cell r="AK177">
            <v>97.5</v>
          </cell>
          <cell r="AL177">
            <v>0</v>
          </cell>
          <cell r="AM177">
            <v>0</v>
          </cell>
          <cell r="AN177">
            <v>126.75</v>
          </cell>
          <cell r="AO177">
            <v>0</v>
          </cell>
          <cell r="AP177">
            <v>0</v>
          </cell>
          <cell r="AQ177">
            <v>9.75</v>
          </cell>
          <cell r="AR177">
            <v>0</v>
          </cell>
          <cell r="AS177">
            <v>0</v>
          </cell>
          <cell r="AT177">
            <v>150</v>
          </cell>
          <cell r="AU177">
            <v>0</v>
          </cell>
          <cell r="AV177">
            <v>0</v>
          </cell>
          <cell r="AW177">
            <v>195</v>
          </cell>
          <cell r="AX177">
            <v>0</v>
          </cell>
          <cell r="AY177">
            <v>0</v>
          </cell>
          <cell r="AZ177">
            <v>15</v>
          </cell>
          <cell r="BA177">
            <v>0</v>
          </cell>
          <cell r="BB177">
            <v>0</v>
          </cell>
          <cell r="BC177">
            <v>75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7826.25</v>
          </cell>
        </row>
        <row r="178">
          <cell r="C178">
            <v>30774</v>
          </cell>
          <cell r="D178" t="str">
            <v>Montealto, Jordan Villar</v>
          </cell>
          <cell r="E178">
            <v>72</v>
          </cell>
          <cell r="F178">
            <v>9</v>
          </cell>
          <cell r="G178">
            <v>600</v>
          </cell>
          <cell r="H178">
            <v>5400</v>
          </cell>
          <cell r="I178">
            <v>6</v>
          </cell>
          <cell r="J178">
            <v>1.25</v>
          </cell>
          <cell r="K178">
            <v>-7.5</v>
          </cell>
          <cell r="L178">
            <v>16</v>
          </cell>
          <cell r="M178">
            <v>93.75</v>
          </cell>
          <cell r="N178">
            <v>1500</v>
          </cell>
          <cell r="O178">
            <v>24</v>
          </cell>
          <cell r="P178">
            <v>7.5</v>
          </cell>
          <cell r="Q178">
            <v>180</v>
          </cell>
          <cell r="R178">
            <v>0</v>
          </cell>
          <cell r="S178">
            <v>97.5</v>
          </cell>
          <cell r="T178">
            <v>0</v>
          </cell>
          <cell r="U178">
            <v>0</v>
          </cell>
          <cell r="V178">
            <v>126.75</v>
          </cell>
          <cell r="W178">
            <v>0</v>
          </cell>
          <cell r="X178">
            <v>0</v>
          </cell>
          <cell r="Y178">
            <v>9.75</v>
          </cell>
          <cell r="Z178">
            <v>0</v>
          </cell>
          <cell r="AA178">
            <v>0</v>
          </cell>
          <cell r="AB178">
            <v>112.5</v>
          </cell>
          <cell r="AC178">
            <v>0</v>
          </cell>
          <cell r="AD178">
            <v>0</v>
          </cell>
          <cell r="AE178">
            <v>146.25</v>
          </cell>
          <cell r="AF178">
            <v>0</v>
          </cell>
          <cell r="AG178">
            <v>0</v>
          </cell>
          <cell r="AH178">
            <v>11.25</v>
          </cell>
          <cell r="AI178">
            <v>0</v>
          </cell>
          <cell r="AJ178">
            <v>0</v>
          </cell>
          <cell r="AK178">
            <v>97.5</v>
          </cell>
          <cell r="AL178">
            <v>0</v>
          </cell>
          <cell r="AM178">
            <v>0</v>
          </cell>
          <cell r="AN178">
            <v>126.75</v>
          </cell>
          <cell r="AO178">
            <v>0</v>
          </cell>
          <cell r="AP178">
            <v>0</v>
          </cell>
          <cell r="AQ178">
            <v>9.75</v>
          </cell>
          <cell r="AR178">
            <v>0</v>
          </cell>
          <cell r="AS178">
            <v>0</v>
          </cell>
          <cell r="AT178">
            <v>150</v>
          </cell>
          <cell r="AU178">
            <v>0</v>
          </cell>
          <cell r="AV178">
            <v>0</v>
          </cell>
          <cell r="AW178">
            <v>195</v>
          </cell>
          <cell r="AX178">
            <v>0</v>
          </cell>
          <cell r="AY178">
            <v>0</v>
          </cell>
          <cell r="AZ178">
            <v>15</v>
          </cell>
          <cell r="BA178">
            <v>0</v>
          </cell>
          <cell r="BB178">
            <v>0</v>
          </cell>
          <cell r="BC178">
            <v>75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7072.5</v>
          </cell>
        </row>
        <row r="179">
          <cell r="C179">
            <v>30364</v>
          </cell>
          <cell r="D179" t="str">
            <v>Montoya, Freddie Boy Gadon</v>
          </cell>
          <cell r="E179">
            <v>32</v>
          </cell>
          <cell r="F179">
            <v>4</v>
          </cell>
          <cell r="G179">
            <v>600</v>
          </cell>
          <cell r="H179">
            <v>2400</v>
          </cell>
          <cell r="I179">
            <v>0</v>
          </cell>
          <cell r="J179">
            <v>1.25</v>
          </cell>
          <cell r="K179">
            <v>0</v>
          </cell>
          <cell r="L179">
            <v>8</v>
          </cell>
          <cell r="M179">
            <v>93.75</v>
          </cell>
          <cell r="N179">
            <v>750</v>
          </cell>
          <cell r="O179">
            <v>32</v>
          </cell>
          <cell r="P179">
            <v>7.5</v>
          </cell>
          <cell r="Q179">
            <v>240</v>
          </cell>
          <cell r="R179">
            <v>0</v>
          </cell>
          <cell r="S179">
            <v>97.5</v>
          </cell>
          <cell r="T179">
            <v>0</v>
          </cell>
          <cell r="U179">
            <v>0</v>
          </cell>
          <cell r="V179">
            <v>126.75</v>
          </cell>
          <cell r="W179">
            <v>0</v>
          </cell>
          <cell r="X179">
            <v>0</v>
          </cell>
          <cell r="Y179">
            <v>9.75</v>
          </cell>
          <cell r="Z179">
            <v>0</v>
          </cell>
          <cell r="AA179">
            <v>0</v>
          </cell>
          <cell r="AB179">
            <v>112.5</v>
          </cell>
          <cell r="AC179">
            <v>0</v>
          </cell>
          <cell r="AD179">
            <v>0</v>
          </cell>
          <cell r="AE179">
            <v>146.25</v>
          </cell>
          <cell r="AF179">
            <v>0</v>
          </cell>
          <cell r="AG179">
            <v>0</v>
          </cell>
          <cell r="AH179">
            <v>11.25</v>
          </cell>
          <cell r="AI179">
            <v>0</v>
          </cell>
          <cell r="AJ179">
            <v>0</v>
          </cell>
          <cell r="AK179">
            <v>97.5</v>
          </cell>
          <cell r="AL179">
            <v>0</v>
          </cell>
          <cell r="AM179">
            <v>0</v>
          </cell>
          <cell r="AN179">
            <v>126.75</v>
          </cell>
          <cell r="AO179">
            <v>0</v>
          </cell>
          <cell r="AP179">
            <v>0</v>
          </cell>
          <cell r="AQ179">
            <v>9.75</v>
          </cell>
          <cell r="AR179">
            <v>0</v>
          </cell>
          <cell r="AS179">
            <v>0</v>
          </cell>
          <cell r="AT179">
            <v>150</v>
          </cell>
          <cell r="AU179">
            <v>0</v>
          </cell>
          <cell r="AV179">
            <v>0</v>
          </cell>
          <cell r="AW179">
            <v>195</v>
          </cell>
          <cell r="AX179">
            <v>0</v>
          </cell>
          <cell r="AY179">
            <v>0</v>
          </cell>
          <cell r="AZ179">
            <v>15</v>
          </cell>
          <cell r="BA179">
            <v>0</v>
          </cell>
          <cell r="BB179">
            <v>0</v>
          </cell>
          <cell r="BC179">
            <v>75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3390</v>
          </cell>
        </row>
        <row r="180">
          <cell r="C180">
            <v>14317</v>
          </cell>
          <cell r="D180" t="str">
            <v>Monzales, Ailen Latosa</v>
          </cell>
          <cell r="E180">
            <v>56</v>
          </cell>
          <cell r="F180">
            <v>7</v>
          </cell>
          <cell r="G180">
            <v>600</v>
          </cell>
          <cell r="H180">
            <v>4200</v>
          </cell>
          <cell r="I180">
            <v>0</v>
          </cell>
          <cell r="J180">
            <v>1.25</v>
          </cell>
          <cell r="K180">
            <v>0</v>
          </cell>
          <cell r="L180">
            <v>12</v>
          </cell>
          <cell r="M180">
            <v>93.75</v>
          </cell>
          <cell r="N180">
            <v>1125</v>
          </cell>
          <cell r="O180">
            <v>16</v>
          </cell>
          <cell r="P180">
            <v>7.5</v>
          </cell>
          <cell r="Q180">
            <v>120</v>
          </cell>
          <cell r="R180">
            <v>0</v>
          </cell>
          <cell r="S180">
            <v>97.5</v>
          </cell>
          <cell r="T180">
            <v>0</v>
          </cell>
          <cell r="U180">
            <v>0</v>
          </cell>
          <cell r="V180">
            <v>126.75</v>
          </cell>
          <cell r="W180">
            <v>0</v>
          </cell>
          <cell r="X180">
            <v>0</v>
          </cell>
          <cell r="Y180">
            <v>9.75</v>
          </cell>
          <cell r="Z180">
            <v>0</v>
          </cell>
          <cell r="AA180">
            <v>0</v>
          </cell>
          <cell r="AB180">
            <v>112.5</v>
          </cell>
          <cell r="AC180">
            <v>0</v>
          </cell>
          <cell r="AD180">
            <v>0</v>
          </cell>
          <cell r="AE180">
            <v>146.25</v>
          </cell>
          <cell r="AF180">
            <v>0</v>
          </cell>
          <cell r="AG180">
            <v>0</v>
          </cell>
          <cell r="AH180">
            <v>11.25</v>
          </cell>
          <cell r="AI180">
            <v>0</v>
          </cell>
          <cell r="AJ180">
            <v>0</v>
          </cell>
          <cell r="AK180">
            <v>97.5</v>
          </cell>
          <cell r="AL180">
            <v>0</v>
          </cell>
          <cell r="AM180">
            <v>0</v>
          </cell>
          <cell r="AN180">
            <v>126.75</v>
          </cell>
          <cell r="AO180">
            <v>0</v>
          </cell>
          <cell r="AP180">
            <v>0</v>
          </cell>
          <cell r="AQ180">
            <v>9.75</v>
          </cell>
          <cell r="AR180">
            <v>0</v>
          </cell>
          <cell r="AS180">
            <v>0</v>
          </cell>
          <cell r="AT180">
            <v>150</v>
          </cell>
          <cell r="AU180">
            <v>0</v>
          </cell>
          <cell r="AV180">
            <v>0</v>
          </cell>
          <cell r="AW180">
            <v>195</v>
          </cell>
          <cell r="AX180">
            <v>0</v>
          </cell>
          <cell r="AY180">
            <v>0</v>
          </cell>
          <cell r="AZ180">
            <v>15</v>
          </cell>
          <cell r="BA180">
            <v>0</v>
          </cell>
          <cell r="BB180">
            <v>0</v>
          </cell>
          <cell r="BC180">
            <v>75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5445</v>
          </cell>
        </row>
        <row r="181">
          <cell r="C181">
            <v>5437</v>
          </cell>
          <cell r="D181" t="str">
            <v>Morada, Jonalyn Gardiola</v>
          </cell>
          <cell r="E181">
            <v>56</v>
          </cell>
          <cell r="F181">
            <v>7</v>
          </cell>
          <cell r="G181">
            <v>600</v>
          </cell>
          <cell r="H181">
            <v>4200</v>
          </cell>
          <cell r="I181">
            <v>0</v>
          </cell>
          <cell r="J181">
            <v>1.25</v>
          </cell>
          <cell r="K181">
            <v>0</v>
          </cell>
          <cell r="L181">
            <v>10</v>
          </cell>
          <cell r="M181">
            <v>93.75</v>
          </cell>
          <cell r="N181">
            <v>937.5</v>
          </cell>
          <cell r="O181">
            <v>0</v>
          </cell>
          <cell r="P181">
            <v>7.5</v>
          </cell>
          <cell r="Q181">
            <v>0</v>
          </cell>
          <cell r="R181">
            <v>8</v>
          </cell>
          <cell r="S181">
            <v>97.5</v>
          </cell>
          <cell r="T181">
            <v>780</v>
          </cell>
          <cell r="U181">
            <v>1</v>
          </cell>
          <cell r="V181">
            <v>126.75</v>
          </cell>
          <cell r="W181">
            <v>126.75</v>
          </cell>
          <cell r="X181">
            <v>0</v>
          </cell>
          <cell r="Y181">
            <v>9.75</v>
          </cell>
          <cell r="Z181">
            <v>0</v>
          </cell>
          <cell r="AA181">
            <v>0</v>
          </cell>
          <cell r="AB181">
            <v>112.5</v>
          </cell>
          <cell r="AC181">
            <v>0</v>
          </cell>
          <cell r="AD181">
            <v>0</v>
          </cell>
          <cell r="AE181">
            <v>146.25</v>
          </cell>
          <cell r="AF181">
            <v>0</v>
          </cell>
          <cell r="AG181">
            <v>0</v>
          </cell>
          <cell r="AH181">
            <v>11.25</v>
          </cell>
          <cell r="AI181">
            <v>0</v>
          </cell>
          <cell r="AJ181">
            <v>0</v>
          </cell>
          <cell r="AK181">
            <v>97.5</v>
          </cell>
          <cell r="AL181">
            <v>0</v>
          </cell>
          <cell r="AM181">
            <v>0</v>
          </cell>
          <cell r="AN181">
            <v>126.75</v>
          </cell>
          <cell r="AO181">
            <v>0</v>
          </cell>
          <cell r="AP181">
            <v>0</v>
          </cell>
          <cell r="AQ181">
            <v>9.75</v>
          </cell>
          <cell r="AR181">
            <v>0</v>
          </cell>
          <cell r="AS181">
            <v>0</v>
          </cell>
          <cell r="AT181">
            <v>150</v>
          </cell>
          <cell r="AU181">
            <v>0</v>
          </cell>
          <cell r="AV181">
            <v>0</v>
          </cell>
          <cell r="AW181">
            <v>195</v>
          </cell>
          <cell r="AX181">
            <v>0</v>
          </cell>
          <cell r="AY181">
            <v>0</v>
          </cell>
          <cell r="AZ181">
            <v>15</v>
          </cell>
          <cell r="BA181">
            <v>0</v>
          </cell>
          <cell r="BB181">
            <v>0</v>
          </cell>
          <cell r="BC181">
            <v>75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6044.25</v>
          </cell>
        </row>
        <row r="182">
          <cell r="C182">
            <v>6363</v>
          </cell>
          <cell r="D182" t="str">
            <v>Motol, Mischella May De Luzon</v>
          </cell>
          <cell r="E182">
            <v>40</v>
          </cell>
          <cell r="F182">
            <v>5</v>
          </cell>
          <cell r="G182">
            <v>600</v>
          </cell>
          <cell r="H182">
            <v>3000</v>
          </cell>
          <cell r="I182">
            <v>94</v>
          </cell>
          <cell r="J182">
            <v>1.25</v>
          </cell>
          <cell r="K182">
            <v>-117.5</v>
          </cell>
          <cell r="L182">
            <v>10</v>
          </cell>
          <cell r="M182">
            <v>93.75</v>
          </cell>
          <cell r="N182">
            <v>937.5</v>
          </cell>
          <cell r="O182">
            <v>16</v>
          </cell>
          <cell r="P182">
            <v>7.5</v>
          </cell>
          <cell r="Q182">
            <v>120</v>
          </cell>
          <cell r="R182">
            <v>8</v>
          </cell>
          <cell r="S182">
            <v>97.5</v>
          </cell>
          <cell r="T182">
            <v>780</v>
          </cell>
          <cell r="U182">
            <v>0</v>
          </cell>
          <cell r="V182">
            <v>126.75</v>
          </cell>
          <cell r="W182">
            <v>0</v>
          </cell>
          <cell r="X182">
            <v>0</v>
          </cell>
          <cell r="Y182">
            <v>9.75</v>
          </cell>
          <cell r="Z182">
            <v>0</v>
          </cell>
          <cell r="AA182">
            <v>0</v>
          </cell>
          <cell r="AB182">
            <v>112.5</v>
          </cell>
          <cell r="AC182">
            <v>0</v>
          </cell>
          <cell r="AD182">
            <v>0</v>
          </cell>
          <cell r="AE182">
            <v>146.25</v>
          </cell>
          <cell r="AF182">
            <v>0</v>
          </cell>
          <cell r="AG182">
            <v>0</v>
          </cell>
          <cell r="AH182">
            <v>11.25</v>
          </cell>
          <cell r="AI182">
            <v>0</v>
          </cell>
          <cell r="AJ182">
            <v>8</v>
          </cell>
          <cell r="AK182">
            <v>97.5</v>
          </cell>
          <cell r="AL182">
            <v>780</v>
          </cell>
          <cell r="AM182">
            <v>0</v>
          </cell>
          <cell r="AN182">
            <v>126.75</v>
          </cell>
          <cell r="AO182">
            <v>0</v>
          </cell>
          <cell r="AP182">
            <v>0</v>
          </cell>
          <cell r="AQ182">
            <v>9.75</v>
          </cell>
          <cell r="AR182">
            <v>0</v>
          </cell>
          <cell r="AS182">
            <v>0</v>
          </cell>
          <cell r="AT182">
            <v>150</v>
          </cell>
          <cell r="AU182">
            <v>0</v>
          </cell>
          <cell r="AV182">
            <v>0</v>
          </cell>
          <cell r="AW182">
            <v>195</v>
          </cell>
          <cell r="AX182">
            <v>0</v>
          </cell>
          <cell r="AY182">
            <v>0</v>
          </cell>
          <cell r="AZ182">
            <v>15</v>
          </cell>
          <cell r="BA182">
            <v>0</v>
          </cell>
          <cell r="BB182">
            <v>0</v>
          </cell>
          <cell r="BC182">
            <v>75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5500</v>
          </cell>
        </row>
        <row r="183">
          <cell r="C183">
            <v>14720</v>
          </cell>
          <cell r="D183" t="str">
            <v>Mozo, Mary Jane Dela Cruz</v>
          </cell>
          <cell r="E183">
            <v>88</v>
          </cell>
          <cell r="F183">
            <v>11</v>
          </cell>
          <cell r="G183">
            <v>600</v>
          </cell>
          <cell r="H183">
            <v>6600</v>
          </cell>
          <cell r="I183">
            <v>51</v>
          </cell>
          <cell r="J183">
            <v>1.25</v>
          </cell>
          <cell r="K183">
            <v>-63.75</v>
          </cell>
          <cell r="L183">
            <v>18</v>
          </cell>
          <cell r="M183">
            <v>93.75</v>
          </cell>
          <cell r="N183">
            <v>1687.5</v>
          </cell>
          <cell r="O183">
            <v>54</v>
          </cell>
          <cell r="P183">
            <v>7.5</v>
          </cell>
          <cell r="Q183">
            <v>405</v>
          </cell>
          <cell r="R183">
            <v>0</v>
          </cell>
          <cell r="S183">
            <v>97.5</v>
          </cell>
          <cell r="T183">
            <v>0</v>
          </cell>
          <cell r="U183">
            <v>0</v>
          </cell>
          <cell r="V183">
            <v>126.75</v>
          </cell>
          <cell r="W183">
            <v>0</v>
          </cell>
          <cell r="X183">
            <v>0</v>
          </cell>
          <cell r="Y183">
            <v>9.75</v>
          </cell>
          <cell r="Z183">
            <v>0</v>
          </cell>
          <cell r="AA183">
            <v>0</v>
          </cell>
          <cell r="AB183">
            <v>112.5</v>
          </cell>
          <cell r="AC183">
            <v>0</v>
          </cell>
          <cell r="AD183">
            <v>0</v>
          </cell>
          <cell r="AE183">
            <v>146.25</v>
          </cell>
          <cell r="AF183">
            <v>0</v>
          </cell>
          <cell r="AG183">
            <v>0</v>
          </cell>
          <cell r="AH183">
            <v>11.25</v>
          </cell>
          <cell r="AI183">
            <v>0</v>
          </cell>
          <cell r="AJ183">
            <v>8</v>
          </cell>
          <cell r="AK183">
            <v>97.5</v>
          </cell>
          <cell r="AL183">
            <v>780</v>
          </cell>
          <cell r="AM183">
            <v>0</v>
          </cell>
          <cell r="AN183">
            <v>126.75</v>
          </cell>
          <cell r="AO183">
            <v>0</v>
          </cell>
          <cell r="AP183">
            <v>0</v>
          </cell>
          <cell r="AQ183">
            <v>9.75</v>
          </cell>
          <cell r="AR183">
            <v>0</v>
          </cell>
          <cell r="AS183">
            <v>0</v>
          </cell>
          <cell r="AT183">
            <v>150</v>
          </cell>
          <cell r="AU183">
            <v>0</v>
          </cell>
          <cell r="AV183">
            <v>0</v>
          </cell>
          <cell r="AW183">
            <v>195</v>
          </cell>
          <cell r="AX183">
            <v>0</v>
          </cell>
          <cell r="AY183">
            <v>0</v>
          </cell>
          <cell r="AZ183">
            <v>15</v>
          </cell>
          <cell r="BA183">
            <v>0</v>
          </cell>
          <cell r="BB183">
            <v>0</v>
          </cell>
          <cell r="BC183">
            <v>75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9408.75</v>
          </cell>
        </row>
        <row r="184">
          <cell r="C184">
            <v>14332</v>
          </cell>
          <cell r="D184" t="str">
            <v>Olan, Jay Banayawon</v>
          </cell>
          <cell r="E184">
            <v>72</v>
          </cell>
          <cell r="F184">
            <v>9</v>
          </cell>
          <cell r="G184">
            <v>600</v>
          </cell>
          <cell r="H184">
            <v>5400</v>
          </cell>
          <cell r="I184">
            <v>0</v>
          </cell>
          <cell r="J184">
            <v>1.25</v>
          </cell>
          <cell r="K184">
            <v>0</v>
          </cell>
          <cell r="L184">
            <v>14</v>
          </cell>
          <cell r="M184">
            <v>93.75</v>
          </cell>
          <cell r="N184">
            <v>1312.5</v>
          </cell>
          <cell r="O184">
            <v>0</v>
          </cell>
          <cell r="P184">
            <v>7.5</v>
          </cell>
          <cell r="Q184">
            <v>0</v>
          </cell>
          <cell r="R184">
            <v>0</v>
          </cell>
          <cell r="S184">
            <v>97.5</v>
          </cell>
          <cell r="T184">
            <v>0</v>
          </cell>
          <cell r="U184">
            <v>0</v>
          </cell>
          <cell r="V184">
            <v>126.75</v>
          </cell>
          <cell r="W184">
            <v>0</v>
          </cell>
          <cell r="X184">
            <v>0</v>
          </cell>
          <cell r="Y184">
            <v>9.75</v>
          </cell>
          <cell r="Z184">
            <v>0</v>
          </cell>
          <cell r="AA184">
            <v>0</v>
          </cell>
          <cell r="AB184">
            <v>112.5</v>
          </cell>
          <cell r="AC184">
            <v>0</v>
          </cell>
          <cell r="AD184">
            <v>0</v>
          </cell>
          <cell r="AE184">
            <v>146.25</v>
          </cell>
          <cell r="AF184">
            <v>0</v>
          </cell>
          <cell r="AG184">
            <v>0</v>
          </cell>
          <cell r="AH184">
            <v>11.25</v>
          </cell>
          <cell r="AI184">
            <v>0</v>
          </cell>
          <cell r="AJ184">
            <v>8</v>
          </cell>
          <cell r="AK184">
            <v>97.5</v>
          </cell>
          <cell r="AL184">
            <v>780</v>
          </cell>
          <cell r="AM184">
            <v>0</v>
          </cell>
          <cell r="AN184">
            <v>126.75</v>
          </cell>
          <cell r="AO184">
            <v>0</v>
          </cell>
          <cell r="AP184">
            <v>0</v>
          </cell>
          <cell r="AQ184">
            <v>9.75</v>
          </cell>
          <cell r="AR184">
            <v>0</v>
          </cell>
          <cell r="AS184">
            <v>0</v>
          </cell>
          <cell r="AT184">
            <v>150</v>
          </cell>
          <cell r="AU184">
            <v>0</v>
          </cell>
          <cell r="AV184">
            <v>0</v>
          </cell>
          <cell r="AW184">
            <v>195</v>
          </cell>
          <cell r="AX184">
            <v>0</v>
          </cell>
          <cell r="AY184">
            <v>0</v>
          </cell>
          <cell r="AZ184">
            <v>15</v>
          </cell>
          <cell r="BA184">
            <v>0</v>
          </cell>
          <cell r="BB184">
            <v>0</v>
          </cell>
          <cell r="BC184">
            <v>75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7492.5</v>
          </cell>
        </row>
        <row r="185">
          <cell r="C185">
            <v>6488</v>
          </cell>
          <cell r="D185" t="str">
            <v>Olano, Lheo Tasico</v>
          </cell>
          <cell r="E185">
            <v>72</v>
          </cell>
          <cell r="F185">
            <v>9</v>
          </cell>
          <cell r="G185">
            <v>600</v>
          </cell>
          <cell r="H185">
            <v>5400</v>
          </cell>
          <cell r="I185">
            <v>0</v>
          </cell>
          <cell r="J185">
            <v>1.25</v>
          </cell>
          <cell r="K185">
            <v>0</v>
          </cell>
          <cell r="L185">
            <v>16</v>
          </cell>
          <cell r="M185">
            <v>93.75</v>
          </cell>
          <cell r="N185">
            <v>1500</v>
          </cell>
          <cell r="O185">
            <v>32</v>
          </cell>
          <cell r="P185">
            <v>7.5</v>
          </cell>
          <cell r="Q185">
            <v>240</v>
          </cell>
          <cell r="R185">
            <v>0</v>
          </cell>
          <cell r="S185">
            <v>97.5</v>
          </cell>
          <cell r="T185">
            <v>0</v>
          </cell>
          <cell r="U185">
            <v>0</v>
          </cell>
          <cell r="V185">
            <v>126.75</v>
          </cell>
          <cell r="W185">
            <v>0</v>
          </cell>
          <cell r="X185">
            <v>0</v>
          </cell>
          <cell r="Y185">
            <v>9.75</v>
          </cell>
          <cell r="Z185">
            <v>0</v>
          </cell>
          <cell r="AA185">
            <v>0</v>
          </cell>
          <cell r="AB185">
            <v>112.5</v>
          </cell>
          <cell r="AC185">
            <v>0</v>
          </cell>
          <cell r="AD185">
            <v>0</v>
          </cell>
          <cell r="AE185">
            <v>146.25</v>
          </cell>
          <cell r="AF185">
            <v>0</v>
          </cell>
          <cell r="AG185">
            <v>0</v>
          </cell>
          <cell r="AH185">
            <v>11.25</v>
          </cell>
          <cell r="AI185">
            <v>0</v>
          </cell>
          <cell r="AJ185">
            <v>0</v>
          </cell>
          <cell r="AK185">
            <v>97.5</v>
          </cell>
          <cell r="AL185">
            <v>0</v>
          </cell>
          <cell r="AM185">
            <v>0</v>
          </cell>
          <cell r="AN185">
            <v>126.75</v>
          </cell>
          <cell r="AO185">
            <v>0</v>
          </cell>
          <cell r="AP185">
            <v>0</v>
          </cell>
          <cell r="AQ185">
            <v>9.75</v>
          </cell>
          <cell r="AR185">
            <v>0</v>
          </cell>
          <cell r="AS185">
            <v>0</v>
          </cell>
          <cell r="AT185">
            <v>150</v>
          </cell>
          <cell r="AU185">
            <v>0</v>
          </cell>
          <cell r="AV185">
            <v>0</v>
          </cell>
          <cell r="AW185">
            <v>195</v>
          </cell>
          <cell r="AX185">
            <v>0</v>
          </cell>
          <cell r="AY185">
            <v>0</v>
          </cell>
          <cell r="AZ185">
            <v>15</v>
          </cell>
          <cell r="BA185">
            <v>0</v>
          </cell>
          <cell r="BB185">
            <v>0</v>
          </cell>
          <cell r="BC185">
            <v>75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7140</v>
          </cell>
        </row>
        <row r="186">
          <cell r="C186">
            <v>14335</v>
          </cell>
          <cell r="D186" t="str">
            <v>Oliveros, Arielle Christian Calleja</v>
          </cell>
          <cell r="E186">
            <v>88</v>
          </cell>
          <cell r="F186">
            <v>11</v>
          </cell>
          <cell r="G186">
            <v>600</v>
          </cell>
          <cell r="H186">
            <v>6600</v>
          </cell>
          <cell r="I186">
            <v>0</v>
          </cell>
          <cell r="J186">
            <v>1.25</v>
          </cell>
          <cell r="K186">
            <v>0</v>
          </cell>
          <cell r="L186">
            <v>18</v>
          </cell>
          <cell r="M186">
            <v>93.75</v>
          </cell>
          <cell r="N186">
            <v>1687.5</v>
          </cell>
          <cell r="O186">
            <v>52</v>
          </cell>
          <cell r="P186">
            <v>7.5</v>
          </cell>
          <cell r="Q186">
            <v>390</v>
          </cell>
          <cell r="R186">
            <v>0</v>
          </cell>
          <cell r="S186">
            <v>97.5</v>
          </cell>
          <cell r="T186">
            <v>0</v>
          </cell>
          <cell r="U186">
            <v>0</v>
          </cell>
          <cell r="V186">
            <v>126.75</v>
          </cell>
          <cell r="W186">
            <v>0</v>
          </cell>
          <cell r="X186">
            <v>0</v>
          </cell>
          <cell r="Y186">
            <v>9.75</v>
          </cell>
          <cell r="Z186">
            <v>0</v>
          </cell>
          <cell r="AA186">
            <v>0</v>
          </cell>
          <cell r="AB186">
            <v>112.5</v>
          </cell>
          <cell r="AC186">
            <v>0</v>
          </cell>
          <cell r="AD186">
            <v>0</v>
          </cell>
          <cell r="AE186">
            <v>146.25</v>
          </cell>
          <cell r="AF186">
            <v>0</v>
          </cell>
          <cell r="AG186">
            <v>0</v>
          </cell>
          <cell r="AH186">
            <v>11.25</v>
          </cell>
          <cell r="AI186">
            <v>0</v>
          </cell>
          <cell r="AJ186">
            <v>0</v>
          </cell>
          <cell r="AK186">
            <v>97.5</v>
          </cell>
          <cell r="AL186">
            <v>0</v>
          </cell>
          <cell r="AM186">
            <v>0</v>
          </cell>
          <cell r="AN186">
            <v>126.75</v>
          </cell>
          <cell r="AO186">
            <v>0</v>
          </cell>
          <cell r="AP186">
            <v>0</v>
          </cell>
          <cell r="AQ186">
            <v>9.75</v>
          </cell>
          <cell r="AR186">
            <v>0</v>
          </cell>
          <cell r="AS186">
            <v>0</v>
          </cell>
          <cell r="AT186">
            <v>150</v>
          </cell>
          <cell r="AU186">
            <v>0</v>
          </cell>
          <cell r="AV186">
            <v>0</v>
          </cell>
          <cell r="AW186">
            <v>195</v>
          </cell>
          <cell r="AX186">
            <v>0</v>
          </cell>
          <cell r="AY186">
            <v>0</v>
          </cell>
          <cell r="AZ186">
            <v>15</v>
          </cell>
          <cell r="BA186">
            <v>0</v>
          </cell>
          <cell r="BB186">
            <v>0</v>
          </cell>
          <cell r="BC186">
            <v>75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8677.5</v>
          </cell>
        </row>
        <row r="187">
          <cell r="C187">
            <v>12157</v>
          </cell>
          <cell r="D187" t="str">
            <v>Olvara, Ramel Alarcon</v>
          </cell>
          <cell r="E187">
            <v>72</v>
          </cell>
          <cell r="F187">
            <v>9</v>
          </cell>
          <cell r="G187">
            <v>600</v>
          </cell>
          <cell r="H187">
            <v>5400</v>
          </cell>
          <cell r="I187">
            <v>0</v>
          </cell>
          <cell r="J187">
            <v>1.25</v>
          </cell>
          <cell r="K187">
            <v>0</v>
          </cell>
          <cell r="L187">
            <v>15</v>
          </cell>
          <cell r="M187">
            <v>93.75</v>
          </cell>
          <cell r="N187">
            <v>1406.25</v>
          </cell>
          <cell r="O187">
            <v>32</v>
          </cell>
          <cell r="P187">
            <v>7.5</v>
          </cell>
          <cell r="Q187">
            <v>240</v>
          </cell>
          <cell r="R187">
            <v>0</v>
          </cell>
          <cell r="S187">
            <v>97.5</v>
          </cell>
          <cell r="T187">
            <v>0</v>
          </cell>
          <cell r="U187">
            <v>0</v>
          </cell>
          <cell r="V187">
            <v>126.75</v>
          </cell>
          <cell r="W187">
            <v>0</v>
          </cell>
          <cell r="X187">
            <v>0</v>
          </cell>
          <cell r="Y187">
            <v>9.75</v>
          </cell>
          <cell r="Z187">
            <v>0</v>
          </cell>
          <cell r="AA187">
            <v>0</v>
          </cell>
          <cell r="AB187">
            <v>112.5</v>
          </cell>
          <cell r="AC187">
            <v>0</v>
          </cell>
          <cell r="AD187">
            <v>0</v>
          </cell>
          <cell r="AE187">
            <v>146.25</v>
          </cell>
          <cell r="AF187">
            <v>0</v>
          </cell>
          <cell r="AG187">
            <v>0</v>
          </cell>
          <cell r="AH187">
            <v>11.25</v>
          </cell>
          <cell r="AI187">
            <v>0</v>
          </cell>
          <cell r="AJ187">
            <v>0</v>
          </cell>
          <cell r="AK187">
            <v>97.5</v>
          </cell>
          <cell r="AL187">
            <v>0</v>
          </cell>
          <cell r="AM187">
            <v>0</v>
          </cell>
          <cell r="AN187">
            <v>126.75</v>
          </cell>
          <cell r="AO187">
            <v>0</v>
          </cell>
          <cell r="AP187">
            <v>0</v>
          </cell>
          <cell r="AQ187">
            <v>9.75</v>
          </cell>
          <cell r="AR187">
            <v>0</v>
          </cell>
          <cell r="AS187">
            <v>0</v>
          </cell>
          <cell r="AT187">
            <v>150</v>
          </cell>
          <cell r="AU187">
            <v>0</v>
          </cell>
          <cell r="AV187">
            <v>0</v>
          </cell>
          <cell r="AW187">
            <v>195</v>
          </cell>
          <cell r="AX187">
            <v>0</v>
          </cell>
          <cell r="AY187">
            <v>0</v>
          </cell>
          <cell r="AZ187">
            <v>15</v>
          </cell>
          <cell r="BA187">
            <v>0</v>
          </cell>
          <cell r="BB187">
            <v>0</v>
          </cell>
          <cell r="BC187">
            <v>75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7046.25</v>
          </cell>
        </row>
        <row r="188">
          <cell r="C188">
            <v>14336</v>
          </cell>
          <cell r="D188" t="str">
            <v>Onido, John Paul Obligacion</v>
          </cell>
          <cell r="E188">
            <v>48</v>
          </cell>
          <cell r="F188">
            <v>6</v>
          </cell>
          <cell r="G188">
            <v>600</v>
          </cell>
          <cell r="H188">
            <v>3600</v>
          </cell>
          <cell r="I188">
            <v>0</v>
          </cell>
          <cell r="J188">
            <v>1.25</v>
          </cell>
          <cell r="K188">
            <v>0</v>
          </cell>
          <cell r="L188">
            <v>10</v>
          </cell>
          <cell r="M188">
            <v>93.75</v>
          </cell>
          <cell r="N188">
            <v>937.5</v>
          </cell>
          <cell r="O188">
            <v>0</v>
          </cell>
          <cell r="P188">
            <v>7.5</v>
          </cell>
          <cell r="Q188">
            <v>0</v>
          </cell>
          <cell r="R188">
            <v>8</v>
          </cell>
          <cell r="S188">
            <v>97.5</v>
          </cell>
          <cell r="T188">
            <v>780</v>
          </cell>
          <cell r="U188">
            <v>0</v>
          </cell>
          <cell r="V188">
            <v>126.75</v>
          </cell>
          <cell r="W188">
            <v>0</v>
          </cell>
          <cell r="X188">
            <v>0</v>
          </cell>
          <cell r="Y188">
            <v>9.75</v>
          </cell>
          <cell r="Z188">
            <v>0</v>
          </cell>
          <cell r="AA188">
            <v>0</v>
          </cell>
          <cell r="AB188">
            <v>112.5</v>
          </cell>
          <cell r="AC188">
            <v>0</v>
          </cell>
          <cell r="AD188">
            <v>0</v>
          </cell>
          <cell r="AE188">
            <v>146.25</v>
          </cell>
          <cell r="AF188">
            <v>0</v>
          </cell>
          <cell r="AG188">
            <v>0</v>
          </cell>
          <cell r="AH188">
            <v>11.25</v>
          </cell>
          <cell r="AI188">
            <v>0</v>
          </cell>
          <cell r="AJ188">
            <v>8</v>
          </cell>
          <cell r="AK188">
            <v>97.5</v>
          </cell>
          <cell r="AL188">
            <v>780</v>
          </cell>
          <cell r="AM188">
            <v>0</v>
          </cell>
          <cell r="AN188">
            <v>126.75</v>
          </cell>
          <cell r="AO188">
            <v>0</v>
          </cell>
          <cell r="AP188">
            <v>0</v>
          </cell>
          <cell r="AQ188">
            <v>9.75</v>
          </cell>
          <cell r="AR188">
            <v>0</v>
          </cell>
          <cell r="AS188">
            <v>0</v>
          </cell>
          <cell r="AT188">
            <v>150</v>
          </cell>
          <cell r="AU188">
            <v>0</v>
          </cell>
          <cell r="AV188">
            <v>0</v>
          </cell>
          <cell r="AW188">
            <v>195</v>
          </cell>
          <cell r="AX188">
            <v>0</v>
          </cell>
          <cell r="AY188">
            <v>0</v>
          </cell>
          <cell r="AZ188">
            <v>15</v>
          </cell>
          <cell r="BA188">
            <v>0</v>
          </cell>
          <cell r="BB188">
            <v>0</v>
          </cell>
          <cell r="BC188">
            <v>75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6097.5</v>
          </cell>
        </row>
        <row r="189">
          <cell r="C189">
            <v>30024</v>
          </cell>
          <cell r="D189" t="str">
            <v>Pabon, Chuvy Bryan Dimailig</v>
          </cell>
          <cell r="E189">
            <v>72</v>
          </cell>
          <cell r="F189">
            <v>9</v>
          </cell>
          <cell r="G189">
            <v>600</v>
          </cell>
          <cell r="H189">
            <v>5400</v>
          </cell>
          <cell r="I189">
            <v>0</v>
          </cell>
          <cell r="J189">
            <v>1.25</v>
          </cell>
          <cell r="K189">
            <v>0</v>
          </cell>
          <cell r="L189">
            <v>16</v>
          </cell>
          <cell r="M189">
            <v>93.75</v>
          </cell>
          <cell r="N189">
            <v>1500</v>
          </cell>
          <cell r="O189">
            <v>32</v>
          </cell>
          <cell r="P189">
            <v>7.5</v>
          </cell>
          <cell r="Q189">
            <v>240</v>
          </cell>
          <cell r="R189">
            <v>0</v>
          </cell>
          <cell r="S189">
            <v>97.5</v>
          </cell>
          <cell r="T189">
            <v>0</v>
          </cell>
          <cell r="U189">
            <v>0</v>
          </cell>
          <cell r="V189">
            <v>126.75</v>
          </cell>
          <cell r="W189">
            <v>0</v>
          </cell>
          <cell r="X189">
            <v>0</v>
          </cell>
          <cell r="Y189">
            <v>9.75</v>
          </cell>
          <cell r="Z189">
            <v>0</v>
          </cell>
          <cell r="AA189">
            <v>0</v>
          </cell>
          <cell r="AB189">
            <v>112.5</v>
          </cell>
          <cell r="AC189">
            <v>0</v>
          </cell>
          <cell r="AD189">
            <v>0</v>
          </cell>
          <cell r="AE189">
            <v>146.25</v>
          </cell>
          <cell r="AF189">
            <v>0</v>
          </cell>
          <cell r="AG189">
            <v>0</v>
          </cell>
          <cell r="AH189">
            <v>11.25</v>
          </cell>
          <cell r="AI189">
            <v>0</v>
          </cell>
          <cell r="AJ189">
            <v>0</v>
          </cell>
          <cell r="AK189">
            <v>97.5</v>
          </cell>
          <cell r="AL189">
            <v>0</v>
          </cell>
          <cell r="AM189">
            <v>0</v>
          </cell>
          <cell r="AN189">
            <v>126.75</v>
          </cell>
          <cell r="AO189">
            <v>0</v>
          </cell>
          <cell r="AP189">
            <v>0</v>
          </cell>
          <cell r="AQ189">
            <v>9.75</v>
          </cell>
          <cell r="AR189">
            <v>0</v>
          </cell>
          <cell r="AS189">
            <v>0</v>
          </cell>
          <cell r="AT189">
            <v>150</v>
          </cell>
          <cell r="AU189">
            <v>0</v>
          </cell>
          <cell r="AV189">
            <v>0</v>
          </cell>
          <cell r="AW189">
            <v>195</v>
          </cell>
          <cell r="AX189">
            <v>0</v>
          </cell>
          <cell r="AY189">
            <v>0</v>
          </cell>
          <cell r="AZ189">
            <v>15</v>
          </cell>
          <cell r="BA189">
            <v>0</v>
          </cell>
          <cell r="BB189">
            <v>0</v>
          </cell>
          <cell r="BC189">
            <v>75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7140</v>
          </cell>
        </row>
        <row r="190">
          <cell r="C190">
            <v>14343</v>
          </cell>
          <cell r="D190" t="str">
            <v>Pabrero, Renan Espiña</v>
          </cell>
          <cell r="E190">
            <v>80</v>
          </cell>
          <cell r="F190">
            <v>10</v>
          </cell>
          <cell r="G190">
            <v>600</v>
          </cell>
          <cell r="H190">
            <v>6000</v>
          </cell>
          <cell r="I190">
            <v>0</v>
          </cell>
          <cell r="J190">
            <v>1.25</v>
          </cell>
          <cell r="K190">
            <v>0</v>
          </cell>
          <cell r="L190">
            <v>18</v>
          </cell>
          <cell r="M190">
            <v>93.75</v>
          </cell>
          <cell r="N190">
            <v>1687.5</v>
          </cell>
          <cell r="O190">
            <v>0</v>
          </cell>
          <cell r="P190">
            <v>7.5</v>
          </cell>
          <cell r="Q190">
            <v>0</v>
          </cell>
          <cell r="R190">
            <v>0</v>
          </cell>
          <cell r="S190">
            <v>97.5</v>
          </cell>
          <cell r="T190">
            <v>0</v>
          </cell>
          <cell r="U190">
            <v>0</v>
          </cell>
          <cell r="V190">
            <v>126.75</v>
          </cell>
          <cell r="W190">
            <v>0</v>
          </cell>
          <cell r="X190">
            <v>0</v>
          </cell>
          <cell r="Y190">
            <v>9.75</v>
          </cell>
          <cell r="Z190">
            <v>0</v>
          </cell>
          <cell r="AA190">
            <v>0</v>
          </cell>
          <cell r="AB190">
            <v>112.5</v>
          </cell>
          <cell r="AC190">
            <v>0</v>
          </cell>
          <cell r="AD190">
            <v>0</v>
          </cell>
          <cell r="AE190">
            <v>146.25</v>
          </cell>
          <cell r="AF190">
            <v>0</v>
          </cell>
          <cell r="AG190">
            <v>0</v>
          </cell>
          <cell r="AH190">
            <v>11.25</v>
          </cell>
          <cell r="AI190">
            <v>0</v>
          </cell>
          <cell r="AJ190">
            <v>0</v>
          </cell>
          <cell r="AK190">
            <v>97.5</v>
          </cell>
          <cell r="AL190">
            <v>0</v>
          </cell>
          <cell r="AM190">
            <v>0</v>
          </cell>
          <cell r="AN190">
            <v>126.75</v>
          </cell>
          <cell r="AO190">
            <v>0</v>
          </cell>
          <cell r="AP190">
            <v>0</v>
          </cell>
          <cell r="AQ190">
            <v>9.75</v>
          </cell>
          <cell r="AR190">
            <v>0</v>
          </cell>
          <cell r="AS190">
            <v>0</v>
          </cell>
          <cell r="AT190">
            <v>150</v>
          </cell>
          <cell r="AU190">
            <v>0</v>
          </cell>
          <cell r="AV190">
            <v>0</v>
          </cell>
          <cell r="AW190">
            <v>195</v>
          </cell>
          <cell r="AX190">
            <v>0</v>
          </cell>
          <cell r="AY190">
            <v>0</v>
          </cell>
          <cell r="AZ190">
            <v>15</v>
          </cell>
          <cell r="BA190">
            <v>0</v>
          </cell>
          <cell r="BB190">
            <v>0</v>
          </cell>
          <cell r="BC190">
            <v>75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7687.5</v>
          </cell>
        </row>
        <row r="191">
          <cell r="C191">
            <v>14345</v>
          </cell>
          <cell r="D191" t="str">
            <v>Padios, Reynaldo Jr. Marasigan</v>
          </cell>
          <cell r="E191">
            <v>88</v>
          </cell>
          <cell r="F191">
            <v>11</v>
          </cell>
          <cell r="G191">
            <v>600</v>
          </cell>
          <cell r="H191">
            <v>6600</v>
          </cell>
          <cell r="I191">
            <v>16</v>
          </cell>
          <cell r="J191">
            <v>1.25</v>
          </cell>
          <cell r="K191">
            <v>-20</v>
          </cell>
          <cell r="L191">
            <v>18</v>
          </cell>
          <cell r="M191">
            <v>93.75</v>
          </cell>
          <cell r="N191">
            <v>1687.5</v>
          </cell>
          <cell r="O191">
            <v>54</v>
          </cell>
          <cell r="P191">
            <v>7.5</v>
          </cell>
          <cell r="Q191">
            <v>405</v>
          </cell>
          <cell r="R191">
            <v>8</v>
          </cell>
          <cell r="S191">
            <v>97.5</v>
          </cell>
          <cell r="T191">
            <v>780</v>
          </cell>
          <cell r="U191">
            <v>0</v>
          </cell>
          <cell r="V191">
            <v>126.75</v>
          </cell>
          <cell r="W191">
            <v>0</v>
          </cell>
          <cell r="X191">
            <v>0</v>
          </cell>
          <cell r="Y191">
            <v>9.75</v>
          </cell>
          <cell r="Z191">
            <v>0</v>
          </cell>
          <cell r="AA191">
            <v>0</v>
          </cell>
          <cell r="AB191">
            <v>112.5</v>
          </cell>
          <cell r="AC191">
            <v>0</v>
          </cell>
          <cell r="AD191">
            <v>0</v>
          </cell>
          <cell r="AE191">
            <v>146.25</v>
          </cell>
          <cell r="AF191">
            <v>0</v>
          </cell>
          <cell r="AG191">
            <v>0</v>
          </cell>
          <cell r="AH191">
            <v>11.25</v>
          </cell>
          <cell r="AI191">
            <v>0</v>
          </cell>
          <cell r="AJ191">
            <v>0</v>
          </cell>
          <cell r="AK191">
            <v>97.5</v>
          </cell>
          <cell r="AL191">
            <v>0</v>
          </cell>
          <cell r="AM191">
            <v>0</v>
          </cell>
          <cell r="AN191">
            <v>126.75</v>
          </cell>
          <cell r="AO191">
            <v>0</v>
          </cell>
          <cell r="AP191">
            <v>0</v>
          </cell>
          <cell r="AQ191">
            <v>9.75</v>
          </cell>
          <cell r="AR191">
            <v>0</v>
          </cell>
          <cell r="AS191">
            <v>0</v>
          </cell>
          <cell r="AT191">
            <v>150</v>
          </cell>
          <cell r="AU191">
            <v>0</v>
          </cell>
          <cell r="AV191">
            <v>0</v>
          </cell>
          <cell r="AW191">
            <v>195</v>
          </cell>
          <cell r="AX191">
            <v>0</v>
          </cell>
          <cell r="AY191">
            <v>0</v>
          </cell>
          <cell r="AZ191">
            <v>15</v>
          </cell>
          <cell r="BA191">
            <v>0</v>
          </cell>
          <cell r="BB191">
            <v>0</v>
          </cell>
          <cell r="BC191">
            <v>75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9452.5</v>
          </cell>
        </row>
        <row r="192">
          <cell r="C192">
            <v>14036</v>
          </cell>
          <cell r="D192" t="str">
            <v>Palcon, Justine Perez</v>
          </cell>
          <cell r="E192">
            <v>56</v>
          </cell>
          <cell r="F192">
            <v>7</v>
          </cell>
          <cell r="G192">
            <v>600</v>
          </cell>
          <cell r="H192">
            <v>4200</v>
          </cell>
          <cell r="I192">
            <v>32</v>
          </cell>
          <cell r="J192">
            <v>1.25</v>
          </cell>
          <cell r="K192">
            <v>-40</v>
          </cell>
          <cell r="L192">
            <v>10</v>
          </cell>
          <cell r="M192">
            <v>93.75</v>
          </cell>
          <cell r="N192">
            <v>937.5</v>
          </cell>
          <cell r="O192">
            <v>0</v>
          </cell>
          <cell r="P192">
            <v>7.5</v>
          </cell>
          <cell r="Q192">
            <v>0</v>
          </cell>
          <cell r="R192">
            <v>8</v>
          </cell>
          <cell r="S192">
            <v>97.5</v>
          </cell>
          <cell r="T192">
            <v>780</v>
          </cell>
          <cell r="U192">
            <v>0</v>
          </cell>
          <cell r="V192">
            <v>126.75</v>
          </cell>
          <cell r="W192">
            <v>0</v>
          </cell>
          <cell r="X192">
            <v>0</v>
          </cell>
          <cell r="Y192">
            <v>9.75</v>
          </cell>
          <cell r="Z192">
            <v>0</v>
          </cell>
          <cell r="AA192">
            <v>0</v>
          </cell>
          <cell r="AB192">
            <v>112.5</v>
          </cell>
          <cell r="AC192">
            <v>0</v>
          </cell>
          <cell r="AD192">
            <v>0</v>
          </cell>
          <cell r="AE192">
            <v>146.25</v>
          </cell>
          <cell r="AF192">
            <v>0</v>
          </cell>
          <cell r="AG192">
            <v>0</v>
          </cell>
          <cell r="AH192">
            <v>11.25</v>
          </cell>
          <cell r="AI192">
            <v>0</v>
          </cell>
          <cell r="AJ192">
            <v>0</v>
          </cell>
          <cell r="AK192">
            <v>97.5</v>
          </cell>
          <cell r="AL192">
            <v>0</v>
          </cell>
          <cell r="AM192">
            <v>0</v>
          </cell>
          <cell r="AN192">
            <v>126.75</v>
          </cell>
          <cell r="AO192">
            <v>0</v>
          </cell>
          <cell r="AP192">
            <v>0</v>
          </cell>
          <cell r="AQ192">
            <v>9.75</v>
          </cell>
          <cell r="AR192">
            <v>0</v>
          </cell>
          <cell r="AS192">
            <v>0</v>
          </cell>
          <cell r="AT192">
            <v>150</v>
          </cell>
          <cell r="AU192">
            <v>0</v>
          </cell>
          <cell r="AV192">
            <v>0</v>
          </cell>
          <cell r="AW192">
            <v>195</v>
          </cell>
          <cell r="AX192">
            <v>0</v>
          </cell>
          <cell r="AY192">
            <v>0</v>
          </cell>
          <cell r="AZ192">
            <v>15</v>
          </cell>
          <cell r="BA192">
            <v>0</v>
          </cell>
          <cell r="BB192">
            <v>0</v>
          </cell>
          <cell r="BC192">
            <v>75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5877.5</v>
          </cell>
        </row>
        <row r="193">
          <cell r="C193">
            <v>5295</v>
          </cell>
          <cell r="D193" t="str">
            <v>Palmonis, Rose Ann N/A</v>
          </cell>
          <cell r="E193">
            <v>56</v>
          </cell>
          <cell r="F193">
            <v>7</v>
          </cell>
          <cell r="G193">
            <v>600</v>
          </cell>
          <cell r="H193">
            <v>4200</v>
          </cell>
          <cell r="I193">
            <v>0</v>
          </cell>
          <cell r="J193">
            <v>1.25</v>
          </cell>
          <cell r="K193">
            <v>0</v>
          </cell>
          <cell r="L193">
            <v>12</v>
          </cell>
          <cell r="M193">
            <v>93.75</v>
          </cell>
          <cell r="N193">
            <v>1125</v>
          </cell>
          <cell r="O193">
            <v>8</v>
          </cell>
          <cell r="P193">
            <v>7.5</v>
          </cell>
          <cell r="Q193">
            <v>60</v>
          </cell>
          <cell r="R193">
            <v>0</v>
          </cell>
          <cell r="S193">
            <v>97.5</v>
          </cell>
          <cell r="T193">
            <v>0</v>
          </cell>
          <cell r="U193">
            <v>0</v>
          </cell>
          <cell r="V193">
            <v>126.75</v>
          </cell>
          <cell r="W193">
            <v>0</v>
          </cell>
          <cell r="X193">
            <v>0</v>
          </cell>
          <cell r="Y193">
            <v>9.75</v>
          </cell>
          <cell r="Z193">
            <v>0</v>
          </cell>
          <cell r="AA193">
            <v>0</v>
          </cell>
          <cell r="AB193">
            <v>112.5</v>
          </cell>
          <cell r="AC193">
            <v>0</v>
          </cell>
          <cell r="AD193">
            <v>0</v>
          </cell>
          <cell r="AE193">
            <v>146.25</v>
          </cell>
          <cell r="AF193">
            <v>0</v>
          </cell>
          <cell r="AG193">
            <v>0</v>
          </cell>
          <cell r="AH193">
            <v>11.25</v>
          </cell>
          <cell r="AI193">
            <v>0</v>
          </cell>
          <cell r="AJ193">
            <v>0</v>
          </cell>
          <cell r="AK193">
            <v>97.5</v>
          </cell>
          <cell r="AL193">
            <v>0</v>
          </cell>
          <cell r="AM193">
            <v>0</v>
          </cell>
          <cell r="AN193">
            <v>126.75</v>
          </cell>
          <cell r="AO193">
            <v>0</v>
          </cell>
          <cell r="AP193">
            <v>0</v>
          </cell>
          <cell r="AQ193">
            <v>9.75</v>
          </cell>
          <cell r="AR193">
            <v>0</v>
          </cell>
          <cell r="AS193">
            <v>0</v>
          </cell>
          <cell r="AT193">
            <v>150</v>
          </cell>
          <cell r="AU193">
            <v>0</v>
          </cell>
          <cell r="AV193">
            <v>0</v>
          </cell>
          <cell r="AW193">
            <v>195</v>
          </cell>
          <cell r="AX193">
            <v>0</v>
          </cell>
          <cell r="AY193">
            <v>0</v>
          </cell>
          <cell r="AZ193">
            <v>15</v>
          </cell>
          <cell r="BA193">
            <v>0</v>
          </cell>
          <cell r="BB193">
            <v>0</v>
          </cell>
          <cell r="BC193">
            <v>75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5385</v>
          </cell>
        </row>
        <row r="194">
          <cell r="C194">
            <v>2043</v>
          </cell>
          <cell r="D194" t="str">
            <v>Pamorada, Rose Marie N/A</v>
          </cell>
          <cell r="E194">
            <v>56</v>
          </cell>
          <cell r="F194">
            <v>7</v>
          </cell>
          <cell r="G194">
            <v>600</v>
          </cell>
          <cell r="H194">
            <v>4200</v>
          </cell>
          <cell r="I194">
            <v>0</v>
          </cell>
          <cell r="J194">
            <v>1.25</v>
          </cell>
          <cell r="K194">
            <v>0</v>
          </cell>
          <cell r="L194">
            <v>12</v>
          </cell>
          <cell r="M194">
            <v>93.75</v>
          </cell>
          <cell r="N194">
            <v>1125</v>
          </cell>
          <cell r="O194">
            <v>0</v>
          </cell>
          <cell r="P194">
            <v>7.5</v>
          </cell>
          <cell r="Q194">
            <v>0</v>
          </cell>
          <cell r="R194">
            <v>0</v>
          </cell>
          <cell r="S194">
            <v>97.5</v>
          </cell>
          <cell r="T194">
            <v>0</v>
          </cell>
          <cell r="U194">
            <v>0</v>
          </cell>
          <cell r="V194">
            <v>126.75</v>
          </cell>
          <cell r="W194">
            <v>0</v>
          </cell>
          <cell r="X194">
            <v>0</v>
          </cell>
          <cell r="Y194">
            <v>9.75</v>
          </cell>
          <cell r="Z194">
            <v>0</v>
          </cell>
          <cell r="AA194">
            <v>0</v>
          </cell>
          <cell r="AB194">
            <v>112.5</v>
          </cell>
          <cell r="AC194">
            <v>0</v>
          </cell>
          <cell r="AD194">
            <v>0</v>
          </cell>
          <cell r="AE194">
            <v>146.25</v>
          </cell>
          <cell r="AF194">
            <v>0</v>
          </cell>
          <cell r="AG194">
            <v>0</v>
          </cell>
          <cell r="AH194">
            <v>11.25</v>
          </cell>
          <cell r="AI194">
            <v>0</v>
          </cell>
          <cell r="AJ194">
            <v>0</v>
          </cell>
          <cell r="AK194">
            <v>97.5</v>
          </cell>
          <cell r="AL194">
            <v>0</v>
          </cell>
          <cell r="AM194">
            <v>0</v>
          </cell>
          <cell r="AN194">
            <v>126.75</v>
          </cell>
          <cell r="AO194">
            <v>0</v>
          </cell>
          <cell r="AP194">
            <v>0</v>
          </cell>
          <cell r="AQ194">
            <v>9.75</v>
          </cell>
          <cell r="AR194">
            <v>0</v>
          </cell>
          <cell r="AS194">
            <v>0</v>
          </cell>
          <cell r="AT194">
            <v>150</v>
          </cell>
          <cell r="AU194">
            <v>0</v>
          </cell>
          <cell r="AV194">
            <v>0</v>
          </cell>
          <cell r="AW194">
            <v>195</v>
          </cell>
          <cell r="AX194">
            <v>0</v>
          </cell>
          <cell r="AY194">
            <v>0</v>
          </cell>
          <cell r="AZ194">
            <v>15</v>
          </cell>
          <cell r="BA194">
            <v>0</v>
          </cell>
          <cell r="BB194">
            <v>0</v>
          </cell>
          <cell r="BC194">
            <v>75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5325</v>
          </cell>
        </row>
        <row r="195">
          <cell r="C195">
            <v>6302</v>
          </cell>
          <cell r="D195" t="str">
            <v>Pamplona, Henry Perez</v>
          </cell>
          <cell r="E195">
            <v>72</v>
          </cell>
          <cell r="F195">
            <v>9</v>
          </cell>
          <cell r="G195">
            <v>600</v>
          </cell>
          <cell r="H195">
            <v>5400</v>
          </cell>
          <cell r="I195">
            <v>36</v>
          </cell>
          <cell r="J195">
            <v>1.25</v>
          </cell>
          <cell r="K195">
            <v>-45</v>
          </cell>
          <cell r="L195">
            <v>20</v>
          </cell>
          <cell r="M195">
            <v>93.75</v>
          </cell>
          <cell r="N195">
            <v>1875</v>
          </cell>
          <cell r="O195">
            <v>0</v>
          </cell>
          <cell r="P195">
            <v>7.5</v>
          </cell>
          <cell r="Q195">
            <v>0</v>
          </cell>
          <cell r="R195">
            <v>8</v>
          </cell>
          <cell r="S195">
            <v>97.5</v>
          </cell>
          <cell r="T195">
            <v>780</v>
          </cell>
          <cell r="U195">
            <v>1</v>
          </cell>
          <cell r="V195">
            <v>126.75</v>
          </cell>
          <cell r="W195">
            <v>126.75</v>
          </cell>
          <cell r="X195">
            <v>0</v>
          </cell>
          <cell r="Y195">
            <v>9.75</v>
          </cell>
          <cell r="Z195">
            <v>0</v>
          </cell>
          <cell r="AA195">
            <v>0</v>
          </cell>
          <cell r="AB195">
            <v>112.5</v>
          </cell>
          <cell r="AC195">
            <v>0</v>
          </cell>
          <cell r="AD195">
            <v>0</v>
          </cell>
          <cell r="AE195">
            <v>146.25</v>
          </cell>
          <cell r="AF195">
            <v>0</v>
          </cell>
          <cell r="AG195">
            <v>0</v>
          </cell>
          <cell r="AH195">
            <v>11.25</v>
          </cell>
          <cell r="AI195">
            <v>0</v>
          </cell>
          <cell r="AJ195">
            <v>8</v>
          </cell>
          <cell r="AK195">
            <v>97.5</v>
          </cell>
          <cell r="AL195">
            <v>780</v>
          </cell>
          <cell r="AM195">
            <v>0</v>
          </cell>
          <cell r="AN195">
            <v>126.75</v>
          </cell>
          <cell r="AO195">
            <v>0</v>
          </cell>
          <cell r="AP195">
            <v>0</v>
          </cell>
          <cell r="AQ195">
            <v>9.75</v>
          </cell>
          <cell r="AR195">
            <v>0</v>
          </cell>
          <cell r="AS195">
            <v>0</v>
          </cell>
          <cell r="AT195">
            <v>150</v>
          </cell>
          <cell r="AU195">
            <v>0</v>
          </cell>
          <cell r="AV195">
            <v>0</v>
          </cell>
          <cell r="AW195">
            <v>195</v>
          </cell>
          <cell r="AX195">
            <v>0</v>
          </cell>
          <cell r="AY195">
            <v>0</v>
          </cell>
          <cell r="AZ195">
            <v>15</v>
          </cell>
          <cell r="BA195">
            <v>0</v>
          </cell>
          <cell r="BB195">
            <v>0</v>
          </cell>
          <cell r="BC195">
            <v>75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8916.75</v>
          </cell>
        </row>
        <row r="196">
          <cell r="C196">
            <v>5212</v>
          </cell>
          <cell r="D196" t="str">
            <v>Panaga, Rio Liza Satuito</v>
          </cell>
          <cell r="E196">
            <v>80</v>
          </cell>
          <cell r="F196">
            <v>10</v>
          </cell>
          <cell r="G196">
            <v>600</v>
          </cell>
          <cell r="H196">
            <v>6000</v>
          </cell>
          <cell r="I196">
            <v>0</v>
          </cell>
          <cell r="J196">
            <v>1.25</v>
          </cell>
          <cell r="K196">
            <v>0</v>
          </cell>
          <cell r="L196">
            <v>18</v>
          </cell>
          <cell r="M196">
            <v>93.75</v>
          </cell>
          <cell r="N196">
            <v>1687.5</v>
          </cell>
          <cell r="O196">
            <v>32</v>
          </cell>
          <cell r="P196">
            <v>7.5</v>
          </cell>
          <cell r="Q196">
            <v>240</v>
          </cell>
          <cell r="R196">
            <v>0</v>
          </cell>
          <cell r="S196">
            <v>97.5</v>
          </cell>
          <cell r="T196">
            <v>0</v>
          </cell>
          <cell r="U196">
            <v>0</v>
          </cell>
          <cell r="V196">
            <v>126.75</v>
          </cell>
          <cell r="W196">
            <v>0</v>
          </cell>
          <cell r="X196">
            <v>0</v>
          </cell>
          <cell r="Y196">
            <v>9.75</v>
          </cell>
          <cell r="Z196">
            <v>0</v>
          </cell>
          <cell r="AA196">
            <v>0</v>
          </cell>
          <cell r="AB196">
            <v>112.5</v>
          </cell>
          <cell r="AC196">
            <v>0</v>
          </cell>
          <cell r="AD196">
            <v>0</v>
          </cell>
          <cell r="AE196">
            <v>146.25</v>
          </cell>
          <cell r="AF196">
            <v>0</v>
          </cell>
          <cell r="AG196">
            <v>0</v>
          </cell>
          <cell r="AH196">
            <v>11.25</v>
          </cell>
          <cell r="AI196">
            <v>0</v>
          </cell>
          <cell r="AJ196">
            <v>0</v>
          </cell>
          <cell r="AK196">
            <v>97.5</v>
          </cell>
          <cell r="AL196">
            <v>0</v>
          </cell>
          <cell r="AM196">
            <v>0</v>
          </cell>
          <cell r="AN196">
            <v>126.75</v>
          </cell>
          <cell r="AO196">
            <v>0</v>
          </cell>
          <cell r="AP196">
            <v>0</v>
          </cell>
          <cell r="AQ196">
            <v>9.75</v>
          </cell>
          <cell r="AR196">
            <v>0</v>
          </cell>
          <cell r="AS196">
            <v>0</v>
          </cell>
          <cell r="AT196">
            <v>150</v>
          </cell>
          <cell r="AU196">
            <v>0</v>
          </cell>
          <cell r="AV196">
            <v>0</v>
          </cell>
          <cell r="AW196">
            <v>195</v>
          </cell>
          <cell r="AX196">
            <v>0</v>
          </cell>
          <cell r="AY196">
            <v>0</v>
          </cell>
          <cell r="AZ196">
            <v>15</v>
          </cell>
          <cell r="BA196">
            <v>0</v>
          </cell>
          <cell r="BB196">
            <v>0</v>
          </cell>
          <cell r="BC196">
            <v>75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7927.5</v>
          </cell>
        </row>
        <row r="197">
          <cell r="C197">
            <v>2007</v>
          </cell>
          <cell r="D197" t="str">
            <v>Panugao, Jesus Jr. Fampula</v>
          </cell>
          <cell r="E197">
            <v>72</v>
          </cell>
          <cell r="F197">
            <v>9</v>
          </cell>
          <cell r="G197">
            <v>600</v>
          </cell>
          <cell r="H197">
            <v>5400</v>
          </cell>
          <cell r="I197">
            <v>0</v>
          </cell>
          <cell r="J197">
            <v>1.25</v>
          </cell>
          <cell r="K197">
            <v>0</v>
          </cell>
          <cell r="L197">
            <v>16</v>
          </cell>
          <cell r="M197">
            <v>93.75</v>
          </cell>
          <cell r="N197">
            <v>1500</v>
          </cell>
          <cell r="O197">
            <v>0</v>
          </cell>
          <cell r="P197">
            <v>7.5</v>
          </cell>
          <cell r="Q197">
            <v>0</v>
          </cell>
          <cell r="R197">
            <v>8</v>
          </cell>
          <cell r="S197">
            <v>97.5</v>
          </cell>
          <cell r="T197">
            <v>780</v>
          </cell>
          <cell r="U197">
            <v>0</v>
          </cell>
          <cell r="V197">
            <v>126.75</v>
          </cell>
          <cell r="W197">
            <v>0</v>
          </cell>
          <cell r="X197">
            <v>0</v>
          </cell>
          <cell r="Y197">
            <v>9.75</v>
          </cell>
          <cell r="Z197">
            <v>0</v>
          </cell>
          <cell r="AA197">
            <v>0</v>
          </cell>
          <cell r="AB197">
            <v>112.5</v>
          </cell>
          <cell r="AC197">
            <v>0</v>
          </cell>
          <cell r="AD197">
            <v>0</v>
          </cell>
          <cell r="AE197">
            <v>146.25</v>
          </cell>
          <cell r="AF197">
            <v>0</v>
          </cell>
          <cell r="AG197">
            <v>0</v>
          </cell>
          <cell r="AH197">
            <v>11.25</v>
          </cell>
          <cell r="AI197">
            <v>0</v>
          </cell>
          <cell r="AJ197">
            <v>8</v>
          </cell>
          <cell r="AK197">
            <v>97.5</v>
          </cell>
          <cell r="AL197">
            <v>780</v>
          </cell>
          <cell r="AM197">
            <v>0</v>
          </cell>
          <cell r="AN197">
            <v>126.75</v>
          </cell>
          <cell r="AO197">
            <v>0</v>
          </cell>
          <cell r="AP197">
            <v>0</v>
          </cell>
          <cell r="AQ197">
            <v>9.75</v>
          </cell>
          <cell r="AR197">
            <v>0</v>
          </cell>
          <cell r="AS197">
            <v>0</v>
          </cell>
          <cell r="AT197">
            <v>150</v>
          </cell>
          <cell r="AU197">
            <v>0</v>
          </cell>
          <cell r="AV197">
            <v>0</v>
          </cell>
          <cell r="AW197">
            <v>195</v>
          </cell>
          <cell r="AX197">
            <v>0</v>
          </cell>
          <cell r="AY197">
            <v>0</v>
          </cell>
          <cell r="AZ197">
            <v>15</v>
          </cell>
          <cell r="BA197">
            <v>0</v>
          </cell>
          <cell r="BB197">
            <v>0</v>
          </cell>
          <cell r="BC197">
            <v>75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8460</v>
          </cell>
        </row>
        <row r="198">
          <cell r="C198">
            <v>8143</v>
          </cell>
          <cell r="D198" t="str">
            <v>Papina, Jhan Eric Albino</v>
          </cell>
          <cell r="E198">
            <v>80</v>
          </cell>
          <cell r="F198">
            <v>10</v>
          </cell>
          <cell r="G198">
            <v>600</v>
          </cell>
          <cell r="H198">
            <v>6000</v>
          </cell>
          <cell r="I198">
            <v>0</v>
          </cell>
          <cell r="J198">
            <v>1.25</v>
          </cell>
          <cell r="K198">
            <v>0</v>
          </cell>
          <cell r="L198">
            <v>18</v>
          </cell>
          <cell r="M198">
            <v>93.75</v>
          </cell>
          <cell r="N198">
            <v>1687.5</v>
          </cell>
          <cell r="O198">
            <v>32</v>
          </cell>
          <cell r="P198">
            <v>7.5</v>
          </cell>
          <cell r="Q198">
            <v>240</v>
          </cell>
          <cell r="R198">
            <v>0</v>
          </cell>
          <cell r="S198">
            <v>97.5</v>
          </cell>
          <cell r="T198">
            <v>0</v>
          </cell>
          <cell r="U198">
            <v>0</v>
          </cell>
          <cell r="V198">
            <v>126.75</v>
          </cell>
          <cell r="W198">
            <v>0</v>
          </cell>
          <cell r="X198">
            <v>0</v>
          </cell>
          <cell r="Y198">
            <v>9.75</v>
          </cell>
          <cell r="Z198">
            <v>0</v>
          </cell>
          <cell r="AA198">
            <v>0</v>
          </cell>
          <cell r="AB198">
            <v>112.5</v>
          </cell>
          <cell r="AC198">
            <v>0</v>
          </cell>
          <cell r="AD198">
            <v>0</v>
          </cell>
          <cell r="AE198">
            <v>146.25</v>
          </cell>
          <cell r="AF198">
            <v>0</v>
          </cell>
          <cell r="AG198">
            <v>0</v>
          </cell>
          <cell r="AH198">
            <v>11.25</v>
          </cell>
          <cell r="AI198">
            <v>0</v>
          </cell>
          <cell r="AJ198">
            <v>0</v>
          </cell>
          <cell r="AK198">
            <v>97.5</v>
          </cell>
          <cell r="AL198">
            <v>0</v>
          </cell>
          <cell r="AM198">
            <v>0</v>
          </cell>
          <cell r="AN198">
            <v>126.75</v>
          </cell>
          <cell r="AO198">
            <v>0</v>
          </cell>
          <cell r="AP198">
            <v>0</v>
          </cell>
          <cell r="AQ198">
            <v>9.75</v>
          </cell>
          <cell r="AR198">
            <v>0</v>
          </cell>
          <cell r="AS198">
            <v>0</v>
          </cell>
          <cell r="AT198">
            <v>150</v>
          </cell>
          <cell r="AU198">
            <v>0</v>
          </cell>
          <cell r="AV198">
            <v>0</v>
          </cell>
          <cell r="AW198">
            <v>195</v>
          </cell>
          <cell r="AX198">
            <v>0</v>
          </cell>
          <cell r="AY198">
            <v>0</v>
          </cell>
          <cell r="AZ198">
            <v>15</v>
          </cell>
          <cell r="BA198">
            <v>0</v>
          </cell>
          <cell r="BB198">
            <v>0</v>
          </cell>
          <cell r="BC198">
            <v>75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7927.5</v>
          </cell>
        </row>
        <row r="199">
          <cell r="C199">
            <v>10035</v>
          </cell>
          <cell r="D199" t="str">
            <v>Pascual, Angelo Delos Reyes</v>
          </cell>
          <cell r="E199">
            <v>80</v>
          </cell>
          <cell r="F199">
            <v>10</v>
          </cell>
          <cell r="G199">
            <v>600</v>
          </cell>
          <cell r="H199">
            <v>6000</v>
          </cell>
          <cell r="I199">
            <v>0</v>
          </cell>
          <cell r="J199">
            <v>1.25</v>
          </cell>
          <cell r="K199">
            <v>0</v>
          </cell>
          <cell r="L199">
            <v>16</v>
          </cell>
          <cell r="M199">
            <v>93.75</v>
          </cell>
          <cell r="N199">
            <v>1500</v>
          </cell>
          <cell r="O199">
            <v>32</v>
          </cell>
          <cell r="P199">
            <v>7.5</v>
          </cell>
          <cell r="Q199">
            <v>240</v>
          </cell>
          <cell r="R199">
            <v>0</v>
          </cell>
          <cell r="S199">
            <v>97.5</v>
          </cell>
          <cell r="T199">
            <v>0</v>
          </cell>
          <cell r="U199">
            <v>0</v>
          </cell>
          <cell r="V199">
            <v>126.75</v>
          </cell>
          <cell r="W199">
            <v>0</v>
          </cell>
          <cell r="X199">
            <v>0</v>
          </cell>
          <cell r="Y199">
            <v>9.75</v>
          </cell>
          <cell r="Z199">
            <v>0</v>
          </cell>
          <cell r="AA199">
            <v>0</v>
          </cell>
          <cell r="AB199">
            <v>112.5</v>
          </cell>
          <cell r="AC199">
            <v>0</v>
          </cell>
          <cell r="AD199">
            <v>0</v>
          </cell>
          <cell r="AE199">
            <v>146.25</v>
          </cell>
          <cell r="AF199">
            <v>0</v>
          </cell>
          <cell r="AG199">
            <v>0</v>
          </cell>
          <cell r="AH199">
            <v>11.25</v>
          </cell>
          <cell r="AI199">
            <v>0</v>
          </cell>
          <cell r="AJ199">
            <v>0</v>
          </cell>
          <cell r="AK199">
            <v>97.5</v>
          </cell>
          <cell r="AL199">
            <v>0</v>
          </cell>
          <cell r="AM199">
            <v>0</v>
          </cell>
          <cell r="AN199">
            <v>126.75</v>
          </cell>
          <cell r="AO199">
            <v>0</v>
          </cell>
          <cell r="AP199">
            <v>0</v>
          </cell>
          <cell r="AQ199">
            <v>9.75</v>
          </cell>
          <cell r="AR199">
            <v>0</v>
          </cell>
          <cell r="AS199">
            <v>0</v>
          </cell>
          <cell r="AT199">
            <v>150</v>
          </cell>
          <cell r="AU199">
            <v>0</v>
          </cell>
          <cell r="AV199">
            <v>0</v>
          </cell>
          <cell r="AW199">
            <v>195</v>
          </cell>
          <cell r="AX199">
            <v>0</v>
          </cell>
          <cell r="AY199">
            <v>0</v>
          </cell>
          <cell r="AZ199">
            <v>15</v>
          </cell>
          <cell r="BA199">
            <v>0</v>
          </cell>
          <cell r="BB199">
            <v>0</v>
          </cell>
          <cell r="BC199">
            <v>75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7740</v>
          </cell>
        </row>
        <row r="200">
          <cell r="C200">
            <v>3360</v>
          </cell>
          <cell r="D200" t="str">
            <v>Penoy, Krissha Claire Novicio</v>
          </cell>
          <cell r="E200">
            <v>80</v>
          </cell>
          <cell r="F200">
            <v>10</v>
          </cell>
          <cell r="G200">
            <v>600</v>
          </cell>
          <cell r="H200">
            <v>6000</v>
          </cell>
          <cell r="I200">
            <v>17</v>
          </cell>
          <cell r="J200">
            <v>1.25</v>
          </cell>
          <cell r="K200">
            <v>-21.25</v>
          </cell>
          <cell r="L200">
            <v>23</v>
          </cell>
          <cell r="M200">
            <v>93.75</v>
          </cell>
          <cell r="N200">
            <v>2156.25</v>
          </cell>
          <cell r="O200">
            <v>32</v>
          </cell>
          <cell r="P200">
            <v>7.5</v>
          </cell>
          <cell r="Q200">
            <v>240</v>
          </cell>
          <cell r="R200">
            <v>0</v>
          </cell>
          <cell r="S200">
            <v>97.5</v>
          </cell>
          <cell r="T200">
            <v>0</v>
          </cell>
          <cell r="U200">
            <v>0</v>
          </cell>
          <cell r="V200">
            <v>126.75</v>
          </cell>
          <cell r="W200">
            <v>0</v>
          </cell>
          <cell r="X200">
            <v>0</v>
          </cell>
          <cell r="Y200">
            <v>9.75</v>
          </cell>
          <cell r="Z200">
            <v>0</v>
          </cell>
          <cell r="AA200">
            <v>0</v>
          </cell>
          <cell r="AB200">
            <v>112.5</v>
          </cell>
          <cell r="AC200">
            <v>0</v>
          </cell>
          <cell r="AD200">
            <v>0</v>
          </cell>
          <cell r="AE200">
            <v>146.25</v>
          </cell>
          <cell r="AF200">
            <v>0</v>
          </cell>
          <cell r="AG200">
            <v>0</v>
          </cell>
          <cell r="AH200">
            <v>11.25</v>
          </cell>
          <cell r="AI200">
            <v>0</v>
          </cell>
          <cell r="AJ200">
            <v>0</v>
          </cell>
          <cell r="AK200">
            <v>97.5</v>
          </cell>
          <cell r="AL200">
            <v>0</v>
          </cell>
          <cell r="AM200">
            <v>0</v>
          </cell>
          <cell r="AN200">
            <v>126.75</v>
          </cell>
          <cell r="AO200">
            <v>0</v>
          </cell>
          <cell r="AP200">
            <v>0</v>
          </cell>
          <cell r="AQ200">
            <v>9.75</v>
          </cell>
          <cell r="AR200">
            <v>0</v>
          </cell>
          <cell r="AS200">
            <v>0</v>
          </cell>
          <cell r="AT200">
            <v>150</v>
          </cell>
          <cell r="AU200">
            <v>0</v>
          </cell>
          <cell r="AV200">
            <v>0</v>
          </cell>
          <cell r="AW200">
            <v>195</v>
          </cell>
          <cell r="AX200">
            <v>0</v>
          </cell>
          <cell r="AY200">
            <v>0</v>
          </cell>
          <cell r="AZ200">
            <v>15</v>
          </cell>
          <cell r="BA200">
            <v>0</v>
          </cell>
          <cell r="BB200">
            <v>0</v>
          </cell>
          <cell r="BC200">
            <v>75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8375</v>
          </cell>
        </row>
        <row r="201">
          <cell r="C201">
            <v>3359</v>
          </cell>
          <cell r="D201" t="str">
            <v>Penoy, Quenie Rose Calambro</v>
          </cell>
          <cell r="E201">
            <v>80</v>
          </cell>
          <cell r="F201">
            <v>10</v>
          </cell>
          <cell r="G201">
            <v>600</v>
          </cell>
          <cell r="H201">
            <v>6000</v>
          </cell>
          <cell r="I201">
            <v>0</v>
          </cell>
          <cell r="J201">
            <v>1.25</v>
          </cell>
          <cell r="K201">
            <v>0</v>
          </cell>
          <cell r="L201">
            <v>18</v>
          </cell>
          <cell r="M201">
            <v>93.75</v>
          </cell>
          <cell r="N201">
            <v>1687.5</v>
          </cell>
          <cell r="O201">
            <v>46</v>
          </cell>
          <cell r="P201">
            <v>7.5</v>
          </cell>
          <cell r="Q201">
            <v>345</v>
          </cell>
          <cell r="R201">
            <v>8</v>
          </cell>
          <cell r="S201">
            <v>97.5</v>
          </cell>
          <cell r="T201">
            <v>780</v>
          </cell>
          <cell r="U201">
            <v>0</v>
          </cell>
          <cell r="V201">
            <v>126.75</v>
          </cell>
          <cell r="W201">
            <v>0</v>
          </cell>
          <cell r="X201">
            <v>0</v>
          </cell>
          <cell r="Y201">
            <v>9.75</v>
          </cell>
          <cell r="Z201">
            <v>0</v>
          </cell>
          <cell r="AA201">
            <v>0</v>
          </cell>
          <cell r="AB201">
            <v>112.5</v>
          </cell>
          <cell r="AC201">
            <v>0</v>
          </cell>
          <cell r="AD201">
            <v>0</v>
          </cell>
          <cell r="AE201">
            <v>146.25</v>
          </cell>
          <cell r="AF201">
            <v>0</v>
          </cell>
          <cell r="AG201">
            <v>0</v>
          </cell>
          <cell r="AH201">
            <v>11.25</v>
          </cell>
          <cell r="AI201">
            <v>0</v>
          </cell>
          <cell r="AJ201">
            <v>8</v>
          </cell>
          <cell r="AK201">
            <v>97.5</v>
          </cell>
          <cell r="AL201">
            <v>780</v>
          </cell>
          <cell r="AM201">
            <v>0</v>
          </cell>
          <cell r="AN201">
            <v>126.75</v>
          </cell>
          <cell r="AO201">
            <v>0</v>
          </cell>
          <cell r="AP201">
            <v>0</v>
          </cell>
          <cell r="AQ201">
            <v>9.75</v>
          </cell>
          <cell r="AR201">
            <v>0</v>
          </cell>
          <cell r="AS201">
            <v>0</v>
          </cell>
          <cell r="AT201">
            <v>150</v>
          </cell>
          <cell r="AU201">
            <v>0</v>
          </cell>
          <cell r="AV201">
            <v>0</v>
          </cell>
          <cell r="AW201">
            <v>195</v>
          </cell>
          <cell r="AX201">
            <v>0</v>
          </cell>
          <cell r="AY201">
            <v>0</v>
          </cell>
          <cell r="AZ201">
            <v>15</v>
          </cell>
          <cell r="BA201">
            <v>0</v>
          </cell>
          <cell r="BB201">
            <v>0</v>
          </cell>
          <cell r="BC201">
            <v>75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9592.5</v>
          </cell>
        </row>
        <row r="202">
          <cell r="C202">
            <v>10364</v>
          </cell>
          <cell r="D202" t="str">
            <v>Pera, Arnel Cañega</v>
          </cell>
          <cell r="E202">
            <v>72</v>
          </cell>
          <cell r="F202">
            <v>9</v>
          </cell>
          <cell r="G202">
            <v>600</v>
          </cell>
          <cell r="H202">
            <v>5400</v>
          </cell>
          <cell r="I202">
            <v>0</v>
          </cell>
          <cell r="J202">
            <v>1.25</v>
          </cell>
          <cell r="K202">
            <v>0</v>
          </cell>
          <cell r="L202">
            <v>15</v>
          </cell>
          <cell r="M202">
            <v>93.75</v>
          </cell>
          <cell r="N202">
            <v>1406.25</v>
          </cell>
          <cell r="O202">
            <v>0</v>
          </cell>
          <cell r="P202">
            <v>7.5</v>
          </cell>
          <cell r="Q202">
            <v>0</v>
          </cell>
          <cell r="R202">
            <v>8</v>
          </cell>
          <cell r="S202">
            <v>97.5</v>
          </cell>
          <cell r="T202">
            <v>780</v>
          </cell>
          <cell r="U202">
            <v>0</v>
          </cell>
          <cell r="V202">
            <v>126.75</v>
          </cell>
          <cell r="W202">
            <v>0</v>
          </cell>
          <cell r="X202">
            <v>0</v>
          </cell>
          <cell r="Y202">
            <v>9.75</v>
          </cell>
          <cell r="Z202">
            <v>0</v>
          </cell>
          <cell r="AA202">
            <v>0</v>
          </cell>
          <cell r="AB202">
            <v>112.5</v>
          </cell>
          <cell r="AC202">
            <v>0</v>
          </cell>
          <cell r="AD202">
            <v>0</v>
          </cell>
          <cell r="AE202">
            <v>146.25</v>
          </cell>
          <cell r="AF202">
            <v>0</v>
          </cell>
          <cell r="AG202">
            <v>0</v>
          </cell>
          <cell r="AH202">
            <v>11.25</v>
          </cell>
          <cell r="AI202">
            <v>0</v>
          </cell>
          <cell r="AJ202">
            <v>8</v>
          </cell>
          <cell r="AK202">
            <v>97.5</v>
          </cell>
          <cell r="AL202">
            <v>780</v>
          </cell>
          <cell r="AM202">
            <v>0</v>
          </cell>
          <cell r="AN202">
            <v>126.75</v>
          </cell>
          <cell r="AO202">
            <v>0</v>
          </cell>
          <cell r="AP202">
            <v>0</v>
          </cell>
          <cell r="AQ202">
            <v>9.75</v>
          </cell>
          <cell r="AR202">
            <v>0</v>
          </cell>
          <cell r="AS202">
            <v>0</v>
          </cell>
          <cell r="AT202">
            <v>150</v>
          </cell>
          <cell r="AU202">
            <v>0</v>
          </cell>
          <cell r="AV202">
            <v>0</v>
          </cell>
          <cell r="AW202">
            <v>195</v>
          </cell>
          <cell r="AX202">
            <v>0</v>
          </cell>
          <cell r="AY202">
            <v>0</v>
          </cell>
          <cell r="AZ202">
            <v>15</v>
          </cell>
          <cell r="BA202">
            <v>0</v>
          </cell>
          <cell r="BB202">
            <v>0</v>
          </cell>
          <cell r="BC202">
            <v>75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8366.25</v>
          </cell>
        </row>
        <row r="203">
          <cell r="C203">
            <v>14627</v>
          </cell>
          <cell r="D203" t="str">
            <v>Perlas, Boris</v>
          </cell>
          <cell r="E203">
            <v>64</v>
          </cell>
          <cell r="F203">
            <v>8</v>
          </cell>
          <cell r="G203">
            <v>600</v>
          </cell>
          <cell r="H203">
            <v>4800</v>
          </cell>
          <cell r="I203">
            <v>0</v>
          </cell>
          <cell r="J203">
            <v>1.25</v>
          </cell>
          <cell r="K203">
            <v>0</v>
          </cell>
          <cell r="L203">
            <v>14</v>
          </cell>
          <cell r="M203">
            <v>93.75</v>
          </cell>
          <cell r="N203">
            <v>1312.5</v>
          </cell>
          <cell r="O203">
            <v>0</v>
          </cell>
          <cell r="P203">
            <v>7.5</v>
          </cell>
          <cell r="Q203">
            <v>0</v>
          </cell>
          <cell r="R203">
            <v>0</v>
          </cell>
          <cell r="S203">
            <v>97.5</v>
          </cell>
          <cell r="T203">
            <v>0</v>
          </cell>
          <cell r="U203">
            <v>0</v>
          </cell>
          <cell r="V203">
            <v>126.75</v>
          </cell>
          <cell r="W203">
            <v>0</v>
          </cell>
          <cell r="X203">
            <v>0</v>
          </cell>
          <cell r="Y203">
            <v>9.75</v>
          </cell>
          <cell r="Z203">
            <v>0</v>
          </cell>
          <cell r="AA203">
            <v>0</v>
          </cell>
          <cell r="AB203">
            <v>112.5</v>
          </cell>
          <cell r="AC203">
            <v>0</v>
          </cell>
          <cell r="AD203">
            <v>0</v>
          </cell>
          <cell r="AE203">
            <v>146.25</v>
          </cell>
          <cell r="AF203">
            <v>0</v>
          </cell>
          <cell r="AG203">
            <v>0</v>
          </cell>
          <cell r="AH203">
            <v>11.25</v>
          </cell>
          <cell r="AI203">
            <v>0</v>
          </cell>
          <cell r="AJ203">
            <v>8</v>
          </cell>
          <cell r="AK203">
            <v>97.5</v>
          </cell>
          <cell r="AL203">
            <v>780</v>
          </cell>
          <cell r="AM203">
            <v>0</v>
          </cell>
          <cell r="AN203">
            <v>126.75</v>
          </cell>
          <cell r="AO203">
            <v>0</v>
          </cell>
          <cell r="AP203">
            <v>0</v>
          </cell>
          <cell r="AQ203">
            <v>9.75</v>
          </cell>
          <cell r="AR203">
            <v>0</v>
          </cell>
          <cell r="AS203">
            <v>0</v>
          </cell>
          <cell r="AT203">
            <v>150</v>
          </cell>
          <cell r="AU203">
            <v>0</v>
          </cell>
          <cell r="AV203">
            <v>0</v>
          </cell>
          <cell r="AW203">
            <v>195</v>
          </cell>
          <cell r="AX203">
            <v>0</v>
          </cell>
          <cell r="AY203">
            <v>0</v>
          </cell>
          <cell r="AZ203">
            <v>15</v>
          </cell>
          <cell r="BA203">
            <v>0</v>
          </cell>
          <cell r="BB203">
            <v>0</v>
          </cell>
          <cell r="BC203">
            <v>75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6892.5</v>
          </cell>
        </row>
        <row r="204">
          <cell r="C204">
            <v>14361</v>
          </cell>
          <cell r="D204" t="str">
            <v>Plata, Christian Javier</v>
          </cell>
          <cell r="E204">
            <v>72</v>
          </cell>
          <cell r="F204">
            <v>9</v>
          </cell>
          <cell r="G204">
            <v>600</v>
          </cell>
          <cell r="H204">
            <v>5400</v>
          </cell>
          <cell r="I204">
            <v>0</v>
          </cell>
          <cell r="J204">
            <v>1.25</v>
          </cell>
          <cell r="K204">
            <v>0</v>
          </cell>
          <cell r="L204">
            <v>10</v>
          </cell>
          <cell r="M204">
            <v>93.75</v>
          </cell>
          <cell r="N204">
            <v>937.5</v>
          </cell>
          <cell r="O204">
            <v>32</v>
          </cell>
          <cell r="P204">
            <v>7.5</v>
          </cell>
          <cell r="Q204">
            <v>240</v>
          </cell>
          <cell r="R204">
            <v>0</v>
          </cell>
          <cell r="S204">
            <v>97.5</v>
          </cell>
          <cell r="T204">
            <v>0</v>
          </cell>
          <cell r="U204">
            <v>0</v>
          </cell>
          <cell r="V204">
            <v>126.75</v>
          </cell>
          <cell r="W204">
            <v>0</v>
          </cell>
          <cell r="X204">
            <v>0</v>
          </cell>
          <cell r="Y204">
            <v>9.75</v>
          </cell>
          <cell r="Z204">
            <v>0</v>
          </cell>
          <cell r="AA204">
            <v>0</v>
          </cell>
          <cell r="AB204">
            <v>112.5</v>
          </cell>
          <cell r="AC204">
            <v>0</v>
          </cell>
          <cell r="AD204">
            <v>0</v>
          </cell>
          <cell r="AE204">
            <v>146.25</v>
          </cell>
          <cell r="AF204">
            <v>0</v>
          </cell>
          <cell r="AG204">
            <v>0</v>
          </cell>
          <cell r="AH204">
            <v>11.25</v>
          </cell>
          <cell r="AI204">
            <v>0</v>
          </cell>
          <cell r="AJ204">
            <v>0</v>
          </cell>
          <cell r="AK204">
            <v>97.5</v>
          </cell>
          <cell r="AL204">
            <v>0</v>
          </cell>
          <cell r="AM204">
            <v>0</v>
          </cell>
          <cell r="AN204">
            <v>126.75</v>
          </cell>
          <cell r="AO204">
            <v>0</v>
          </cell>
          <cell r="AP204">
            <v>0</v>
          </cell>
          <cell r="AQ204">
            <v>9.75</v>
          </cell>
          <cell r="AR204">
            <v>0</v>
          </cell>
          <cell r="AS204">
            <v>0</v>
          </cell>
          <cell r="AT204">
            <v>150</v>
          </cell>
          <cell r="AU204">
            <v>0</v>
          </cell>
          <cell r="AV204">
            <v>0</v>
          </cell>
          <cell r="AW204">
            <v>195</v>
          </cell>
          <cell r="AX204">
            <v>0</v>
          </cell>
          <cell r="AY204">
            <v>0</v>
          </cell>
          <cell r="AZ204">
            <v>15</v>
          </cell>
          <cell r="BA204">
            <v>0</v>
          </cell>
          <cell r="BB204">
            <v>0</v>
          </cell>
          <cell r="BC204">
            <v>75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6577.5</v>
          </cell>
        </row>
        <row r="205">
          <cell r="C205">
            <v>30547</v>
          </cell>
          <cell r="D205" t="str">
            <v>Polipog, Josefina B</v>
          </cell>
          <cell r="E205">
            <v>80</v>
          </cell>
          <cell r="F205">
            <v>10</v>
          </cell>
          <cell r="G205">
            <v>600</v>
          </cell>
          <cell r="H205">
            <v>6000</v>
          </cell>
          <cell r="I205">
            <v>0</v>
          </cell>
          <cell r="J205">
            <v>1.25</v>
          </cell>
          <cell r="K205">
            <v>0</v>
          </cell>
          <cell r="L205">
            <v>27.5</v>
          </cell>
          <cell r="M205">
            <v>93.75</v>
          </cell>
          <cell r="N205">
            <v>2578.125</v>
          </cell>
          <cell r="O205">
            <v>0</v>
          </cell>
          <cell r="P205">
            <v>7.5</v>
          </cell>
          <cell r="Q205">
            <v>0</v>
          </cell>
          <cell r="R205">
            <v>0</v>
          </cell>
          <cell r="S205">
            <v>97.5</v>
          </cell>
          <cell r="T205">
            <v>0</v>
          </cell>
          <cell r="U205">
            <v>0</v>
          </cell>
          <cell r="V205">
            <v>126.75</v>
          </cell>
          <cell r="W205">
            <v>0</v>
          </cell>
          <cell r="X205">
            <v>0</v>
          </cell>
          <cell r="Y205">
            <v>9.75</v>
          </cell>
          <cell r="Z205">
            <v>0</v>
          </cell>
          <cell r="AA205">
            <v>0</v>
          </cell>
          <cell r="AB205">
            <v>112.5</v>
          </cell>
          <cell r="AC205">
            <v>0</v>
          </cell>
          <cell r="AD205">
            <v>0</v>
          </cell>
          <cell r="AE205">
            <v>146.25</v>
          </cell>
          <cell r="AF205">
            <v>0</v>
          </cell>
          <cell r="AG205">
            <v>0</v>
          </cell>
          <cell r="AH205">
            <v>11.25</v>
          </cell>
          <cell r="AI205">
            <v>0</v>
          </cell>
          <cell r="AJ205">
            <v>0</v>
          </cell>
          <cell r="AK205">
            <v>97.5</v>
          </cell>
          <cell r="AL205">
            <v>0</v>
          </cell>
          <cell r="AM205">
            <v>0</v>
          </cell>
          <cell r="AN205">
            <v>126.75</v>
          </cell>
          <cell r="AO205">
            <v>0</v>
          </cell>
          <cell r="AP205">
            <v>0</v>
          </cell>
          <cell r="AQ205">
            <v>9.75</v>
          </cell>
          <cell r="AR205">
            <v>0</v>
          </cell>
          <cell r="AS205">
            <v>0</v>
          </cell>
          <cell r="AT205">
            <v>150</v>
          </cell>
          <cell r="AU205">
            <v>0</v>
          </cell>
          <cell r="AV205">
            <v>0</v>
          </cell>
          <cell r="AW205">
            <v>195</v>
          </cell>
          <cell r="AX205">
            <v>0</v>
          </cell>
          <cell r="AY205">
            <v>0</v>
          </cell>
          <cell r="AZ205">
            <v>15</v>
          </cell>
          <cell r="BA205">
            <v>0</v>
          </cell>
          <cell r="BB205">
            <v>0</v>
          </cell>
          <cell r="BC205">
            <v>75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8578.125</v>
          </cell>
        </row>
        <row r="206">
          <cell r="C206">
            <v>14362</v>
          </cell>
          <cell r="D206" t="str">
            <v>Polo, Ronald Andrei Enriquez</v>
          </cell>
          <cell r="E206">
            <v>80</v>
          </cell>
          <cell r="F206">
            <v>10</v>
          </cell>
          <cell r="G206">
            <v>600</v>
          </cell>
          <cell r="H206">
            <v>6000</v>
          </cell>
          <cell r="I206">
            <v>10</v>
          </cell>
          <cell r="J206">
            <v>1.25</v>
          </cell>
          <cell r="K206">
            <v>-12.5</v>
          </cell>
          <cell r="L206">
            <v>18</v>
          </cell>
          <cell r="M206">
            <v>93.75</v>
          </cell>
          <cell r="N206">
            <v>1687.5</v>
          </cell>
          <cell r="O206">
            <v>78</v>
          </cell>
          <cell r="P206">
            <v>7.5</v>
          </cell>
          <cell r="Q206">
            <v>585</v>
          </cell>
          <cell r="R206">
            <v>8</v>
          </cell>
          <cell r="S206">
            <v>97.5</v>
          </cell>
          <cell r="T206">
            <v>780</v>
          </cell>
          <cell r="U206">
            <v>0</v>
          </cell>
          <cell r="V206">
            <v>126.75</v>
          </cell>
          <cell r="W206">
            <v>0</v>
          </cell>
          <cell r="X206">
            <v>0</v>
          </cell>
          <cell r="Y206">
            <v>9.75</v>
          </cell>
          <cell r="Z206">
            <v>0</v>
          </cell>
          <cell r="AA206">
            <v>0</v>
          </cell>
          <cell r="AB206">
            <v>112.5</v>
          </cell>
          <cell r="AC206">
            <v>0</v>
          </cell>
          <cell r="AD206">
            <v>0</v>
          </cell>
          <cell r="AE206">
            <v>146.25</v>
          </cell>
          <cell r="AF206">
            <v>0</v>
          </cell>
          <cell r="AG206">
            <v>0</v>
          </cell>
          <cell r="AH206">
            <v>11.25</v>
          </cell>
          <cell r="AI206">
            <v>0</v>
          </cell>
          <cell r="AJ206">
            <v>0</v>
          </cell>
          <cell r="AK206">
            <v>97.5</v>
          </cell>
          <cell r="AL206">
            <v>0</v>
          </cell>
          <cell r="AM206">
            <v>0</v>
          </cell>
          <cell r="AN206">
            <v>126.75</v>
          </cell>
          <cell r="AO206">
            <v>0</v>
          </cell>
          <cell r="AP206">
            <v>0</v>
          </cell>
          <cell r="AQ206">
            <v>9.75</v>
          </cell>
          <cell r="AR206">
            <v>0</v>
          </cell>
          <cell r="AS206">
            <v>0</v>
          </cell>
          <cell r="AT206">
            <v>150</v>
          </cell>
          <cell r="AU206">
            <v>0</v>
          </cell>
          <cell r="AV206">
            <v>0</v>
          </cell>
          <cell r="AW206">
            <v>195</v>
          </cell>
          <cell r="AX206">
            <v>0</v>
          </cell>
          <cell r="AY206">
            <v>0</v>
          </cell>
          <cell r="AZ206">
            <v>15</v>
          </cell>
          <cell r="BA206">
            <v>0</v>
          </cell>
          <cell r="BB206">
            <v>0</v>
          </cell>
          <cell r="BC206">
            <v>75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9040</v>
          </cell>
        </row>
        <row r="207">
          <cell r="C207">
            <v>6382</v>
          </cell>
          <cell r="D207" t="str">
            <v>Porillo, Margie Atienza</v>
          </cell>
          <cell r="E207">
            <v>88</v>
          </cell>
          <cell r="F207">
            <v>11</v>
          </cell>
          <cell r="G207">
            <v>600</v>
          </cell>
          <cell r="H207">
            <v>6600</v>
          </cell>
          <cell r="I207">
            <v>0</v>
          </cell>
          <cell r="J207">
            <v>1.25</v>
          </cell>
          <cell r="K207">
            <v>0</v>
          </cell>
          <cell r="L207">
            <v>19</v>
          </cell>
          <cell r="M207">
            <v>93.75</v>
          </cell>
          <cell r="N207">
            <v>1781.25</v>
          </cell>
          <cell r="O207">
            <v>54</v>
          </cell>
          <cell r="P207">
            <v>7.5</v>
          </cell>
          <cell r="Q207">
            <v>405</v>
          </cell>
          <cell r="R207">
            <v>0</v>
          </cell>
          <cell r="S207">
            <v>97.5</v>
          </cell>
          <cell r="T207">
            <v>0</v>
          </cell>
          <cell r="U207">
            <v>0</v>
          </cell>
          <cell r="V207">
            <v>126.75</v>
          </cell>
          <cell r="W207">
            <v>0</v>
          </cell>
          <cell r="X207">
            <v>0</v>
          </cell>
          <cell r="Y207">
            <v>9.75</v>
          </cell>
          <cell r="Z207">
            <v>0</v>
          </cell>
          <cell r="AA207">
            <v>0</v>
          </cell>
          <cell r="AB207">
            <v>112.5</v>
          </cell>
          <cell r="AC207">
            <v>0</v>
          </cell>
          <cell r="AD207">
            <v>0</v>
          </cell>
          <cell r="AE207">
            <v>146.25</v>
          </cell>
          <cell r="AF207">
            <v>0</v>
          </cell>
          <cell r="AG207">
            <v>0</v>
          </cell>
          <cell r="AH207">
            <v>11.25</v>
          </cell>
          <cell r="AI207">
            <v>0</v>
          </cell>
          <cell r="AJ207">
            <v>0</v>
          </cell>
          <cell r="AK207">
            <v>97.5</v>
          </cell>
          <cell r="AL207">
            <v>0</v>
          </cell>
          <cell r="AM207">
            <v>0</v>
          </cell>
          <cell r="AN207">
            <v>126.75</v>
          </cell>
          <cell r="AO207">
            <v>0</v>
          </cell>
          <cell r="AP207">
            <v>0</v>
          </cell>
          <cell r="AQ207">
            <v>9.75</v>
          </cell>
          <cell r="AR207">
            <v>0</v>
          </cell>
          <cell r="AS207">
            <v>0</v>
          </cell>
          <cell r="AT207">
            <v>150</v>
          </cell>
          <cell r="AU207">
            <v>0</v>
          </cell>
          <cell r="AV207">
            <v>0</v>
          </cell>
          <cell r="AW207">
            <v>195</v>
          </cell>
          <cell r="AX207">
            <v>0</v>
          </cell>
          <cell r="AY207">
            <v>0</v>
          </cell>
          <cell r="AZ207">
            <v>15</v>
          </cell>
          <cell r="BA207">
            <v>0</v>
          </cell>
          <cell r="BB207">
            <v>0</v>
          </cell>
          <cell r="BC207">
            <v>75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8786.25</v>
          </cell>
        </row>
        <row r="208">
          <cell r="C208">
            <v>30183</v>
          </cell>
          <cell r="D208" t="str">
            <v>Portillo, John Mark Alpas</v>
          </cell>
          <cell r="E208">
            <v>80</v>
          </cell>
          <cell r="F208">
            <v>10</v>
          </cell>
          <cell r="G208">
            <v>600</v>
          </cell>
          <cell r="H208">
            <v>6000</v>
          </cell>
          <cell r="I208">
            <v>0</v>
          </cell>
          <cell r="J208">
            <v>1.25</v>
          </cell>
          <cell r="K208">
            <v>0</v>
          </cell>
          <cell r="L208">
            <v>18</v>
          </cell>
          <cell r="M208">
            <v>93.75</v>
          </cell>
          <cell r="N208">
            <v>1687.5</v>
          </cell>
          <cell r="O208">
            <v>78</v>
          </cell>
          <cell r="P208">
            <v>7.5</v>
          </cell>
          <cell r="Q208">
            <v>585</v>
          </cell>
          <cell r="R208">
            <v>0</v>
          </cell>
          <cell r="S208">
            <v>97.5</v>
          </cell>
          <cell r="T208">
            <v>0</v>
          </cell>
          <cell r="U208">
            <v>0</v>
          </cell>
          <cell r="V208">
            <v>126.75</v>
          </cell>
          <cell r="W208">
            <v>0</v>
          </cell>
          <cell r="X208">
            <v>0</v>
          </cell>
          <cell r="Y208">
            <v>9.75</v>
          </cell>
          <cell r="Z208">
            <v>0</v>
          </cell>
          <cell r="AA208">
            <v>0</v>
          </cell>
          <cell r="AB208">
            <v>112.5</v>
          </cell>
          <cell r="AC208">
            <v>0</v>
          </cell>
          <cell r="AD208">
            <v>0</v>
          </cell>
          <cell r="AE208">
            <v>146.25</v>
          </cell>
          <cell r="AF208">
            <v>0</v>
          </cell>
          <cell r="AG208">
            <v>0</v>
          </cell>
          <cell r="AH208">
            <v>11.25</v>
          </cell>
          <cell r="AI208">
            <v>0</v>
          </cell>
          <cell r="AJ208">
            <v>0</v>
          </cell>
          <cell r="AK208">
            <v>97.5</v>
          </cell>
          <cell r="AL208">
            <v>0</v>
          </cell>
          <cell r="AM208">
            <v>0</v>
          </cell>
          <cell r="AN208">
            <v>126.75</v>
          </cell>
          <cell r="AO208">
            <v>0</v>
          </cell>
          <cell r="AP208">
            <v>0</v>
          </cell>
          <cell r="AQ208">
            <v>9.75</v>
          </cell>
          <cell r="AR208">
            <v>0</v>
          </cell>
          <cell r="AS208">
            <v>0</v>
          </cell>
          <cell r="AT208">
            <v>150</v>
          </cell>
          <cell r="AU208">
            <v>0</v>
          </cell>
          <cell r="AV208">
            <v>0</v>
          </cell>
          <cell r="AW208">
            <v>195</v>
          </cell>
          <cell r="AX208">
            <v>0</v>
          </cell>
          <cell r="AY208">
            <v>0</v>
          </cell>
          <cell r="AZ208">
            <v>15</v>
          </cell>
          <cell r="BA208">
            <v>0</v>
          </cell>
          <cell r="BB208">
            <v>0</v>
          </cell>
          <cell r="BC208">
            <v>75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8272.5</v>
          </cell>
        </row>
        <row r="209">
          <cell r="C209">
            <v>5142</v>
          </cell>
          <cell r="D209" t="str">
            <v>Porto, John Kinneth N/A</v>
          </cell>
          <cell r="E209">
            <v>56</v>
          </cell>
          <cell r="F209">
            <v>7</v>
          </cell>
          <cell r="G209">
            <v>600</v>
          </cell>
          <cell r="H209">
            <v>4200</v>
          </cell>
          <cell r="I209">
            <v>3</v>
          </cell>
          <cell r="J209">
            <v>1.25</v>
          </cell>
          <cell r="K209">
            <v>-3.75</v>
          </cell>
          <cell r="L209">
            <v>12</v>
          </cell>
          <cell r="M209">
            <v>93.75</v>
          </cell>
          <cell r="N209">
            <v>1125</v>
          </cell>
          <cell r="O209">
            <v>24</v>
          </cell>
          <cell r="P209">
            <v>7.5</v>
          </cell>
          <cell r="Q209">
            <v>180</v>
          </cell>
          <cell r="R209">
            <v>0</v>
          </cell>
          <cell r="S209">
            <v>97.5</v>
          </cell>
          <cell r="T209">
            <v>0</v>
          </cell>
          <cell r="U209">
            <v>0</v>
          </cell>
          <cell r="V209">
            <v>126.75</v>
          </cell>
          <cell r="W209">
            <v>0</v>
          </cell>
          <cell r="X209">
            <v>0</v>
          </cell>
          <cell r="Y209">
            <v>9.75</v>
          </cell>
          <cell r="Z209">
            <v>0</v>
          </cell>
          <cell r="AA209">
            <v>0</v>
          </cell>
          <cell r="AB209">
            <v>112.5</v>
          </cell>
          <cell r="AC209">
            <v>0</v>
          </cell>
          <cell r="AD209">
            <v>0</v>
          </cell>
          <cell r="AE209">
            <v>146.25</v>
          </cell>
          <cell r="AF209">
            <v>0</v>
          </cell>
          <cell r="AG209">
            <v>0</v>
          </cell>
          <cell r="AH209">
            <v>11.25</v>
          </cell>
          <cell r="AI209">
            <v>0</v>
          </cell>
          <cell r="AJ209">
            <v>0</v>
          </cell>
          <cell r="AK209">
            <v>97.5</v>
          </cell>
          <cell r="AL209">
            <v>0</v>
          </cell>
          <cell r="AM209">
            <v>0</v>
          </cell>
          <cell r="AN209">
            <v>126.75</v>
          </cell>
          <cell r="AO209">
            <v>0</v>
          </cell>
          <cell r="AP209">
            <v>0</v>
          </cell>
          <cell r="AQ209">
            <v>9.75</v>
          </cell>
          <cell r="AR209">
            <v>0</v>
          </cell>
          <cell r="AS209">
            <v>0</v>
          </cell>
          <cell r="AT209">
            <v>150</v>
          </cell>
          <cell r="AU209">
            <v>0</v>
          </cell>
          <cell r="AV209">
            <v>0</v>
          </cell>
          <cell r="AW209">
            <v>195</v>
          </cell>
          <cell r="AX209">
            <v>0</v>
          </cell>
          <cell r="AY209">
            <v>0</v>
          </cell>
          <cell r="AZ209">
            <v>15</v>
          </cell>
          <cell r="BA209">
            <v>0</v>
          </cell>
          <cell r="BB209">
            <v>0</v>
          </cell>
          <cell r="BC209">
            <v>75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5501.25</v>
          </cell>
        </row>
        <row r="210">
          <cell r="C210">
            <v>14367</v>
          </cell>
          <cell r="D210" t="str">
            <v>Quindoza, Mark Lee Lagartos</v>
          </cell>
          <cell r="E210">
            <v>72</v>
          </cell>
          <cell r="F210">
            <v>9</v>
          </cell>
          <cell r="G210">
            <v>600</v>
          </cell>
          <cell r="H210">
            <v>5400</v>
          </cell>
          <cell r="I210">
            <v>0</v>
          </cell>
          <cell r="J210">
            <v>1.25</v>
          </cell>
          <cell r="K210">
            <v>0</v>
          </cell>
          <cell r="L210">
            <v>16</v>
          </cell>
          <cell r="M210">
            <v>93.75</v>
          </cell>
          <cell r="N210">
            <v>1500</v>
          </cell>
          <cell r="O210">
            <v>0</v>
          </cell>
          <cell r="P210">
            <v>7.5</v>
          </cell>
          <cell r="Q210">
            <v>0</v>
          </cell>
          <cell r="R210">
            <v>0</v>
          </cell>
          <cell r="S210">
            <v>97.5</v>
          </cell>
          <cell r="T210">
            <v>0</v>
          </cell>
          <cell r="U210">
            <v>0</v>
          </cell>
          <cell r="V210">
            <v>126.75</v>
          </cell>
          <cell r="W210">
            <v>0</v>
          </cell>
          <cell r="X210">
            <v>0</v>
          </cell>
          <cell r="Y210">
            <v>9.75</v>
          </cell>
          <cell r="Z210">
            <v>0</v>
          </cell>
          <cell r="AA210">
            <v>0</v>
          </cell>
          <cell r="AB210">
            <v>112.5</v>
          </cell>
          <cell r="AC210">
            <v>0</v>
          </cell>
          <cell r="AD210">
            <v>0</v>
          </cell>
          <cell r="AE210">
            <v>146.25</v>
          </cell>
          <cell r="AF210">
            <v>0</v>
          </cell>
          <cell r="AG210">
            <v>0</v>
          </cell>
          <cell r="AH210">
            <v>11.25</v>
          </cell>
          <cell r="AI210">
            <v>0</v>
          </cell>
          <cell r="AJ210">
            <v>8</v>
          </cell>
          <cell r="AK210">
            <v>97.5</v>
          </cell>
          <cell r="AL210">
            <v>780</v>
          </cell>
          <cell r="AM210">
            <v>0</v>
          </cell>
          <cell r="AN210">
            <v>126.75</v>
          </cell>
          <cell r="AO210">
            <v>0</v>
          </cell>
          <cell r="AP210">
            <v>0</v>
          </cell>
          <cell r="AQ210">
            <v>9.75</v>
          </cell>
          <cell r="AR210">
            <v>0</v>
          </cell>
          <cell r="AS210">
            <v>0</v>
          </cell>
          <cell r="AT210">
            <v>150</v>
          </cell>
          <cell r="AU210">
            <v>0</v>
          </cell>
          <cell r="AV210">
            <v>0</v>
          </cell>
          <cell r="AW210">
            <v>195</v>
          </cell>
          <cell r="AX210">
            <v>0</v>
          </cell>
          <cell r="AY210">
            <v>0</v>
          </cell>
          <cell r="AZ210">
            <v>15</v>
          </cell>
          <cell r="BA210">
            <v>0</v>
          </cell>
          <cell r="BB210">
            <v>0</v>
          </cell>
          <cell r="BC210">
            <v>75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7680</v>
          </cell>
        </row>
        <row r="211">
          <cell r="C211">
            <v>11892</v>
          </cell>
          <cell r="D211" t="str">
            <v>Rabanes, Crisanto Duran</v>
          </cell>
          <cell r="E211">
            <v>80</v>
          </cell>
          <cell r="F211">
            <v>10</v>
          </cell>
          <cell r="G211">
            <v>600</v>
          </cell>
          <cell r="H211">
            <v>6000</v>
          </cell>
          <cell r="I211">
            <v>0</v>
          </cell>
          <cell r="J211">
            <v>1.25</v>
          </cell>
          <cell r="K211">
            <v>0</v>
          </cell>
          <cell r="L211">
            <v>16</v>
          </cell>
          <cell r="M211">
            <v>93.75</v>
          </cell>
          <cell r="N211">
            <v>1500</v>
          </cell>
          <cell r="O211">
            <v>32</v>
          </cell>
          <cell r="P211">
            <v>7.5</v>
          </cell>
          <cell r="Q211">
            <v>240</v>
          </cell>
          <cell r="R211">
            <v>0</v>
          </cell>
          <cell r="S211">
            <v>97.5</v>
          </cell>
          <cell r="T211">
            <v>0</v>
          </cell>
          <cell r="U211">
            <v>0</v>
          </cell>
          <cell r="V211">
            <v>126.75</v>
          </cell>
          <cell r="W211">
            <v>0</v>
          </cell>
          <cell r="X211">
            <v>0</v>
          </cell>
          <cell r="Y211">
            <v>9.75</v>
          </cell>
          <cell r="Z211">
            <v>0</v>
          </cell>
          <cell r="AA211">
            <v>0</v>
          </cell>
          <cell r="AB211">
            <v>112.5</v>
          </cell>
          <cell r="AC211">
            <v>0</v>
          </cell>
          <cell r="AD211">
            <v>0</v>
          </cell>
          <cell r="AE211">
            <v>146.25</v>
          </cell>
          <cell r="AF211">
            <v>0</v>
          </cell>
          <cell r="AG211">
            <v>0</v>
          </cell>
          <cell r="AH211">
            <v>11.25</v>
          </cell>
          <cell r="AI211">
            <v>0</v>
          </cell>
          <cell r="AJ211">
            <v>0</v>
          </cell>
          <cell r="AK211">
            <v>97.5</v>
          </cell>
          <cell r="AL211">
            <v>0</v>
          </cell>
          <cell r="AM211">
            <v>0</v>
          </cell>
          <cell r="AN211">
            <v>126.75</v>
          </cell>
          <cell r="AO211">
            <v>0</v>
          </cell>
          <cell r="AP211">
            <v>0</v>
          </cell>
          <cell r="AQ211">
            <v>9.75</v>
          </cell>
          <cell r="AR211">
            <v>0</v>
          </cell>
          <cell r="AS211">
            <v>0</v>
          </cell>
          <cell r="AT211">
            <v>150</v>
          </cell>
          <cell r="AU211">
            <v>0</v>
          </cell>
          <cell r="AV211">
            <v>0</v>
          </cell>
          <cell r="AW211">
            <v>195</v>
          </cell>
          <cell r="AX211">
            <v>0</v>
          </cell>
          <cell r="AY211">
            <v>0</v>
          </cell>
          <cell r="AZ211">
            <v>15</v>
          </cell>
          <cell r="BA211">
            <v>0</v>
          </cell>
          <cell r="BB211">
            <v>0</v>
          </cell>
          <cell r="BC211">
            <v>75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8</v>
          </cell>
          <cell r="BN211">
            <v>780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8520</v>
          </cell>
        </row>
        <row r="212">
          <cell r="C212">
            <v>8926</v>
          </cell>
          <cell r="D212" t="str">
            <v>Rabino, John Lay S.</v>
          </cell>
          <cell r="E212">
            <v>64</v>
          </cell>
          <cell r="F212">
            <v>8</v>
          </cell>
          <cell r="G212">
            <v>600</v>
          </cell>
          <cell r="H212">
            <v>4800</v>
          </cell>
          <cell r="I212">
            <v>46</v>
          </cell>
          <cell r="J212">
            <v>1.25</v>
          </cell>
          <cell r="K212">
            <v>-57.5</v>
          </cell>
          <cell r="L212">
            <v>12</v>
          </cell>
          <cell r="M212">
            <v>93.75</v>
          </cell>
          <cell r="N212">
            <v>1125</v>
          </cell>
          <cell r="O212">
            <v>0</v>
          </cell>
          <cell r="P212">
            <v>7.5</v>
          </cell>
          <cell r="Q212">
            <v>0</v>
          </cell>
          <cell r="R212">
            <v>0</v>
          </cell>
          <cell r="S212">
            <v>97.5</v>
          </cell>
          <cell r="T212">
            <v>0</v>
          </cell>
          <cell r="U212">
            <v>0</v>
          </cell>
          <cell r="V212">
            <v>126.75</v>
          </cell>
          <cell r="W212">
            <v>0</v>
          </cell>
          <cell r="X212">
            <v>0</v>
          </cell>
          <cell r="Y212">
            <v>9.75</v>
          </cell>
          <cell r="Z212">
            <v>0</v>
          </cell>
          <cell r="AA212">
            <v>0</v>
          </cell>
          <cell r="AB212">
            <v>112.5</v>
          </cell>
          <cell r="AC212">
            <v>0</v>
          </cell>
          <cell r="AD212">
            <v>0</v>
          </cell>
          <cell r="AE212">
            <v>146.25</v>
          </cell>
          <cell r="AF212">
            <v>0</v>
          </cell>
          <cell r="AG212">
            <v>0</v>
          </cell>
          <cell r="AH212">
            <v>11.25</v>
          </cell>
          <cell r="AI212">
            <v>0</v>
          </cell>
          <cell r="AJ212">
            <v>8</v>
          </cell>
          <cell r="AK212">
            <v>97.5</v>
          </cell>
          <cell r="AL212">
            <v>780</v>
          </cell>
          <cell r="AM212">
            <v>0</v>
          </cell>
          <cell r="AN212">
            <v>126.75</v>
          </cell>
          <cell r="AO212">
            <v>0</v>
          </cell>
          <cell r="AP212">
            <v>0</v>
          </cell>
          <cell r="AQ212">
            <v>9.75</v>
          </cell>
          <cell r="AR212">
            <v>0</v>
          </cell>
          <cell r="AS212">
            <v>0</v>
          </cell>
          <cell r="AT212">
            <v>150</v>
          </cell>
          <cell r="AU212">
            <v>0</v>
          </cell>
          <cell r="AV212">
            <v>0</v>
          </cell>
          <cell r="AW212">
            <v>195</v>
          </cell>
          <cell r="AX212">
            <v>0</v>
          </cell>
          <cell r="AY212">
            <v>0</v>
          </cell>
          <cell r="AZ212">
            <v>15</v>
          </cell>
          <cell r="BA212">
            <v>0</v>
          </cell>
          <cell r="BB212">
            <v>0</v>
          </cell>
          <cell r="BC212">
            <v>75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6647.5</v>
          </cell>
        </row>
        <row r="213">
          <cell r="C213">
            <v>11952</v>
          </cell>
          <cell r="D213" t="str">
            <v>Ramirez, Jayjay Rallonza</v>
          </cell>
          <cell r="E213">
            <v>32</v>
          </cell>
          <cell r="F213">
            <v>4</v>
          </cell>
          <cell r="G213">
            <v>600</v>
          </cell>
          <cell r="H213">
            <v>2400</v>
          </cell>
          <cell r="I213">
            <v>0</v>
          </cell>
          <cell r="J213">
            <v>1.25</v>
          </cell>
          <cell r="K213">
            <v>0</v>
          </cell>
          <cell r="L213">
            <v>2</v>
          </cell>
          <cell r="M213">
            <v>93.75</v>
          </cell>
          <cell r="N213">
            <v>187.5</v>
          </cell>
          <cell r="O213">
            <v>26</v>
          </cell>
          <cell r="P213">
            <v>7.5</v>
          </cell>
          <cell r="Q213">
            <v>195</v>
          </cell>
          <cell r="R213">
            <v>0</v>
          </cell>
          <cell r="S213">
            <v>97.5</v>
          </cell>
          <cell r="T213">
            <v>0</v>
          </cell>
          <cell r="U213">
            <v>0</v>
          </cell>
          <cell r="V213">
            <v>126.75</v>
          </cell>
          <cell r="W213">
            <v>0</v>
          </cell>
          <cell r="X213">
            <v>0</v>
          </cell>
          <cell r="Y213">
            <v>9.75</v>
          </cell>
          <cell r="Z213">
            <v>0</v>
          </cell>
          <cell r="AA213">
            <v>0</v>
          </cell>
          <cell r="AB213">
            <v>112.5</v>
          </cell>
          <cell r="AC213">
            <v>0</v>
          </cell>
          <cell r="AD213">
            <v>0</v>
          </cell>
          <cell r="AE213">
            <v>146.25</v>
          </cell>
          <cell r="AF213">
            <v>0</v>
          </cell>
          <cell r="AG213">
            <v>0</v>
          </cell>
          <cell r="AH213">
            <v>11.25</v>
          </cell>
          <cell r="AI213">
            <v>0</v>
          </cell>
          <cell r="AJ213">
            <v>0</v>
          </cell>
          <cell r="AK213">
            <v>97.5</v>
          </cell>
          <cell r="AL213">
            <v>0</v>
          </cell>
          <cell r="AM213">
            <v>0</v>
          </cell>
          <cell r="AN213">
            <v>126.75</v>
          </cell>
          <cell r="AO213">
            <v>0</v>
          </cell>
          <cell r="AP213">
            <v>0</v>
          </cell>
          <cell r="AQ213">
            <v>9.75</v>
          </cell>
          <cell r="AR213">
            <v>0</v>
          </cell>
          <cell r="AS213">
            <v>0</v>
          </cell>
          <cell r="AT213">
            <v>150</v>
          </cell>
          <cell r="AU213">
            <v>0</v>
          </cell>
          <cell r="AV213">
            <v>0</v>
          </cell>
          <cell r="AW213">
            <v>195</v>
          </cell>
          <cell r="AX213">
            <v>0</v>
          </cell>
          <cell r="AY213">
            <v>0</v>
          </cell>
          <cell r="AZ213">
            <v>15</v>
          </cell>
          <cell r="BA213">
            <v>0</v>
          </cell>
          <cell r="BB213">
            <v>0</v>
          </cell>
          <cell r="BC213">
            <v>75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2782.5</v>
          </cell>
        </row>
        <row r="214">
          <cell r="C214">
            <v>14371</v>
          </cell>
          <cell r="D214" t="str">
            <v>Ramos, Karen Joy Villasoto</v>
          </cell>
          <cell r="E214">
            <v>48</v>
          </cell>
          <cell r="F214">
            <v>6</v>
          </cell>
          <cell r="G214">
            <v>600</v>
          </cell>
          <cell r="H214">
            <v>3600</v>
          </cell>
          <cell r="I214">
            <v>0</v>
          </cell>
          <cell r="J214">
            <v>1.25</v>
          </cell>
          <cell r="K214">
            <v>0</v>
          </cell>
          <cell r="L214">
            <v>10</v>
          </cell>
          <cell r="M214">
            <v>93.75</v>
          </cell>
          <cell r="N214">
            <v>937.5</v>
          </cell>
          <cell r="O214">
            <v>0</v>
          </cell>
          <cell r="P214">
            <v>7.5</v>
          </cell>
          <cell r="Q214">
            <v>0</v>
          </cell>
          <cell r="R214">
            <v>0</v>
          </cell>
          <cell r="S214">
            <v>97.5</v>
          </cell>
          <cell r="T214">
            <v>0</v>
          </cell>
          <cell r="U214">
            <v>0</v>
          </cell>
          <cell r="V214">
            <v>126.75</v>
          </cell>
          <cell r="W214">
            <v>0</v>
          </cell>
          <cell r="X214">
            <v>0</v>
          </cell>
          <cell r="Y214">
            <v>9.75</v>
          </cell>
          <cell r="Z214">
            <v>0</v>
          </cell>
          <cell r="AA214">
            <v>0</v>
          </cell>
          <cell r="AB214">
            <v>112.5</v>
          </cell>
          <cell r="AC214">
            <v>0</v>
          </cell>
          <cell r="AD214">
            <v>0</v>
          </cell>
          <cell r="AE214">
            <v>146.25</v>
          </cell>
          <cell r="AF214">
            <v>0</v>
          </cell>
          <cell r="AG214">
            <v>0</v>
          </cell>
          <cell r="AH214">
            <v>11.25</v>
          </cell>
          <cell r="AI214">
            <v>0</v>
          </cell>
          <cell r="AJ214">
            <v>0</v>
          </cell>
          <cell r="AK214">
            <v>97.5</v>
          </cell>
          <cell r="AL214">
            <v>0</v>
          </cell>
          <cell r="AM214">
            <v>0</v>
          </cell>
          <cell r="AN214">
            <v>126.75</v>
          </cell>
          <cell r="AO214">
            <v>0</v>
          </cell>
          <cell r="AP214">
            <v>0</v>
          </cell>
          <cell r="AQ214">
            <v>9.75</v>
          </cell>
          <cell r="AR214">
            <v>0</v>
          </cell>
          <cell r="AS214">
            <v>0</v>
          </cell>
          <cell r="AT214">
            <v>150</v>
          </cell>
          <cell r="AU214">
            <v>0</v>
          </cell>
          <cell r="AV214">
            <v>0</v>
          </cell>
          <cell r="AW214">
            <v>195</v>
          </cell>
          <cell r="AX214">
            <v>0</v>
          </cell>
          <cell r="AY214">
            <v>0</v>
          </cell>
          <cell r="AZ214">
            <v>15</v>
          </cell>
          <cell r="BA214">
            <v>0</v>
          </cell>
          <cell r="BB214">
            <v>0</v>
          </cell>
          <cell r="BC214">
            <v>75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4537.5</v>
          </cell>
        </row>
        <row r="215">
          <cell r="C215">
            <v>10994</v>
          </cell>
          <cell r="D215" t="str">
            <v>Recaña, Maylene Labay</v>
          </cell>
          <cell r="E215">
            <v>88</v>
          </cell>
          <cell r="F215">
            <v>11</v>
          </cell>
          <cell r="G215">
            <v>600</v>
          </cell>
          <cell r="H215">
            <v>6600</v>
          </cell>
          <cell r="I215">
            <v>0</v>
          </cell>
          <cell r="J215">
            <v>1.25</v>
          </cell>
          <cell r="K215">
            <v>0</v>
          </cell>
          <cell r="L215">
            <v>20</v>
          </cell>
          <cell r="M215">
            <v>93.75</v>
          </cell>
          <cell r="N215">
            <v>1875</v>
          </cell>
          <cell r="O215">
            <v>54</v>
          </cell>
          <cell r="P215">
            <v>7.5</v>
          </cell>
          <cell r="Q215">
            <v>405</v>
          </cell>
          <cell r="R215">
            <v>8</v>
          </cell>
          <cell r="S215">
            <v>97.5</v>
          </cell>
          <cell r="T215">
            <v>780</v>
          </cell>
          <cell r="U215">
            <v>0</v>
          </cell>
          <cell r="V215">
            <v>126.75</v>
          </cell>
          <cell r="W215">
            <v>0</v>
          </cell>
          <cell r="X215">
            <v>0</v>
          </cell>
          <cell r="Y215">
            <v>9.75</v>
          </cell>
          <cell r="Z215">
            <v>0</v>
          </cell>
          <cell r="AA215">
            <v>0</v>
          </cell>
          <cell r="AB215">
            <v>112.5</v>
          </cell>
          <cell r="AC215">
            <v>0</v>
          </cell>
          <cell r="AD215">
            <v>0</v>
          </cell>
          <cell r="AE215">
            <v>146.25</v>
          </cell>
          <cell r="AF215">
            <v>0</v>
          </cell>
          <cell r="AG215">
            <v>0</v>
          </cell>
          <cell r="AH215">
            <v>11.25</v>
          </cell>
          <cell r="AI215">
            <v>0</v>
          </cell>
          <cell r="AJ215">
            <v>8</v>
          </cell>
          <cell r="AK215">
            <v>97.5</v>
          </cell>
          <cell r="AL215">
            <v>780</v>
          </cell>
          <cell r="AM215">
            <v>0</v>
          </cell>
          <cell r="AN215">
            <v>126.75</v>
          </cell>
          <cell r="AO215">
            <v>0</v>
          </cell>
          <cell r="AP215">
            <v>0</v>
          </cell>
          <cell r="AQ215">
            <v>9.75</v>
          </cell>
          <cell r="AR215">
            <v>0</v>
          </cell>
          <cell r="AS215">
            <v>0</v>
          </cell>
          <cell r="AT215">
            <v>150</v>
          </cell>
          <cell r="AU215">
            <v>0</v>
          </cell>
          <cell r="AV215">
            <v>0</v>
          </cell>
          <cell r="AW215">
            <v>195</v>
          </cell>
          <cell r="AX215">
            <v>0</v>
          </cell>
          <cell r="AY215">
            <v>0</v>
          </cell>
          <cell r="AZ215">
            <v>15</v>
          </cell>
          <cell r="BA215">
            <v>0</v>
          </cell>
          <cell r="BB215">
            <v>0</v>
          </cell>
          <cell r="BC215">
            <v>75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10440</v>
          </cell>
        </row>
        <row r="216">
          <cell r="C216">
            <v>10399</v>
          </cell>
          <cell r="D216" t="str">
            <v>Refano, Jundy Maquiñana</v>
          </cell>
          <cell r="E216">
            <v>88</v>
          </cell>
          <cell r="F216">
            <v>11</v>
          </cell>
          <cell r="G216">
            <v>600</v>
          </cell>
          <cell r="H216">
            <v>6600</v>
          </cell>
          <cell r="I216">
            <v>0</v>
          </cell>
          <cell r="J216">
            <v>1.25</v>
          </cell>
          <cell r="K216">
            <v>0</v>
          </cell>
          <cell r="L216">
            <v>17</v>
          </cell>
          <cell r="M216">
            <v>93.75</v>
          </cell>
          <cell r="N216">
            <v>1593.75</v>
          </cell>
          <cell r="O216">
            <v>52</v>
          </cell>
          <cell r="P216">
            <v>7.5</v>
          </cell>
          <cell r="Q216">
            <v>390</v>
          </cell>
          <cell r="R216">
            <v>0</v>
          </cell>
          <cell r="S216">
            <v>97.5</v>
          </cell>
          <cell r="T216">
            <v>0</v>
          </cell>
          <cell r="U216">
            <v>0</v>
          </cell>
          <cell r="V216">
            <v>126.75</v>
          </cell>
          <cell r="W216">
            <v>0</v>
          </cell>
          <cell r="X216">
            <v>0</v>
          </cell>
          <cell r="Y216">
            <v>9.75</v>
          </cell>
          <cell r="Z216">
            <v>0</v>
          </cell>
          <cell r="AA216">
            <v>0</v>
          </cell>
          <cell r="AB216">
            <v>112.5</v>
          </cell>
          <cell r="AC216">
            <v>0</v>
          </cell>
          <cell r="AD216">
            <v>0</v>
          </cell>
          <cell r="AE216">
            <v>146.25</v>
          </cell>
          <cell r="AF216">
            <v>0</v>
          </cell>
          <cell r="AG216">
            <v>0</v>
          </cell>
          <cell r="AH216">
            <v>11.25</v>
          </cell>
          <cell r="AI216">
            <v>0</v>
          </cell>
          <cell r="AJ216">
            <v>0</v>
          </cell>
          <cell r="AK216">
            <v>97.5</v>
          </cell>
          <cell r="AL216">
            <v>0</v>
          </cell>
          <cell r="AM216">
            <v>0</v>
          </cell>
          <cell r="AN216">
            <v>126.75</v>
          </cell>
          <cell r="AO216">
            <v>0</v>
          </cell>
          <cell r="AP216">
            <v>0</v>
          </cell>
          <cell r="AQ216">
            <v>9.75</v>
          </cell>
          <cell r="AR216">
            <v>0</v>
          </cell>
          <cell r="AS216">
            <v>0</v>
          </cell>
          <cell r="AT216">
            <v>150</v>
          </cell>
          <cell r="AU216">
            <v>0</v>
          </cell>
          <cell r="AV216">
            <v>0</v>
          </cell>
          <cell r="AW216">
            <v>195</v>
          </cell>
          <cell r="AX216">
            <v>0</v>
          </cell>
          <cell r="AY216">
            <v>0</v>
          </cell>
          <cell r="AZ216">
            <v>15</v>
          </cell>
          <cell r="BA216">
            <v>0</v>
          </cell>
          <cell r="BB216">
            <v>0</v>
          </cell>
          <cell r="BC216">
            <v>75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8583.75</v>
          </cell>
        </row>
        <row r="217">
          <cell r="C217">
            <v>14376</v>
          </cell>
          <cell r="D217" t="str">
            <v>Reganit, Joylyn Grace Bristol</v>
          </cell>
          <cell r="E217">
            <v>88</v>
          </cell>
          <cell r="F217">
            <v>11</v>
          </cell>
          <cell r="G217">
            <v>600</v>
          </cell>
          <cell r="H217">
            <v>6600</v>
          </cell>
          <cell r="I217">
            <v>15</v>
          </cell>
          <cell r="J217">
            <v>1.25</v>
          </cell>
          <cell r="K217">
            <v>-18.75</v>
          </cell>
          <cell r="L217">
            <v>20</v>
          </cell>
          <cell r="M217">
            <v>93.75</v>
          </cell>
          <cell r="N217">
            <v>1875</v>
          </cell>
          <cell r="O217">
            <v>86</v>
          </cell>
          <cell r="P217">
            <v>7.5</v>
          </cell>
          <cell r="Q217">
            <v>645</v>
          </cell>
          <cell r="R217">
            <v>8</v>
          </cell>
          <cell r="S217">
            <v>97.5</v>
          </cell>
          <cell r="T217">
            <v>780</v>
          </cell>
          <cell r="U217">
            <v>0</v>
          </cell>
          <cell r="V217">
            <v>126.75</v>
          </cell>
          <cell r="W217">
            <v>0</v>
          </cell>
          <cell r="X217">
            <v>0</v>
          </cell>
          <cell r="Y217">
            <v>9.75</v>
          </cell>
          <cell r="Z217">
            <v>0</v>
          </cell>
          <cell r="AA217">
            <v>0</v>
          </cell>
          <cell r="AB217">
            <v>112.5</v>
          </cell>
          <cell r="AC217">
            <v>0</v>
          </cell>
          <cell r="AD217">
            <v>0</v>
          </cell>
          <cell r="AE217">
            <v>146.25</v>
          </cell>
          <cell r="AF217">
            <v>0</v>
          </cell>
          <cell r="AG217">
            <v>0</v>
          </cell>
          <cell r="AH217">
            <v>11.25</v>
          </cell>
          <cell r="AI217">
            <v>0</v>
          </cell>
          <cell r="AJ217">
            <v>0</v>
          </cell>
          <cell r="AK217">
            <v>97.5</v>
          </cell>
          <cell r="AL217">
            <v>0</v>
          </cell>
          <cell r="AM217">
            <v>0</v>
          </cell>
          <cell r="AN217">
            <v>126.75</v>
          </cell>
          <cell r="AO217">
            <v>0</v>
          </cell>
          <cell r="AP217">
            <v>0</v>
          </cell>
          <cell r="AQ217">
            <v>9.75</v>
          </cell>
          <cell r="AR217">
            <v>0</v>
          </cell>
          <cell r="AS217">
            <v>0</v>
          </cell>
          <cell r="AT217">
            <v>150</v>
          </cell>
          <cell r="AU217">
            <v>0</v>
          </cell>
          <cell r="AV217">
            <v>0</v>
          </cell>
          <cell r="AW217">
            <v>195</v>
          </cell>
          <cell r="AX217">
            <v>0</v>
          </cell>
          <cell r="AY217">
            <v>0</v>
          </cell>
          <cell r="AZ217">
            <v>15</v>
          </cell>
          <cell r="BA217">
            <v>0</v>
          </cell>
          <cell r="BB217">
            <v>0</v>
          </cell>
          <cell r="BC217">
            <v>75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9881.25</v>
          </cell>
        </row>
        <row r="218">
          <cell r="C218">
            <v>13668</v>
          </cell>
          <cell r="D218" t="str">
            <v>Rementilla, Ma. Kristina Rioveros</v>
          </cell>
          <cell r="E218">
            <v>75</v>
          </cell>
          <cell r="F218">
            <v>9.375</v>
          </cell>
          <cell r="G218">
            <v>600</v>
          </cell>
          <cell r="H218">
            <v>5625</v>
          </cell>
          <cell r="I218">
            <v>14</v>
          </cell>
          <cell r="J218">
            <v>1.25</v>
          </cell>
          <cell r="K218">
            <v>-17.5</v>
          </cell>
          <cell r="L218">
            <v>14</v>
          </cell>
          <cell r="M218">
            <v>93.75</v>
          </cell>
          <cell r="N218">
            <v>1312.5</v>
          </cell>
          <cell r="O218">
            <v>38</v>
          </cell>
          <cell r="P218">
            <v>7.5</v>
          </cell>
          <cell r="Q218">
            <v>285</v>
          </cell>
          <cell r="R218">
            <v>8</v>
          </cell>
          <cell r="S218">
            <v>97.5</v>
          </cell>
          <cell r="T218">
            <v>780</v>
          </cell>
          <cell r="U218">
            <v>0</v>
          </cell>
          <cell r="V218">
            <v>126.75</v>
          </cell>
          <cell r="W218">
            <v>0</v>
          </cell>
          <cell r="X218">
            <v>0</v>
          </cell>
          <cell r="Y218">
            <v>9.75</v>
          </cell>
          <cell r="Z218">
            <v>0</v>
          </cell>
          <cell r="AA218">
            <v>0</v>
          </cell>
          <cell r="AB218">
            <v>112.5</v>
          </cell>
          <cell r="AC218">
            <v>0</v>
          </cell>
          <cell r="AD218">
            <v>0</v>
          </cell>
          <cell r="AE218">
            <v>146.25</v>
          </cell>
          <cell r="AF218">
            <v>0</v>
          </cell>
          <cell r="AG218">
            <v>0</v>
          </cell>
          <cell r="AH218">
            <v>11.25</v>
          </cell>
          <cell r="AI218">
            <v>0</v>
          </cell>
          <cell r="AJ218">
            <v>8</v>
          </cell>
          <cell r="AK218">
            <v>97.5</v>
          </cell>
          <cell r="AL218">
            <v>780</v>
          </cell>
          <cell r="AM218">
            <v>0</v>
          </cell>
          <cell r="AN218">
            <v>126.75</v>
          </cell>
          <cell r="AO218">
            <v>0</v>
          </cell>
          <cell r="AP218">
            <v>0</v>
          </cell>
          <cell r="AQ218">
            <v>9.75</v>
          </cell>
          <cell r="AR218">
            <v>0</v>
          </cell>
          <cell r="AS218">
            <v>0</v>
          </cell>
          <cell r="AT218">
            <v>150</v>
          </cell>
          <cell r="AU218">
            <v>0</v>
          </cell>
          <cell r="AV218">
            <v>0</v>
          </cell>
          <cell r="AW218">
            <v>195</v>
          </cell>
          <cell r="AX218">
            <v>0</v>
          </cell>
          <cell r="AY218">
            <v>0</v>
          </cell>
          <cell r="AZ218">
            <v>15</v>
          </cell>
          <cell r="BA218">
            <v>0</v>
          </cell>
          <cell r="BB218">
            <v>0</v>
          </cell>
          <cell r="BC218">
            <v>75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8765</v>
          </cell>
        </row>
        <row r="219">
          <cell r="C219">
            <v>14378</v>
          </cell>
          <cell r="D219" t="str">
            <v>Repil, Marvin Madolara</v>
          </cell>
          <cell r="E219">
            <v>88</v>
          </cell>
          <cell r="F219">
            <v>11</v>
          </cell>
          <cell r="G219">
            <v>600</v>
          </cell>
          <cell r="H219">
            <v>6600</v>
          </cell>
          <cell r="I219">
            <v>0</v>
          </cell>
          <cell r="J219">
            <v>1.25</v>
          </cell>
          <cell r="K219">
            <v>0</v>
          </cell>
          <cell r="L219">
            <v>18</v>
          </cell>
          <cell r="M219">
            <v>93.75</v>
          </cell>
          <cell r="N219">
            <v>1687.5</v>
          </cell>
          <cell r="O219">
            <v>52</v>
          </cell>
          <cell r="P219">
            <v>7.5</v>
          </cell>
          <cell r="Q219">
            <v>390</v>
          </cell>
          <cell r="R219">
            <v>0</v>
          </cell>
          <cell r="S219">
            <v>97.5</v>
          </cell>
          <cell r="T219">
            <v>0</v>
          </cell>
          <cell r="U219">
            <v>0</v>
          </cell>
          <cell r="V219">
            <v>126.75</v>
          </cell>
          <cell r="W219">
            <v>0</v>
          </cell>
          <cell r="X219">
            <v>0</v>
          </cell>
          <cell r="Y219">
            <v>9.75</v>
          </cell>
          <cell r="Z219">
            <v>0</v>
          </cell>
          <cell r="AA219">
            <v>0</v>
          </cell>
          <cell r="AB219">
            <v>112.5</v>
          </cell>
          <cell r="AC219">
            <v>0</v>
          </cell>
          <cell r="AD219">
            <v>0</v>
          </cell>
          <cell r="AE219">
            <v>146.25</v>
          </cell>
          <cell r="AF219">
            <v>0</v>
          </cell>
          <cell r="AG219">
            <v>0</v>
          </cell>
          <cell r="AH219">
            <v>11.25</v>
          </cell>
          <cell r="AI219">
            <v>0</v>
          </cell>
          <cell r="AJ219">
            <v>0</v>
          </cell>
          <cell r="AK219">
            <v>97.5</v>
          </cell>
          <cell r="AL219">
            <v>0</v>
          </cell>
          <cell r="AM219">
            <v>0</v>
          </cell>
          <cell r="AN219">
            <v>126.75</v>
          </cell>
          <cell r="AO219">
            <v>0</v>
          </cell>
          <cell r="AP219">
            <v>0</v>
          </cell>
          <cell r="AQ219">
            <v>9.75</v>
          </cell>
          <cell r="AR219">
            <v>0</v>
          </cell>
          <cell r="AS219">
            <v>0</v>
          </cell>
          <cell r="AT219">
            <v>150</v>
          </cell>
          <cell r="AU219">
            <v>0</v>
          </cell>
          <cell r="AV219">
            <v>0</v>
          </cell>
          <cell r="AW219">
            <v>195</v>
          </cell>
          <cell r="AX219">
            <v>0</v>
          </cell>
          <cell r="AY219">
            <v>0</v>
          </cell>
          <cell r="AZ219">
            <v>15</v>
          </cell>
          <cell r="BA219">
            <v>0</v>
          </cell>
          <cell r="BB219">
            <v>0</v>
          </cell>
          <cell r="BC219">
            <v>75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8677.5</v>
          </cell>
        </row>
        <row r="220">
          <cell r="C220">
            <v>14379</v>
          </cell>
          <cell r="D220" t="str">
            <v>Resaba, Angelica Robles</v>
          </cell>
          <cell r="E220">
            <v>64</v>
          </cell>
          <cell r="F220">
            <v>8</v>
          </cell>
          <cell r="G220">
            <v>600</v>
          </cell>
          <cell r="H220">
            <v>4800</v>
          </cell>
          <cell r="I220">
            <v>0</v>
          </cell>
          <cell r="J220">
            <v>1.25</v>
          </cell>
          <cell r="K220">
            <v>0</v>
          </cell>
          <cell r="L220">
            <v>12</v>
          </cell>
          <cell r="M220">
            <v>93.75</v>
          </cell>
          <cell r="N220">
            <v>1125</v>
          </cell>
          <cell r="O220">
            <v>0</v>
          </cell>
          <cell r="P220">
            <v>7.5</v>
          </cell>
          <cell r="Q220">
            <v>0</v>
          </cell>
          <cell r="R220">
            <v>0</v>
          </cell>
          <cell r="S220">
            <v>97.5</v>
          </cell>
          <cell r="T220">
            <v>0</v>
          </cell>
          <cell r="U220">
            <v>0</v>
          </cell>
          <cell r="V220">
            <v>126.75</v>
          </cell>
          <cell r="W220">
            <v>0</v>
          </cell>
          <cell r="X220">
            <v>0</v>
          </cell>
          <cell r="Y220">
            <v>9.75</v>
          </cell>
          <cell r="Z220">
            <v>0</v>
          </cell>
          <cell r="AA220">
            <v>0</v>
          </cell>
          <cell r="AB220">
            <v>112.5</v>
          </cell>
          <cell r="AC220">
            <v>0</v>
          </cell>
          <cell r="AD220">
            <v>0</v>
          </cell>
          <cell r="AE220">
            <v>146.25</v>
          </cell>
          <cell r="AF220">
            <v>0</v>
          </cell>
          <cell r="AG220">
            <v>0</v>
          </cell>
          <cell r="AH220">
            <v>11.25</v>
          </cell>
          <cell r="AI220">
            <v>0</v>
          </cell>
          <cell r="AJ220">
            <v>8</v>
          </cell>
          <cell r="AK220">
            <v>97.5</v>
          </cell>
          <cell r="AL220">
            <v>780</v>
          </cell>
          <cell r="AM220">
            <v>0</v>
          </cell>
          <cell r="AN220">
            <v>126.75</v>
          </cell>
          <cell r="AO220">
            <v>0</v>
          </cell>
          <cell r="AP220">
            <v>0</v>
          </cell>
          <cell r="AQ220">
            <v>9.75</v>
          </cell>
          <cell r="AR220">
            <v>0</v>
          </cell>
          <cell r="AS220">
            <v>0</v>
          </cell>
          <cell r="AT220">
            <v>150</v>
          </cell>
          <cell r="AU220">
            <v>0</v>
          </cell>
          <cell r="AV220">
            <v>0</v>
          </cell>
          <cell r="AW220">
            <v>195</v>
          </cell>
          <cell r="AX220">
            <v>0</v>
          </cell>
          <cell r="AY220">
            <v>0</v>
          </cell>
          <cell r="AZ220">
            <v>15</v>
          </cell>
          <cell r="BA220">
            <v>0</v>
          </cell>
          <cell r="BB220">
            <v>0</v>
          </cell>
          <cell r="BC220">
            <v>75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6705</v>
          </cell>
        </row>
        <row r="221">
          <cell r="C221">
            <v>14170</v>
          </cell>
          <cell r="D221" t="str">
            <v>Revillosa, Dominick Non</v>
          </cell>
          <cell r="E221">
            <v>88</v>
          </cell>
          <cell r="F221">
            <v>11</v>
          </cell>
          <cell r="G221">
            <v>600</v>
          </cell>
          <cell r="H221">
            <v>6600</v>
          </cell>
          <cell r="I221">
            <v>0</v>
          </cell>
          <cell r="J221">
            <v>1.25</v>
          </cell>
          <cell r="K221">
            <v>0</v>
          </cell>
          <cell r="L221">
            <v>19</v>
          </cell>
          <cell r="M221">
            <v>93.75</v>
          </cell>
          <cell r="N221">
            <v>1781.25</v>
          </cell>
          <cell r="O221">
            <v>85</v>
          </cell>
          <cell r="P221">
            <v>7.5</v>
          </cell>
          <cell r="Q221">
            <v>637.5</v>
          </cell>
          <cell r="R221">
            <v>8</v>
          </cell>
          <cell r="S221">
            <v>97.5</v>
          </cell>
          <cell r="T221">
            <v>780</v>
          </cell>
          <cell r="U221">
            <v>0</v>
          </cell>
          <cell r="V221">
            <v>126.75</v>
          </cell>
          <cell r="W221">
            <v>0</v>
          </cell>
          <cell r="X221">
            <v>0</v>
          </cell>
          <cell r="Y221">
            <v>9.75</v>
          </cell>
          <cell r="Z221">
            <v>0</v>
          </cell>
          <cell r="AA221">
            <v>0</v>
          </cell>
          <cell r="AB221">
            <v>112.5</v>
          </cell>
          <cell r="AC221">
            <v>0</v>
          </cell>
          <cell r="AD221">
            <v>0</v>
          </cell>
          <cell r="AE221">
            <v>146.25</v>
          </cell>
          <cell r="AF221">
            <v>0</v>
          </cell>
          <cell r="AG221">
            <v>0</v>
          </cell>
          <cell r="AH221">
            <v>11.25</v>
          </cell>
          <cell r="AI221">
            <v>0</v>
          </cell>
          <cell r="AJ221">
            <v>0</v>
          </cell>
          <cell r="AK221">
            <v>97.5</v>
          </cell>
          <cell r="AL221">
            <v>0</v>
          </cell>
          <cell r="AM221">
            <v>0</v>
          </cell>
          <cell r="AN221">
            <v>126.75</v>
          </cell>
          <cell r="AO221">
            <v>0</v>
          </cell>
          <cell r="AP221">
            <v>0</v>
          </cell>
          <cell r="AQ221">
            <v>9.75</v>
          </cell>
          <cell r="AR221">
            <v>0</v>
          </cell>
          <cell r="AS221">
            <v>0</v>
          </cell>
          <cell r="AT221">
            <v>150</v>
          </cell>
          <cell r="AU221">
            <v>0</v>
          </cell>
          <cell r="AV221">
            <v>0</v>
          </cell>
          <cell r="AW221">
            <v>195</v>
          </cell>
          <cell r="AX221">
            <v>0</v>
          </cell>
          <cell r="AY221">
            <v>0</v>
          </cell>
          <cell r="AZ221">
            <v>15</v>
          </cell>
          <cell r="BA221">
            <v>0</v>
          </cell>
          <cell r="BB221">
            <v>0</v>
          </cell>
          <cell r="BC221">
            <v>75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9798.75</v>
          </cell>
        </row>
        <row r="222">
          <cell r="C222">
            <v>5477</v>
          </cell>
          <cell r="D222" t="str">
            <v>Rubion, Leah Christine Leyesa</v>
          </cell>
          <cell r="E222">
            <v>80</v>
          </cell>
          <cell r="F222">
            <v>10</v>
          </cell>
          <cell r="G222">
            <v>600</v>
          </cell>
          <cell r="H222">
            <v>6000</v>
          </cell>
          <cell r="I222">
            <v>57</v>
          </cell>
          <cell r="J222">
            <v>1.25</v>
          </cell>
          <cell r="K222">
            <v>-71.25</v>
          </cell>
          <cell r="L222">
            <v>16</v>
          </cell>
          <cell r="M222">
            <v>93.75</v>
          </cell>
          <cell r="N222">
            <v>1500</v>
          </cell>
          <cell r="O222">
            <v>0</v>
          </cell>
          <cell r="P222">
            <v>7.5</v>
          </cell>
          <cell r="Q222">
            <v>0</v>
          </cell>
          <cell r="R222">
            <v>8</v>
          </cell>
          <cell r="S222">
            <v>97.5</v>
          </cell>
          <cell r="T222">
            <v>780</v>
          </cell>
          <cell r="U222">
            <v>0</v>
          </cell>
          <cell r="V222">
            <v>126.75</v>
          </cell>
          <cell r="W222">
            <v>0</v>
          </cell>
          <cell r="X222">
            <v>0</v>
          </cell>
          <cell r="Y222">
            <v>9.75</v>
          </cell>
          <cell r="Z222">
            <v>0</v>
          </cell>
          <cell r="AA222">
            <v>0</v>
          </cell>
          <cell r="AB222">
            <v>112.5</v>
          </cell>
          <cell r="AC222">
            <v>0</v>
          </cell>
          <cell r="AD222">
            <v>0</v>
          </cell>
          <cell r="AE222">
            <v>146.25</v>
          </cell>
          <cell r="AF222">
            <v>0</v>
          </cell>
          <cell r="AG222">
            <v>0</v>
          </cell>
          <cell r="AH222">
            <v>11.25</v>
          </cell>
          <cell r="AI222">
            <v>0</v>
          </cell>
          <cell r="AJ222">
            <v>8</v>
          </cell>
          <cell r="AK222">
            <v>97.5</v>
          </cell>
          <cell r="AL222">
            <v>780</v>
          </cell>
          <cell r="AM222">
            <v>0</v>
          </cell>
          <cell r="AN222">
            <v>126.75</v>
          </cell>
          <cell r="AO222">
            <v>0</v>
          </cell>
          <cell r="AP222">
            <v>0</v>
          </cell>
          <cell r="AQ222">
            <v>9.75</v>
          </cell>
          <cell r="AR222">
            <v>0</v>
          </cell>
          <cell r="AS222">
            <v>0</v>
          </cell>
          <cell r="AT222">
            <v>150</v>
          </cell>
          <cell r="AU222">
            <v>0</v>
          </cell>
          <cell r="AV222">
            <v>0</v>
          </cell>
          <cell r="AW222">
            <v>195</v>
          </cell>
          <cell r="AX222">
            <v>0</v>
          </cell>
          <cell r="AY222">
            <v>0</v>
          </cell>
          <cell r="AZ222">
            <v>15</v>
          </cell>
          <cell r="BA222">
            <v>0</v>
          </cell>
          <cell r="BB222">
            <v>0</v>
          </cell>
          <cell r="BC222">
            <v>75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8988.75</v>
          </cell>
        </row>
        <row r="223">
          <cell r="C223">
            <v>4375</v>
          </cell>
          <cell r="D223" t="str">
            <v>Sabater, Maricar Aracosta</v>
          </cell>
          <cell r="E223">
            <v>88</v>
          </cell>
          <cell r="F223">
            <v>11</v>
          </cell>
          <cell r="G223">
            <v>600</v>
          </cell>
          <cell r="H223">
            <v>6600</v>
          </cell>
          <cell r="I223">
            <v>2</v>
          </cell>
          <cell r="J223">
            <v>1.25</v>
          </cell>
          <cell r="K223">
            <v>-2.5</v>
          </cell>
          <cell r="L223">
            <v>21</v>
          </cell>
          <cell r="M223">
            <v>93.75</v>
          </cell>
          <cell r="N223">
            <v>1968.75</v>
          </cell>
          <cell r="O223">
            <v>54</v>
          </cell>
          <cell r="P223">
            <v>7.5</v>
          </cell>
          <cell r="Q223">
            <v>405</v>
          </cell>
          <cell r="R223">
            <v>8</v>
          </cell>
          <cell r="S223">
            <v>97.5</v>
          </cell>
          <cell r="T223">
            <v>780</v>
          </cell>
          <cell r="U223">
            <v>0</v>
          </cell>
          <cell r="V223">
            <v>126.75</v>
          </cell>
          <cell r="W223">
            <v>0</v>
          </cell>
          <cell r="X223">
            <v>0</v>
          </cell>
          <cell r="Y223">
            <v>9.75</v>
          </cell>
          <cell r="Z223">
            <v>0</v>
          </cell>
          <cell r="AA223">
            <v>0</v>
          </cell>
          <cell r="AB223">
            <v>112.5</v>
          </cell>
          <cell r="AC223">
            <v>0</v>
          </cell>
          <cell r="AD223">
            <v>0</v>
          </cell>
          <cell r="AE223">
            <v>146.25</v>
          </cell>
          <cell r="AF223">
            <v>0</v>
          </cell>
          <cell r="AG223">
            <v>0</v>
          </cell>
          <cell r="AH223">
            <v>11.25</v>
          </cell>
          <cell r="AI223">
            <v>0</v>
          </cell>
          <cell r="AJ223">
            <v>8</v>
          </cell>
          <cell r="AK223">
            <v>97.5</v>
          </cell>
          <cell r="AL223">
            <v>780</v>
          </cell>
          <cell r="AM223">
            <v>0</v>
          </cell>
          <cell r="AN223">
            <v>126.75</v>
          </cell>
          <cell r="AO223">
            <v>0</v>
          </cell>
          <cell r="AP223">
            <v>0</v>
          </cell>
          <cell r="AQ223">
            <v>9.75</v>
          </cell>
          <cell r="AR223">
            <v>0</v>
          </cell>
          <cell r="AS223">
            <v>0</v>
          </cell>
          <cell r="AT223">
            <v>150</v>
          </cell>
          <cell r="AU223">
            <v>0</v>
          </cell>
          <cell r="AV223">
            <v>0</v>
          </cell>
          <cell r="AW223">
            <v>195</v>
          </cell>
          <cell r="AX223">
            <v>0</v>
          </cell>
          <cell r="AY223">
            <v>0</v>
          </cell>
          <cell r="AZ223">
            <v>15</v>
          </cell>
          <cell r="BA223">
            <v>0</v>
          </cell>
          <cell r="BB223">
            <v>0</v>
          </cell>
          <cell r="BC223">
            <v>75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10531.25</v>
          </cell>
        </row>
        <row r="224">
          <cell r="C224">
            <v>14724</v>
          </cell>
          <cell r="D224" t="str">
            <v>Salinasal, Nestle Cama</v>
          </cell>
          <cell r="E224">
            <v>72</v>
          </cell>
          <cell r="F224">
            <v>9</v>
          </cell>
          <cell r="G224">
            <v>600</v>
          </cell>
          <cell r="H224">
            <v>5400</v>
          </cell>
          <cell r="I224">
            <v>0</v>
          </cell>
          <cell r="J224">
            <v>1.25</v>
          </cell>
          <cell r="K224">
            <v>0</v>
          </cell>
          <cell r="L224">
            <v>14</v>
          </cell>
          <cell r="M224">
            <v>93.75</v>
          </cell>
          <cell r="N224">
            <v>1312.5</v>
          </cell>
          <cell r="O224">
            <v>32</v>
          </cell>
          <cell r="P224">
            <v>7.5</v>
          </cell>
          <cell r="Q224">
            <v>240</v>
          </cell>
          <cell r="R224">
            <v>0</v>
          </cell>
          <cell r="S224">
            <v>97.5</v>
          </cell>
          <cell r="T224">
            <v>0</v>
          </cell>
          <cell r="U224">
            <v>0</v>
          </cell>
          <cell r="V224">
            <v>126.75</v>
          </cell>
          <cell r="W224">
            <v>0</v>
          </cell>
          <cell r="X224">
            <v>0</v>
          </cell>
          <cell r="Y224">
            <v>9.75</v>
          </cell>
          <cell r="Z224">
            <v>0</v>
          </cell>
          <cell r="AA224">
            <v>0</v>
          </cell>
          <cell r="AB224">
            <v>112.5</v>
          </cell>
          <cell r="AC224">
            <v>0</v>
          </cell>
          <cell r="AD224">
            <v>0</v>
          </cell>
          <cell r="AE224">
            <v>146.25</v>
          </cell>
          <cell r="AF224">
            <v>0</v>
          </cell>
          <cell r="AG224">
            <v>0</v>
          </cell>
          <cell r="AH224">
            <v>11.25</v>
          </cell>
          <cell r="AI224">
            <v>0</v>
          </cell>
          <cell r="AJ224">
            <v>0</v>
          </cell>
          <cell r="AK224">
            <v>97.5</v>
          </cell>
          <cell r="AL224">
            <v>0</v>
          </cell>
          <cell r="AM224">
            <v>0</v>
          </cell>
          <cell r="AN224">
            <v>126.75</v>
          </cell>
          <cell r="AO224">
            <v>0</v>
          </cell>
          <cell r="AP224">
            <v>0</v>
          </cell>
          <cell r="AQ224">
            <v>9.75</v>
          </cell>
          <cell r="AR224">
            <v>0</v>
          </cell>
          <cell r="AS224">
            <v>0</v>
          </cell>
          <cell r="AT224">
            <v>150</v>
          </cell>
          <cell r="AU224">
            <v>0</v>
          </cell>
          <cell r="AV224">
            <v>0</v>
          </cell>
          <cell r="AW224">
            <v>195</v>
          </cell>
          <cell r="AX224">
            <v>0</v>
          </cell>
          <cell r="AY224">
            <v>0</v>
          </cell>
          <cell r="AZ224">
            <v>15</v>
          </cell>
          <cell r="BA224">
            <v>0</v>
          </cell>
          <cell r="BB224">
            <v>0</v>
          </cell>
          <cell r="BC224">
            <v>75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6952.5</v>
          </cell>
        </row>
        <row r="225">
          <cell r="C225">
            <v>7787</v>
          </cell>
          <cell r="D225" t="str">
            <v>Samalea, Crissa May Sevilla</v>
          </cell>
          <cell r="E225">
            <v>72</v>
          </cell>
          <cell r="F225">
            <v>9</v>
          </cell>
          <cell r="G225">
            <v>600</v>
          </cell>
          <cell r="H225">
            <v>5400</v>
          </cell>
          <cell r="I225">
            <v>0</v>
          </cell>
          <cell r="J225">
            <v>1.25</v>
          </cell>
          <cell r="K225">
            <v>0</v>
          </cell>
          <cell r="L225">
            <v>16</v>
          </cell>
          <cell r="M225">
            <v>93.75</v>
          </cell>
          <cell r="N225">
            <v>1500</v>
          </cell>
          <cell r="O225">
            <v>0</v>
          </cell>
          <cell r="P225">
            <v>7.5</v>
          </cell>
          <cell r="Q225">
            <v>0</v>
          </cell>
          <cell r="R225">
            <v>0</v>
          </cell>
          <cell r="S225">
            <v>97.5</v>
          </cell>
          <cell r="T225">
            <v>0</v>
          </cell>
          <cell r="U225">
            <v>0</v>
          </cell>
          <cell r="V225">
            <v>126.75</v>
          </cell>
          <cell r="W225">
            <v>0</v>
          </cell>
          <cell r="X225">
            <v>0</v>
          </cell>
          <cell r="Y225">
            <v>9.75</v>
          </cell>
          <cell r="Z225">
            <v>0</v>
          </cell>
          <cell r="AA225">
            <v>0</v>
          </cell>
          <cell r="AB225">
            <v>112.5</v>
          </cell>
          <cell r="AC225">
            <v>0</v>
          </cell>
          <cell r="AD225">
            <v>0</v>
          </cell>
          <cell r="AE225">
            <v>146.25</v>
          </cell>
          <cell r="AF225">
            <v>0</v>
          </cell>
          <cell r="AG225">
            <v>0</v>
          </cell>
          <cell r="AH225">
            <v>11.25</v>
          </cell>
          <cell r="AI225">
            <v>0</v>
          </cell>
          <cell r="AJ225">
            <v>0</v>
          </cell>
          <cell r="AK225">
            <v>97.5</v>
          </cell>
          <cell r="AL225">
            <v>0</v>
          </cell>
          <cell r="AM225">
            <v>0</v>
          </cell>
          <cell r="AN225">
            <v>126.75</v>
          </cell>
          <cell r="AO225">
            <v>0</v>
          </cell>
          <cell r="AP225">
            <v>0</v>
          </cell>
          <cell r="AQ225">
            <v>9.75</v>
          </cell>
          <cell r="AR225">
            <v>0</v>
          </cell>
          <cell r="AS225">
            <v>0</v>
          </cell>
          <cell r="AT225">
            <v>150</v>
          </cell>
          <cell r="AU225">
            <v>0</v>
          </cell>
          <cell r="AV225">
            <v>0</v>
          </cell>
          <cell r="AW225">
            <v>195</v>
          </cell>
          <cell r="AX225">
            <v>0</v>
          </cell>
          <cell r="AY225">
            <v>0</v>
          </cell>
          <cell r="AZ225">
            <v>15</v>
          </cell>
          <cell r="BA225">
            <v>0</v>
          </cell>
          <cell r="BB225">
            <v>0</v>
          </cell>
          <cell r="BC225">
            <v>75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6900</v>
          </cell>
        </row>
        <row r="226">
          <cell r="C226">
            <v>14398</v>
          </cell>
          <cell r="D226" t="str">
            <v>Sarmiento, RobertoJr Azucena</v>
          </cell>
          <cell r="E226">
            <v>80</v>
          </cell>
          <cell r="F226">
            <v>10</v>
          </cell>
          <cell r="G226">
            <v>600</v>
          </cell>
          <cell r="H226">
            <v>6000</v>
          </cell>
          <cell r="I226">
            <v>30</v>
          </cell>
          <cell r="J226">
            <v>1.25</v>
          </cell>
          <cell r="K226">
            <v>-37.5</v>
          </cell>
          <cell r="L226">
            <v>12</v>
          </cell>
          <cell r="M226">
            <v>93.75</v>
          </cell>
          <cell r="N226">
            <v>1125</v>
          </cell>
          <cell r="O226">
            <v>50</v>
          </cell>
          <cell r="P226">
            <v>7.5</v>
          </cell>
          <cell r="Q226">
            <v>375</v>
          </cell>
          <cell r="R226">
            <v>0</v>
          </cell>
          <cell r="S226">
            <v>97.5</v>
          </cell>
          <cell r="T226">
            <v>0</v>
          </cell>
          <cell r="U226">
            <v>0</v>
          </cell>
          <cell r="V226">
            <v>126.75</v>
          </cell>
          <cell r="W226">
            <v>0</v>
          </cell>
          <cell r="X226">
            <v>0</v>
          </cell>
          <cell r="Y226">
            <v>9.75</v>
          </cell>
          <cell r="Z226">
            <v>0</v>
          </cell>
          <cell r="AA226">
            <v>0</v>
          </cell>
          <cell r="AB226">
            <v>112.5</v>
          </cell>
          <cell r="AC226">
            <v>0</v>
          </cell>
          <cell r="AD226">
            <v>0</v>
          </cell>
          <cell r="AE226">
            <v>146.25</v>
          </cell>
          <cell r="AF226">
            <v>0</v>
          </cell>
          <cell r="AG226">
            <v>0</v>
          </cell>
          <cell r="AH226">
            <v>11.25</v>
          </cell>
          <cell r="AI226">
            <v>0</v>
          </cell>
          <cell r="AJ226">
            <v>8</v>
          </cell>
          <cell r="AK226">
            <v>97.5</v>
          </cell>
          <cell r="AL226">
            <v>780</v>
          </cell>
          <cell r="AM226">
            <v>0</v>
          </cell>
          <cell r="AN226">
            <v>126.75</v>
          </cell>
          <cell r="AO226">
            <v>0</v>
          </cell>
          <cell r="AP226">
            <v>0</v>
          </cell>
          <cell r="AQ226">
            <v>9.75</v>
          </cell>
          <cell r="AR226">
            <v>0</v>
          </cell>
          <cell r="AS226">
            <v>0</v>
          </cell>
          <cell r="AT226">
            <v>150</v>
          </cell>
          <cell r="AU226">
            <v>0</v>
          </cell>
          <cell r="AV226">
            <v>0</v>
          </cell>
          <cell r="AW226">
            <v>195</v>
          </cell>
          <cell r="AX226">
            <v>0</v>
          </cell>
          <cell r="AY226">
            <v>0</v>
          </cell>
          <cell r="AZ226">
            <v>15</v>
          </cell>
          <cell r="BA226">
            <v>0</v>
          </cell>
          <cell r="BB226">
            <v>0</v>
          </cell>
          <cell r="BC226">
            <v>75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8242.5</v>
          </cell>
        </row>
        <row r="227">
          <cell r="C227">
            <v>10036</v>
          </cell>
          <cell r="D227" t="str">
            <v>Sia, Bernard Angelo Apostol</v>
          </cell>
          <cell r="E227">
            <v>64</v>
          </cell>
          <cell r="F227">
            <v>8</v>
          </cell>
          <cell r="G227">
            <v>600</v>
          </cell>
          <cell r="H227">
            <v>4800</v>
          </cell>
          <cell r="I227">
            <v>10</v>
          </cell>
          <cell r="J227">
            <v>1.25</v>
          </cell>
          <cell r="K227">
            <v>-12.5</v>
          </cell>
          <cell r="L227">
            <v>12</v>
          </cell>
          <cell r="M227">
            <v>93.75</v>
          </cell>
          <cell r="N227">
            <v>1125</v>
          </cell>
          <cell r="O227">
            <v>52</v>
          </cell>
          <cell r="P227">
            <v>7.5</v>
          </cell>
          <cell r="Q227">
            <v>390</v>
          </cell>
          <cell r="R227">
            <v>8</v>
          </cell>
          <cell r="S227">
            <v>97.5</v>
          </cell>
          <cell r="T227">
            <v>780</v>
          </cell>
          <cell r="U227">
            <v>0</v>
          </cell>
          <cell r="V227">
            <v>126.75</v>
          </cell>
          <cell r="W227">
            <v>0</v>
          </cell>
          <cell r="X227">
            <v>0</v>
          </cell>
          <cell r="Y227">
            <v>9.75</v>
          </cell>
          <cell r="Z227">
            <v>0</v>
          </cell>
          <cell r="AA227">
            <v>0</v>
          </cell>
          <cell r="AB227">
            <v>112.5</v>
          </cell>
          <cell r="AC227">
            <v>0</v>
          </cell>
          <cell r="AD227">
            <v>0</v>
          </cell>
          <cell r="AE227">
            <v>146.25</v>
          </cell>
          <cell r="AF227">
            <v>0</v>
          </cell>
          <cell r="AG227">
            <v>0</v>
          </cell>
          <cell r="AH227">
            <v>11.25</v>
          </cell>
          <cell r="AI227">
            <v>0</v>
          </cell>
          <cell r="AJ227">
            <v>0</v>
          </cell>
          <cell r="AK227">
            <v>97.5</v>
          </cell>
          <cell r="AL227">
            <v>0</v>
          </cell>
          <cell r="AM227">
            <v>0</v>
          </cell>
          <cell r="AN227">
            <v>126.75</v>
          </cell>
          <cell r="AO227">
            <v>0</v>
          </cell>
          <cell r="AP227">
            <v>0</v>
          </cell>
          <cell r="AQ227">
            <v>9.75</v>
          </cell>
          <cell r="AR227">
            <v>0</v>
          </cell>
          <cell r="AS227">
            <v>0</v>
          </cell>
          <cell r="AT227">
            <v>150</v>
          </cell>
          <cell r="AU227">
            <v>0</v>
          </cell>
          <cell r="AV227">
            <v>0</v>
          </cell>
          <cell r="AW227">
            <v>195</v>
          </cell>
          <cell r="AX227">
            <v>0</v>
          </cell>
          <cell r="AY227">
            <v>0</v>
          </cell>
          <cell r="AZ227">
            <v>15</v>
          </cell>
          <cell r="BA227">
            <v>0</v>
          </cell>
          <cell r="BB227">
            <v>0</v>
          </cell>
          <cell r="BC227">
            <v>75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7082.5</v>
          </cell>
        </row>
        <row r="228">
          <cell r="C228">
            <v>6514</v>
          </cell>
          <cell r="D228" t="str">
            <v>Soneja, Judylyn Magpantay</v>
          </cell>
          <cell r="E228">
            <v>80</v>
          </cell>
          <cell r="F228">
            <v>10</v>
          </cell>
          <cell r="G228">
            <v>600</v>
          </cell>
          <cell r="H228">
            <v>6000</v>
          </cell>
          <cell r="I228">
            <v>0</v>
          </cell>
          <cell r="J228">
            <v>1.25</v>
          </cell>
          <cell r="K228">
            <v>0</v>
          </cell>
          <cell r="L228">
            <v>14</v>
          </cell>
          <cell r="M228">
            <v>93.75</v>
          </cell>
          <cell r="N228">
            <v>1312.5</v>
          </cell>
          <cell r="O228">
            <v>30</v>
          </cell>
          <cell r="P228">
            <v>7.5</v>
          </cell>
          <cell r="Q228">
            <v>225</v>
          </cell>
          <cell r="R228">
            <v>0</v>
          </cell>
          <cell r="S228">
            <v>97.5</v>
          </cell>
          <cell r="T228">
            <v>0</v>
          </cell>
          <cell r="U228">
            <v>0</v>
          </cell>
          <cell r="V228">
            <v>126.75</v>
          </cell>
          <cell r="W228">
            <v>0</v>
          </cell>
          <cell r="X228">
            <v>0</v>
          </cell>
          <cell r="Y228">
            <v>9.75</v>
          </cell>
          <cell r="Z228">
            <v>0</v>
          </cell>
          <cell r="AA228">
            <v>0</v>
          </cell>
          <cell r="AB228">
            <v>112.5</v>
          </cell>
          <cell r="AC228">
            <v>0</v>
          </cell>
          <cell r="AD228">
            <v>0</v>
          </cell>
          <cell r="AE228">
            <v>146.25</v>
          </cell>
          <cell r="AF228">
            <v>0</v>
          </cell>
          <cell r="AG228">
            <v>0</v>
          </cell>
          <cell r="AH228">
            <v>11.25</v>
          </cell>
          <cell r="AI228">
            <v>0</v>
          </cell>
          <cell r="AJ228">
            <v>0</v>
          </cell>
          <cell r="AK228">
            <v>97.5</v>
          </cell>
          <cell r="AL228">
            <v>0</v>
          </cell>
          <cell r="AM228">
            <v>0</v>
          </cell>
          <cell r="AN228">
            <v>126.75</v>
          </cell>
          <cell r="AO228">
            <v>0</v>
          </cell>
          <cell r="AP228">
            <v>0</v>
          </cell>
          <cell r="AQ228">
            <v>9.75</v>
          </cell>
          <cell r="AR228">
            <v>0</v>
          </cell>
          <cell r="AS228">
            <v>0</v>
          </cell>
          <cell r="AT228">
            <v>150</v>
          </cell>
          <cell r="AU228">
            <v>0</v>
          </cell>
          <cell r="AV228">
            <v>0</v>
          </cell>
          <cell r="AW228">
            <v>195</v>
          </cell>
          <cell r="AX228">
            <v>0</v>
          </cell>
          <cell r="AY228">
            <v>0</v>
          </cell>
          <cell r="AZ228">
            <v>15</v>
          </cell>
          <cell r="BA228">
            <v>0</v>
          </cell>
          <cell r="BB228">
            <v>0</v>
          </cell>
          <cell r="BC228">
            <v>75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7537.5</v>
          </cell>
        </row>
        <row r="229">
          <cell r="C229">
            <v>30179</v>
          </cell>
          <cell r="D229" t="str">
            <v>Tamayo, Ronnel Adelantar</v>
          </cell>
          <cell r="E229">
            <v>64</v>
          </cell>
          <cell r="F229">
            <v>8</v>
          </cell>
          <cell r="G229">
            <v>600</v>
          </cell>
          <cell r="H229">
            <v>4800</v>
          </cell>
          <cell r="I229">
            <v>23</v>
          </cell>
          <cell r="J229">
            <v>1.25</v>
          </cell>
          <cell r="K229">
            <v>-28.75</v>
          </cell>
          <cell r="L229">
            <v>14</v>
          </cell>
          <cell r="M229">
            <v>93.75</v>
          </cell>
          <cell r="N229">
            <v>1312.5</v>
          </cell>
          <cell r="O229">
            <v>24</v>
          </cell>
          <cell r="P229">
            <v>7.5</v>
          </cell>
          <cell r="Q229">
            <v>180</v>
          </cell>
          <cell r="R229">
            <v>0</v>
          </cell>
          <cell r="S229">
            <v>97.5</v>
          </cell>
          <cell r="T229">
            <v>0</v>
          </cell>
          <cell r="U229">
            <v>0</v>
          </cell>
          <cell r="V229">
            <v>126.75</v>
          </cell>
          <cell r="W229">
            <v>0</v>
          </cell>
          <cell r="X229">
            <v>0</v>
          </cell>
          <cell r="Y229">
            <v>9.75</v>
          </cell>
          <cell r="Z229">
            <v>0</v>
          </cell>
          <cell r="AA229">
            <v>0</v>
          </cell>
          <cell r="AB229">
            <v>112.5</v>
          </cell>
          <cell r="AC229">
            <v>0</v>
          </cell>
          <cell r="AD229">
            <v>0</v>
          </cell>
          <cell r="AE229">
            <v>146.25</v>
          </cell>
          <cell r="AF229">
            <v>0</v>
          </cell>
          <cell r="AG229">
            <v>0</v>
          </cell>
          <cell r="AH229">
            <v>11.25</v>
          </cell>
          <cell r="AI229">
            <v>0</v>
          </cell>
          <cell r="AJ229">
            <v>0</v>
          </cell>
          <cell r="AK229">
            <v>97.5</v>
          </cell>
          <cell r="AL229">
            <v>0</v>
          </cell>
          <cell r="AM229">
            <v>0</v>
          </cell>
          <cell r="AN229">
            <v>126.75</v>
          </cell>
          <cell r="AO229">
            <v>0</v>
          </cell>
          <cell r="AP229">
            <v>0</v>
          </cell>
          <cell r="AQ229">
            <v>9.75</v>
          </cell>
          <cell r="AR229">
            <v>0</v>
          </cell>
          <cell r="AS229">
            <v>0</v>
          </cell>
          <cell r="AT229">
            <v>150</v>
          </cell>
          <cell r="AU229">
            <v>0</v>
          </cell>
          <cell r="AV229">
            <v>0</v>
          </cell>
          <cell r="AW229">
            <v>195</v>
          </cell>
          <cell r="AX229">
            <v>0</v>
          </cell>
          <cell r="AY229">
            <v>0</v>
          </cell>
          <cell r="AZ229">
            <v>15</v>
          </cell>
          <cell r="BA229">
            <v>0</v>
          </cell>
          <cell r="BB229">
            <v>0</v>
          </cell>
          <cell r="BC229">
            <v>75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6263.75</v>
          </cell>
        </row>
        <row r="230">
          <cell r="C230">
            <v>10039</v>
          </cell>
          <cell r="D230" t="str">
            <v>Tan, Precious Deterala</v>
          </cell>
          <cell r="E230">
            <v>56</v>
          </cell>
          <cell r="F230">
            <v>7</v>
          </cell>
          <cell r="G230">
            <v>600</v>
          </cell>
          <cell r="H230">
            <v>4200</v>
          </cell>
          <cell r="I230">
            <v>0</v>
          </cell>
          <cell r="J230">
            <v>1.25</v>
          </cell>
          <cell r="K230">
            <v>0</v>
          </cell>
          <cell r="L230">
            <v>12</v>
          </cell>
          <cell r="M230">
            <v>93.75</v>
          </cell>
          <cell r="N230">
            <v>1125</v>
          </cell>
          <cell r="O230">
            <v>30</v>
          </cell>
          <cell r="P230">
            <v>7.5</v>
          </cell>
          <cell r="Q230">
            <v>225</v>
          </cell>
          <cell r="R230">
            <v>0</v>
          </cell>
          <cell r="S230">
            <v>97.5</v>
          </cell>
          <cell r="T230">
            <v>0</v>
          </cell>
          <cell r="U230">
            <v>0</v>
          </cell>
          <cell r="V230">
            <v>126.75</v>
          </cell>
          <cell r="W230">
            <v>0</v>
          </cell>
          <cell r="X230">
            <v>0</v>
          </cell>
          <cell r="Y230">
            <v>9.75</v>
          </cell>
          <cell r="Z230">
            <v>0</v>
          </cell>
          <cell r="AA230">
            <v>0</v>
          </cell>
          <cell r="AB230">
            <v>112.5</v>
          </cell>
          <cell r="AC230">
            <v>0</v>
          </cell>
          <cell r="AD230">
            <v>0</v>
          </cell>
          <cell r="AE230">
            <v>146.25</v>
          </cell>
          <cell r="AF230">
            <v>0</v>
          </cell>
          <cell r="AG230">
            <v>0</v>
          </cell>
          <cell r="AH230">
            <v>11.25</v>
          </cell>
          <cell r="AI230">
            <v>0</v>
          </cell>
          <cell r="AJ230">
            <v>8</v>
          </cell>
          <cell r="AK230">
            <v>97.5</v>
          </cell>
          <cell r="AL230">
            <v>780</v>
          </cell>
          <cell r="AM230">
            <v>0</v>
          </cell>
          <cell r="AN230">
            <v>126.75</v>
          </cell>
          <cell r="AO230">
            <v>0</v>
          </cell>
          <cell r="AP230">
            <v>0</v>
          </cell>
          <cell r="AQ230">
            <v>9.75</v>
          </cell>
          <cell r="AR230">
            <v>0</v>
          </cell>
          <cell r="AS230">
            <v>0</v>
          </cell>
          <cell r="AT230">
            <v>150</v>
          </cell>
          <cell r="AU230">
            <v>0</v>
          </cell>
          <cell r="AV230">
            <v>0</v>
          </cell>
          <cell r="AW230">
            <v>195</v>
          </cell>
          <cell r="AX230">
            <v>0</v>
          </cell>
          <cell r="AY230">
            <v>0</v>
          </cell>
          <cell r="AZ230">
            <v>15</v>
          </cell>
          <cell r="BA230">
            <v>0</v>
          </cell>
          <cell r="BB230">
            <v>0</v>
          </cell>
          <cell r="BC230">
            <v>75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6330</v>
          </cell>
        </row>
        <row r="231">
          <cell r="C231">
            <v>10040</v>
          </cell>
          <cell r="D231" t="str">
            <v>Terig, Gerald Del Mundo</v>
          </cell>
          <cell r="E231">
            <v>80</v>
          </cell>
          <cell r="F231">
            <v>10</v>
          </cell>
          <cell r="G231">
            <v>600</v>
          </cell>
          <cell r="H231">
            <v>6000</v>
          </cell>
          <cell r="I231">
            <v>0</v>
          </cell>
          <cell r="J231">
            <v>1.25</v>
          </cell>
          <cell r="K231">
            <v>0</v>
          </cell>
          <cell r="L231">
            <v>16</v>
          </cell>
          <cell r="M231">
            <v>93.75</v>
          </cell>
          <cell r="N231">
            <v>1500</v>
          </cell>
          <cell r="O231">
            <v>44</v>
          </cell>
          <cell r="P231">
            <v>7.5</v>
          </cell>
          <cell r="Q231">
            <v>330</v>
          </cell>
          <cell r="R231">
            <v>0</v>
          </cell>
          <cell r="S231">
            <v>97.5</v>
          </cell>
          <cell r="T231">
            <v>0</v>
          </cell>
          <cell r="U231">
            <v>0</v>
          </cell>
          <cell r="V231">
            <v>126.75</v>
          </cell>
          <cell r="W231">
            <v>0</v>
          </cell>
          <cell r="X231">
            <v>0</v>
          </cell>
          <cell r="Y231">
            <v>9.75</v>
          </cell>
          <cell r="Z231">
            <v>0</v>
          </cell>
          <cell r="AA231">
            <v>0</v>
          </cell>
          <cell r="AB231">
            <v>112.5</v>
          </cell>
          <cell r="AC231">
            <v>0</v>
          </cell>
          <cell r="AD231">
            <v>0</v>
          </cell>
          <cell r="AE231">
            <v>146.25</v>
          </cell>
          <cell r="AF231">
            <v>0</v>
          </cell>
          <cell r="AG231">
            <v>0</v>
          </cell>
          <cell r="AH231">
            <v>11.25</v>
          </cell>
          <cell r="AI231">
            <v>0</v>
          </cell>
          <cell r="AJ231">
            <v>8</v>
          </cell>
          <cell r="AK231">
            <v>97.5</v>
          </cell>
          <cell r="AL231">
            <v>780</v>
          </cell>
          <cell r="AM231">
            <v>0</v>
          </cell>
          <cell r="AN231">
            <v>126.75</v>
          </cell>
          <cell r="AO231">
            <v>0</v>
          </cell>
          <cell r="AP231">
            <v>0</v>
          </cell>
          <cell r="AQ231">
            <v>9.75</v>
          </cell>
          <cell r="AR231">
            <v>0</v>
          </cell>
          <cell r="AS231">
            <v>0</v>
          </cell>
          <cell r="AT231">
            <v>150</v>
          </cell>
          <cell r="AU231">
            <v>0</v>
          </cell>
          <cell r="AV231">
            <v>0</v>
          </cell>
          <cell r="AW231">
            <v>195</v>
          </cell>
          <cell r="AX231">
            <v>0</v>
          </cell>
          <cell r="AY231">
            <v>0</v>
          </cell>
          <cell r="AZ231">
            <v>15</v>
          </cell>
          <cell r="BA231">
            <v>0</v>
          </cell>
          <cell r="BB231">
            <v>0</v>
          </cell>
          <cell r="BC231">
            <v>75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8610</v>
          </cell>
        </row>
        <row r="232">
          <cell r="C232">
            <v>10064</v>
          </cell>
          <cell r="D232" t="str">
            <v>Tupasi, Regine Albino</v>
          </cell>
          <cell r="E232">
            <v>32</v>
          </cell>
          <cell r="F232">
            <v>4</v>
          </cell>
          <cell r="G232">
            <v>600</v>
          </cell>
          <cell r="H232">
            <v>2400</v>
          </cell>
          <cell r="I232">
            <v>0</v>
          </cell>
          <cell r="J232">
            <v>1.25</v>
          </cell>
          <cell r="K232">
            <v>0</v>
          </cell>
          <cell r="L232">
            <v>8</v>
          </cell>
          <cell r="M232">
            <v>93.75</v>
          </cell>
          <cell r="N232">
            <v>750</v>
          </cell>
          <cell r="O232">
            <v>0</v>
          </cell>
          <cell r="P232">
            <v>7.5</v>
          </cell>
          <cell r="Q232">
            <v>0</v>
          </cell>
          <cell r="R232">
            <v>8</v>
          </cell>
          <cell r="S232">
            <v>97.5</v>
          </cell>
          <cell r="T232">
            <v>780</v>
          </cell>
          <cell r="U232">
            <v>0</v>
          </cell>
          <cell r="V232">
            <v>126.75</v>
          </cell>
          <cell r="W232">
            <v>0</v>
          </cell>
          <cell r="X232">
            <v>0</v>
          </cell>
          <cell r="Y232">
            <v>9.75</v>
          </cell>
          <cell r="Z232">
            <v>0</v>
          </cell>
          <cell r="AA232">
            <v>0</v>
          </cell>
          <cell r="AB232">
            <v>112.5</v>
          </cell>
          <cell r="AC232">
            <v>0</v>
          </cell>
          <cell r="AD232">
            <v>0</v>
          </cell>
          <cell r="AE232">
            <v>146.25</v>
          </cell>
          <cell r="AF232">
            <v>0</v>
          </cell>
          <cell r="AG232">
            <v>0</v>
          </cell>
          <cell r="AH232">
            <v>11.25</v>
          </cell>
          <cell r="AI232">
            <v>0</v>
          </cell>
          <cell r="AJ232">
            <v>0</v>
          </cell>
          <cell r="AK232">
            <v>97.5</v>
          </cell>
          <cell r="AL232">
            <v>0</v>
          </cell>
          <cell r="AM232">
            <v>0</v>
          </cell>
          <cell r="AN232">
            <v>126.75</v>
          </cell>
          <cell r="AO232">
            <v>0</v>
          </cell>
          <cell r="AP232">
            <v>0</v>
          </cell>
          <cell r="AQ232">
            <v>9.75</v>
          </cell>
          <cell r="AR232">
            <v>0</v>
          </cell>
          <cell r="AS232">
            <v>0</v>
          </cell>
          <cell r="AT232">
            <v>150</v>
          </cell>
          <cell r="AU232">
            <v>0</v>
          </cell>
          <cell r="AV232">
            <v>0</v>
          </cell>
          <cell r="AW232">
            <v>195</v>
          </cell>
          <cell r="AX232">
            <v>0</v>
          </cell>
          <cell r="AY232">
            <v>0</v>
          </cell>
          <cell r="AZ232">
            <v>15</v>
          </cell>
          <cell r="BA232">
            <v>0</v>
          </cell>
          <cell r="BB232">
            <v>0</v>
          </cell>
          <cell r="BC232">
            <v>75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3930</v>
          </cell>
        </row>
        <row r="233">
          <cell r="C233">
            <v>10038</v>
          </cell>
          <cell r="D233" t="str">
            <v>Valeros, Vianca Rose Funelas</v>
          </cell>
          <cell r="E233">
            <v>56</v>
          </cell>
          <cell r="F233">
            <v>7</v>
          </cell>
          <cell r="G233">
            <v>600</v>
          </cell>
          <cell r="H233">
            <v>4200</v>
          </cell>
          <cell r="I233">
            <v>0</v>
          </cell>
          <cell r="J233">
            <v>1.25</v>
          </cell>
          <cell r="K233">
            <v>0</v>
          </cell>
          <cell r="L233">
            <v>16</v>
          </cell>
          <cell r="M233">
            <v>93.75</v>
          </cell>
          <cell r="N233">
            <v>1500</v>
          </cell>
          <cell r="O233">
            <v>32</v>
          </cell>
          <cell r="P233">
            <v>7.5</v>
          </cell>
          <cell r="Q233">
            <v>240</v>
          </cell>
          <cell r="R233">
            <v>8</v>
          </cell>
          <cell r="S233">
            <v>97.5</v>
          </cell>
          <cell r="T233">
            <v>780</v>
          </cell>
          <cell r="U233">
            <v>0</v>
          </cell>
          <cell r="V233">
            <v>126.75</v>
          </cell>
          <cell r="W233">
            <v>0</v>
          </cell>
          <cell r="X233">
            <v>0</v>
          </cell>
          <cell r="Y233">
            <v>9.75</v>
          </cell>
          <cell r="Z233">
            <v>0</v>
          </cell>
          <cell r="AA233">
            <v>0</v>
          </cell>
          <cell r="AB233">
            <v>112.5</v>
          </cell>
          <cell r="AC233">
            <v>0</v>
          </cell>
          <cell r="AD233">
            <v>0</v>
          </cell>
          <cell r="AE233">
            <v>146.25</v>
          </cell>
          <cell r="AF233">
            <v>0</v>
          </cell>
          <cell r="AG233">
            <v>0</v>
          </cell>
          <cell r="AH233">
            <v>11.25</v>
          </cell>
          <cell r="AI233">
            <v>0</v>
          </cell>
          <cell r="AJ233">
            <v>8</v>
          </cell>
          <cell r="AK233">
            <v>97.5</v>
          </cell>
          <cell r="AL233">
            <v>780</v>
          </cell>
          <cell r="AM233">
            <v>0</v>
          </cell>
          <cell r="AN233">
            <v>126.75</v>
          </cell>
          <cell r="AO233">
            <v>0</v>
          </cell>
          <cell r="AP233">
            <v>0</v>
          </cell>
          <cell r="AQ233">
            <v>9.75</v>
          </cell>
          <cell r="AR233">
            <v>0</v>
          </cell>
          <cell r="AS233">
            <v>0</v>
          </cell>
          <cell r="AT233">
            <v>150</v>
          </cell>
          <cell r="AU233">
            <v>0</v>
          </cell>
          <cell r="AV233">
            <v>0</v>
          </cell>
          <cell r="AW233">
            <v>195</v>
          </cell>
          <cell r="AX233">
            <v>0</v>
          </cell>
          <cell r="AY233">
            <v>0</v>
          </cell>
          <cell r="AZ233">
            <v>15</v>
          </cell>
          <cell r="BA233">
            <v>0</v>
          </cell>
          <cell r="BB233">
            <v>0</v>
          </cell>
          <cell r="BC233">
            <v>75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7500</v>
          </cell>
        </row>
        <row r="234">
          <cell r="C234">
            <v>10034</v>
          </cell>
          <cell r="D234" t="str">
            <v>Velarde, Arlene Falcotelo</v>
          </cell>
          <cell r="E234">
            <v>68</v>
          </cell>
          <cell r="F234">
            <v>8.5</v>
          </cell>
          <cell r="G234">
            <v>600</v>
          </cell>
          <cell r="H234">
            <v>5100</v>
          </cell>
          <cell r="I234">
            <v>0</v>
          </cell>
          <cell r="J234">
            <v>1.25</v>
          </cell>
          <cell r="K234">
            <v>0</v>
          </cell>
          <cell r="L234">
            <v>13</v>
          </cell>
          <cell r="M234">
            <v>93.75</v>
          </cell>
          <cell r="N234">
            <v>1218.75</v>
          </cell>
          <cell r="O234">
            <v>0</v>
          </cell>
          <cell r="P234">
            <v>7.5</v>
          </cell>
          <cell r="Q234">
            <v>0</v>
          </cell>
          <cell r="R234">
            <v>0</v>
          </cell>
          <cell r="S234">
            <v>97.5</v>
          </cell>
          <cell r="T234">
            <v>0</v>
          </cell>
          <cell r="U234">
            <v>0</v>
          </cell>
          <cell r="V234">
            <v>126.75</v>
          </cell>
          <cell r="W234">
            <v>0</v>
          </cell>
          <cell r="X234">
            <v>0</v>
          </cell>
          <cell r="Y234">
            <v>9.75</v>
          </cell>
          <cell r="Z234">
            <v>0</v>
          </cell>
          <cell r="AA234">
            <v>0</v>
          </cell>
          <cell r="AB234">
            <v>112.5</v>
          </cell>
          <cell r="AC234">
            <v>0</v>
          </cell>
          <cell r="AD234">
            <v>0</v>
          </cell>
          <cell r="AE234">
            <v>146.25</v>
          </cell>
          <cell r="AF234">
            <v>0</v>
          </cell>
          <cell r="AG234">
            <v>0</v>
          </cell>
          <cell r="AH234">
            <v>11.25</v>
          </cell>
          <cell r="AI234">
            <v>0</v>
          </cell>
          <cell r="AJ234">
            <v>8</v>
          </cell>
          <cell r="AK234">
            <v>97.5</v>
          </cell>
          <cell r="AL234">
            <v>780</v>
          </cell>
          <cell r="AM234">
            <v>0</v>
          </cell>
          <cell r="AN234">
            <v>126.75</v>
          </cell>
          <cell r="AO234">
            <v>0</v>
          </cell>
          <cell r="AP234">
            <v>0</v>
          </cell>
          <cell r="AQ234">
            <v>9.75</v>
          </cell>
          <cell r="AR234">
            <v>0</v>
          </cell>
          <cell r="AS234">
            <v>0</v>
          </cell>
          <cell r="AT234">
            <v>150</v>
          </cell>
          <cell r="AU234">
            <v>0</v>
          </cell>
          <cell r="AV234">
            <v>0</v>
          </cell>
          <cell r="AW234">
            <v>195</v>
          </cell>
          <cell r="AX234">
            <v>0</v>
          </cell>
          <cell r="AY234">
            <v>0</v>
          </cell>
          <cell r="AZ234">
            <v>15</v>
          </cell>
          <cell r="BA234">
            <v>0</v>
          </cell>
          <cell r="BB234">
            <v>0</v>
          </cell>
          <cell r="BC234">
            <v>75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7098.75</v>
          </cell>
        </row>
        <row r="235">
          <cell r="C235">
            <v>14045</v>
          </cell>
          <cell r="D235" t="str">
            <v>Velasco, Albert M.</v>
          </cell>
          <cell r="E235">
            <v>64</v>
          </cell>
          <cell r="F235">
            <v>8</v>
          </cell>
          <cell r="G235">
            <v>600</v>
          </cell>
          <cell r="H235">
            <v>4800</v>
          </cell>
          <cell r="I235">
            <v>0</v>
          </cell>
          <cell r="J235">
            <v>1.25</v>
          </cell>
          <cell r="K235">
            <v>0</v>
          </cell>
          <cell r="L235">
            <v>30</v>
          </cell>
          <cell r="M235">
            <v>93.75</v>
          </cell>
          <cell r="N235">
            <v>2812.5</v>
          </cell>
          <cell r="O235">
            <v>32</v>
          </cell>
          <cell r="P235">
            <v>7.5</v>
          </cell>
          <cell r="Q235">
            <v>240</v>
          </cell>
          <cell r="R235">
            <v>0</v>
          </cell>
          <cell r="S235">
            <v>97.5</v>
          </cell>
          <cell r="T235">
            <v>0</v>
          </cell>
          <cell r="U235">
            <v>0</v>
          </cell>
          <cell r="V235">
            <v>126.75</v>
          </cell>
          <cell r="W235">
            <v>0</v>
          </cell>
          <cell r="X235">
            <v>0</v>
          </cell>
          <cell r="Y235">
            <v>9.75</v>
          </cell>
          <cell r="Z235">
            <v>0</v>
          </cell>
          <cell r="AA235">
            <v>0</v>
          </cell>
          <cell r="AB235">
            <v>112.5</v>
          </cell>
          <cell r="AC235">
            <v>0</v>
          </cell>
          <cell r="AD235">
            <v>0</v>
          </cell>
          <cell r="AE235">
            <v>146.25</v>
          </cell>
          <cell r="AF235">
            <v>0</v>
          </cell>
          <cell r="AG235">
            <v>0</v>
          </cell>
          <cell r="AH235">
            <v>11.25</v>
          </cell>
          <cell r="AI235">
            <v>0</v>
          </cell>
          <cell r="AJ235">
            <v>0</v>
          </cell>
          <cell r="AK235">
            <v>97.5</v>
          </cell>
          <cell r="AL235">
            <v>0</v>
          </cell>
          <cell r="AM235">
            <v>0</v>
          </cell>
          <cell r="AN235">
            <v>126.75</v>
          </cell>
          <cell r="AO235">
            <v>0</v>
          </cell>
          <cell r="AP235">
            <v>0</v>
          </cell>
          <cell r="AQ235">
            <v>9.75</v>
          </cell>
          <cell r="AR235">
            <v>0</v>
          </cell>
          <cell r="AS235">
            <v>0</v>
          </cell>
          <cell r="AT235">
            <v>150</v>
          </cell>
          <cell r="AU235">
            <v>0</v>
          </cell>
          <cell r="AV235">
            <v>0</v>
          </cell>
          <cell r="AW235">
            <v>195</v>
          </cell>
          <cell r="AX235">
            <v>0</v>
          </cell>
          <cell r="AY235">
            <v>0</v>
          </cell>
          <cell r="AZ235">
            <v>15</v>
          </cell>
          <cell r="BA235">
            <v>0</v>
          </cell>
          <cell r="BB235">
            <v>0</v>
          </cell>
          <cell r="BC235">
            <v>75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7852.5</v>
          </cell>
        </row>
        <row r="236">
          <cell r="C236">
            <v>12599</v>
          </cell>
          <cell r="D236" t="str">
            <v>Velasco, Jaylo Soqueño</v>
          </cell>
          <cell r="E236">
            <v>64</v>
          </cell>
          <cell r="F236">
            <v>8</v>
          </cell>
          <cell r="G236">
            <v>600</v>
          </cell>
          <cell r="H236">
            <v>4800</v>
          </cell>
          <cell r="I236">
            <v>0</v>
          </cell>
          <cell r="J236">
            <v>1.25</v>
          </cell>
          <cell r="K236">
            <v>0</v>
          </cell>
          <cell r="L236">
            <v>14</v>
          </cell>
          <cell r="M236">
            <v>93.75</v>
          </cell>
          <cell r="N236">
            <v>1312.5</v>
          </cell>
          <cell r="O236">
            <v>0</v>
          </cell>
          <cell r="P236">
            <v>7.5</v>
          </cell>
          <cell r="Q236">
            <v>0</v>
          </cell>
          <cell r="R236">
            <v>8</v>
          </cell>
          <cell r="S236">
            <v>97.5</v>
          </cell>
          <cell r="T236">
            <v>780</v>
          </cell>
          <cell r="U236">
            <v>0</v>
          </cell>
          <cell r="V236">
            <v>126.75</v>
          </cell>
          <cell r="W236">
            <v>0</v>
          </cell>
          <cell r="X236">
            <v>0</v>
          </cell>
          <cell r="Y236">
            <v>9.75</v>
          </cell>
          <cell r="Z236">
            <v>0</v>
          </cell>
          <cell r="AA236">
            <v>0</v>
          </cell>
          <cell r="AB236">
            <v>112.5</v>
          </cell>
          <cell r="AC236">
            <v>0</v>
          </cell>
          <cell r="AD236">
            <v>0</v>
          </cell>
          <cell r="AE236">
            <v>146.25</v>
          </cell>
          <cell r="AF236">
            <v>0</v>
          </cell>
          <cell r="AG236">
            <v>0</v>
          </cell>
          <cell r="AH236">
            <v>11.25</v>
          </cell>
          <cell r="AI236">
            <v>0</v>
          </cell>
          <cell r="AJ236">
            <v>8</v>
          </cell>
          <cell r="AK236">
            <v>97.5</v>
          </cell>
          <cell r="AL236">
            <v>780</v>
          </cell>
          <cell r="AM236">
            <v>0</v>
          </cell>
          <cell r="AN236">
            <v>126.75</v>
          </cell>
          <cell r="AO236">
            <v>0</v>
          </cell>
          <cell r="AP236">
            <v>0</v>
          </cell>
          <cell r="AQ236">
            <v>9.75</v>
          </cell>
          <cell r="AR236">
            <v>0</v>
          </cell>
          <cell r="AS236">
            <v>0</v>
          </cell>
          <cell r="AT236">
            <v>150</v>
          </cell>
          <cell r="AU236">
            <v>0</v>
          </cell>
          <cell r="AV236">
            <v>0</v>
          </cell>
          <cell r="AW236">
            <v>195</v>
          </cell>
          <cell r="AX236">
            <v>0</v>
          </cell>
          <cell r="AY236">
            <v>0</v>
          </cell>
          <cell r="AZ236">
            <v>15</v>
          </cell>
          <cell r="BA236">
            <v>0</v>
          </cell>
          <cell r="BB236">
            <v>0</v>
          </cell>
          <cell r="BC236">
            <v>75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7672.5</v>
          </cell>
        </row>
        <row r="237">
          <cell r="C237">
            <v>10037</v>
          </cell>
          <cell r="D237" t="str">
            <v>Verdadero, Leo Manalo</v>
          </cell>
          <cell r="E237">
            <v>80</v>
          </cell>
          <cell r="F237">
            <v>10</v>
          </cell>
          <cell r="G237">
            <v>600</v>
          </cell>
          <cell r="H237">
            <v>6000</v>
          </cell>
          <cell r="I237">
            <v>0</v>
          </cell>
          <cell r="J237">
            <v>1.25</v>
          </cell>
          <cell r="K237">
            <v>0</v>
          </cell>
          <cell r="L237">
            <v>16</v>
          </cell>
          <cell r="M237">
            <v>93.75</v>
          </cell>
          <cell r="N237">
            <v>1500</v>
          </cell>
          <cell r="O237">
            <v>46</v>
          </cell>
          <cell r="P237">
            <v>7.5</v>
          </cell>
          <cell r="Q237">
            <v>345</v>
          </cell>
          <cell r="R237">
            <v>8</v>
          </cell>
          <cell r="S237">
            <v>97.5</v>
          </cell>
          <cell r="T237">
            <v>780</v>
          </cell>
          <cell r="U237">
            <v>0</v>
          </cell>
          <cell r="V237">
            <v>126.75</v>
          </cell>
          <cell r="W237">
            <v>0</v>
          </cell>
          <cell r="X237">
            <v>0</v>
          </cell>
          <cell r="Y237">
            <v>9.75</v>
          </cell>
          <cell r="Z237">
            <v>0</v>
          </cell>
          <cell r="AA237">
            <v>0</v>
          </cell>
          <cell r="AB237">
            <v>112.5</v>
          </cell>
          <cell r="AC237">
            <v>0</v>
          </cell>
          <cell r="AD237">
            <v>0</v>
          </cell>
          <cell r="AE237">
            <v>146.25</v>
          </cell>
          <cell r="AF237">
            <v>0</v>
          </cell>
          <cell r="AG237">
            <v>0</v>
          </cell>
          <cell r="AH237">
            <v>11.25</v>
          </cell>
          <cell r="AI237">
            <v>0</v>
          </cell>
          <cell r="AJ237">
            <v>8</v>
          </cell>
          <cell r="AK237">
            <v>97.5</v>
          </cell>
          <cell r="AL237">
            <v>780</v>
          </cell>
          <cell r="AM237">
            <v>0</v>
          </cell>
          <cell r="AN237">
            <v>126.75</v>
          </cell>
          <cell r="AO237">
            <v>0</v>
          </cell>
          <cell r="AP237">
            <v>0</v>
          </cell>
          <cell r="AQ237">
            <v>9.75</v>
          </cell>
          <cell r="AR237">
            <v>0</v>
          </cell>
          <cell r="AS237">
            <v>0</v>
          </cell>
          <cell r="AT237">
            <v>150</v>
          </cell>
          <cell r="AU237">
            <v>0</v>
          </cell>
          <cell r="AV237">
            <v>0</v>
          </cell>
          <cell r="AW237">
            <v>195</v>
          </cell>
          <cell r="AX237">
            <v>0</v>
          </cell>
          <cell r="AY237">
            <v>0</v>
          </cell>
          <cell r="AZ237">
            <v>15</v>
          </cell>
          <cell r="BA237">
            <v>0</v>
          </cell>
          <cell r="BB237">
            <v>0</v>
          </cell>
          <cell r="BC237">
            <v>75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9405</v>
          </cell>
        </row>
        <row r="238">
          <cell r="C238">
            <v>10991</v>
          </cell>
          <cell r="D238" t="str">
            <v>Vicero, Jeffrenz Manalo</v>
          </cell>
          <cell r="E238">
            <v>0</v>
          </cell>
          <cell r="F238">
            <v>0</v>
          </cell>
          <cell r="G238">
            <v>600</v>
          </cell>
          <cell r="H238">
            <v>0</v>
          </cell>
          <cell r="I238">
            <v>0</v>
          </cell>
          <cell r="J238">
            <v>1.25</v>
          </cell>
          <cell r="K238">
            <v>0</v>
          </cell>
          <cell r="L238">
            <v>0</v>
          </cell>
          <cell r="M238">
            <v>93.75</v>
          </cell>
          <cell r="N238">
            <v>0</v>
          </cell>
          <cell r="O238">
            <v>0</v>
          </cell>
          <cell r="P238">
            <v>7.5</v>
          </cell>
          <cell r="Q238">
            <v>0</v>
          </cell>
          <cell r="R238">
            <v>0</v>
          </cell>
          <cell r="S238">
            <v>97.5</v>
          </cell>
          <cell r="T238">
            <v>0</v>
          </cell>
          <cell r="U238">
            <v>0</v>
          </cell>
          <cell r="V238">
            <v>126.75</v>
          </cell>
          <cell r="W238">
            <v>0</v>
          </cell>
          <cell r="X238">
            <v>0</v>
          </cell>
          <cell r="Y238">
            <v>9.75</v>
          </cell>
          <cell r="Z238">
            <v>0</v>
          </cell>
          <cell r="AA238">
            <v>0</v>
          </cell>
          <cell r="AB238">
            <v>112.5</v>
          </cell>
          <cell r="AC238">
            <v>0</v>
          </cell>
          <cell r="AD238">
            <v>0</v>
          </cell>
          <cell r="AE238">
            <v>146.25</v>
          </cell>
          <cell r="AF238">
            <v>0</v>
          </cell>
          <cell r="AG238">
            <v>0</v>
          </cell>
          <cell r="AH238">
            <v>11.25</v>
          </cell>
          <cell r="AI238">
            <v>0</v>
          </cell>
          <cell r="AJ238">
            <v>0</v>
          </cell>
          <cell r="AK238">
            <v>97.5</v>
          </cell>
          <cell r="AL238">
            <v>0</v>
          </cell>
          <cell r="AM238">
            <v>0</v>
          </cell>
          <cell r="AN238">
            <v>126.75</v>
          </cell>
          <cell r="AO238">
            <v>0</v>
          </cell>
          <cell r="AP238">
            <v>0</v>
          </cell>
          <cell r="AQ238">
            <v>9.75</v>
          </cell>
          <cell r="AR238">
            <v>0</v>
          </cell>
          <cell r="AS238">
            <v>0</v>
          </cell>
          <cell r="AT238">
            <v>150</v>
          </cell>
          <cell r="AU238">
            <v>0</v>
          </cell>
          <cell r="AV238">
            <v>0</v>
          </cell>
          <cell r="AW238">
            <v>195</v>
          </cell>
          <cell r="AX238">
            <v>0</v>
          </cell>
          <cell r="AY238">
            <v>0</v>
          </cell>
          <cell r="AZ238">
            <v>15</v>
          </cell>
          <cell r="BA238">
            <v>0</v>
          </cell>
          <cell r="BB238">
            <v>0</v>
          </cell>
          <cell r="BC238">
            <v>75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C239">
            <v>30222</v>
          </cell>
          <cell r="D239" t="str">
            <v>Villanueva, Aljon</v>
          </cell>
          <cell r="E239">
            <v>48</v>
          </cell>
          <cell r="F239">
            <v>6</v>
          </cell>
          <cell r="G239">
            <v>600</v>
          </cell>
          <cell r="H239">
            <v>3600</v>
          </cell>
          <cell r="I239">
            <v>2</v>
          </cell>
          <cell r="J239">
            <v>1.25</v>
          </cell>
          <cell r="K239">
            <v>-2.5</v>
          </cell>
          <cell r="L239">
            <v>8</v>
          </cell>
          <cell r="M239">
            <v>93.75</v>
          </cell>
          <cell r="N239">
            <v>750</v>
          </cell>
          <cell r="O239">
            <v>44</v>
          </cell>
          <cell r="P239">
            <v>7.5</v>
          </cell>
          <cell r="Q239">
            <v>330</v>
          </cell>
          <cell r="R239">
            <v>8</v>
          </cell>
          <cell r="S239">
            <v>97.5</v>
          </cell>
          <cell r="T239">
            <v>780</v>
          </cell>
          <cell r="U239">
            <v>0</v>
          </cell>
          <cell r="V239">
            <v>126.75</v>
          </cell>
          <cell r="W239">
            <v>0</v>
          </cell>
          <cell r="X239">
            <v>0</v>
          </cell>
          <cell r="Y239">
            <v>9.75</v>
          </cell>
          <cell r="Z239">
            <v>0</v>
          </cell>
          <cell r="AA239">
            <v>0</v>
          </cell>
          <cell r="AB239">
            <v>112.5</v>
          </cell>
          <cell r="AC239">
            <v>0</v>
          </cell>
          <cell r="AD239">
            <v>0</v>
          </cell>
          <cell r="AE239">
            <v>146.25</v>
          </cell>
          <cell r="AF239">
            <v>0</v>
          </cell>
          <cell r="AG239">
            <v>0</v>
          </cell>
          <cell r="AH239">
            <v>11.25</v>
          </cell>
          <cell r="AI239">
            <v>0</v>
          </cell>
          <cell r="AJ239">
            <v>0</v>
          </cell>
          <cell r="AK239">
            <v>97.5</v>
          </cell>
          <cell r="AL239">
            <v>0</v>
          </cell>
          <cell r="AM239">
            <v>0</v>
          </cell>
          <cell r="AN239">
            <v>126.75</v>
          </cell>
          <cell r="AO239">
            <v>0</v>
          </cell>
          <cell r="AP239">
            <v>0</v>
          </cell>
          <cell r="AQ239">
            <v>9.75</v>
          </cell>
          <cell r="AR239">
            <v>0</v>
          </cell>
          <cell r="AS239">
            <v>0</v>
          </cell>
          <cell r="AT239">
            <v>150</v>
          </cell>
          <cell r="AU239">
            <v>0</v>
          </cell>
          <cell r="AV239">
            <v>0</v>
          </cell>
          <cell r="AW239">
            <v>195</v>
          </cell>
          <cell r="AX239">
            <v>0</v>
          </cell>
          <cell r="AY239">
            <v>0</v>
          </cell>
          <cell r="AZ239">
            <v>15</v>
          </cell>
          <cell r="BA239">
            <v>0</v>
          </cell>
          <cell r="BB239">
            <v>0</v>
          </cell>
          <cell r="BC239">
            <v>75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5457.5</v>
          </cell>
        </row>
        <row r="240">
          <cell r="C240">
            <v>14234</v>
          </cell>
          <cell r="D240" t="str">
            <v>Villanueva, Carla Shean</v>
          </cell>
          <cell r="E240">
            <v>80</v>
          </cell>
          <cell r="F240">
            <v>10</v>
          </cell>
          <cell r="G240">
            <v>600</v>
          </cell>
          <cell r="H240">
            <v>6000</v>
          </cell>
          <cell r="I240">
            <v>0</v>
          </cell>
          <cell r="J240">
            <v>1.25</v>
          </cell>
          <cell r="K240">
            <v>0</v>
          </cell>
          <cell r="L240">
            <v>15</v>
          </cell>
          <cell r="M240">
            <v>93.75</v>
          </cell>
          <cell r="N240">
            <v>1406.25</v>
          </cell>
          <cell r="O240">
            <v>0</v>
          </cell>
          <cell r="P240">
            <v>7.5</v>
          </cell>
          <cell r="Q240">
            <v>0</v>
          </cell>
          <cell r="R240">
            <v>8</v>
          </cell>
          <cell r="S240">
            <v>97.5</v>
          </cell>
          <cell r="T240">
            <v>780</v>
          </cell>
          <cell r="U240">
            <v>1</v>
          </cell>
          <cell r="V240">
            <v>126.75</v>
          </cell>
          <cell r="W240">
            <v>126.75</v>
          </cell>
          <cell r="X240">
            <v>0</v>
          </cell>
          <cell r="Y240">
            <v>9.75</v>
          </cell>
          <cell r="Z240">
            <v>0</v>
          </cell>
          <cell r="AA240">
            <v>0</v>
          </cell>
          <cell r="AB240">
            <v>112.5</v>
          </cell>
          <cell r="AC240">
            <v>0</v>
          </cell>
          <cell r="AD240">
            <v>0</v>
          </cell>
          <cell r="AE240">
            <v>146.25</v>
          </cell>
          <cell r="AF240">
            <v>0</v>
          </cell>
          <cell r="AG240">
            <v>0</v>
          </cell>
          <cell r="AH240">
            <v>11.25</v>
          </cell>
          <cell r="AI240">
            <v>0</v>
          </cell>
          <cell r="AJ240">
            <v>8</v>
          </cell>
          <cell r="AK240">
            <v>97.5</v>
          </cell>
          <cell r="AL240">
            <v>780</v>
          </cell>
          <cell r="AM240">
            <v>0</v>
          </cell>
          <cell r="AN240">
            <v>126.75</v>
          </cell>
          <cell r="AO240">
            <v>0</v>
          </cell>
          <cell r="AP240">
            <v>0</v>
          </cell>
          <cell r="AQ240">
            <v>9.75</v>
          </cell>
          <cell r="AR240">
            <v>0</v>
          </cell>
          <cell r="AS240">
            <v>0</v>
          </cell>
          <cell r="AT240">
            <v>150</v>
          </cell>
          <cell r="AU240">
            <v>0</v>
          </cell>
          <cell r="AV240">
            <v>0</v>
          </cell>
          <cell r="AW240">
            <v>195</v>
          </cell>
          <cell r="AX240">
            <v>0</v>
          </cell>
          <cell r="AY240">
            <v>0</v>
          </cell>
          <cell r="AZ240">
            <v>15</v>
          </cell>
          <cell r="BA240">
            <v>0</v>
          </cell>
          <cell r="BB240">
            <v>0</v>
          </cell>
          <cell r="BC240">
            <v>75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9093</v>
          </cell>
        </row>
        <row r="241">
          <cell r="C241">
            <v>30250</v>
          </cell>
          <cell r="D241" t="str">
            <v>Villar, Analyn Cual</v>
          </cell>
          <cell r="E241">
            <v>32</v>
          </cell>
          <cell r="F241">
            <v>4</v>
          </cell>
          <cell r="G241">
            <v>600</v>
          </cell>
          <cell r="H241">
            <v>2400</v>
          </cell>
          <cell r="I241">
            <v>0</v>
          </cell>
          <cell r="J241">
            <v>1.25</v>
          </cell>
          <cell r="K241">
            <v>0</v>
          </cell>
          <cell r="L241">
            <v>4</v>
          </cell>
          <cell r="M241">
            <v>93.75</v>
          </cell>
          <cell r="N241">
            <v>375</v>
          </cell>
          <cell r="O241">
            <v>22</v>
          </cell>
          <cell r="P241">
            <v>7.5</v>
          </cell>
          <cell r="Q241">
            <v>165</v>
          </cell>
          <cell r="R241">
            <v>0</v>
          </cell>
          <cell r="S241">
            <v>97.5</v>
          </cell>
          <cell r="T241">
            <v>0</v>
          </cell>
          <cell r="U241">
            <v>0</v>
          </cell>
          <cell r="V241">
            <v>126.75</v>
          </cell>
          <cell r="W241">
            <v>0</v>
          </cell>
          <cell r="X241">
            <v>0</v>
          </cell>
          <cell r="Y241">
            <v>9.75</v>
          </cell>
          <cell r="Z241">
            <v>0</v>
          </cell>
          <cell r="AA241">
            <v>0</v>
          </cell>
          <cell r="AB241">
            <v>112.5</v>
          </cell>
          <cell r="AC241">
            <v>0</v>
          </cell>
          <cell r="AD241">
            <v>0</v>
          </cell>
          <cell r="AE241">
            <v>146.25</v>
          </cell>
          <cell r="AF241">
            <v>0</v>
          </cell>
          <cell r="AG241">
            <v>0</v>
          </cell>
          <cell r="AH241">
            <v>11.25</v>
          </cell>
          <cell r="AI241">
            <v>0</v>
          </cell>
          <cell r="AJ241">
            <v>0</v>
          </cell>
          <cell r="AK241">
            <v>97.5</v>
          </cell>
          <cell r="AL241">
            <v>0</v>
          </cell>
          <cell r="AM241">
            <v>0</v>
          </cell>
          <cell r="AN241">
            <v>126.75</v>
          </cell>
          <cell r="AO241">
            <v>0</v>
          </cell>
          <cell r="AP241">
            <v>0</v>
          </cell>
          <cell r="AQ241">
            <v>9.75</v>
          </cell>
          <cell r="AR241">
            <v>0</v>
          </cell>
          <cell r="AS241">
            <v>0</v>
          </cell>
          <cell r="AT241">
            <v>150</v>
          </cell>
          <cell r="AU241">
            <v>0</v>
          </cell>
          <cell r="AV241">
            <v>0</v>
          </cell>
          <cell r="AW241">
            <v>195</v>
          </cell>
          <cell r="AX241">
            <v>0</v>
          </cell>
          <cell r="AY241">
            <v>0</v>
          </cell>
          <cell r="AZ241">
            <v>15</v>
          </cell>
          <cell r="BA241">
            <v>0</v>
          </cell>
          <cell r="BB241">
            <v>0</v>
          </cell>
          <cell r="BC241">
            <v>75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2940</v>
          </cell>
        </row>
        <row r="242">
          <cell r="C242">
            <v>6813</v>
          </cell>
          <cell r="D242" t="str">
            <v>Viñas, Christian Montoya</v>
          </cell>
          <cell r="E242">
            <v>72</v>
          </cell>
          <cell r="F242">
            <v>9</v>
          </cell>
          <cell r="G242">
            <v>600</v>
          </cell>
          <cell r="H242">
            <v>5400</v>
          </cell>
          <cell r="I242">
            <v>0</v>
          </cell>
          <cell r="J242">
            <v>1.25</v>
          </cell>
          <cell r="K242">
            <v>0</v>
          </cell>
          <cell r="L242">
            <v>16</v>
          </cell>
          <cell r="M242">
            <v>93.75</v>
          </cell>
          <cell r="N242">
            <v>1500</v>
          </cell>
          <cell r="O242">
            <v>0</v>
          </cell>
          <cell r="P242">
            <v>7.5</v>
          </cell>
          <cell r="Q242">
            <v>0</v>
          </cell>
          <cell r="R242">
            <v>0</v>
          </cell>
          <cell r="S242">
            <v>97.5</v>
          </cell>
          <cell r="T242">
            <v>0</v>
          </cell>
          <cell r="U242">
            <v>0</v>
          </cell>
          <cell r="V242">
            <v>126.75</v>
          </cell>
          <cell r="W242">
            <v>0</v>
          </cell>
          <cell r="X242">
            <v>0</v>
          </cell>
          <cell r="Y242">
            <v>9.75</v>
          </cell>
          <cell r="Z242">
            <v>0</v>
          </cell>
          <cell r="AA242">
            <v>0</v>
          </cell>
          <cell r="AB242">
            <v>112.5</v>
          </cell>
          <cell r="AC242">
            <v>0</v>
          </cell>
          <cell r="AD242">
            <v>0</v>
          </cell>
          <cell r="AE242">
            <v>146.25</v>
          </cell>
          <cell r="AF242">
            <v>0</v>
          </cell>
          <cell r="AG242">
            <v>0</v>
          </cell>
          <cell r="AH242">
            <v>11.25</v>
          </cell>
          <cell r="AI242">
            <v>0</v>
          </cell>
          <cell r="AJ242">
            <v>8</v>
          </cell>
          <cell r="AK242">
            <v>97.5</v>
          </cell>
          <cell r="AL242">
            <v>780</v>
          </cell>
          <cell r="AM242">
            <v>0</v>
          </cell>
          <cell r="AN242">
            <v>126.75</v>
          </cell>
          <cell r="AO242">
            <v>0</v>
          </cell>
          <cell r="AP242">
            <v>0</v>
          </cell>
          <cell r="AQ242">
            <v>9.75</v>
          </cell>
          <cell r="AR242">
            <v>0</v>
          </cell>
          <cell r="AS242">
            <v>0</v>
          </cell>
          <cell r="AT242">
            <v>150</v>
          </cell>
          <cell r="AU242">
            <v>0</v>
          </cell>
          <cell r="AV242">
            <v>0</v>
          </cell>
          <cell r="AW242">
            <v>195</v>
          </cell>
          <cell r="AX242">
            <v>0</v>
          </cell>
          <cell r="AY242">
            <v>0</v>
          </cell>
          <cell r="AZ242">
            <v>15</v>
          </cell>
          <cell r="BA242">
            <v>0</v>
          </cell>
          <cell r="BB242">
            <v>0</v>
          </cell>
          <cell r="BC242">
            <v>75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7680</v>
          </cell>
        </row>
        <row r="243">
          <cell r="C243">
            <v>12009</v>
          </cell>
          <cell r="D243" t="str">
            <v xml:space="preserve">Viray, Joshua Laya </v>
          </cell>
          <cell r="E243">
            <v>64</v>
          </cell>
          <cell r="F243">
            <v>8</v>
          </cell>
          <cell r="G243">
            <v>600</v>
          </cell>
          <cell r="H243">
            <v>4800</v>
          </cell>
          <cell r="I243">
            <v>0</v>
          </cell>
          <cell r="J243">
            <v>1.25</v>
          </cell>
          <cell r="K243">
            <v>0</v>
          </cell>
          <cell r="L243">
            <v>14</v>
          </cell>
          <cell r="M243">
            <v>93.75</v>
          </cell>
          <cell r="N243">
            <v>1312.5</v>
          </cell>
          <cell r="O243">
            <v>16</v>
          </cell>
          <cell r="P243">
            <v>7.5</v>
          </cell>
          <cell r="Q243">
            <v>120</v>
          </cell>
          <cell r="R243">
            <v>0</v>
          </cell>
          <cell r="S243">
            <v>97.5</v>
          </cell>
          <cell r="T243">
            <v>0</v>
          </cell>
          <cell r="U243">
            <v>0</v>
          </cell>
          <cell r="V243">
            <v>126.75</v>
          </cell>
          <cell r="W243">
            <v>0</v>
          </cell>
          <cell r="X243">
            <v>0</v>
          </cell>
          <cell r="Y243">
            <v>9.75</v>
          </cell>
          <cell r="Z243">
            <v>0</v>
          </cell>
          <cell r="AA243">
            <v>0</v>
          </cell>
          <cell r="AB243">
            <v>112.5</v>
          </cell>
          <cell r="AC243">
            <v>0</v>
          </cell>
          <cell r="AD243">
            <v>0</v>
          </cell>
          <cell r="AE243">
            <v>146.25</v>
          </cell>
          <cell r="AF243">
            <v>0</v>
          </cell>
          <cell r="AG243">
            <v>0</v>
          </cell>
          <cell r="AH243">
            <v>11.25</v>
          </cell>
          <cell r="AI243">
            <v>0</v>
          </cell>
          <cell r="AJ243">
            <v>0</v>
          </cell>
          <cell r="AK243">
            <v>97.5</v>
          </cell>
          <cell r="AL243">
            <v>0</v>
          </cell>
          <cell r="AM243">
            <v>0</v>
          </cell>
          <cell r="AN243">
            <v>126.75</v>
          </cell>
          <cell r="AO243">
            <v>0</v>
          </cell>
          <cell r="AP243">
            <v>0</v>
          </cell>
          <cell r="AQ243">
            <v>9.75</v>
          </cell>
          <cell r="AR243">
            <v>0</v>
          </cell>
          <cell r="AS243">
            <v>0</v>
          </cell>
          <cell r="AT243">
            <v>150</v>
          </cell>
          <cell r="AU243">
            <v>0</v>
          </cell>
          <cell r="AV243">
            <v>0</v>
          </cell>
          <cell r="AW243">
            <v>195</v>
          </cell>
          <cell r="AX243">
            <v>0</v>
          </cell>
          <cell r="AY243">
            <v>0</v>
          </cell>
          <cell r="AZ243">
            <v>15</v>
          </cell>
          <cell r="BA243">
            <v>0</v>
          </cell>
          <cell r="BB243">
            <v>0</v>
          </cell>
          <cell r="BC243">
            <v>75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6232.5</v>
          </cell>
        </row>
        <row r="244">
          <cell r="C244">
            <v>30628</v>
          </cell>
          <cell r="D244" t="str">
            <v>Virrey, Edcel Bandelaria</v>
          </cell>
          <cell r="E244">
            <v>72</v>
          </cell>
          <cell r="F244">
            <v>9</v>
          </cell>
          <cell r="G244">
            <v>600</v>
          </cell>
          <cell r="H244">
            <v>5400</v>
          </cell>
          <cell r="I244">
            <v>0</v>
          </cell>
          <cell r="J244">
            <v>1.25</v>
          </cell>
          <cell r="K244">
            <v>0</v>
          </cell>
          <cell r="L244">
            <v>14</v>
          </cell>
          <cell r="M244">
            <v>93.75</v>
          </cell>
          <cell r="N244">
            <v>1312.5</v>
          </cell>
          <cell r="O244">
            <v>68</v>
          </cell>
          <cell r="P244">
            <v>7.5</v>
          </cell>
          <cell r="Q244">
            <v>510</v>
          </cell>
          <cell r="R244">
            <v>0</v>
          </cell>
          <cell r="S244">
            <v>97.5</v>
          </cell>
          <cell r="T244">
            <v>0</v>
          </cell>
          <cell r="U244">
            <v>0</v>
          </cell>
          <cell r="V244">
            <v>126.75</v>
          </cell>
          <cell r="W244">
            <v>0</v>
          </cell>
          <cell r="X244">
            <v>0</v>
          </cell>
          <cell r="Y244">
            <v>9.75</v>
          </cell>
          <cell r="Z244">
            <v>0</v>
          </cell>
          <cell r="AA244">
            <v>0</v>
          </cell>
          <cell r="AB244">
            <v>112.5</v>
          </cell>
          <cell r="AC244">
            <v>0</v>
          </cell>
          <cell r="AD244">
            <v>0</v>
          </cell>
          <cell r="AE244">
            <v>146.25</v>
          </cell>
          <cell r="AF244">
            <v>0</v>
          </cell>
          <cell r="AG244">
            <v>0</v>
          </cell>
          <cell r="AH244">
            <v>11.25</v>
          </cell>
          <cell r="AI244">
            <v>0</v>
          </cell>
          <cell r="AJ244">
            <v>0</v>
          </cell>
          <cell r="AK244">
            <v>97.5</v>
          </cell>
          <cell r="AL244">
            <v>0</v>
          </cell>
          <cell r="AM244">
            <v>0</v>
          </cell>
          <cell r="AN244">
            <v>126.75</v>
          </cell>
          <cell r="AO244">
            <v>0</v>
          </cell>
          <cell r="AP244">
            <v>0</v>
          </cell>
          <cell r="AQ244">
            <v>9.75</v>
          </cell>
          <cell r="AR244">
            <v>0</v>
          </cell>
          <cell r="AS244">
            <v>0</v>
          </cell>
          <cell r="AT244">
            <v>150</v>
          </cell>
          <cell r="AU244">
            <v>0</v>
          </cell>
          <cell r="AV244">
            <v>0</v>
          </cell>
          <cell r="AW244">
            <v>195</v>
          </cell>
          <cell r="AX244">
            <v>0</v>
          </cell>
          <cell r="AY244">
            <v>0</v>
          </cell>
          <cell r="AZ244">
            <v>15</v>
          </cell>
          <cell r="BA244">
            <v>0</v>
          </cell>
          <cell r="BB244">
            <v>0</v>
          </cell>
          <cell r="BC244">
            <v>75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7222.5</v>
          </cell>
        </row>
        <row r="245">
          <cell r="C245">
            <v>6517</v>
          </cell>
          <cell r="D245" t="str">
            <v>Zara, Cecilia Gayeta</v>
          </cell>
          <cell r="E245">
            <v>72</v>
          </cell>
          <cell r="F245">
            <v>9</v>
          </cell>
          <cell r="G245">
            <v>600</v>
          </cell>
          <cell r="H245">
            <v>5400</v>
          </cell>
          <cell r="I245">
            <v>0</v>
          </cell>
          <cell r="J245">
            <v>1.25</v>
          </cell>
          <cell r="K245">
            <v>0</v>
          </cell>
          <cell r="L245">
            <v>16</v>
          </cell>
          <cell r="M245">
            <v>93.75</v>
          </cell>
          <cell r="N245">
            <v>1500</v>
          </cell>
          <cell r="O245">
            <v>32</v>
          </cell>
          <cell r="P245">
            <v>7.5</v>
          </cell>
          <cell r="Q245">
            <v>240</v>
          </cell>
          <cell r="R245">
            <v>0</v>
          </cell>
          <cell r="S245">
            <v>97.5</v>
          </cell>
          <cell r="T245">
            <v>0</v>
          </cell>
          <cell r="U245">
            <v>0</v>
          </cell>
          <cell r="V245">
            <v>126.75</v>
          </cell>
          <cell r="W245">
            <v>0</v>
          </cell>
          <cell r="X245">
            <v>0</v>
          </cell>
          <cell r="Y245">
            <v>9.75</v>
          </cell>
          <cell r="Z245">
            <v>0</v>
          </cell>
          <cell r="AA245">
            <v>0</v>
          </cell>
          <cell r="AB245">
            <v>112.5</v>
          </cell>
          <cell r="AC245">
            <v>0</v>
          </cell>
          <cell r="AD245">
            <v>0</v>
          </cell>
          <cell r="AE245">
            <v>146.25</v>
          </cell>
          <cell r="AF245">
            <v>0</v>
          </cell>
          <cell r="AG245">
            <v>0</v>
          </cell>
          <cell r="AH245">
            <v>11.25</v>
          </cell>
          <cell r="AI245">
            <v>0</v>
          </cell>
          <cell r="AJ245">
            <v>0</v>
          </cell>
          <cell r="AK245">
            <v>97.5</v>
          </cell>
          <cell r="AL245">
            <v>0</v>
          </cell>
          <cell r="AM245">
            <v>0</v>
          </cell>
          <cell r="AN245">
            <v>126.75</v>
          </cell>
          <cell r="AO245">
            <v>0</v>
          </cell>
          <cell r="AP245">
            <v>0</v>
          </cell>
          <cell r="AQ245">
            <v>9.75</v>
          </cell>
          <cell r="AR245">
            <v>0</v>
          </cell>
          <cell r="AS245">
            <v>0</v>
          </cell>
          <cell r="AT245">
            <v>150</v>
          </cell>
          <cell r="AU245">
            <v>0</v>
          </cell>
          <cell r="AV245">
            <v>0</v>
          </cell>
          <cell r="AW245">
            <v>195</v>
          </cell>
          <cell r="AX245">
            <v>0</v>
          </cell>
          <cell r="AY245">
            <v>0</v>
          </cell>
          <cell r="AZ245">
            <v>15</v>
          </cell>
          <cell r="BA245">
            <v>0</v>
          </cell>
          <cell r="BB245">
            <v>0</v>
          </cell>
          <cell r="BC245">
            <v>75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7140</v>
          </cell>
        </row>
        <row r="246">
          <cell r="C246">
            <v>10047</v>
          </cell>
          <cell r="D246" t="str">
            <v>Zara, Mary Joy Balmes</v>
          </cell>
          <cell r="E246">
            <v>88</v>
          </cell>
          <cell r="F246">
            <v>11</v>
          </cell>
          <cell r="G246">
            <v>600</v>
          </cell>
          <cell r="H246">
            <v>6600</v>
          </cell>
          <cell r="I246">
            <v>0</v>
          </cell>
          <cell r="J246">
            <v>1.25</v>
          </cell>
          <cell r="K246">
            <v>0</v>
          </cell>
          <cell r="L246">
            <v>20</v>
          </cell>
          <cell r="M246">
            <v>93.75</v>
          </cell>
          <cell r="N246">
            <v>1875</v>
          </cell>
          <cell r="O246">
            <v>54</v>
          </cell>
          <cell r="P246">
            <v>7.5</v>
          </cell>
          <cell r="Q246">
            <v>405</v>
          </cell>
          <cell r="R246">
            <v>0</v>
          </cell>
          <cell r="S246">
            <v>97.5</v>
          </cell>
          <cell r="T246">
            <v>0</v>
          </cell>
          <cell r="U246">
            <v>0</v>
          </cell>
          <cell r="V246">
            <v>126.75</v>
          </cell>
          <cell r="W246">
            <v>0</v>
          </cell>
          <cell r="X246">
            <v>0</v>
          </cell>
          <cell r="Y246">
            <v>9.75</v>
          </cell>
          <cell r="Z246">
            <v>0</v>
          </cell>
          <cell r="AA246">
            <v>0</v>
          </cell>
          <cell r="AB246">
            <v>112.5</v>
          </cell>
          <cell r="AC246">
            <v>0</v>
          </cell>
          <cell r="AD246">
            <v>0</v>
          </cell>
          <cell r="AE246">
            <v>146.25</v>
          </cell>
          <cell r="AF246">
            <v>0</v>
          </cell>
          <cell r="AG246">
            <v>0</v>
          </cell>
          <cell r="AH246">
            <v>11.25</v>
          </cell>
          <cell r="AI246">
            <v>0</v>
          </cell>
          <cell r="AJ246">
            <v>0</v>
          </cell>
          <cell r="AK246">
            <v>97.5</v>
          </cell>
          <cell r="AL246">
            <v>0</v>
          </cell>
          <cell r="AM246">
            <v>0</v>
          </cell>
          <cell r="AN246">
            <v>126.75</v>
          </cell>
          <cell r="AO246">
            <v>0</v>
          </cell>
          <cell r="AP246">
            <v>0</v>
          </cell>
          <cell r="AQ246">
            <v>9.75</v>
          </cell>
          <cell r="AR246">
            <v>0</v>
          </cell>
          <cell r="AS246">
            <v>0</v>
          </cell>
          <cell r="AT246">
            <v>150</v>
          </cell>
          <cell r="AU246">
            <v>0</v>
          </cell>
          <cell r="AV246">
            <v>0</v>
          </cell>
          <cell r="AW246">
            <v>195</v>
          </cell>
          <cell r="AX246">
            <v>0</v>
          </cell>
          <cell r="AY246">
            <v>0</v>
          </cell>
          <cell r="AZ246">
            <v>15</v>
          </cell>
          <cell r="BA246">
            <v>0</v>
          </cell>
          <cell r="BB246">
            <v>0</v>
          </cell>
          <cell r="BC246">
            <v>75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8880</v>
          </cell>
        </row>
        <row r="247">
          <cell r="C247">
            <v>2058</v>
          </cell>
          <cell r="D247" t="str">
            <v>Zara, Ran Jade Para</v>
          </cell>
          <cell r="E247">
            <v>64</v>
          </cell>
          <cell r="F247">
            <v>8</v>
          </cell>
          <cell r="G247">
            <v>600</v>
          </cell>
          <cell r="H247">
            <v>4800</v>
          </cell>
          <cell r="I247">
            <v>0</v>
          </cell>
          <cell r="J247">
            <v>1.25</v>
          </cell>
          <cell r="K247">
            <v>0</v>
          </cell>
          <cell r="L247">
            <v>14</v>
          </cell>
          <cell r="M247">
            <v>93.75</v>
          </cell>
          <cell r="N247">
            <v>1312.5</v>
          </cell>
          <cell r="O247">
            <v>62</v>
          </cell>
          <cell r="P247">
            <v>7.5</v>
          </cell>
          <cell r="Q247">
            <v>465</v>
          </cell>
          <cell r="R247">
            <v>0</v>
          </cell>
          <cell r="S247">
            <v>97.5</v>
          </cell>
          <cell r="T247">
            <v>0</v>
          </cell>
          <cell r="U247">
            <v>0</v>
          </cell>
          <cell r="V247">
            <v>126.75</v>
          </cell>
          <cell r="W247">
            <v>0</v>
          </cell>
          <cell r="X247">
            <v>0</v>
          </cell>
          <cell r="Y247">
            <v>9.75</v>
          </cell>
          <cell r="Z247">
            <v>0</v>
          </cell>
          <cell r="AA247">
            <v>0</v>
          </cell>
          <cell r="AB247">
            <v>112.5</v>
          </cell>
          <cell r="AC247">
            <v>0</v>
          </cell>
          <cell r="AD247">
            <v>0</v>
          </cell>
          <cell r="AE247">
            <v>146.25</v>
          </cell>
          <cell r="AF247">
            <v>0</v>
          </cell>
          <cell r="AG247">
            <v>0</v>
          </cell>
          <cell r="AH247">
            <v>11.25</v>
          </cell>
          <cell r="AI247">
            <v>0</v>
          </cell>
          <cell r="AJ247">
            <v>0</v>
          </cell>
          <cell r="AK247">
            <v>97.5</v>
          </cell>
          <cell r="AL247">
            <v>0</v>
          </cell>
          <cell r="AM247">
            <v>0</v>
          </cell>
          <cell r="AN247">
            <v>126.75</v>
          </cell>
          <cell r="AO247">
            <v>0</v>
          </cell>
          <cell r="AP247">
            <v>0</v>
          </cell>
          <cell r="AQ247">
            <v>9.75</v>
          </cell>
          <cell r="AR247">
            <v>0</v>
          </cell>
          <cell r="AS247">
            <v>0</v>
          </cell>
          <cell r="AT247">
            <v>150</v>
          </cell>
          <cell r="AU247">
            <v>0</v>
          </cell>
          <cell r="AV247">
            <v>0</v>
          </cell>
          <cell r="AW247">
            <v>195</v>
          </cell>
          <cell r="AX247">
            <v>0</v>
          </cell>
          <cell r="AY247">
            <v>0</v>
          </cell>
          <cell r="AZ247">
            <v>15</v>
          </cell>
          <cell r="BA247">
            <v>0</v>
          </cell>
          <cell r="BB247">
            <v>0</v>
          </cell>
          <cell r="BC247">
            <v>75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6577.5</v>
          </cell>
        </row>
        <row r="248">
          <cell r="C248">
            <v>0</v>
          </cell>
          <cell r="D248">
            <v>0</v>
          </cell>
          <cell r="E248">
            <v>17221</v>
          </cell>
          <cell r="F248">
            <v>2152.625</v>
          </cell>
          <cell r="G248">
            <v>144000</v>
          </cell>
          <cell r="H248">
            <v>1291575</v>
          </cell>
          <cell r="I248">
            <v>1564</v>
          </cell>
          <cell r="J248">
            <v>300</v>
          </cell>
          <cell r="K248">
            <v>-1955</v>
          </cell>
          <cell r="L248">
            <v>3671.5</v>
          </cell>
          <cell r="M248">
            <v>22500</v>
          </cell>
          <cell r="N248">
            <v>344203.125</v>
          </cell>
          <cell r="O248">
            <v>7048</v>
          </cell>
          <cell r="P248">
            <v>1800</v>
          </cell>
          <cell r="Q248">
            <v>52860</v>
          </cell>
          <cell r="R248">
            <v>640</v>
          </cell>
          <cell r="S248">
            <v>23400</v>
          </cell>
          <cell r="T248">
            <v>62400</v>
          </cell>
          <cell r="U248">
            <v>7</v>
          </cell>
          <cell r="V248">
            <v>30420</v>
          </cell>
          <cell r="W248">
            <v>887.25</v>
          </cell>
          <cell r="X248">
            <v>0</v>
          </cell>
          <cell r="Y248">
            <v>2340</v>
          </cell>
          <cell r="Z248">
            <v>0</v>
          </cell>
          <cell r="AA248">
            <v>0</v>
          </cell>
          <cell r="AB248">
            <v>27000</v>
          </cell>
          <cell r="AC248">
            <v>0</v>
          </cell>
          <cell r="AD248">
            <v>0</v>
          </cell>
          <cell r="AE248">
            <v>35100</v>
          </cell>
          <cell r="AF248">
            <v>0</v>
          </cell>
          <cell r="AG248">
            <v>0</v>
          </cell>
          <cell r="AH248">
            <v>2700</v>
          </cell>
          <cell r="AI248">
            <v>0</v>
          </cell>
          <cell r="AJ248">
            <v>712</v>
          </cell>
          <cell r="AK248">
            <v>23400</v>
          </cell>
          <cell r="AL248">
            <v>69420</v>
          </cell>
          <cell r="AM248">
            <v>0</v>
          </cell>
          <cell r="AN248">
            <v>30420</v>
          </cell>
          <cell r="AO248">
            <v>0</v>
          </cell>
          <cell r="AP248">
            <v>0</v>
          </cell>
          <cell r="AQ248">
            <v>2340</v>
          </cell>
          <cell r="AR248">
            <v>0</v>
          </cell>
          <cell r="AS248">
            <v>0</v>
          </cell>
          <cell r="AT248">
            <v>36000</v>
          </cell>
          <cell r="AU248">
            <v>0</v>
          </cell>
          <cell r="AV248">
            <v>0</v>
          </cell>
          <cell r="AW248">
            <v>46800</v>
          </cell>
          <cell r="AX248">
            <v>0</v>
          </cell>
          <cell r="AY248">
            <v>0</v>
          </cell>
          <cell r="AZ248">
            <v>3600</v>
          </cell>
          <cell r="BA248">
            <v>0</v>
          </cell>
          <cell r="BB248">
            <v>0</v>
          </cell>
          <cell r="BC248">
            <v>18000</v>
          </cell>
          <cell r="BD248">
            <v>0</v>
          </cell>
          <cell r="BE248">
            <v>8</v>
          </cell>
          <cell r="BF248">
            <v>600</v>
          </cell>
          <cell r="BG248">
            <v>0</v>
          </cell>
          <cell r="BH248">
            <v>0</v>
          </cell>
          <cell r="BI248">
            <v>8</v>
          </cell>
          <cell r="BJ248">
            <v>60</v>
          </cell>
          <cell r="BK248">
            <v>0</v>
          </cell>
          <cell r="BL248">
            <v>0</v>
          </cell>
          <cell r="BM248">
            <v>24</v>
          </cell>
          <cell r="BN248">
            <v>2340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3000</v>
          </cell>
          <cell r="BX248">
            <v>0</v>
          </cell>
          <cell r="BY248">
            <v>1825390.375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C250">
            <v>30794</v>
          </cell>
          <cell r="D250" t="str">
            <v>Abaca, Justine Calibot</v>
          </cell>
          <cell r="E250">
            <v>80</v>
          </cell>
          <cell r="F250">
            <v>10</v>
          </cell>
          <cell r="G250">
            <v>600</v>
          </cell>
          <cell r="H250">
            <v>6000</v>
          </cell>
          <cell r="I250">
            <v>0</v>
          </cell>
          <cell r="J250">
            <v>1.25</v>
          </cell>
          <cell r="K250">
            <v>0</v>
          </cell>
          <cell r="L250">
            <v>6</v>
          </cell>
          <cell r="M250">
            <v>93.75</v>
          </cell>
          <cell r="N250">
            <v>562.5</v>
          </cell>
          <cell r="O250">
            <v>0</v>
          </cell>
          <cell r="P250">
            <v>7.5</v>
          </cell>
          <cell r="Q250">
            <v>0</v>
          </cell>
          <cell r="R250">
            <v>0</v>
          </cell>
          <cell r="S250">
            <v>97.5</v>
          </cell>
          <cell r="T250">
            <v>0</v>
          </cell>
          <cell r="U250">
            <v>0</v>
          </cell>
          <cell r="V250">
            <v>126.75</v>
          </cell>
          <cell r="W250">
            <v>0</v>
          </cell>
          <cell r="X250">
            <v>0</v>
          </cell>
          <cell r="Y250">
            <v>9.75</v>
          </cell>
          <cell r="Z250">
            <v>0</v>
          </cell>
          <cell r="AA250">
            <v>0</v>
          </cell>
          <cell r="AB250">
            <v>112.5</v>
          </cell>
          <cell r="AC250">
            <v>0</v>
          </cell>
          <cell r="AD250">
            <v>0</v>
          </cell>
          <cell r="AE250">
            <v>146.25</v>
          </cell>
          <cell r="AF250">
            <v>0</v>
          </cell>
          <cell r="AG250">
            <v>0</v>
          </cell>
          <cell r="AH250">
            <v>11.25</v>
          </cell>
          <cell r="AI250">
            <v>0</v>
          </cell>
          <cell r="AJ250">
            <v>0</v>
          </cell>
          <cell r="AK250">
            <v>97.5</v>
          </cell>
          <cell r="AL250">
            <v>0</v>
          </cell>
          <cell r="AM250">
            <v>0</v>
          </cell>
          <cell r="AN250">
            <v>126.75</v>
          </cell>
          <cell r="AO250">
            <v>0</v>
          </cell>
          <cell r="AP250">
            <v>0</v>
          </cell>
          <cell r="AQ250">
            <v>9.75</v>
          </cell>
          <cell r="AR250">
            <v>0</v>
          </cell>
          <cell r="AS250">
            <v>0</v>
          </cell>
          <cell r="AT250">
            <v>150</v>
          </cell>
          <cell r="AU250">
            <v>0</v>
          </cell>
          <cell r="AV250">
            <v>0</v>
          </cell>
          <cell r="AW250">
            <v>195</v>
          </cell>
          <cell r="AX250">
            <v>0</v>
          </cell>
          <cell r="AY250">
            <v>0</v>
          </cell>
          <cell r="AZ250">
            <v>15</v>
          </cell>
          <cell r="BA250">
            <v>0</v>
          </cell>
          <cell r="BB250">
            <v>0</v>
          </cell>
          <cell r="BC250">
            <v>75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6562.5</v>
          </cell>
        </row>
        <row r="251">
          <cell r="C251">
            <v>30332</v>
          </cell>
          <cell r="D251" t="str">
            <v>Acayin, Jerrick Butial</v>
          </cell>
          <cell r="E251">
            <v>72</v>
          </cell>
          <cell r="F251">
            <v>9</v>
          </cell>
          <cell r="G251">
            <v>600</v>
          </cell>
          <cell r="H251">
            <v>5400</v>
          </cell>
          <cell r="I251">
            <v>0</v>
          </cell>
          <cell r="J251">
            <v>1.25</v>
          </cell>
          <cell r="K251">
            <v>0</v>
          </cell>
          <cell r="L251">
            <v>8</v>
          </cell>
          <cell r="M251">
            <v>93.75</v>
          </cell>
          <cell r="N251">
            <v>750</v>
          </cell>
          <cell r="O251">
            <v>26</v>
          </cell>
          <cell r="P251">
            <v>7.5</v>
          </cell>
          <cell r="Q251">
            <v>195</v>
          </cell>
          <cell r="R251">
            <v>0</v>
          </cell>
          <cell r="S251">
            <v>97.5</v>
          </cell>
          <cell r="T251">
            <v>0</v>
          </cell>
          <cell r="U251">
            <v>0</v>
          </cell>
          <cell r="V251">
            <v>126.75</v>
          </cell>
          <cell r="W251">
            <v>0</v>
          </cell>
          <cell r="X251">
            <v>0</v>
          </cell>
          <cell r="Y251">
            <v>9.75</v>
          </cell>
          <cell r="Z251">
            <v>0</v>
          </cell>
          <cell r="AA251">
            <v>0</v>
          </cell>
          <cell r="AB251">
            <v>112.5</v>
          </cell>
          <cell r="AC251">
            <v>0</v>
          </cell>
          <cell r="AD251">
            <v>0</v>
          </cell>
          <cell r="AE251">
            <v>146.25</v>
          </cell>
          <cell r="AF251">
            <v>0</v>
          </cell>
          <cell r="AG251">
            <v>0</v>
          </cell>
          <cell r="AH251">
            <v>11.25</v>
          </cell>
          <cell r="AI251">
            <v>0</v>
          </cell>
          <cell r="AJ251">
            <v>0</v>
          </cell>
          <cell r="AK251">
            <v>97.5</v>
          </cell>
          <cell r="AL251">
            <v>0</v>
          </cell>
          <cell r="AM251">
            <v>0</v>
          </cell>
          <cell r="AN251">
            <v>126.75</v>
          </cell>
          <cell r="AO251">
            <v>0</v>
          </cell>
          <cell r="AP251">
            <v>0</v>
          </cell>
          <cell r="AQ251">
            <v>9.75</v>
          </cell>
          <cell r="AR251">
            <v>0</v>
          </cell>
          <cell r="AS251">
            <v>0</v>
          </cell>
          <cell r="AT251">
            <v>150</v>
          </cell>
          <cell r="AU251">
            <v>0</v>
          </cell>
          <cell r="AV251">
            <v>0</v>
          </cell>
          <cell r="AW251">
            <v>195</v>
          </cell>
          <cell r="AX251">
            <v>0</v>
          </cell>
          <cell r="AY251">
            <v>0</v>
          </cell>
          <cell r="AZ251">
            <v>15</v>
          </cell>
          <cell r="BA251">
            <v>0</v>
          </cell>
          <cell r="BB251">
            <v>0</v>
          </cell>
          <cell r="BC251">
            <v>75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6345</v>
          </cell>
        </row>
        <row r="252">
          <cell r="C252">
            <v>12807</v>
          </cell>
          <cell r="D252" t="str">
            <v>Aceron, Mark Louiel Gray Guerwela</v>
          </cell>
          <cell r="E252">
            <v>78</v>
          </cell>
          <cell r="F252">
            <v>9.75</v>
          </cell>
          <cell r="G252">
            <v>600</v>
          </cell>
          <cell r="H252">
            <v>5850</v>
          </cell>
          <cell r="I252">
            <v>8</v>
          </cell>
          <cell r="J252">
            <v>1.25</v>
          </cell>
          <cell r="K252">
            <v>-10</v>
          </cell>
          <cell r="L252">
            <v>14</v>
          </cell>
          <cell r="M252">
            <v>93.75</v>
          </cell>
          <cell r="N252">
            <v>1312.5</v>
          </cell>
          <cell r="O252">
            <v>30</v>
          </cell>
          <cell r="P252">
            <v>7.5</v>
          </cell>
          <cell r="Q252">
            <v>225</v>
          </cell>
          <cell r="R252">
            <v>0</v>
          </cell>
          <cell r="S252">
            <v>97.5</v>
          </cell>
          <cell r="T252">
            <v>0</v>
          </cell>
          <cell r="U252">
            <v>0</v>
          </cell>
          <cell r="V252">
            <v>126.75</v>
          </cell>
          <cell r="W252">
            <v>0</v>
          </cell>
          <cell r="X252">
            <v>0</v>
          </cell>
          <cell r="Y252">
            <v>9.75</v>
          </cell>
          <cell r="Z252">
            <v>0</v>
          </cell>
          <cell r="AA252">
            <v>0</v>
          </cell>
          <cell r="AB252">
            <v>112.5</v>
          </cell>
          <cell r="AC252">
            <v>0</v>
          </cell>
          <cell r="AD252">
            <v>0</v>
          </cell>
          <cell r="AE252">
            <v>146.25</v>
          </cell>
          <cell r="AF252">
            <v>0</v>
          </cell>
          <cell r="AG252">
            <v>0</v>
          </cell>
          <cell r="AH252">
            <v>11.25</v>
          </cell>
          <cell r="AI252">
            <v>0</v>
          </cell>
          <cell r="AJ252">
            <v>0</v>
          </cell>
          <cell r="AK252">
            <v>97.5</v>
          </cell>
          <cell r="AL252">
            <v>0</v>
          </cell>
          <cell r="AM252">
            <v>0</v>
          </cell>
          <cell r="AN252">
            <v>126.75</v>
          </cell>
          <cell r="AO252">
            <v>0</v>
          </cell>
          <cell r="AP252">
            <v>0</v>
          </cell>
          <cell r="AQ252">
            <v>9.75</v>
          </cell>
          <cell r="AR252">
            <v>0</v>
          </cell>
          <cell r="AS252">
            <v>0</v>
          </cell>
          <cell r="AT252">
            <v>150</v>
          </cell>
          <cell r="AU252">
            <v>0</v>
          </cell>
          <cell r="AV252">
            <v>0</v>
          </cell>
          <cell r="AW252">
            <v>195</v>
          </cell>
          <cell r="AX252">
            <v>0</v>
          </cell>
          <cell r="AY252">
            <v>0</v>
          </cell>
          <cell r="AZ252">
            <v>15</v>
          </cell>
          <cell r="BA252">
            <v>0</v>
          </cell>
          <cell r="BB252">
            <v>0</v>
          </cell>
          <cell r="BC252">
            <v>75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7377.5</v>
          </cell>
        </row>
        <row r="253">
          <cell r="C253">
            <v>12808</v>
          </cell>
          <cell r="D253" t="str">
            <v>Aclan, Marvin Balmes</v>
          </cell>
          <cell r="E253">
            <v>80</v>
          </cell>
          <cell r="F253">
            <v>10</v>
          </cell>
          <cell r="G253">
            <v>600</v>
          </cell>
          <cell r="H253">
            <v>6000</v>
          </cell>
          <cell r="I253">
            <v>0</v>
          </cell>
          <cell r="J253">
            <v>1.25</v>
          </cell>
          <cell r="K253">
            <v>0</v>
          </cell>
          <cell r="L253">
            <v>2</v>
          </cell>
          <cell r="M253">
            <v>93.75</v>
          </cell>
          <cell r="N253">
            <v>187.5</v>
          </cell>
          <cell r="O253">
            <v>26</v>
          </cell>
          <cell r="P253">
            <v>7.5</v>
          </cell>
          <cell r="Q253">
            <v>195</v>
          </cell>
          <cell r="R253">
            <v>0</v>
          </cell>
          <cell r="S253">
            <v>97.5</v>
          </cell>
          <cell r="T253">
            <v>0</v>
          </cell>
          <cell r="U253">
            <v>0</v>
          </cell>
          <cell r="V253">
            <v>126.75</v>
          </cell>
          <cell r="W253">
            <v>0</v>
          </cell>
          <cell r="X253">
            <v>0</v>
          </cell>
          <cell r="Y253">
            <v>9.75</v>
          </cell>
          <cell r="Z253">
            <v>0</v>
          </cell>
          <cell r="AA253">
            <v>0</v>
          </cell>
          <cell r="AB253">
            <v>112.5</v>
          </cell>
          <cell r="AC253">
            <v>0</v>
          </cell>
          <cell r="AD253">
            <v>0</v>
          </cell>
          <cell r="AE253">
            <v>146.25</v>
          </cell>
          <cell r="AF253">
            <v>0</v>
          </cell>
          <cell r="AG253">
            <v>0</v>
          </cell>
          <cell r="AH253">
            <v>11.25</v>
          </cell>
          <cell r="AI253">
            <v>0</v>
          </cell>
          <cell r="AJ253">
            <v>0</v>
          </cell>
          <cell r="AK253">
            <v>97.5</v>
          </cell>
          <cell r="AL253">
            <v>0</v>
          </cell>
          <cell r="AM253">
            <v>0</v>
          </cell>
          <cell r="AN253">
            <v>126.75</v>
          </cell>
          <cell r="AO253">
            <v>0</v>
          </cell>
          <cell r="AP253">
            <v>0</v>
          </cell>
          <cell r="AQ253">
            <v>9.75</v>
          </cell>
          <cell r="AR253">
            <v>0</v>
          </cell>
          <cell r="AS253">
            <v>0</v>
          </cell>
          <cell r="AT253">
            <v>150</v>
          </cell>
          <cell r="AU253">
            <v>0</v>
          </cell>
          <cell r="AV253">
            <v>0</v>
          </cell>
          <cell r="AW253">
            <v>195</v>
          </cell>
          <cell r="AX253">
            <v>0</v>
          </cell>
          <cell r="AY253">
            <v>0</v>
          </cell>
          <cell r="AZ253">
            <v>15</v>
          </cell>
          <cell r="BA253">
            <v>0</v>
          </cell>
          <cell r="BB253">
            <v>0</v>
          </cell>
          <cell r="BC253">
            <v>75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6382.5</v>
          </cell>
        </row>
        <row r="254">
          <cell r="C254">
            <v>12810</v>
          </cell>
          <cell r="D254" t="str">
            <v>Acosta, Alexis Dorongon</v>
          </cell>
          <cell r="E254">
            <v>68</v>
          </cell>
          <cell r="F254">
            <v>8.5</v>
          </cell>
          <cell r="G254">
            <v>600</v>
          </cell>
          <cell r="H254">
            <v>5100</v>
          </cell>
          <cell r="I254">
            <v>0</v>
          </cell>
          <cell r="J254">
            <v>1.25</v>
          </cell>
          <cell r="K254">
            <v>0</v>
          </cell>
          <cell r="L254">
            <v>6</v>
          </cell>
          <cell r="M254">
            <v>93.75</v>
          </cell>
          <cell r="N254">
            <v>562.5</v>
          </cell>
          <cell r="O254">
            <v>0</v>
          </cell>
          <cell r="P254">
            <v>7.5</v>
          </cell>
          <cell r="Q254">
            <v>0</v>
          </cell>
          <cell r="R254">
            <v>0</v>
          </cell>
          <cell r="S254">
            <v>97.5</v>
          </cell>
          <cell r="T254">
            <v>0</v>
          </cell>
          <cell r="U254">
            <v>0</v>
          </cell>
          <cell r="V254">
            <v>126.75</v>
          </cell>
          <cell r="W254">
            <v>0</v>
          </cell>
          <cell r="X254">
            <v>0</v>
          </cell>
          <cell r="Y254">
            <v>9.75</v>
          </cell>
          <cell r="Z254">
            <v>0</v>
          </cell>
          <cell r="AA254">
            <v>0</v>
          </cell>
          <cell r="AB254">
            <v>112.5</v>
          </cell>
          <cell r="AC254">
            <v>0</v>
          </cell>
          <cell r="AD254">
            <v>0</v>
          </cell>
          <cell r="AE254">
            <v>146.25</v>
          </cell>
          <cell r="AF254">
            <v>0</v>
          </cell>
          <cell r="AG254">
            <v>0</v>
          </cell>
          <cell r="AH254">
            <v>11.25</v>
          </cell>
          <cell r="AI254">
            <v>0</v>
          </cell>
          <cell r="AJ254">
            <v>0</v>
          </cell>
          <cell r="AK254">
            <v>97.5</v>
          </cell>
          <cell r="AL254">
            <v>0</v>
          </cell>
          <cell r="AM254">
            <v>0</v>
          </cell>
          <cell r="AN254">
            <v>126.75</v>
          </cell>
          <cell r="AO254">
            <v>0</v>
          </cell>
          <cell r="AP254">
            <v>0</v>
          </cell>
          <cell r="AQ254">
            <v>9.75</v>
          </cell>
          <cell r="AR254">
            <v>0</v>
          </cell>
          <cell r="AS254">
            <v>0</v>
          </cell>
          <cell r="AT254">
            <v>150</v>
          </cell>
          <cell r="AU254">
            <v>0</v>
          </cell>
          <cell r="AV254">
            <v>0</v>
          </cell>
          <cell r="AW254">
            <v>195</v>
          </cell>
          <cell r="AX254">
            <v>0</v>
          </cell>
          <cell r="AY254">
            <v>0</v>
          </cell>
          <cell r="AZ254">
            <v>15</v>
          </cell>
          <cell r="BA254">
            <v>0</v>
          </cell>
          <cell r="BB254">
            <v>0</v>
          </cell>
          <cell r="BC254">
            <v>75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5662.5</v>
          </cell>
        </row>
        <row r="255">
          <cell r="C255">
            <v>4327</v>
          </cell>
          <cell r="D255" t="str">
            <v>Ada, Joemer Vera</v>
          </cell>
          <cell r="E255">
            <v>80</v>
          </cell>
          <cell r="F255">
            <v>10</v>
          </cell>
          <cell r="G255">
            <v>600</v>
          </cell>
          <cell r="H255">
            <v>6000</v>
          </cell>
          <cell r="I255">
            <v>0</v>
          </cell>
          <cell r="J255">
            <v>1.25</v>
          </cell>
          <cell r="K255">
            <v>0</v>
          </cell>
          <cell r="L255">
            <v>4</v>
          </cell>
          <cell r="M255">
            <v>93.75</v>
          </cell>
          <cell r="N255">
            <v>375</v>
          </cell>
          <cell r="O255">
            <v>38</v>
          </cell>
          <cell r="P255">
            <v>7.5</v>
          </cell>
          <cell r="Q255">
            <v>285</v>
          </cell>
          <cell r="R255">
            <v>0</v>
          </cell>
          <cell r="S255">
            <v>97.5</v>
          </cell>
          <cell r="T255">
            <v>0</v>
          </cell>
          <cell r="U255">
            <v>0</v>
          </cell>
          <cell r="V255">
            <v>126.75</v>
          </cell>
          <cell r="W255">
            <v>0</v>
          </cell>
          <cell r="X255">
            <v>0</v>
          </cell>
          <cell r="Y255">
            <v>9.75</v>
          </cell>
          <cell r="Z255">
            <v>0</v>
          </cell>
          <cell r="AA255">
            <v>0</v>
          </cell>
          <cell r="AB255">
            <v>112.5</v>
          </cell>
          <cell r="AC255">
            <v>0</v>
          </cell>
          <cell r="AD255">
            <v>0</v>
          </cell>
          <cell r="AE255">
            <v>146.25</v>
          </cell>
          <cell r="AF255">
            <v>0</v>
          </cell>
          <cell r="AG255">
            <v>0</v>
          </cell>
          <cell r="AH255">
            <v>11.25</v>
          </cell>
          <cell r="AI255">
            <v>0</v>
          </cell>
          <cell r="AJ255">
            <v>0</v>
          </cell>
          <cell r="AK255">
            <v>97.5</v>
          </cell>
          <cell r="AL255">
            <v>0</v>
          </cell>
          <cell r="AM255">
            <v>0</v>
          </cell>
          <cell r="AN255">
            <v>126.75</v>
          </cell>
          <cell r="AO255">
            <v>0</v>
          </cell>
          <cell r="AP255">
            <v>0</v>
          </cell>
          <cell r="AQ255">
            <v>9.75</v>
          </cell>
          <cell r="AR255">
            <v>0</v>
          </cell>
          <cell r="AS255">
            <v>0</v>
          </cell>
          <cell r="AT255">
            <v>150</v>
          </cell>
          <cell r="AU255">
            <v>0</v>
          </cell>
          <cell r="AV255">
            <v>0</v>
          </cell>
          <cell r="AW255">
            <v>195</v>
          </cell>
          <cell r="AX255">
            <v>0</v>
          </cell>
          <cell r="AY255">
            <v>0</v>
          </cell>
          <cell r="AZ255">
            <v>15</v>
          </cell>
          <cell r="BA255">
            <v>0</v>
          </cell>
          <cell r="BB255">
            <v>0</v>
          </cell>
          <cell r="BC255">
            <v>75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6660</v>
          </cell>
        </row>
        <row r="256">
          <cell r="C256">
            <v>30767</v>
          </cell>
          <cell r="D256" t="str">
            <v>Adamos, Emil Co Gutierrez</v>
          </cell>
          <cell r="E256">
            <v>80</v>
          </cell>
          <cell r="F256">
            <v>10</v>
          </cell>
          <cell r="G256">
            <v>600</v>
          </cell>
          <cell r="H256">
            <v>6000</v>
          </cell>
          <cell r="I256">
            <v>0</v>
          </cell>
          <cell r="J256">
            <v>1.25</v>
          </cell>
          <cell r="K256">
            <v>0</v>
          </cell>
          <cell r="L256">
            <v>6</v>
          </cell>
          <cell r="M256">
            <v>93.75</v>
          </cell>
          <cell r="N256">
            <v>562.5</v>
          </cell>
          <cell r="O256">
            <v>42</v>
          </cell>
          <cell r="P256">
            <v>7.5</v>
          </cell>
          <cell r="Q256">
            <v>315</v>
          </cell>
          <cell r="R256">
            <v>0</v>
          </cell>
          <cell r="S256">
            <v>97.5</v>
          </cell>
          <cell r="T256">
            <v>0</v>
          </cell>
          <cell r="U256">
            <v>0</v>
          </cell>
          <cell r="V256">
            <v>126.75</v>
          </cell>
          <cell r="W256">
            <v>0</v>
          </cell>
          <cell r="X256">
            <v>0</v>
          </cell>
          <cell r="Y256">
            <v>9.75</v>
          </cell>
          <cell r="Z256">
            <v>0</v>
          </cell>
          <cell r="AA256">
            <v>0</v>
          </cell>
          <cell r="AB256">
            <v>112.5</v>
          </cell>
          <cell r="AC256">
            <v>0</v>
          </cell>
          <cell r="AD256">
            <v>0</v>
          </cell>
          <cell r="AE256">
            <v>146.25</v>
          </cell>
          <cell r="AF256">
            <v>0</v>
          </cell>
          <cell r="AG256">
            <v>0</v>
          </cell>
          <cell r="AH256">
            <v>11.25</v>
          </cell>
          <cell r="AI256">
            <v>0</v>
          </cell>
          <cell r="AJ256">
            <v>0</v>
          </cell>
          <cell r="AK256">
            <v>97.5</v>
          </cell>
          <cell r="AL256">
            <v>0</v>
          </cell>
          <cell r="AM256">
            <v>0</v>
          </cell>
          <cell r="AN256">
            <v>126.75</v>
          </cell>
          <cell r="AO256">
            <v>0</v>
          </cell>
          <cell r="AP256">
            <v>0</v>
          </cell>
          <cell r="AQ256">
            <v>9.75</v>
          </cell>
          <cell r="AR256">
            <v>0</v>
          </cell>
          <cell r="AS256">
            <v>0</v>
          </cell>
          <cell r="AT256">
            <v>150</v>
          </cell>
          <cell r="AU256">
            <v>0</v>
          </cell>
          <cell r="AV256">
            <v>0</v>
          </cell>
          <cell r="AW256">
            <v>195</v>
          </cell>
          <cell r="AX256">
            <v>0</v>
          </cell>
          <cell r="AY256">
            <v>0</v>
          </cell>
          <cell r="AZ256">
            <v>15</v>
          </cell>
          <cell r="BA256">
            <v>0</v>
          </cell>
          <cell r="BB256">
            <v>0</v>
          </cell>
          <cell r="BC256">
            <v>75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6877.5</v>
          </cell>
        </row>
        <row r="257">
          <cell r="C257">
            <v>12812</v>
          </cell>
          <cell r="D257" t="str">
            <v>Agad, Alona Bruel</v>
          </cell>
          <cell r="E257">
            <v>80</v>
          </cell>
          <cell r="F257">
            <v>10</v>
          </cell>
          <cell r="G257">
            <v>600</v>
          </cell>
          <cell r="H257">
            <v>6000</v>
          </cell>
          <cell r="I257">
            <v>0</v>
          </cell>
          <cell r="J257">
            <v>1.25</v>
          </cell>
          <cell r="K257">
            <v>0</v>
          </cell>
          <cell r="L257">
            <v>0</v>
          </cell>
          <cell r="M257">
            <v>93.75</v>
          </cell>
          <cell r="N257">
            <v>0</v>
          </cell>
          <cell r="O257">
            <v>0</v>
          </cell>
          <cell r="P257">
            <v>7.5</v>
          </cell>
          <cell r="Q257">
            <v>0</v>
          </cell>
          <cell r="R257">
            <v>0</v>
          </cell>
          <cell r="S257">
            <v>97.5</v>
          </cell>
          <cell r="T257">
            <v>0</v>
          </cell>
          <cell r="U257">
            <v>0</v>
          </cell>
          <cell r="V257">
            <v>126.75</v>
          </cell>
          <cell r="W257">
            <v>0</v>
          </cell>
          <cell r="X257">
            <v>0</v>
          </cell>
          <cell r="Y257">
            <v>9.75</v>
          </cell>
          <cell r="Z257">
            <v>0</v>
          </cell>
          <cell r="AA257">
            <v>0</v>
          </cell>
          <cell r="AB257">
            <v>112.5</v>
          </cell>
          <cell r="AC257">
            <v>0</v>
          </cell>
          <cell r="AD257">
            <v>0</v>
          </cell>
          <cell r="AE257">
            <v>146.25</v>
          </cell>
          <cell r="AF257">
            <v>0</v>
          </cell>
          <cell r="AG257">
            <v>0</v>
          </cell>
          <cell r="AH257">
            <v>11.25</v>
          </cell>
          <cell r="AI257">
            <v>0</v>
          </cell>
          <cell r="AJ257">
            <v>0</v>
          </cell>
          <cell r="AK257">
            <v>97.5</v>
          </cell>
          <cell r="AL257">
            <v>0</v>
          </cell>
          <cell r="AM257">
            <v>0</v>
          </cell>
          <cell r="AN257">
            <v>126.75</v>
          </cell>
          <cell r="AO257">
            <v>0</v>
          </cell>
          <cell r="AP257">
            <v>0</v>
          </cell>
          <cell r="AQ257">
            <v>9.75</v>
          </cell>
          <cell r="AR257">
            <v>0</v>
          </cell>
          <cell r="AS257">
            <v>0</v>
          </cell>
          <cell r="AT257">
            <v>150</v>
          </cell>
          <cell r="AU257">
            <v>0</v>
          </cell>
          <cell r="AV257">
            <v>0</v>
          </cell>
          <cell r="AW257">
            <v>195</v>
          </cell>
          <cell r="AX257">
            <v>0</v>
          </cell>
          <cell r="AY257">
            <v>0</v>
          </cell>
          <cell r="AZ257">
            <v>15</v>
          </cell>
          <cell r="BA257">
            <v>0</v>
          </cell>
          <cell r="BB257">
            <v>0</v>
          </cell>
          <cell r="BC257">
            <v>75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6000</v>
          </cell>
        </row>
        <row r="258">
          <cell r="C258">
            <v>10397</v>
          </cell>
          <cell r="D258" t="str">
            <v>Aganan, Reyniel</v>
          </cell>
          <cell r="E258">
            <v>72</v>
          </cell>
          <cell r="F258">
            <v>9</v>
          </cell>
          <cell r="G258">
            <v>600</v>
          </cell>
          <cell r="H258">
            <v>5400</v>
          </cell>
          <cell r="I258">
            <v>0</v>
          </cell>
          <cell r="J258">
            <v>1.25</v>
          </cell>
          <cell r="K258">
            <v>0</v>
          </cell>
          <cell r="L258">
            <v>4</v>
          </cell>
          <cell r="M258">
            <v>93.75</v>
          </cell>
          <cell r="N258">
            <v>375</v>
          </cell>
          <cell r="O258">
            <v>40</v>
          </cell>
          <cell r="P258">
            <v>7.5</v>
          </cell>
          <cell r="Q258">
            <v>300</v>
          </cell>
          <cell r="R258">
            <v>0</v>
          </cell>
          <cell r="S258">
            <v>97.5</v>
          </cell>
          <cell r="T258">
            <v>0</v>
          </cell>
          <cell r="U258">
            <v>0</v>
          </cell>
          <cell r="V258">
            <v>126.75</v>
          </cell>
          <cell r="W258">
            <v>0</v>
          </cell>
          <cell r="X258">
            <v>0</v>
          </cell>
          <cell r="Y258">
            <v>9.75</v>
          </cell>
          <cell r="Z258">
            <v>0</v>
          </cell>
          <cell r="AA258">
            <v>0</v>
          </cell>
          <cell r="AB258">
            <v>112.5</v>
          </cell>
          <cell r="AC258">
            <v>0</v>
          </cell>
          <cell r="AD258">
            <v>0</v>
          </cell>
          <cell r="AE258">
            <v>146.25</v>
          </cell>
          <cell r="AF258">
            <v>0</v>
          </cell>
          <cell r="AG258">
            <v>0</v>
          </cell>
          <cell r="AH258">
            <v>11.25</v>
          </cell>
          <cell r="AI258">
            <v>0</v>
          </cell>
          <cell r="AJ258">
            <v>0</v>
          </cell>
          <cell r="AK258">
            <v>97.5</v>
          </cell>
          <cell r="AL258">
            <v>0</v>
          </cell>
          <cell r="AM258">
            <v>0</v>
          </cell>
          <cell r="AN258">
            <v>126.75</v>
          </cell>
          <cell r="AO258">
            <v>0</v>
          </cell>
          <cell r="AP258">
            <v>0</v>
          </cell>
          <cell r="AQ258">
            <v>9.75</v>
          </cell>
          <cell r="AR258">
            <v>0</v>
          </cell>
          <cell r="AS258">
            <v>0</v>
          </cell>
          <cell r="AT258">
            <v>150</v>
          </cell>
          <cell r="AU258">
            <v>0</v>
          </cell>
          <cell r="AV258">
            <v>0</v>
          </cell>
          <cell r="AW258">
            <v>195</v>
          </cell>
          <cell r="AX258">
            <v>0</v>
          </cell>
          <cell r="AY258">
            <v>0</v>
          </cell>
          <cell r="AZ258">
            <v>15</v>
          </cell>
          <cell r="BA258">
            <v>0</v>
          </cell>
          <cell r="BB258">
            <v>0</v>
          </cell>
          <cell r="BC258">
            <v>75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6075</v>
          </cell>
        </row>
        <row r="259">
          <cell r="C259">
            <v>12813</v>
          </cell>
          <cell r="D259" t="str">
            <v>Agravante, Rey De Belen</v>
          </cell>
          <cell r="E259">
            <v>80</v>
          </cell>
          <cell r="F259">
            <v>10</v>
          </cell>
          <cell r="G259">
            <v>600</v>
          </cell>
          <cell r="H259">
            <v>6000</v>
          </cell>
          <cell r="I259">
            <v>0</v>
          </cell>
          <cell r="J259">
            <v>1.25</v>
          </cell>
          <cell r="K259">
            <v>0</v>
          </cell>
          <cell r="L259">
            <v>4</v>
          </cell>
          <cell r="M259">
            <v>93.75</v>
          </cell>
          <cell r="N259">
            <v>375</v>
          </cell>
          <cell r="O259">
            <v>40</v>
          </cell>
          <cell r="P259">
            <v>7.5</v>
          </cell>
          <cell r="Q259">
            <v>300</v>
          </cell>
          <cell r="R259">
            <v>0</v>
          </cell>
          <cell r="S259">
            <v>97.5</v>
          </cell>
          <cell r="T259">
            <v>0</v>
          </cell>
          <cell r="U259">
            <v>0</v>
          </cell>
          <cell r="V259">
            <v>126.75</v>
          </cell>
          <cell r="W259">
            <v>0</v>
          </cell>
          <cell r="X259">
            <v>0</v>
          </cell>
          <cell r="Y259">
            <v>9.75</v>
          </cell>
          <cell r="Z259">
            <v>0</v>
          </cell>
          <cell r="AA259">
            <v>0</v>
          </cell>
          <cell r="AB259">
            <v>112.5</v>
          </cell>
          <cell r="AC259">
            <v>0</v>
          </cell>
          <cell r="AD259">
            <v>0</v>
          </cell>
          <cell r="AE259">
            <v>146.25</v>
          </cell>
          <cell r="AF259">
            <v>0</v>
          </cell>
          <cell r="AG259">
            <v>0</v>
          </cell>
          <cell r="AH259">
            <v>11.25</v>
          </cell>
          <cell r="AI259">
            <v>0</v>
          </cell>
          <cell r="AJ259">
            <v>0</v>
          </cell>
          <cell r="AK259">
            <v>97.5</v>
          </cell>
          <cell r="AL259">
            <v>0</v>
          </cell>
          <cell r="AM259">
            <v>0</v>
          </cell>
          <cell r="AN259">
            <v>126.75</v>
          </cell>
          <cell r="AO259">
            <v>0</v>
          </cell>
          <cell r="AP259">
            <v>0</v>
          </cell>
          <cell r="AQ259">
            <v>9.75</v>
          </cell>
          <cell r="AR259">
            <v>0</v>
          </cell>
          <cell r="AS259">
            <v>0</v>
          </cell>
          <cell r="AT259">
            <v>150</v>
          </cell>
          <cell r="AU259">
            <v>0</v>
          </cell>
          <cell r="AV259">
            <v>0</v>
          </cell>
          <cell r="AW259">
            <v>195</v>
          </cell>
          <cell r="AX259">
            <v>0</v>
          </cell>
          <cell r="AY259">
            <v>0</v>
          </cell>
          <cell r="AZ259">
            <v>15</v>
          </cell>
          <cell r="BA259">
            <v>0</v>
          </cell>
          <cell r="BB259">
            <v>0</v>
          </cell>
          <cell r="BC259">
            <v>75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6675</v>
          </cell>
        </row>
        <row r="260">
          <cell r="C260">
            <v>14449</v>
          </cell>
          <cell r="D260" t="str">
            <v>Aguilar, Reynan Delen</v>
          </cell>
          <cell r="E260">
            <v>80</v>
          </cell>
          <cell r="F260">
            <v>10</v>
          </cell>
          <cell r="G260">
            <v>600</v>
          </cell>
          <cell r="H260">
            <v>6000</v>
          </cell>
          <cell r="I260">
            <v>0</v>
          </cell>
          <cell r="J260">
            <v>1.25</v>
          </cell>
          <cell r="K260">
            <v>0</v>
          </cell>
          <cell r="L260">
            <v>16</v>
          </cell>
          <cell r="M260">
            <v>93.75</v>
          </cell>
          <cell r="N260">
            <v>1500</v>
          </cell>
          <cell r="O260">
            <v>0</v>
          </cell>
          <cell r="P260">
            <v>7.5</v>
          </cell>
          <cell r="Q260">
            <v>0</v>
          </cell>
          <cell r="R260">
            <v>8</v>
          </cell>
          <cell r="S260">
            <v>97.5</v>
          </cell>
          <cell r="T260">
            <v>780</v>
          </cell>
          <cell r="U260">
            <v>0</v>
          </cell>
          <cell r="V260">
            <v>126.75</v>
          </cell>
          <cell r="W260">
            <v>0</v>
          </cell>
          <cell r="X260">
            <v>0</v>
          </cell>
          <cell r="Y260">
            <v>9.75</v>
          </cell>
          <cell r="Z260">
            <v>0</v>
          </cell>
          <cell r="AA260">
            <v>0</v>
          </cell>
          <cell r="AB260">
            <v>112.5</v>
          </cell>
          <cell r="AC260">
            <v>0</v>
          </cell>
          <cell r="AD260">
            <v>0</v>
          </cell>
          <cell r="AE260">
            <v>146.25</v>
          </cell>
          <cell r="AF260">
            <v>0</v>
          </cell>
          <cell r="AG260">
            <v>0</v>
          </cell>
          <cell r="AH260">
            <v>11.25</v>
          </cell>
          <cell r="AI260">
            <v>0</v>
          </cell>
          <cell r="AJ260">
            <v>0</v>
          </cell>
          <cell r="AK260">
            <v>97.5</v>
          </cell>
          <cell r="AL260">
            <v>0</v>
          </cell>
          <cell r="AM260">
            <v>0</v>
          </cell>
          <cell r="AN260">
            <v>126.75</v>
          </cell>
          <cell r="AO260">
            <v>0</v>
          </cell>
          <cell r="AP260">
            <v>0</v>
          </cell>
          <cell r="AQ260">
            <v>9.75</v>
          </cell>
          <cell r="AR260">
            <v>0</v>
          </cell>
          <cell r="AS260">
            <v>0</v>
          </cell>
          <cell r="AT260">
            <v>150</v>
          </cell>
          <cell r="AU260">
            <v>0</v>
          </cell>
          <cell r="AV260">
            <v>0</v>
          </cell>
          <cell r="AW260">
            <v>195</v>
          </cell>
          <cell r="AX260">
            <v>0</v>
          </cell>
          <cell r="AY260">
            <v>0</v>
          </cell>
          <cell r="AZ260">
            <v>15</v>
          </cell>
          <cell r="BA260">
            <v>0</v>
          </cell>
          <cell r="BB260">
            <v>0</v>
          </cell>
          <cell r="BC260">
            <v>75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8280</v>
          </cell>
        </row>
        <row r="261">
          <cell r="C261">
            <v>12816</v>
          </cell>
          <cell r="D261" t="str">
            <v>Aguilera, Baby Rose Lacbay</v>
          </cell>
          <cell r="E261">
            <v>80</v>
          </cell>
          <cell r="F261">
            <v>10</v>
          </cell>
          <cell r="G261">
            <v>600</v>
          </cell>
          <cell r="H261">
            <v>6000</v>
          </cell>
          <cell r="I261">
            <v>0</v>
          </cell>
          <cell r="J261">
            <v>1.25</v>
          </cell>
          <cell r="K261">
            <v>0</v>
          </cell>
          <cell r="L261">
            <v>14</v>
          </cell>
          <cell r="M261">
            <v>93.75</v>
          </cell>
          <cell r="N261">
            <v>1312.5</v>
          </cell>
          <cell r="O261">
            <v>0</v>
          </cell>
          <cell r="P261">
            <v>7.5</v>
          </cell>
          <cell r="Q261">
            <v>0</v>
          </cell>
          <cell r="R261">
            <v>0</v>
          </cell>
          <cell r="S261">
            <v>97.5</v>
          </cell>
          <cell r="T261">
            <v>0</v>
          </cell>
          <cell r="U261">
            <v>0</v>
          </cell>
          <cell r="V261">
            <v>126.75</v>
          </cell>
          <cell r="W261">
            <v>0</v>
          </cell>
          <cell r="X261">
            <v>0</v>
          </cell>
          <cell r="Y261">
            <v>9.75</v>
          </cell>
          <cell r="Z261">
            <v>0</v>
          </cell>
          <cell r="AA261">
            <v>0</v>
          </cell>
          <cell r="AB261">
            <v>112.5</v>
          </cell>
          <cell r="AC261">
            <v>0</v>
          </cell>
          <cell r="AD261">
            <v>0</v>
          </cell>
          <cell r="AE261">
            <v>146.25</v>
          </cell>
          <cell r="AF261">
            <v>0</v>
          </cell>
          <cell r="AG261">
            <v>0</v>
          </cell>
          <cell r="AH261">
            <v>11.25</v>
          </cell>
          <cell r="AI261">
            <v>0</v>
          </cell>
          <cell r="AJ261">
            <v>0</v>
          </cell>
          <cell r="AK261">
            <v>97.5</v>
          </cell>
          <cell r="AL261">
            <v>0</v>
          </cell>
          <cell r="AM261">
            <v>0</v>
          </cell>
          <cell r="AN261">
            <v>126.75</v>
          </cell>
          <cell r="AO261">
            <v>0</v>
          </cell>
          <cell r="AP261">
            <v>0</v>
          </cell>
          <cell r="AQ261">
            <v>9.75</v>
          </cell>
          <cell r="AR261">
            <v>0</v>
          </cell>
          <cell r="AS261">
            <v>0</v>
          </cell>
          <cell r="AT261">
            <v>150</v>
          </cell>
          <cell r="AU261">
            <v>0</v>
          </cell>
          <cell r="AV261">
            <v>0</v>
          </cell>
          <cell r="AW261">
            <v>195</v>
          </cell>
          <cell r="AX261">
            <v>0</v>
          </cell>
          <cell r="AY261">
            <v>0</v>
          </cell>
          <cell r="AZ261">
            <v>15</v>
          </cell>
          <cell r="BA261">
            <v>0</v>
          </cell>
          <cell r="BB261">
            <v>0</v>
          </cell>
          <cell r="BC261">
            <v>75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7312.5</v>
          </cell>
        </row>
        <row r="262">
          <cell r="C262">
            <v>11517</v>
          </cell>
          <cell r="D262" t="str">
            <v>Aguipo, Mike O.</v>
          </cell>
          <cell r="E262">
            <v>80</v>
          </cell>
          <cell r="F262">
            <v>10</v>
          </cell>
          <cell r="G262">
            <v>600</v>
          </cell>
          <cell r="H262">
            <v>6000</v>
          </cell>
          <cell r="I262">
            <v>0</v>
          </cell>
          <cell r="J262">
            <v>1.25</v>
          </cell>
          <cell r="K262">
            <v>0</v>
          </cell>
          <cell r="L262">
            <v>16</v>
          </cell>
          <cell r="M262">
            <v>93.75</v>
          </cell>
          <cell r="N262">
            <v>1500</v>
          </cell>
          <cell r="O262">
            <v>0</v>
          </cell>
          <cell r="P262">
            <v>7.5</v>
          </cell>
          <cell r="Q262">
            <v>0</v>
          </cell>
          <cell r="R262">
            <v>16</v>
          </cell>
          <cell r="S262">
            <v>97.5</v>
          </cell>
          <cell r="T262">
            <v>1560</v>
          </cell>
          <cell r="U262">
            <v>0</v>
          </cell>
          <cell r="V262">
            <v>126.75</v>
          </cell>
          <cell r="W262">
            <v>0</v>
          </cell>
          <cell r="X262">
            <v>0</v>
          </cell>
          <cell r="Y262">
            <v>9.75</v>
          </cell>
          <cell r="Z262">
            <v>0</v>
          </cell>
          <cell r="AA262">
            <v>0</v>
          </cell>
          <cell r="AB262">
            <v>112.5</v>
          </cell>
          <cell r="AC262">
            <v>0</v>
          </cell>
          <cell r="AD262">
            <v>0</v>
          </cell>
          <cell r="AE262">
            <v>146.25</v>
          </cell>
          <cell r="AF262">
            <v>0</v>
          </cell>
          <cell r="AG262">
            <v>0</v>
          </cell>
          <cell r="AH262">
            <v>11.25</v>
          </cell>
          <cell r="AI262">
            <v>0</v>
          </cell>
          <cell r="AJ262">
            <v>0</v>
          </cell>
          <cell r="AK262">
            <v>97.5</v>
          </cell>
          <cell r="AL262">
            <v>0</v>
          </cell>
          <cell r="AM262">
            <v>0</v>
          </cell>
          <cell r="AN262">
            <v>126.75</v>
          </cell>
          <cell r="AO262">
            <v>0</v>
          </cell>
          <cell r="AP262">
            <v>0</v>
          </cell>
          <cell r="AQ262">
            <v>9.75</v>
          </cell>
          <cell r="AR262">
            <v>0</v>
          </cell>
          <cell r="AS262">
            <v>0</v>
          </cell>
          <cell r="AT262">
            <v>150</v>
          </cell>
          <cell r="AU262">
            <v>0</v>
          </cell>
          <cell r="AV262">
            <v>0</v>
          </cell>
          <cell r="AW262">
            <v>195</v>
          </cell>
          <cell r="AX262">
            <v>0</v>
          </cell>
          <cell r="AY262">
            <v>0</v>
          </cell>
          <cell r="AZ262">
            <v>15</v>
          </cell>
          <cell r="BA262">
            <v>0</v>
          </cell>
          <cell r="BB262">
            <v>0</v>
          </cell>
          <cell r="BC262">
            <v>75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9060</v>
          </cell>
        </row>
        <row r="263">
          <cell r="C263">
            <v>14479</v>
          </cell>
          <cell r="D263" t="str">
            <v>Albaña, Rose Marie Esternon</v>
          </cell>
          <cell r="E263">
            <v>64</v>
          </cell>
          <cell r="F263">
            <v>8</v>
          </cell>
          <cell r="G263">
            <v>600</v>
          </cell>
          <cell r="H263">
            <v>4800</v>
          </cell>
          <cell r="I263">
            <v>0</v>
          </cell>
          <cell r="J263">
            <v>1.25</v>
          </cell>
          <cell r="K263">
            <v>0</v>
          </cell>
          <cell r="L263">
            <v>4</v>
          </cell>
          <cell r="M263">
            <v>93.75</v>
          </cell>
          <cell r="N263">
            <v>375</v>
          </cell>
          <cell r="O263">
            <v>0</v>
          </cell>
          <cell r="P263">
            <v>7.5</v>
          </cell>
          <cell r="Q263">
            <v>0</v>
          </cell>
          <cell r="R263">
            <v>0</v>
          </cell>
          <cell r="S263">
            <v>97.5</v>
          </cell>
          <cell r="T263">
            <v>0</v>
          </cell>
          <cell r="U263">
            <v>0</v>
          </cell>
          <cell r="V263">
            <v>126.75</v>
          </cell>
          <cell r="W263">
            <v>0</v>
          </cell>
          <cell r="X263">
            <v>0</v>
          </cell>
          <cell r="Y263">
            <v>9.75</v>
          </cell>
          <cell r="Z263">
            <v>0</v>
          </cell>
          <cell r="AA263">
            <v>0</v>
          </cell>
          <cell r="AB263">
            <v>112.5</v>
          </cell>
          <cell r="AC263">
            <v>0</v>
          </cell>
          <cell r="AD263">
            <v>0</v>
          </cell>
          <cell r="AE263">
            <v>146.25</v>
          </cell>
          <cell r="AF263">
            <v>0</v>
          </cell>
          <cell r="AG263">
            <v>0</v>
          </cell>
          <cell r="AH263">
            <v>11.25</v>
          </cell>
          <cell r="AI263">
            <v>0</v>
          </cell>
          <cell r="AJ263">
            <v>0</v>
          </cell>
          <cell r="AK263">
            <v>97.5</v>
          </cell>
          <cell r="AL263">
            <v>0</v>
          </cell>
          <cell r="AM263">
            <v>0</v>
          </cell>
          <cell r="AN263">
            <v>126.75</v>
          </cell>
          <cell r="AO263">
            <v>0</v>
          </cell>
          <cell r="AP263">
            <v>0</v>
          </cell>
          <cell r="AQ263">
            <v>9.75</v>
          </cell>
          <cell r="AR263">
            <v>0</v>
          </cell>
          <cell r="AS263">
            <v>0</v>
          </cell>
          <cell r="AT263">
            <v>150</v>
          </cell>
          <cell r="AU263">
            <v>0</v>
          </cell>
          <cell r="AV263">
            <v>0</v>
          </cell>
          <cell r="AW263">
            <v>195</v>
          </cell>
          <cell r="AX263">
            <v>0</v>
          </cell>
          <cell r="AY263">
            <v>0</v>
          </cell>
          <cell r="AZ263">
            <v>15</v>
          </cell>
          <cell r="BA263">
            <v>0</v>
          </cell>
          <cell r="BB263">
            <v>0</v>
          </cell>
          <cell r="BC263">
            <v>75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5175</v>
          </cell>
        </row>
        <row r="264">
          <cell r="C264">
            <v>11438</v>
          </cell>
          <cell r="D264" t="str">
            <v>Alfaro, Arwin T</v>
          </cell>
          <cell r="E264">
            <v>72</v>
          </cell>
          <cell r="F264">
            <v>9</v>
          </cell>
          <cell r="G264">
            <v>600</v>
          </cell>
          <cell r="H264">
            <v>5400</v>
          </cell>
          <cell r="I264">
            <v>65</v>
          </cell>
          <cell r="J264">
            <v>1.25</v>
          </cell>
          <cell r="K264">
            <v>-81.25</v>
          </cell>
          <cell r="L264">
            <v>6</v>
          </cell>
          <cell r="M264">
            <v>93.75</v>
          </cell>
          <cell r="N264">
            <v>562.5</v>
          </cell>
          <cell r="O264">
            <v>0</v>
          </cell>
          <cell r="P264">
            <v>7.5</v>
          </cell>
          <cell r="Q264">
            <v>0</v>
          </cell>
          <cell r="R264">
            <v>0</v>
          </cell>
          <cell r="S264">
            <v>97.5</v>
          </cell>
          <cell r="T264">
            <v>0</v>
          </cell>
          <cell r="U264">
            <v>0</v>
          </cell>
          <cell r="V264">
            <v>126.75</v>
          </cell>
          <cell r="W264">
            <v>0</v>
          </cell>
          <cell r="X264">
            <v>0</v>
          </cell>
          <cell r="Y264">
            <v>9.75</v>
          </cell>
          <cell r="Z264">
            <v>0</v>
          </cell>
          <cell r="AA264">
            <v>0</v>
          </cell>
          <cell r="AB264">
            <v>112.5</v>
          </cell>
          <cell r="AC264">
            <v>0</v>
          </cell>
          <cell r="AD264">
            <v>0</v>
          </cell>
          <cell r="AE264">
            <v>146.25</v>
          </cell>
          <cell r="AF264">
            <v>0</v>
          </cell>
          <cell r="AG264">
            <v>0</v>
          </cell>
          <cell r="AH264">
            <v>11.25</v>
          </cell>
          <cell r="AI264">
            <v>0</v>
          </cell>
          <cell r="AJ264">
            <v>0</v>
          </cell>
          <cell r="AK264">
            <v>97.5</v>
          </cell>
          <cell r="AL264">
            <v>0</v>
          </cell>
          <cell r="AM264">
            <v>0</v>
          </cell>
          <cell r="AN264">
            <v>126.75</v>
          </cell>
          <cell r="AO264">
            <v>0</v>
          </cell>
          <cell r="AP264">
            <v>0</v>
          </cell>
          <cell r="AQ264">
            <v>9.75</v>
          </cell>
          <cell r="AR264">
            <v>0</v>
          </cell>
          <cell r="AS264">
            <v>0</v>
          </cell>
          <cell r="AT264">
            <v>150</v>
          </cell>
          <cell r="AU264">
            <v>0</v>
          </cell>
          <cell r="AV264">
            <v>0</v>
          </cell>
          <cell r="AW264">
            <v>195</v>
          </cell>
          <cell r="AX264">
            <v>0</v>
          </cell>
          <cell r="AY264">
            <v>0</v>
          </cell>
          <cell r="AZ264">
            <v>15</v>
          </cell>
          <cell r="BA264">
            <v>0</v>
          </cell>
          <cell r="BB264">
            <v>0</v>
          </cell>
          <cell r="BC264">
            <v>75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5881.25</v>
          </cell>
        </row>
        <row r="265">
          <cell r="C265">
            <v>6349</v>
          </cell>
          <cell r="D265" t="str">
            <v>Aliga, John Nick Cleofe</v>
          </cell>
          <cell r="E265">
            <v>48</v>
          </cell>
          <cell r="F265">
            <v>6</v>
          </cell>
          <cell r="G265">
            <v>600</v>
          </cell>
          <cell r="H265">
            <v>3600</v>
          </cell>
          <cell r="I265">
            <v>0</v>
          </cell>
          <cell r="J265">
            <v>1.25</v>
          </cell>
          <cell r="K265">
            <v>0</v>
          </cell>
          <cell r="L265">
            <v>4</v>
          </cell>
          <cell r="M265">
            <v>93.75</v>
          </cell>
          <cell r="N265">
            <v>375</v>
          </cell>
          <cell r="O265">
            <v>6</v>
          </cell>
          <cell r="P265">
            <v>7.5</v>
          </cell>
          <cell r="Q265">
            <v>45</v>
          </cell>
          <cell r="R265">
            <v>0</v>
          </cell>
          <cell r="S265">
            <v>97.5</v>
          </cell>
          <cell r="T265">
            <v>0</v>
          </cell>
          <cell r="U265">
            <v>0</v>
          </cell>
          <cell r="V265">
            <v>126.75</v>
          </cell>
          <cell r="W265">
            <v>0</v>
          </cell>
          <cell r="X265">
            <v>0</v>
          </cell>
          <cell r="Y265">
            <v>9.75</v>
          </cell>
          <cell r="Z265">
            <v>0</v>
          </cell>
          <cell r="AA265">
            <v>0</v>
          </cell>
          <cell r="AB265">
            <v>112.5</v>
          </cell>
          <cell r="AC265">
            <v>0</v>
          </cell>
          <cell r="AD265">
            <v>0</v>
          </cell>
          <cell r="AE265">
            <v>146.25</v>
          </cell>
          <cell r="AF265">
            <v>0</v>
          </cell>
          <cell r="AG265">
            <v>0</v>
          </cell>
          <cell r="AH265">
            <v>11.25</v>
          </cell>
          <cell r="AI265">
            <v>0</v>
          </cell>
          <cell r="AJ265">
            <v>0</v>
          </cell>
          <cell r="AK265">
            <v>97.5</v>
          </cell>
          <cell r="AL265">
            <v>0</v>
          </cell>
          <cell r="AM265">
            <v>0</v>
          </cell>
          <cell r="AN265">
            <v>126.75</v>
          </cell>
          <cell r="AO265">
            <v>0</v>
          </cell>
          <cell r="AP265">
            <v>0</v>
          </cell>
          <cell r="AQ265">
            <v>9.75</v>
          </cell>
          <cell r="AR265">
            <v>0</v>
          </cell>
          <cell r="AS265">
            <v>0</v>
          </cell>
          <cell r="AT265">
            <v>150</v>
          </cell>
          <cell r="AU265">
            <v>0</v>
          </cell>
          <cell r="AV265">
            <v>0</v>
          </cell>
          <cell r="AW265">
            <v>195</v>
          </cell>
          <cell r="AX265">
            <v>0</v>
          </cell>
          <cell r="AY265">
            <v>0</v>
          </cell>
          <cell r="AZ265">
            <v>15</v>
          </cell>
          <cell r="BA265">
            <v>0</v>
          </cell>
          <cell r="BB265">
            <v>0</v>
          </cell>
          <cell r="BC265">
            <v>75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4020</v>
          </cell>
        </row>
        <row r="266">
          <cell r="C266">
            <v>30241</v>
          </cell>
          <cell r="D266" t="str">
            <v>Almero, Elaine Francisco</v>
          </cell>
          <cell r="E266">
            <v>48</v>
          </cell>
          <cell r="F266">
            <v>6</v>
          </cell>
          <cell r="G266">
            <v>600</v>
          </cell>
          <cell r="H266">
            <v>3600</v>
          </cell>
          <cell r="I266">
            <v>0</v>
          </cell>
          <cell r="J266">
            <v>1.25</v>
          </cell>
          <cell r="K266">
            <v>0</v>
          </cell>
          <cell r="L266">
            <v>6</v>
          </cell>
          <cell r="M266">
            <v>93.75</v>
          </cell>
          <cell r="N266">
            <v>562.5</v>
          </cell>
          <cell r="O266">
            <v>0</v>
          </cell>
          <cell r="P266">
            <v>7.5</v>
          </cell>
          <cell r="Q266">
            <v>0</v>
          </cell>
          <cell r="R266">
            <v>0</v>
          </cell>
          <cell r="S266">
            <v>97.5</v>
          </cell>
          <cell r="T266">
            <v>0</v>
          </cell>
          <cell r="U266">
            <v>0</v>
          </cell>
          <cell r="V266">
            <v>126.75</v>
          </cell>
          <cell r="W266">
            <v>0</v>
          </cell>
          <cell r="X266">
            <v>0</v>
          </cell>
          <cell r="Y266">
            <v>9.75</v>
          </cell>
          <cell r="Z266">
            <v>0</v>
          </cell>
          <cell r="AA266">
            <v>0</v>
          </cell>
          <cell r="AB266">
            <v>112.5</v>
          </cell>
          <cell r="AC266">
            <v>0</v>
          </cell>
          <cell r="AD266">
            <v>0</v>
          </cell>
          <cell r="AE266">
            <v>146.25</v>
          </cell>
          <cell r="AF266">
            <v>0</v>
          </cell>
          <cell r="AG266">
            <v>0</v>
          </cell>
          <cell r="AH266">
            <v>11.25</v>
          </cell>
          <cell r="AI266">
            <v>0</v>
          </cell>
          <cell r="AJ266">
            <v>0</v>
          </cell>
          <cell r="AK266">
            <v>97.5</v>
          </cell>
          <cell r="AL266">
            <v>0</v>
          </cell>
          <cell r="AM266">
            <v>0</v>
          </cell>
          <cell r="AN266">
            <v>126.75</v>
          </cell>
          <cell r="AO266">
            <v>0</v>
          </cell>
          <cell r="AP266">
            <v>0</v>
          </cell>
          <cell r="AQ266">
            <v>9.75</v>
          </cell>
          <cell r="AR266">
            <v>0</v>
          </cell>
          <cell r="AS266">
            <v>0</v>
          </cell>
          <cell r="AT266">
            <v>150</v>
          </cell>
          <cell r="AU266">
            <v>0</v>
          </cell>
          <cell r="AV266">
            <v>0</v>
          </cell>
          <cell r="AW266">
            <v>195</v>
          </cell>
          <cell r="AX266">
            <v>0</v>
          </cell>
          <cell r="AY266">
            <v>0</v>
          </cell>
          <cell r="AZ266">
            <v>15</v>
          </cell>
          <cell r="BA266">
            <v>0</v>
          </cell>
          <cell r="BB266">
            <v>0</v>
          </cell>
          <cell r="BC266">
            <v>75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4162.5</v>
          </cell>
        </row>
        <row r="267">
          <cell r="C267">
            <v>12827</v>
          </cell>
          <cell r="D267" t="str">
            <v>America, Yonard</v>
          </cell>
          <cell r="E267">
            <v>80</v>
          </cell>
          <cell r="F267">
            <v>10</v>
          </cell>
          <cell r="G267">
            <v>600</v>
          </cell>
          <cell r="H267">
            <v>6000</v>
          </cell>
          <cell r="I267">
            <v>0</v>
          </cell>
          <cell r="J267">
            <v>1.25</v>
          </cell>
          <cell r="K267">
            <v>0</v>
          </cell>
          <cell r="L267">
            <v>9</v>
          </cell>
          <cell r="M267">
            <v>93.75</v>
          </cell>
          <cell r="N267">
            <v>843.75</v>
          </cell>
          <cell r="O267">
            <v>27</v>
          </cell>
          <cell r="P267">
            <v>7.5</v>
          </cell>
          <cell r="Q267">
            <v>202.5</v>
          </cell>
          <cell r="R267">
            <v>0</v>
          </cell>
          <cell r="S267">
            <v>97.5</v>
          </cell>
          <cell r="T267">
            <v>0</v>
          </cell>
          <cell r="U267">
            <v>0</v>
          </cell>
          <cell r="V267">
            <v>126.75</v>
          </cell>
          <cell r="W267">
            <v>0</v>
          </cell>
          <cell r="X267">
            <v>0</v>
          </cell>
          <cell r="Y267">
            <v>9.75</v>
          </cell>
          <cell r="Z267">
            <v>0</v>
          </cell>
          <cell r="AA267">
            <v>0</v>
          </cell>
          <cell r="AB267">
            <v>112.5</v>
          </cell>
          <cell r="AC267">
            <v>0</v>
          </cell>
          <cell r="AD267">
            <v>0</v>
          </cell>
          <cell r="AE267">
            <v>146.25</v>
          </cell>
          <cell r="AF267">
            <v>0</v>
          </cell>
          <cell r="AG267">
            <v>0</v>
          </cell>
          <cell r="AH267">
            <v>11.25</v>
          </cell>
          <cell r="AI267">
            <v>0</v>
          </cell>
          <cell r="AJ267">
            <v>0</v>
          </cell>
          <cell r="AK267">
            <v>97.5</v>
          </cell>
          <cell r="AL267">
            <v>0</v>
          </cell>
          <cell r="AM267">
            <v>0</v>
          </cell>
          <cell r="AN267">
            <v>126.75</v>
          </cell>
          <cell r="AO267">
            <v>0</v>
          </cell>
          <cell r="AP267">
            <v>0</v>
          </cell>
          <cell r="AQ267">
            <v>9.75</v>
          </cell>
          <cell r="AR267">
            <v>0</v>
          </cell>
          <cell r="AS267">
            <v>0</v>
          </cell>
          <cell r="AT267">
            <v>150</v>
          </cell>
          <cell r="AU267">
            <v>0</v>
          </cell>
          <cell r="AV267">
            <v>0</v>
          </cell>
          <cell r="AW267">
            <v>195</v>
          </cell>
          <cell r="AX267">
            <v>0</v>
          </cell>
          <cell r="AY267">
            <v>0</v>
          </cell>
          <cell r="AZ267">
            <v>15</v>
          </cell>
          <cell r="BA267">
            <v>0</v>
          </cell>
          <cell r="BB267">
            <v>0</v>
          </cell>
          <cell r="BC267">
            <v>75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7046.25</v>
          </cell>
        </row>
        <row r="268">
          <cell r="C268">
            <v>12830</v>
          </cell>
          <cell r="D268" t="str">
            <v>Ampon, Jerrold Mark Anday</v>
          </cell>
          <cell r="E268">
            <v>80</v>
          </cell>
          <cell r="F268">
            <v>10</v>
          </cell>
          <cell r="G268">
            <v>600</v>
          </cell>
          <cell r="H268">
            <v>6000</v>
          </cell>
          <cell r="I268">
            <v>0</v>
          </cell>
          <cell r="J268">
            <v>1.25</v>
          </cell>
          <cell r="K268">
            <v>0</v>
          </cell>
          <cell r="L268">
            <v>4</v>
          </cell>
          <cell r="M268">
            <v>93.75</v>
          </cell>
          <cell r="N268">
            <v>375</v>
          </cell>
          <cell r="O268">
            <v>24</v>
          </cell>
          <cell r="P268">
            <v>7.5</v>
          </cell>
          <cell r="Q268">
            <v>180</v>
          </cell>
          <cell r="R268">
            <v>0</v>
          </cell>
          <cell r="S268">
            <v>97.5</v>
          </cell>
          <cell r="T268">
            <v>0</v>
          </cell>
          <cell r="U268">
            <v>0</v>
          </cell>
          <cell r="V268">
            <v>126.75</v>
          </cell>
          <cell r="W268">
            <v>0</v>
          </cell>
          <cell r="X268">
            <v>0</v>
          </cell>
          <cell r="Y268">
            <v>9.75</v>
          </cell>
          <cell r="Z268">
            <v>0</v>
          </cell>
          <cell r="AA268">
            <v>0</v>
          </cell>
          <cell r="AB268">
            <v>112.5</v>
          </cell>
          <cell r="AC268">
            <v>0</v>
          </cell>
          <cell r="AD268">
            <v>0</v>
          </cell>
          <cell r="AE268">
            <v>146.25</v>
          </cell>
          <cell r="AF268">
            <v>0</v>
          </cell>
          <cell r="AG268">
            <v>0</v>
          </cell>
          <cell r="AH268">
            <v>11.25</v>
          </cell>
          <cell r="AI268">
            <v>0</v>
          </cell>
          <cell r="AJ268">
            <v>0</v>
          </cell>
          <cell r="AK268">
            <v>97.5</v>
          </cell>
          <cell r="AL268">
            <v>0</v>
          </cell>
          <cell r="AM268">
            <v>0</v>
          </cell>
          <cell r="AN268">
            <v>126.75</v>
          </cell>
          <cell r="AO268">
            <v>0</v>
          </cell>
          <cell r="AP268">
            <v>0</v>
          </cell>
          <cell r="AQ268">
            <v>9.75</v>
          </cell>
          <cell r="AR268">
            <v>0</v>
          </cell>
          <cell r="AS268">
            <v>0</v>
          </cell>
          <cell r="AT268">
            <v>150</v>
          </cell>
          <cell r="AU268">
            <v>0</v>
          </cell>
          <cell r="AV268">
            <v>0</v>
          </cell>
          <cell r="AW268">
            <v>195</v>
          </cell>
          <cell r="AX268">
            <v>0</v>
          </cell>
          <cell r="AY268">
            <v>0</v>
          </cell>
          <cell r="AZ268">
            <v>15</v>
          </cell>
          <cell r="BA268">
            <v>0</v>
          </cell>
          <cell r="BB268">
            <v>0</v>
          </cell>
          <cell r="BC268">
            <v>75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6555</v>
          </cell>
        </row>
        <row r="269">
          <cell r="C269">
            <v>14455</v>
          </cell>
          <cell r="D269" t="str">
            <v>An, John Kenneth Mendoza</v>
          </cell>
          <cell r="E269">
            <v>80</v>
          </cell>
          <cell r="F269">
            <v>10</v>
          </cell>
          <cell r="G269">
            <v>600</v>
          </cell>
          <cell r="H269">
            <v>6000</v>
          </cell>
          <cell r="I269">
            <v>0</v>
          </cell>
          <cell r="J269">
            <v>1.25</v>
          </cell>
          <cell r="K269">
            <v>0</v>
          </cell>
          <cell r="L269">
            <v>18</v>
          </cell>
          <cell r="M269">
            <v>93.75</v>
          </cell>
          <cell r="N269">
            <v>1687.5</v>
          </cell>
          <cell r="O269">
            <v>0</v>
          </cell>
          <cell r="P269">
            <v>7.5</v>
          </cell>
          <cell r="Q269">
            <v>0</v>
          </cell>
          <cell r="R269">
            <v>8</v>
          </cell>
          <cell r="S269">
            <v>97.5</v>
          </cell>
          <cell r="T269">
            <v>780</v>
          </cell>
          <cell r="U269">
            <v>0</v>
          </cell>
          <cell r="V269">
            <v>126.75</v>
          </cell>
          <cell r="W269">
            <v>0</v>
          </cell>
          <cell r="X269">
            <v>0</v>
          </cell>
          <cell r="Y269">
            <v>9.75</v>
          </cell>
          <cell r="Z269">
            <v>0</v>
          </cell>
          <cell r="AA269">
            <v>0</v>
          </cell>
          <cell r="AB269">
            <v>112.5</v>
          </cell>
          <cell r="AC269">
            <v>0</v>
          </cell>
          <cell r="AD269">
            <v>0</v>
          </cell>
          <cell r="AE269">
            <v>146.25</v>
          </cell>
          <cell r="AF269">
            <v>0</v>
          </cell>
          <cell r="AG269">
            <v>0</v>
          </cell>
          <cell r="AH269">
            <v>11.25</v>
          </cell>
          <cell r="AI269">
            <v>0</v>
          </cell>
          <cell r="AJ269">
            <v>0</v>
          </cell>
          <cell r="AK269">
            <v>97.5</v>
          </cell>
          <cell r="AL269">
            <v>0</v>
          </cell>
          <cell r="AM269">
            <v>0</v>
          </cell>
          <cell r="AN269">
            <v>126.75</v>
          </cell>
          <cell r="AO269">
            <v>0</v>
          </cell>
          <cell r="AP269">
            <v>0</v>
          </cell>
          <cell r="AQ269">
            <v>9.75</v>
          </cell>
          <cell r="AR269">
            <v>0</v>
          </cell>
          <cell r="AS269">
            <v>0</v>
          </cell>
          <cell r="AT269">
            <v>150</v>
          </cell>
          <cell r="AU269">
            <v>0</v>
          </cell>
          <cell r="AV269">
            <v>0</v>
          </cell>
          <cell r="AW269">
            <v>195</v>
          </cell>
          <cell r="AX269">
            <v>0</v>
          </cell>
          <cell r="AY269">
            <v>0</v>
          </cell>
          <cell r="AZ269">
            <v>15</v>
          </cell>
          <cell r="BA269">
            <v>0</v>
          </cell>
          <cell r="BB269">
            <v>0</v>
          </cell>
          <cell r="BC269">
            <v>75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8467.5</v>
          </cell>
        </row>
        <row r="270">
          <cell r="C270">
            <v>7178</v>
          </cell>
          <cell r="D270" t="str">
            <v>Andal, Crystal Orbeta</v>
          </cell>
          <cell r="E270">
            <v>64</v>
          </cell>
          <cell r="F270">
            <v>8</v>
          </cell>
          <cell r="G270">
            <v>600</v>
          </cell>
          <cell r="H270">
            <v>4800</v>
          </cell>
          <cell r="I270">
            <v>19</v>
          </cell>
          <cell r="J270">
            <v>1.25</v>
          </cell>
          <cell r="K270">
            <v>-23.75</v>
          </cell>
          <cell r="L270">
            <v>14</v>
          </cell>
          <cell r="M270">
            <v>93.75</v>
          </cell>
          <cell r="N270">
            <v>1312.5</v>
          </cell>
          <cell r="O270">
            <v>14</v>
          </cell>
          <cell r="P270">
            <v>7.5</v>
          </cell>
          <cell r="Q270">
            <v>105</v>
          </cell>
          <cell r="R270">
            <v>0</v>
          </cell>
          <cell r="S270">
            <v>97.5</v>
          </cell>
          <cell r="T270">
            <v>0</v>
          </cell>
          <cell r="U270">
            <v>0</v>
          </cell>
          <cell r="V270">
            <v>126.75</v>
          </cell>
          <cell r="W270">
            <v>0</v>
          </cell>
          <cell r="X270">
            <v>0</v>
          </cell>
          <cell r="Y270">
            <v>9.75</v>
          </cell>
          <cell r="Z270">
            <v>0</v>
          </cell>
          <cell r="AA270">
            <v>0</v>
          </cell>
          <cell r="AB270">
            <v>112.5</v>
          </cell>
          <cell r="AC270">
            <v>0</v>
          </cell>
          <cell r="AD270">
            <v>0</v>
          </cell>
          <cell r="AE270">
            <v>146.25</v>
          </cell>
          <cell r="AF270">
            <v>0</v>
          </cell>
          <cell r="AG270">
            <v>0</v>
          </cell>
          <cell r="AH270">
            <v>11.25</v>
          </cell>
          <cell r="AI270">
            <v>0</v>
          </cell>
          <cell r="AJ270">
            <v>0</v>
          </cell>
          <cell r="AK270">
            <v>97.5</v>
          </cell>
          <cell r="AL270">
            <v>0</v>
          </cell>
          <cell r="AM270">
            <v>0</v>
          </cell>
          <cell r="AN270">
            <v>126.75</v>
          </cell>
          <cell r="AO270">
            <v>0</v>
          </cell>
          <cell r="AP270">
            <v>0</v>
          </cell>
          <cell r="AQ270">
            <v>9.75</v>
          </cell>
          <cell r="AR270">
            <v>0</v>
          </cell>
          <cell r="AS270">
            <v>0</v>
          </cell>
          <cell r="AT270">
            <v>150</v>
          </cell>
          <cell r="AU270">
            <v>0</v>
          </cell>
          <cell r="AV270">
            <v>0</v>
          </cell>
          <cell r="AW270">
            <v>195</v>
          </cell>
          <cell r="AX270">
            <v>0</v>
          </cell>
          <cell r="AY270">
            <v>0</v>
          </cell>
          <cell r="AZ270">
            <v>15</v>
          </cell>
          <cell r="BA270">
            <v>0</v>
          </cell>
          <cell r="BB270">
            <v>0</v>
          </cell>
          <cell r="BC270">
            <v>75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6193.75</v>
          </cell>
        </row>
        <row r="271">
          <cell r="C271">
            <v>5076</v>
          </cell>
          <cell r="D271" t="str">
            <v>Aragdon, Edmun Aguilar</v>
          </cell>
          <cell r="E271">
            <v>88</v>
          </cell>
          <cell r="F271">
            <v>11</v>
          </cell>
          <cell r="G271">
            <v>600</v>
          </cell>
          <cell r="H271">
            <v>6600</v>
          </cell>
          <cell r="I271">
            <v>0</v>
          </cell>
          <cell r="J271">
            <v>1.25</v>
          </cell>
          <cell r="K271">
            <v>0</v>
          </cell>
          <cell r="L271">
            <v>6</v>
          </cell>
          <cell r="M271">
            <v>93.75</v>
          </cell>
          <cell r="N271">
            <v>562.5</v>
          </cell>
          <cell r="O271">
            <v>46</v>
          </cell>
          <cell r="P271">
            <v>7.5</v>
          </cell>
          <cell r="Q271">
            <v>345</v>
          </cell>
          <cell r="R271">
            <v>0</v>
          </cell>
          <cell r="S271">
            <v>97.5</v>
          </cell>
          <cell r="T271">
            <v>0</v>
          </cell>
          <cell r="U271">
            <v>0</v>
          </cell>
          <cell r="V271">
            <v>126.75</v>
          </cell>
          <cell r="W271">
            <v>0</v>
          </cell>
          <cell r="X271">
            <v>0</v>
          </cell>
          <cell r="Y271">
            <v>9.75</v>
          </cell>
          <cell r="Z271">
            <v>0</v>
          </cell>
          <cell r="AA271">
            <v>0</v>
          </cell>
          <cell r="AB271">
            <v>112.5</v>
          </cell>
          <cell r="AC271">
            <v>0</v>
          </cell>
          <cell r="AD271">
            <v>0</v>
          </cell>
          <cell r="AE271">
            <v>146.25</v>
          </cell>
          <cell r="AF271">
            <v>0</v>
          </cell>
          <cell r="AG271">
            <v>0</v>
          </cell>
          <cell r="AH271">
            <v>11.25</v>
          </cell>
          <cell r="AI271">
            <v>0</v>
          </cell>
          <cell r="AJ271">
            <v>0</v>
          </cell>
          <cell r="AK271">
            <v>97.5</v>
          </cell>
          <cell r="AL271">
            <v>0</v>
          </cell>
          <cell r="AM271">
            <v>0</v>
          </cell>
          <cell r="AN271">
            <v>126.75</v>
          </cell>
          <cell r="AO271">
            <v>0</v>
          </cell>
          <cell r="AP271">
            <v>0</v>
          </cell>
          <cell r="AQ271">
            <v>9.75</v>
          </cell>
          <cell r="AR271">
            <v>0</v>
          </cell>
          <cell r="AS271">
            <v>0</v>
          </cell>
          <cell r="AT271">
            <v>150</v>
          </cell>
          <cell r="AU271">
            <v>0</v>
          </cell>
          <cell r="AV271">
            <v>0</v>
          </cell>
          <cell r="AW271">
            <v>195</v>
          </cell>
          <cell r="AX271">
            <v>0</v>
          </cell>
          <cell r="AY271">
            <v>0</v>
          </cell>
          <cell r="AZ271">
            <v>15</v>
          </cell>
          <cell r="BA271">
            <v>0</v>
          </cell>
          <cell r="BB271">
            <v>0</v>
          </cell>
          <cell r="BC271">
            <v>75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7507.5</v>
          </cell>
        </row>
        <row r="272">
          <cell r="C272">
            <v>12835</v>
          </cell>
          <cell r="D272" t="str">
            <v>Arañez, John Randle Bangate</v>
          </cell>
          <cell r="E272">
            <v>56</v>
          </cell>
          <cell r="F272">
            <v>7</v>
          </cell>
          <cell r="G272">
            <v>600</v>
          </cell>
          <cell r="H272">
            <v>4200</v>
          </cell>
          <cell r="I272">
            <v>0</v>
          </cell>
          <cell r="J272">
            <v>1.25</v>
          </cell>
          <cell r="K272">
            <v>0</v>
          </cell>
          <cell r="L272">
            <v>2</v>
          </cell>
          <cell r="M272">
            <v>93.75</v>
          </cell>
          <cell r="N272">
            <v>187.5</v>
          </cell>
          <cell r="O272">
            <v>24</v>
          </cell>
          <cell r="P272">
            <v>7.5</v>
          </cell>
          <cell r="Q272">
            <v>180</v>
          </cell>
          <cell r="R272">
            <v>0</v>
          </cell>
          <cell r="S272">
            <v>97.5</v>
          </cell>
          <cell r="T272">
            <v>0</v>
          </cell>
          <cell r="U272">
            <v>0</v>
          </cell>
          <cell r="V272">
            <v>126.75</v>
          </cell>
          <cell r="W272">
            <v>0</v>
          </cell>
          <cell r="X272">
            <v>0</v>
          </cell>
          <cell r="Y272">
            <v>9.75</v>
          </cell>
          <cell r="Z272">
            <v>0</v>
          </cell>
          <cell r="AA272">
            <v>0</v>
          </cell>
          <cell r="AB272">
            <v>112.5</v>
          </cell>
          <cell r="AC272">
            <v>0</v>
          </cell>
          <cell r="AD272">
            <v>0</v>
          </cell>
          <cell r="AE272">
            <v>146.25</v>
          </cell>
          <cell r="AF272">
            <v>0</v>
          </cell>
          <cell r="AG272">
            <v>0</v>
          </cell>
          <cell r="AH272">
            <v>11.25</v>
          </cell>
          <cell r="AI272">
            <v>0</v>
          </cell>
          <cell r="AJ272">
            <v>0</v>
          </cell>
          <cell r="AK272">
            <v>97.5</v>
          </cell>
          <cell r="AL272">
            <v>0</v>
          </cell>
          <cell r="AM272">
            <v>0</v>
          </cell>
          <cell r="AN272">
            <v>126.75</v>
          </cell>
          <cell r="AO272">
            <v>0</v>
          </cell>
          <cell r="AP272">
            <v>0</v>
          </cell>
          <cell r="AQ272">
            <v>9.75</v>
          </cell>
          <cell r="AR272">
            <v>0</v>
          </cell>
          <cell r="AS272">
            <v>0</v>
          </cell>
          <cell r="AT272">
            <v>150</v>
          </cell>
          <cell r="AU272">
            <v>0</v>
          </cell>
          <cell r="AV272">
            <v>0</v>
          </cell>
          <cell r="AW272">
            <v>195</v>
          </cell>
          <cell r="AX272">
            <v>0</v>
          </cell>
          <cell r="AY272">
            <v>0</v>
          </cell>
          <cell r="AZ272">
            <v>15</v>
          </cell>
          <cell r="BA272">
            <v>0</v>
          </cell>
          <cell r="BB272">
            <v>0</v>
          </cell>
          <cell r="BC272">
            <v>75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4567.5</v>
          </cell>
        </row>
        <row r="273">
          <cell r="C273">
            <v>6808</v>
          </cell>
          <cell r="D273" t="str">
            <v>Arcilla, Micaell Merillo</v>
          </cell>
          <cell r="E273">
            <v>80</v>
          </cell>
          <cell r="F273">
            <v>10</v>
          </cell>
          <cell r="G273">
            <v>600</v>
          </cell>
          <cell r="H273">
            <v>6000</v>
          </cell>
          <cell r="I273">
            <v>0</v>
          </cell>
          <cell r="J273">
            <v>1.25</v>
          </cell>
          <cell r="K273">
            <v>0</v>
          </cell>
          <cell r="L273">
            <v>14</v>
          </cell>
          <cell r="M273">
            <v>93.75</v>
          </cell>
          <cell r="N273">
            <v>1312.5</v>
          </cell>
          <cell r="O273">
            <v>28</v>
          </cell>
          <cell r="P273">
            <v>7.5</v>
          </cell>
          <cell r="Q273">
            <v>210</v>
          </cell>
          <cell r="R273">
            <v>0</v>
          </cell>
          <cell r="S273">
            <v>97.5</v>
          </cell>
          <cell r="T273">
            <v>0</v>
          </cell>
          <cell r="U273">
            <v>0</v>
          </cell>
          <cell r="V273">
            <v>126.75</v>
          </cell>
          <cell r="W273">
            <v>0</v>
          </cell>
          <cell r="X273">
            <v>0</v>
          </cell>
          <cell r="Y273">
            <v>9.75</v>
          </cell>
          <cell r="Z273">
            <v>0</v>
          </cell>
          <cell r="AA273">
            <v>0</v>
          </cell>
          <cell r="AB273">
            <v>112.5</v>
          </cell>
          <cell r="AC273">
            <v>0</v>
          </cell>
          <cell r="AD273">
            <v>0</v>
          </cell>
          <cell r="AE273">
            <v>146.25</v>
          </cell>
          <cell r="AF273">
            <v>0</v>
          </cell>
          <cell r="AG273">
            <v>0</v>
          </cell>
          <cell r="AH273">
            <v>11.25</v>
          </cell>
          <cell r="AI273">
            <v>0</v>
          </cell>
          <cell r="AJ273">
            <v>0</v>
          </cell>
          <cell r="AK273">
            <v>97.5</v>
          </cell>
          <cell r="AL273">
            <v>0</v>
          </cell>
          <cell r="AM273">
            <v>0</v>
          </cell>
          <cell r="AN273">
            <v>126.75</v>
          </cell>
          <cell r="AO273">
            <v>0</v>
          </cell>
          <cell r="AP273">
            <v>0</v>
          </cell>
          <cell r="AQ273">
            <v>9.75</v>
          </cell>
          <cell r="AR273">
            <v>0</v>
          </cell>
          <cell r="AS273">
            <v>0</v>
          </cell>
          <cell r="AT273">
            <v>150</v>
          </cell>
          <cell r="AU273">
            <v>0</v>
          </cell>
          <cell r="AV273">
            <v>0</v>
          </cell>
          <cell r="AW273">
            <v>195</v>
          </cell>
          <cell r="AX273">
            <v>0</v>
          </cell>
          <cell r="AY273">
            <v>0</v>
          </cell>
          <cell r="AZ273">
            <v>15</v>
          </cell>
          <cell r="BA273">
            <v>0</v>
          </cell>
          <cell r="BB273">
            <v>0</v>
          </cell>
          <cell r="BC273">
            <v>75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7522.5</v>
          </cell>
        </row>
        <row r="274">
          <cell r="C274">
            <v>12846</v>
          </cell>
          <cell r="D274" t="str">
            <v>Atienza, Vhee Jay Ilao</v>
          </cell>
          <cell r="E274">
            <v>88</v>
          </cell>
          <cell r="F274">
            <v>11</v>
          </cell>
          <cell r="G274">
            <v>600</v>
          </cell>
          <cell r="H274">
            <v>6600</v>
          </cell>
          <cell r="I274">
            <v>0</v>
          </cell>
          <cell r="J274">
            <v>1.25</v>
          </cell>
          <cell r="K274">
            <v>0</v>
          </cell>
          <cell r="L274">
            <v>6</v>
          </cell>
          <cell r="M274">
            <v>93.75</v>
          </cell>
          <cell r="N274">
            <v>562.5</v>
          </cell>
          <cell r="O274">
            <v>48</v>
          </cell>
          <cell r="P274">
            <v>7.5</v>
          </cell>
          <cell r="Q274">
            <v>360</v>
          </cell>
          <cell r="R274">
            <v>0</v>
          </cell>
          <cell r="S274">
            <v>97.5</v>
          </cell>
          <cell r="T274">
            <v>0</v>
          </cell>
          <cell r="U274">
            <v>0</v>
          </cell>
          <cell r="V274">
            <v>126.75</v>
          </cell>
          <cell r="W274">
            <v>0</v>
          </cell>
          <cell r="X274">
            <v>0</v>
          </cell>
          <cell r="Y274">
            <v>9.75</v>
          </cell>
          <cell r="Z274">
            <v>0</v>
          </cell>
          <cell r="AA274">
            <v>0</v>
          </cell>
          <cell r="AB274">
            <v>112.5</v>
          </cell>
          <cell r="AC274">
            <v>0</v>
          </cell>
          <cell r="AD274">
            <v>0</v>
          </cell>
          <cell r="AE274">
            <v>146.25</v>
          </cell>
          <cell r="AF274">
            <v>0</v>
          </cell>
          <cell r="AG274">
            <v>0</v>
          </cell>
          <cell r="AH274">
            <v>11.25</v>
          </cell>
          <cell r="AI274">
            <v>0</v>
          </cell>
          <cell r="AJ274">
            <v>0</v>
          </cell>
          <cell r="AK274">
            <v>97.5</v>
          </cell>
          <cell r="AL274">
            <v>0</v>
          </cell>
          <cell r="AM274">
            <v>0</v>
          </cell>
          <cell r="AN274">
            <v>126.75</v>
          </cell>
          <cell r="AO274">
            <v>0</v>
          </cell>
          <cell r="AP274">
            <v>0</v>
          </cell>
          <cell r="AQ274">
            <v>9.75</v>
          </cell>
          <cell r="AR274">
            <v>0</v>
          </cell>
          <cell r="AS274">
            <v>0</v>
          </cell>
          <cell r="AT274">
            <v>150</v>
          </cell>
          <cell r="AU274">
            <v>0</v>
          </cell>
          <cell r="AV274">
            <v>0</v>
          </cell>
          <cell r="AW274">
            <v>195</v>
          </cell>
          <cell r="AX274">
            <v>0</v>
          </cell>
          <cell r="AY274">
            <v>0</v>
          </cell>
          <cell r="AZ274">
            <v>15</v>
          </cell>
          <cell r="BA274">
            <v>0</v>
          </cell>
          <cell r="BB274">
            <v>0</v>
          </cell>
          <cell r="BC274">
            <v>75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7522.5</v>
          </cell>
        </row>
        <row r="275">
          <cell r="C275">
            <v>14543</v>
          </cell>
          <cell r="D275" t="str">
            <v>Avila, Joana Nicole Penol</v>
          </cell>
          <cell r="E275">
            <v>80</v>
          </cell>
          <cell r="F275">
            <v>10</v>
          </cell>
          <cell r="G275">
            <v>600</v>
          </cell>
          <cell r="H275">
            <v>6000</v>
          </cell>
          <cell r="I275">
            <v>0</v>
          </cell>
          <cell r="J275">
            <v>1.25</v>
          </cell>
          <cell r="K275">
            <v>0</v>
          </cell>
          <cell r="L275">
            <v>14</v>
          </cell>
          <cell r="M275">
            <v>93.75</v>
          </cell>
          <cell r="N275">
            <v>1312.5</v>
          </cell>
          <cell r="O275">
            <v>0</v>
          </cell>
          <cell r="P275">
            <v>7.5</v>
          </cell>
          <cell r="Q275">
            <v>0</v>
          </cell>
          <cell r="R275">
            <v>0</v>
          </cell>
          <cell r="S275">
            <v>97.5</v>
          </cell>
          <cell r="T275">
            <v>0</v>
          </cell>
          <cell r="U275">
            <v>0</v>
          </cell>
          <cell r="V275">
            <v>126.75</v>
          </cell>
          <cell r="W275">
            <v>0</v>
          </cell>
          <cell r="X275">
            <v>0</v>
          </cell>
          <cell r="Y275">
            <v>9.75</v>
          </cell>
          <cell r="Z275">
            <v>0</v>
          </cell>
          <cell r="AA275">
            <v>0</v>
          </cell>
          <cell r="AB275">
            <v>112.5</v>
          </cell>
          <cell r="AC275">
            <v>0</v>
          </cell>
          <cell r="AD275">
            <v>0</v>
          </cell>
          <cell r="AE275">
            <v>146.25</v>
          </cell>
          <cell r="AF275">
            <v>0</v>
          </cell>
          <cell r="AG275">
            <v>0</v>
          </cell>
          <cell r="AH275">
            <v>11.25</v>
          </cell>
          <cell r="AI275">
            <v>0</v>
          </cell>
          <cell r="AJ275">
            <v>0</v>
          </cell>
          <cell r="AK275">
            <v>97.5</v>
          </cell>
          <cell r="AL275">
            <v>0</v>
          </cell>
          <cell r="AM275">
            <v>0</v>
          </cell>
          <cell r="AN275">
            <v>126.75</v>
          </cell>
          <cell r="AO275">
            <v>0</v>
          </cell>
          <cell r="AP275">
            <v>0</v>
          </cell>
          <cell r="AQ275">
            <v>9.75</v>
          </cell>
          <cell r="AR275">
            <v>0</v>
          </cell>
          <cell r="AS275">
            <v>0</v>
          </cell>
          <cell r="AT275">
            <v>150</v>
          </cell>
          <cell r="AU275">
            <v>0</v>
          </cell>
          <cell r="AV275">
            <v>0</v>
          </cell>
          <cell r="AW275">
            <v>195</v>
          </cell>
          <cell r="AX275">
            <v>0</v>
          </cell>
          <cell r="AY275">
            <v>0</v>
          </cell>
          <cell r="AZ275">
            <v>15</v>
          </cell>
          <cell r="BA275">
            <v>0</v>
          </cell>
          <cell r="BB275">
            <v>0</v>
          </cell>
          <cell r="BC275">
            <v>75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7312.5</v>
          </cell>
        </row>
        <row r="276">
          <cell r="C276">
            <v>30030</v>
          </cell>
          <cell r="D276" t="str">
            <v>Azurias, Sherry Mae Autor</v>
          </cell>
          <cell r="E276">
            <v>80</v>
          </cell>
          <cell r="F276">
            <v>10</v>
          </cell>
          <cell r="G276">
            <v>600</v>
          </cell>
          <cell r="H276">
            <v>6000</v>
          </cell>
          <cell r="I276">
            <v>0</v>
          </cell>
          <cell r="J276">
            <v>1.25</v>
          </cell>
          <cell r="K276">
            <v>0</v>
          </cell>
          <cell r="L276">
            <v>0</v>
          </cell>
          <cell r="M276">
            <v>93.75</v>
          </cell>
          <cell r="N276">
            <v>0</v>
          </cell>
          <cell r="O276">
            <v>0</v>
          </cell>
          <cell r="P276">
            <v>7.5</v>
          </cell>
          <cell r="Q276">
            <v>0</v>
          </cell>
          <cell r="R276">
            <v>0</v>
          </cell>
          <cell r="S276">
            <v>97.5</v>
          </cell>
          <cell r="T276">
            <v>0</v>
          </cell>
          <cell r="U276">
            <v>0</v>
          </cell>
          <cell r="V276">
            <v>126.75</v>
          </cell>
          <cell r="W276">
            <v>0</v>
          </cell>
          <cell r="X276">
            <v>0</v>
          </cell>
          <cell r="Y276">
            <v>9.75</v>
          </cell>
          <cell r="Z276">
            <v>0</v>
          </cell>
          <cell r="AA276">
            <v>0</v>
          </cell>
          <cell r="AB276">
            <v>112.5</v>
          </cell>
          <cell r="AC276">
            <v>0</v>
          </cell>
          <cell r="AD276">
            <v>0</v>
          </cell>
          <cell r="AE276">
            <v>146.25</v>
          </cell>
          <cell r="AF276">
            <v>0</v>
          </cell>
          <cell r="AG276">
            <v>0</v>
          </cell>
          <cell r="AH276">
            <v>11.25</v>
          </cell>
          <cell r="AI276">
            <v>0</v>
          </cell>
          <cell r="AJ276">
            <v>0</v>
          </cell>
          <cell r="AK276">
            <v>97.5</v>
          </cell>
          <cell r="AL276">
            <v>0</v>
          </cell>
          <cell r="AM276">
            <v>0</v>
          </cell>
          <cell r="AN276">
            <v>126.75</v>
          </cell>
          <cell r="AO276">
            <v>0</v>
          </cell>
          <cell r="AP276">
            <v>0</v>
          </cell>
          <cell r="AQ276">
            <v>9.75</v>
          </cell>
          <cell r="AR276">
            <v>0</v>
          </cell>
          <cell r="AS276">
            <v>0</v>
          </cell>
          <cell r="AT276">
            <v>150</v>
          </cell>
          <cell r="AU276">
            <v>0</v>
          </cell>
          <cell r="AV276">
            <v>0</v>
          </cell>
          <cell r="AW276">
            <v>195</v>
          </cell>
          <cell r="AX276">
            <v>0</v>
          </cell>
          <cell r="AY276">
            <v>0</v>
          </cell>
          <cell r="AZ276">
            <v>15</v>
          </cell>
          <cell r="BA276">
            <v>0</v>
          </cell>
          <cell r="BB276">
            <v>0</v>
          </cell>
          <cell r="BC276">
            <v>75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6000</v>
          </cell>
        </row>
        <row r="277">
          <cell r="C277">
            <v>12852</v>
          </cell>
          <cell r="D277" t="str">
            <v>Bacorayo, Richelle Colle</v>
          </cell>
          <cell r="E277">
            <v>72</v>
          </cell>
          <cell r="F277">
            <v>9</v>
          </cell>
          <cell r="G277">
            <v>600</v>
          </cell>
          <cell r="H277">
            <v>5400</v>
          </cell>
          <cell r="I277">
            <v>0</v>
          </cell>
          <cell r="J277">
            <v>1.25</v>
          </cell>
          <cell r="K277">
            <v>0</v>
          </cell>
          <cell r="L277">
            <v>0</v>
          </cell>
          <cell r="M277">
            <v>93.75</v>
          </cell>
          <cell r="N277">
            <v>0</v>
          </cell>
          <cell r="O277">
            <v>0</v>
          </cell>
          <cell r="P277">
            <v>7.5</v>
          </cell>
          <cell r="Q277">
            <v>0</v>
          </cell>
          <cell r="R277">
            <v>0</v>
          </cell>
          <cell r="S277">
            <v>97.5</v>
          </cell>
          <cell r="T277">
            <v>0</v>
          </cell>
          <cell r="U277">
            <v>0</v>
          </cell>
          <cell r="V277">
            <v>126.75</v>
          </cell>
          <cell r="W277">
            <v>0</v>
          </cell>
          <cell r="X277">
            <v>0</v>
          </cell>
          <cell r="Y277">
            <v>9.75</v>
          </cell>
          <cell r="Z277">
            <v>0</v>
          </cell>
          <cell r="AA277">
            <v>0</v>
          </cell>
          <cell r="AB277">
            <v>112.5</v>
          </cell>
          <cell r="AC277">
            <v>0</v>
          </cell>
          <cell r="AD277">
            <v>0</v>
          </cell>
          <cell r="AE277">
            <v>146.25</v>
          </cell>
          <cell r="AF277">
            <v>0</v>
          </cell>
          <cell r="AG277">
            <v>0</v>
          </cell>
          <cell r="AH277">
            <v>11.25</v>
          </cell>
          <cell r="AI277">
            <v>0</v>
          </cell>
          <cell r="AJ277">
            <v>0</v>
          </cell>
          <cell r="AK277">
            <v>97.5</v>
          </cell>
          <cell r="AL277">
            <v>0</v>
          </cell>
          <cell r="AM277">
            <v>0</v>
          </cell>
          <cell r="AN277">
            <v>126.75</v>
          </cell>
          <cell r="AO277">
            <v>0</v>
          </cell>
          <cell r="AP277">
            <v>0</v>
          </cell>
          <cell r="AQ277">
            <v>9.75</v>
          </cell>
          <cell r="AR277">
            <v>0</v>
          </cell>
          <cell r="AS277">
            <v>0</v>
          </cell>
          <cell r="AT277">
            <v>150</v>
          </cell>
          <cell r="AU277">
            <v>0</v>
          </cell>
          <cell r="AV277">
            <v>0</v>
          </cell>
          <cell r="AW277">
            <v>195</v>
          </cell>
          <cell r="AX277">
            <v>0</v>
          </cell>
          <cell r="AY277">
            <v>0</v>
          </cell>
          <cell r="AZ277">
            <v>15</v>
          </cell>
          <cell r="BA277">
            <v>0</v>
          </cell>
          <cell r="BB277">
            <v>0</v>
          </cell>
          <cell r="BC277">
            <v>75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5400</v>
          </cell>
        </row>
        <row r="278">
          <cell r="C278">
            <v>7714</v>
          </cell>
          <cell r="D278" t="str">
            <v>Balba, Alqueen Laloma</v>
          </cell>
          <cell r="E278">
            <v>72</v>
          </cell>
          <cell r="F278">
            <v>9</v>
          </cell>
          <cell r="G278">
            <v>600</v>
          </cell>
          <cell r="H278">
            <v>5400</v>
          </cell>
          <cell r="I278">
            <v>5</v>
          </cell>
          <cell r="J278">
            <v>1.25</v>
          </cell>
          <cell r="K278">
            <v>-6.25</v>
          </cell>
          <cell r="L278">
            <v>14</v>
          </cell>
          <cell r="M278">
            <v>93.75</v>
          </cell>
          <cell r="N278">
            <v>1312.5</v>
          </cell>
          <cell r="O278">
            <v>0</v>
          </cell>
          <cell r="P278">
            <v>7.5</v>
          </cell>
          <cell r="Q278">
            <v>0</v>
          </cell>
          <cell r="R278">
            <v>0</v>
          </cell>
          <cell r="S278">
            <v>97.5</v>
          </cell>
          <cell r="T278">
            <v>0</v>
          </cell>
          <cell r="U278">
            <v>0</v>
          </cell>
          <cell r="V278">
            <v>126.75</v>
          </cell>
          <cell r="W278">
            <v>0</v>
          </cell>
          <cell r="X278">
            <v>0</v>
          </cell>
          <cell r="Y278">
            <v>9.75</v>
          </cell>
          <cell r="Z278">
            <v>0</v>
          </cell>
          <cell r="AA278">
            <v>0</v>
          </cell>
          <cell r="AB278">
            <v>112.5</v>
          </cell>
          <cell r="AC278">
            <v>0</v>
          </cell>
          <cell r="AD278">
            <v>0</v>
          </cell>
          <cell r="AE278">
            <v>146.25</v>
          </cell>
          <cell r="AF278">
            <v>0</v>
          </cell>
          <cell r="AG278">
            <v>0</v>
          </cell>
          <cell r="AH278">
            <v>11.25</v>
          </cell>
          <cell r="AI278">
            <v>0</v>
          </cell>
          <cell r="AJ278">
            <v>0</v>
          </cell>
          <cell r="AK278">
            <v>97.5</v>
          </cell>
          <cell r="AL278">
            <v>0</v>
          </cell>
          <cell r="AM278">
            <v>0</v>
          </cell>
          <cell r="AN278">
            <v>126.75</v>
          </cell>
          <cell r="AO278">
            <v>0</v>
          </cell>
          <cell r="AP278">
            <v>0</v>
          </cell>
          <cell r="AQ278">
            <v>9.75</v>
          </cell>
          <cell r="AR278">
            <v>0</v>
          </cell>
          <cell r="AS278">
            <v>0</v>
          </cell>
          <cell r="AT278">
            <v>150</v>
          </cell>
          <cell r="AU278">
            <v>0</v>
          </cell>
          <cell r="AV278">
            <v>0</v>
          </cell>
          <cell r="AW278">
            <v>195</v>
          </cell>
          <cell r="AX278">
            <v>0</v>
          </cell>
          <cell r="AY278">
            <v>0</v>
          </cell>
          <cell r="AZ278">
            <v>15</v>
          </cell>
          <cell r="BA278">
            <v>0</v>
          </cell>
          <cell r="BB278">
            <v>0</v>
          </cell>
          <cell r="BC278">
            <v>75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6706.25</v>
          </cell>
        </row>
        <row r="279">
          <cell r="C279">
            <v>14760</v>
          </cell>
          <cell r="D279" t="str">
            <v>Balba, Christopher Laloma</v>
          </cell>
          <cell r="E279">
            <v>80</v>
          </cell>
          <cell r="F279">
            <v>10</v>
          </cell>
          <cell r="G279">
            <v>600</v>
          </cell>
          <cell r="H279">
            <v>6000</v>
          </cell>
          <cell r="I279">
            <v>0</v>
          </cell>
          <cell r="J279">
            <v>1.25</v>
          </cell>
          <cell r="K279">
            <v>0</v>
          </cell>
          <cell r="L279">
            <v>2</v>
          </cell>
          <cell r="M279">
            <v>93.75</v>
          </cell>
          <cell r="N279">
            <v>187.5</v>
          </cell>
          <cell r="O279">
            <v>26</v>
          </cell>
          <cell r="P279">
            <v>7.5</v>
          </cell>
          <cell r="Q279">
            <v>195</v>
          </cell>
          <cell r="R279">
            <v>0</v>
          </cell>
          <cell r="S279">
            <v>97.5</v>
          </cell>
          <cell r="T279">
            <v>0</v>
          </cell>
          <cell r="U279">
            <v>0</v>
          </cell>
          <cell r="V279">
            <v>126.75</v>
          </cell>
          <cell r="W279">
            <v>0</v>
          </cell>
          <cell r="X279">
            <v>0</v>
          </cell>
          <cell r="Y279">
            <v>9.75</v>
          </cell>
          <cell r="Z279">
            <v>0</v>
          </cell>
          <cell r="AA279">
            <v>0</v>
          </cell>
          <cell r="AB279">
            <v>112.5</v>
          </cell>
          <cell r="AC279">
            <v>0</v>
          </cell>
          <cell r="AD279">
            <v>0</v>
          </cell>
          <cell r="AE279">
            <v>146.25</v>
          </cell>
          <cell r="AF279">
            <v>0</v>
          </cell>
          <cell r="AG279">
            <v>0</v>
          </cell>
          <cell r="AH279">
            <v>11.25</v>
          </cell>
          <cell r="AI279">
            <v>0</v>
          </cell>
          <cell r="AJ279">
            <v>0</v>
          </cell>
          <cell r="AK279">
            <v>97.5</v>
          </cell>
          <cell r="AL279">
            <v>0</v>
          </cell>
          <cell r="AM279">
            <v>0</v>
          </cell>
          <cell r="AN279">
            <v>126.75</v>
          </cell>
          <cell r="AO279">
            <v>0</v>
          </cell>
          <cell r="AP279">
            <v>0</v>
          </cell>
          <cell r="AQ279">
            <v>9.75</v>
          </cell>
          <cell r="AR279">
            <v>0</v>
          </cell>
          <cell r="AS279">
            <v>0</v>
          </cell>
          <cell r="AT279">
            <v>150</v>
          </cell>
          <cell r="AU279">
            <v>0</v>
          </cell>
          <cell r="AV279">
            <v>0</v>
          </cell>
          <cell r="AW279">
            <v>195</v>
          </cell>
          <cell r="AX279">
            <v>0</v>
          </cell>
          <cell r="AY279">
            <v>0</v>
          </cell>
          <cell r="AZ279">
            <v>15</v>
          </cell>
          <cell r="BA279">
            <v>0</v>
          </cell>
          <cell r="BB279">
            <v>0</v>
          </cell>
          <cell r="BC279">
            <v>75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6382.5</v>
          </cell>
        </row>
        <row r="280">
          <cell r="C280">
            <v>10033</v>
          </cell>
          <cell r="D280" t="str">
            <v>Balbin, Prencesa Espinili</v>
          </cell>
          <cell r="E280">
            <v>40</v>
          </cell>
          <cell r="F280">
            <v>5</v>
          </cell>
          <cell r="G280">
            <v>600</v>
          </cell>
          <cell r="H280">
            <v>3000</v>
          </cell>
          <cell r="I280">
            <v>0</v>
          </cell>
          <cell r="J280">
            <v>1.25</v>
          </cell>
          <cell r="K280">
            <v>0</v>
          </cell>
          <cell r="L280">
            <v>7</v>
          </cell>
          <cell r="M280">
            <v>93.75</v>
          </cell>
          <cell r="N280">
            <v>656.25</v>
          </cell>
          <cell r="O280">
            <v>29</v>
          </cell>
          <cell r="P280">
            <v>7.5</v>
          </cell>
          <cell r="Q280">
            <v>217.5</v>
          </cell>
          <cell r="R280">
            <v>0</v>
          </cell>
          <cell r="S280">
            <v>97.5</v>
          </cell>
          <cell r="T280">
            <v>0</v>
          </cell>
          <cell r="U280">
            <v>0</v>
          </cell>
          <cell r="V280">
            <v>126.75</v>
          </cell>
          <cell r="W280">
            <v>0</v>
          </cell>
          <cell r="X280">
            <v>0</v>
          </cell>
          <cell r="Y280">
            <v>9.75</v>
          </cell>
          <cell r="Z280">
            <v>0</v>
          </cell>
          <cell r="AA280">
            <v>0</v>
          </cell>
          <cell r="AB280">
            <v>112.5</v>
          </cell>
          <cell r="AC280">
            <v>0</v>
          </cell>
          <cell r="AD280">
            <v>0</v>
          </cell>
          <cell r="AE280">
            <v>146.25</v>
          </cell>
          <cell r="AF280">
            <v>0</v>
          </cell>
          <cell r="AG280">
            <v>0</v>
          </cell>
          <cell r="AH280">
            <v>11.25</v>
          </cell>
          <cell r="AI280">
            <v>0</v>
          </cell>
          <cell r="AJ280">
            <v>0</v>
          </cell>
          <cell r="AK280">
            <v>97.5</v>
          </cell>
          <cell r="AL280">
            <v>0</v>
          </cell>
          <cell r="AM280">
            <v>0</v>
          </cell>
          <cell r="AN280">
            <v>126.75</v>
          </cell>
          <cell r="AO280">
            <v>0</v>
          </cell>
          <cell r="AP280">
            <v>0</v>
          </cell>
          <cell r="AQ280">
            <v>9.75</v>
          </cell>
          <cell r="AR280">
            <v>0</v>
          </cell>
          <cell r="AS280">
            <v>0</v>
          </cell>
          <cell r="AT280">
            <v>150</v>
          </cell>
          <cell r="AU280">
            <v>0</v>
          </cell>
          <cell r="AV280">
            <v>0</v>
          </cell>
          <cell r="AW280">
            <v>195</v>
          </cell>
          <cell r="AX280">
            <v>0</v>
          </cell>
          <cell r="AY280">
            <v>0</v>
          </cell>
          <cell r="AZ280">
            <v>15</v>
          </cell>
          <cell r="BA280">
            <v>0</v>
          </cell>
          <cell r="BB280">
            <v>0</v>
          </cell>
          <cell r="BC280">
            <v>75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3873.75</v>
          </cell>
        </row>
        <row r="281">
          <cell r="C281">
            <v>30295</v>
          </cell>
          <cell r="D281" t="str">
            <v>Balmonte, Mayumi Castellano</v>
          </cell>
          <cell r="E281">
            <v>80</v>
          </cell>
          <cell r="F281">
            <v>10</v>
          </cell>
          <cell r="G281">
            <v>600</v>
          </cell>
          <cell r="H281">
            <v>6000</v>
          </cell>
          <cell r="I281">
            <v>0</v>
          </cell>
          <cell r="J281">
            <v>1.25</v>
          </cell>
          <cell r="K281">
            <v>0</v>
          </cell>
          <cell r="L281">
            <v>13</v>
          </cell>
          <cell r="M281">
            <v>93.75</v>
          </cell>
          <cell r="N281">
            <v>1218.75</v>
          </cell>
          <cell r="O281">
            <v>0</v>
          </cell>
          <cell r="P281">
            <v>7.5</v>
          </cell>
          <cell r="Q281">
            <v>0</v>
          </cell>
          <cell r="R281">
            <v>0</v>
          </cell>
          <cell r="S281">
            <v>97.5</v>
          </cell>
          <cell r="T281">
            <v>0</v>
          </cell>
          <cell r="U281">
            <v>0</v>
          </cell>
          <cell r="V281">
            <v>126.75</v>
          </cell>
          <cell r="W281">
            <v>0</v>
          </cell>
          <cell r="X281">
            <v>0</v>
          </cell>
          <cell r="Y281">
            <v>9.75</v>
          </cell>
          <cell r="Z281">
            <v>0</v>
          </cell>
          <cell r="AA281">
            <v>0</v>
          </cell>
          <cell r="AB281">
            <v>112.5</v>
          </cell>
          <cell r="AC281">
            <v>0</v>
          </cell>
          <cell r="AD281">
            <v>0</v>
          </cell>
          <cell r="AE281">
            <v>146.25</v>
          </cell>
          <cell r="AF281">
            <v>0</v>
          </cell>
          <cell r="AG281">
            <v>0</v>
          </cell>
          <cell r="AH281">
            <v>11.25</v>
          </cell>
          <cell r="AI281">
            <v>0</v>
          </cell>
          <cell r="AJ281">
            <v>0</v>
          </cell>
          <cell r="AK281">
            <v>97.5</v>
          </cell>
          <cell r="AL281">
            <v>0</v>
          </cell>
          <cell r="AM281">
            <v>0</v>
          </cell>
          <cell r="AN281">
            <v>126.75</v>
          </cell>
          <cell r="AO281">
            <v>0</v>
          </cell>
          <cell r="AP281">
            <v>0</v>
          </cell>
          <cell r="AQ281">
            <v>9.75</v>
          </cell>
          <cell r="AR281">
            <v>0</v>
          </cell>
          <cell r="AS281">
            <v>0</v>
          </cell>
          <cell r="AT281">
            <v>150</v>
          </cell>
          <cell r="AU281">
            <v>0</v>
          </cell>
          <cell r="AV281">
            <v>0</v>
          </cell>
          <cell r="AW281">
            <v>195</v>
          </cell>
          <cell r="AX281">
            <v>0</v>
          </cell>
          <cell r="AY281">
            <v>0</v>
          </cell>
          <cell r="AZ281">
            <v>15</v>
          </cell>
          <cell r="BA281">
            <v>0</v>
          </cell>
          <cell r="BB281">
            <v>0</v>
          </cell>
          <cell r="BC281">
            <v>75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7218.75</v>
          </cell>
        </row>
        <row r="282">
          <cell r="C282">
            <v>12856</v>
          </cell>
          <cell r="D282" t="str">
            <v>Bañez, Marian Madrelijos</v>
          </cell>
          <cell r="E282">
            <v>80</v>
          </cell>
          <cell r="F282">
            <v>10</v>
          </cell>
          <cell r="G282">
            <v>600</v>
          </cell>
          <cell r="H282">
            <v>6000</v>
          </cell>
          <cell r="I282">
            <v>0</v>
          </cell>
          <cell r="J282">
            <v>1.25</v>
          </cell>
          <cell r="K282">
            <v>0</v>
          </cell>
          <cell r="L282">
            <v>14</v>
          </cell>
          <cell r="M282">
            <v>93.75</v>
          </cell>
          <cell r="N282">
            <v>1312.5</v>
          </cell>
          <cell r="O282">
            <v>0</v>
          </cell>
          <cell r="P282">
            <v>7.5</v>
          </cell>
          <cell r="Q282">
            <v>0</v>
          </cell>
          <cell r="R282">
            <v>0</v>
          </cell>
          <cell r="S282">
            <v>97.5</v>
          </cell>
          <cell r="T282">
            <v>0</v>
          </cell>
          <cell r="U282">
            <v>0</v>
          </cell>
          <cell r="V282">
            <v>126.75</v>
          </cell>
          <cell r="W282">
            <v>0</v>
          </cell>
          <cell r="X282">
            <v>0</v>
          </cell>
          <cell r="Y282">
            <v>9.75</v>
          </cell>
          <cell r="Z282">
            <v>0</v>
          </cell>
          <cell r="AA282">
            <v>0</v>
          </cell>
          <cell r="AB282">
            <v>112.5</v>
          </cell>
          <cell r="AC282">
            <v>0</v>
          </cell>
          <cell r="AD282">
            <v>0</v>
          </cell>
          <cell r="AE282">
            <v>146.25</v>
          </cell>
          <cell r="AF282">
            <v>0</v>
          </cell>
          <cell r="AG282">
            <v>0</v>
          </cell>
          <cell r="AH282">
            <v>11.25</v>
          </cell>
          <cell r="AI282">
            <v>0</v>
          </cell>
          <cell r="AJ282">
            <v>0</v>
          </cell>
          <cell r="AK282">
            <v>97.5</v>
          </cell>
          <cell r="AL282">
            <v>0</v>
          </cell>
          <cell r="AM282">
            <v>0</v>
          </cell>
          <cell r="AN282">
            <v>126.75</v>
          </cell>
          <cell r="AO282">
            <v>0</v>
          </cell>
          <cell r="AP282">
            <v>0</v>
          </cell>
          <cell r="AQ282">
            <v>9.75</v>
          </cell>
          <cell r="AR282">
            <v>0</v>
          </cell>
          <cell r="AS282">
            <v>0</v>
          </cell>
          <cell r="AT282">
            <v>150</v>
          </cell>
          <cell r="AU282">
            <v>0</v>
          </cell>
          <cell r="AV282">
            <v>0</v>
          </cell>
          <cell r="AW282">
            <v>195</v>
          </cell>
          <cell r="AX282">
            <v>0</v>
          </cell>
          <cell r="AY282">
            <v>0</v>
          </cell>
          <cell r="AZ282">
            <v>15</v>
          </cell>
          <cell r="BA282">
            <v>0</v>
          </cell>
          <cell r="BB282">
            <v>0</v>
          </cell>
          <cell r="BC282">
            <v>75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7312.5</v>
          </cell>
        </row>
        <row r="283">
          <cell r="C283">
            <v>11424</v>
          </cell>
          <cell r="D283" t="str">
            <v>Bangahon, Elmer A.</v>
          </cell>
          <cell r="E283">
            <v>80</v>
          </cell>
          <cell r="F283">
            <v>10</v>
          </cell>
          <cell r="G283">
            <v>600</v>
          </cell>
          <cell r="H283">
            <v>6000</v>
          </cell>
          <cell r="I283">
            <v>0</v>
          </cell>
          <cell r="J283">
            <v>1.25</v>
          </cell>
          <cell r="K283">
            <v>0</v>
          </cell>
          <cell r="L283">
            <v>17</v>
          </cell>
          <cell r="M283">
            <v>93.75</v>
          </cell>
          <cell r="N283">
            <v>1593.75</v>
          </cell>
          <cell r="O283">
            <v>0</v>
          </cell>
          <cell r="P283">
            <v>7.5</v>
          </cell>
          <cell r="Q283">
            <v>0</v>
          </cell>
          <cell r="R283">
            <v>0</v>
          </cell>
          <cell r="S283">
            <v>97.5</v>
          </cell>
          <cell r="T283">
            <v>0</v>
          </cell>
          <cell r="U283">
            <v>0</v>
          </cell>
          <cell r="V283">
            <v>126.75</v>
          </cell>
          <cell r="W283">
            <v>0</v>
          </cell>
          <cell r="X283">
            <v>0</v>
          </cell>
          <cell r="Y283">
            <v>9.75</v>
          </cell>
          <cell r="Z283">
            <v>0</v>
          </cell>
          <cell r="AA283">
            <v>0</v>
          </cell>
          <cell r="AB283">
            <v>112.5</v>
          </cell>
          <cell r="AC283">
            <v>0</v>
          </cell>
          <cell r="AD283">
            <v>0</v>
          </cell>
          <cell r="AE283">
            <v>146.25</v>
          </cell>
          <cell r="AF283">
            <v>0</v>
          </cell>
          <cell r="AG283">
            <v>0</v>
          </cell>
          <cell r="AH283">
            <v>11.25</v>
          </cell>
          <cell r="AI283">
            <v>0</v>
          </cell>
          <cell r="AJ283">
            <v>0</v>
          </cell>
          <cell r="AK283">
            <v>97.5</v>
          </cell>
          <cell r="AL283">
            <v>0</v>
          </cell>
          <cell r="AM283">
            <v>0</v>
          </cell>
          <cell r="AN283">
            <v>126.75</v>
          </cell>
          <cell r="AO283">
            <v>0</v>
          </cell>
          <cell r="AP283">
            <v>0</v>
          </cell>
          <cell r="AQ283">
            <v>9.75</v>
          </cell>
          <cell r="AR283">
            <v>0</v>
          </cell>
          <cell r="AS283">
            <v>0</v>
          </cell>
          <cell r="AT283">
            <v>150</v>
          </cell>
          <cell r="AU283">
            <v>0</v>
          </cell>
          <cell r="AV283">
            <v>0</v>
          </cell>
          <cell r="AW283">
            <v>195</v>
          </cell>
          <cell r="AX283">
            <v>0</v>
          </cell>
          <cell r="AY283">
            <v>0</v>
          </cell>
          <cell r="AZ283">
            <v>15</v>
          </cell>
          <cell r="BA283">
            <v>0</v>
          </cell>
          <cell r="BB283">
            <v>0</v>
          </cell>
          <cell r="BC283">
            <v>75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7593.75</v>
          </cell>
        </row>
        <row r="284">
          <cell r="C284">
            <v>3718</v>
          </cell>
          <cell r="D284" t="str">
            <v>Baquillas, Rodelyn Baon</v>
          </cell>
          <cell r="E284">
            <v>80</v>
          </cell>
          <cell r="F284">
            <v>10</v>
          </cell>
          <cell r="G284">
            <v>600</v>
          </cell>
          <cell r="H284">
            <v>6000</v>
          </cell>
          <cell r="I284">
            <v>0</v>
          </cell>
          <cell r="J284">
            <v>1.25</v>
          </cell>
          <cell r="K284">
            <v>0</v>
          </cell>
          <cell r="L284">
            <v>12</v>
          </cell>
          <cell r="M284">
            <v>93.75</v>
          </cell>
          <cell r="N284">
            <v>1125</v>
          </cell>
          <cell r="O284">
            <v>0</v>
          </cell>
          <cell r="P284">
            <v>7.5</v>
          </cell>
          <cell r="Q284">
            <v>0</v>
          </cell>
          <cell r="R284">
            <v>0</v>
          </cell>
          <cell r="S284">
            <v>97.5</v>
          </cell>
          <cell r="T284">
            <v>0</v>
          </cell>
          <cell r="U284">
            <v>0</v>
          </cell>
          <cell r="V284">
            <v>126.75</v>
          </cell>
          <cell r="W284">
            <v>0</v>
          </cell>
          <cell r="X284">
            <v>0</v>
          </cell>
          <cell r="Y284">
            <v>9.75</v>
          </cell>
          <cell r="Z284">
            <v>0</v>
          </cell>
          <cell r="AA284">
            <v>0</v>
          </cell>
          <cell r="AB284">
            <v>112.5</v>
          </cell>
          <cell r="AC284">
            <v>0</v>
          </cell>
          <cell r="AD284">
            <v>0</v>
          </cell>
          <cell r="AE284">
            <v>146.25</v>
          </cell>
          <cell r="AF284">
            <v>0</v>
          </cell>
          <cell r="AG284">
            <v>0</v>
          </cell>
          <cell r="AH284">
            <v>11.25</v>
          </cell>
          <cell r="AI284">
            <v>0</v>
          </cell>
          <cell r="AJ284">
            <v>0</v>
          </cell>
          <cell r="AK284">
            <v>97.5</v>
          </cell>
          <cell r="AL284">
            <v>0</v>
          </cell>
          <cell r="AM284">
            <v>0</v>
          </cell>
          <cell r="AN284">
            <v>126.75</v>
          </cell>
          <cell r="AO284">
            <v>0</v>
          </cell>
          <cell r="AP284">
            <v>0</v>
          </cell>
          <cell r="AQ284">
            <v>9.75</v>
          </cell>
          <cell r="AR284">
            <v>0</v>
          </cell>
          <cell r="AS284">
            <v>0</v>
          </cell>
          <cell r="AT284">
            <v>150</v>
          </cell>
          <cell r="AU284">
            <v>0</v>
          </cell>
          <cell r="AV284">
            <v>0</v>
          </cell>
          <cell r="AW284">
            <v>195</v>
          </cell>
          <cell r="AX284">
            <v>0</v>
          </cell>
          <cell r="AY284">
            <v>0</v>
          </cell>
          <cell r="AZ284">
            <v>15</v>
          </cell>
          <cell r="BA284">
            <v>0</v>
          </cell>
          <cell r="BB284">
            <v>0</v>
          </cell>
          <cell r="BC284">
            <v>75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7125</v>
          </cell>
        </row>
        <row r="285">
          <cell r="C285">
            <v>30679</v>
          </cell>
          <cell r="D285" t="str">
            <v>Bardon, Norly Villacruel</v>
          </cell>
          <cell r="E285">
            <v>80</v>
          </cell>
          <cell r="F285">
            <v>10</v>
          </cell>
          <cell r="G285">
            <v>600</v>
          </cell>
          <cell r="H285">
            <v>6000</v>
          </cell>
          <cell r="I285">
            <v>0</v>
          </cell>
          <cell r="J285">
            <v>1.25</v>
          </cell>
          <cell r="K285">
            <v>0</v>
          </cell>
          <cell r="L285">
            <v>8</v>
          </cell>
          <cell r="M285">
            <v>93.75</v>
          </cell>
          <cell r="N285">
            <v>750</v>
          </cell>
          <cell r="O285">
            <v>26</v>
          </cell>
          <cell r="P285">
            <v>7.5</v>
          </cell>
          <cell r="Q285">
            <v>195</v>
          </cell>
          <cell r="R285">
            <v>0</v>
          </cell>
          <cell r="S285">
            <v>97.5</v>
          </cell>
          <cell r="T285">
            <v>0</v>
          </cell>
          <cell r="U285">
            <v>0</v>
          </cell>
          <cell r="V285">
            <v>126.75</v>
          </cell>
          <cell r="W285">
            <v>0</v>
          </cell>
          <cell r="X285">
            <v>0</v>
          </cell>
          <cell r="Y285">
            <v>9.75</v>
          </cell>
          <cell r="Z285">
            <v>0</v>
          </cell>
          <cell r="AA285">
            <v>0</v>
          </cell>
          <cell r="AB285">
            <v>112.5</v>
          </cell>
          <cell r="AC285">
            <v>0</v>
          </cell>
          <cell r="AD285">
            <v>0</v>
          </cell>
          <cell r="AE285">
            <v>146.25</v>
          </cell>
          <cell r="AF285">
            <v>0</v>
          </cell>
          <cell r="AG285">
            <v>0</v>
          </cell>
          <cell r="AH285">
            <v>11.25</v>
          </cell>
          <cell r="AI285">
            <v>0</v>
          </cell>
          <cell r="AJ285">
            <v>0</v>
          </cell>
          <cell r="AK285">
            <v>97.5</v>
          </cell>
          <cell r="AL285">
            <v>0</v>
          </cell>
          <cell r="AM285">
            <v>0</v>
          </cell>
          <cell r="AN285">
            <v>126.75</v>
          </cell>
          <cell r="AO285">
            <v>0</v>
          </cell>
          <cell r="AP285">
            <v>0</v>
          </cell>
          <cell r="AQ285">
            <v>9.75</v>
          </cell>
          <cell r="AR285">
            <v>0</v>
          </cell>
          <cell r="AS285">
            <v>0</v>
          </cell>
          <cell r="AT285">
            <v>150</v>
          </cell>
          <cell r="AU285">
            <v>0</v>
          </cell>
          <cell r="AV285">
            <v>0</v>
          </cell>
          <cell r="AW285">
            <v>195</v>
          </cell>
          <cell r="AX285">
            <v>0</v>
          </cell>
          <cell r="AY285">
            <v>0</v>
          </cell>
          <cell r="AZ285">
            <v>15</v>
          </cell>
          <cell r="BA285">
            <v>0</v>
          </cell>
          <cell r="BB285">
            <v>0</v>
          </cell>
          <cell r="BC285">
            <v>75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6945</v>
          </cell>
        </row>
        <row r="286">
          <cell r="C286">
            <v>12859</v>
          </cell>
          <cell r="D286" t="str">
            <v>Bascuguin, Benedick Teano</v>
          </cell>
          <cell r="E286">
            <v>80</v>
          </cell>
          <cell r="F286">
            <v>10</v>
          </cell>
          <cell r="G286">
            <v>600</v>
          </cell>
          <cell r="H286">
            <v>6000</v>
          </cell>
          <cell r="I286">
            <v>0</v>
          </cell>
          <cell r="J286">
            <v>1.25</v>
          </cell>
          <cell r="K286">
            <v>0</v>
          </cell>
          <cell r="L286">
            <v>17</v>
          </cell>
          <cell r="M286">
            <v>93.75</v>
          </cell>
          <cell r="N286">
            <v>1593.75</v>
          </cell>
          <cell r="O286">
            <v>28</v>
          </cell>
          <cell r="P286">
            <v>7.5</v>
          </cell>
          <cell r="Q286">
            <v>210</v>
          </cell>
          <cell r="R286">
            <v>0</v>
          </cell>
          <cell r="S286">
            <v>97.5</v>
          </cell>
          <cell r="T286">
            <v>0</v>
          </cell>
          <cell r="U286">
            <v>0</v>
          </cell>
          <cell r="V286">
            <v>126.75</v>
          </cell>
          <cell r="W286">
            <v>0</v>
          </cell>
          <cell r="X286">
            <v>0</v>
          </cell>
          <cell r="Y286">
            <v>9.75</v>
          </cell>
          <cell r="Z286">
            <v>0</v>
          </cell>
          <cell r="AA286">
            <v>0</v>
          </cell>
          <cell r="AB286">
            <v>112.5</v>
          </cell>
          <cell r="AC286">
            <v>0</v>
          </cell>
          <cell r="AD286">
            <v>0</v>
          </cell>
          <cell r="AE286">
            <v>146.25</v>
          </cell>
          <cell r="AF286">
            <v>0</v>
          </cell>
          <cell r="AG286">
            <v>0</v>
          </cell>
          <cell r="AH286">
            <v>11.25</v>
          </cell>
          <cell r="AI286">
            <v>0</v>
          </cell>
          <cell r="AJ286">
            <v>0</v>
          </cell>
          <cell r="AK286">
            <v>97.5</v>
          </cell>
          <cell r="AL286">
            <v>0</v>
          </cell>
          <cell r="AM286">
            <v>0</v>
          </cell>
          <cell r="AN286">
            <v>126.75</v>
          </cell>
          <cell r="AO286">
            <v>0</v>
          </cell>
          <cell r="AP286">
            <v>0</v>
          </cell>
          <cell r="AQ286">
            <v>9.75</v>
          </cell>
          <cell r="AR286">
            <v>0</v>
          </cell>
          <cell r="AS286">
            <v>0</v>
          </cell>
          <cell r="AT286">
            <v>150</v>
          </cell>
          <cell r="AU286">
            <v>0</v>
          </cell>
          <cell r="AV286">
            <v>0</v>
          </cell>
          <cell r="AW286">
            <v>195</v>
          </cell>
          <cell r="AX286">
            <v>0</v>
          </cell>
          <cell r="AY286">
            <v>0</v>
          </cell>
          <cell r="AZ286">
            <v>15</v>
          </cell>
          <cell r="BA286">
            <v>0</v>
          </cell>
          <cell r="BB286">
            <v>0</v>
          </cell>
          <cell r="BC286">
            <v>75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7803.75</v>
          </cell>
        </row>
        <row r="287">
          <cell r="C287">
            <v>30339</v>
          </cell>
          <cell r="D287" t="str">
            <v>Bautista, Rodel Carera</v>
          </cell>
          <cell r="E287">
            <v>88</v>
          </cell>
          <cell r="F287">
            <v>11</v>
          </cell>
          <cell r="G287">
            <v>600</v>
          </cell>
          <cell r="H287">
            <v>6600</v>
          </cell>
          <cell r="I287">
            <v>0</v>
          </cell>
          <cell r="J287">
            <v>1.25</v>
          </cell>
          <cell r="K287">
            <v>0</v>
          </cell>
          <cell r="L287">
            <v>14</v>
          </cell>
          <cell r="M287">
            <v>93.75</v>
          </cell>
          <cell r="N287">
            <v>1312.5</v>
          </cell>
          <cell r="O287">
            <v>52</v>
          </cell>
          <cell r="P287">
            <v>7.5</v>
          </cell>
          <cell r="Q287">
            <v>390</v>
          </cell>
          <cell r="R287">
            <v>0</v>
          </cell>
          <cell r="S287">
            <v>97.5</v>
          </cell>
          <cell r="T287">
            <v>0</v>
          </cell>
          <cell r="U287">
            <v>0</v>
          </cell>
          <cell r="V287">
            <v>126.75</v>
          </cell>
          <cell r="W287">
            <v>0</v>
          </cell>
          <cell r="X287">
            <v>0</v>
          </cell>
          <cell r="Y287">
            <v>9.75</v>
          </cell>
          <cell r="Z287">
            <v>0</v>
          </cell>
          <cell r="AA287">
            <v>0</v>
          </cell>
          <cell r="AB287">
            <v>112.5</v>
          </cell>
          <cell r="AC287">
            <v>0</v>
          </cell>
          <cell r="AD287">
            <v>0</v>
          </cell>
          <cell r="AE287">
            <v>146.25</v>
          </cell>
          <cell r="AF287">
            <v>0</v>
          </cell>
          <cell r="AG287">
            <v>0</v>
          </cell>
          <cell r="AH287">
            <v>11.25</v>
          </cell>
          <cell r="AI287">
            <v>0</v>
          </cell>
          <cell r="AJ287">
            <v>0</v>
          </cell>
          <cell r="AK287">
            <v>97.5</v>
          </cell>
          <cell r="AL287">
            <v>0</v>
          </cell>
          <cell r="AM287">
            <v>0</v>
          </cell>
          <cell r="AN287">
            <v>126.75</v>
          </cell>
          <cell r="AO287">
            <v>0</v>
          </cell>
          <cell r="AP287">
            <v>0</v>
          </cell>
          <cell r="AQ287">
            <v>9.75</v>
          </cell>
          <cell r="AR287">
            <v>0</v>
          </cell>
          <cell r="AS287">
            <v>0</v>
          </cell>
          <cell r="AT287">
            <v>150</v>
          </cell>
          <cell r="AU287">
            <v>0</v>
          </cell>
          <cell r="AV287">
            <v>0</v>
          </cell>
          <cell r="AW287">
            <v>195</v>
          </cell>
          <cell r="AX287">
            <v>0</v>
          </cell>
          <cell r="AY287">
            <v>0</v>
          </cell>
          <cell r="AZ287">
            <v>15</v>
          </cell>
          <cell r="BA287">
            <v>0</v>
          </cell>
          <cell r="BB287">
            <v>0</v>
          </cell>
          <cell r="BC287">
            <v>75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8302.5</v>
          </cell>
        </row>
        <row r="288">
          <cell r="C288">
            <v>30300</v>
          </cell>
          <cell r="D288" t="str">
            <v>Bauyan, Francis Khyle Albado</v>
          </cell>
          <cell r="E288">
            <v>88</v>
          </cell>
          <cell r="F288">
            <v>11</v>
          </cell>
          <cell r="G288">
            <v>600</v>
          </cell>
          <cell r="H288">
            <v>6600</v>
          </cell>
          <cell r="I288">
            <v>0</v>
          </cell>
          <cell r="J288">
            <v>1.25</v>
          </cell>
          <cell r="K288">
            <v>0</v>
          </cell>
          <cell r="L288">
            <v>6</v>
          </cell>
          <cell r="M288">
            <v>93.75</v>
          </cell>
          <cell r="N288">
            <v>562.5</v>
          </cell>
          <cell r="O288">
            <v>48</v>
          </cell>
          <cell r="P288">
            <v>7.5</v>
          </cell>
          <cell r="Q288">
            <v>360</v>
          </cell>
          <cell r="R288">
            <v>0</v>
          </cell>
          <cell r="S288">
            <v>97.5</v>
          </cell>
          <cell r="T288">
            <v>0</v>
          </cell>
          <cell r="U288">
            <v>0</v>
          </cell>
          <cell r="V288">
            <v>126.75</v>
          </cell>
          <cell r="W288">
            <v>0</v>
          </cell>
          <cell r="X288">
            <v>0</v>
          </cell>
          <cell r="Y288">
            <v>9.75</v>
          </cell>
          <cell r="Z288">
            <v>0</v>
          </cell>
          <cell r="AA288">
            <v>0</v>
          </cell>
          <cell r="AB288">
            <v>112.5</v>
          </cell>
          <cell r="AC288">
            <v>0</v>
          </cell>
          <cell r="AD288">
            <v>0</v>
          </cell>
          <cell r="AE288">
            <v>146.25</v>
          </cell>
          <cell r="AF288">
            <v>0</v>
          </cell>
          <cell r="AG288">
            <v>0</v>
          </cell>
          <cell r="AH288">
            <v>11.25</v>
          </cell>
          <cell r="AI288">
            <v>0</v>
          </cell>
          <cell r="AJ288">
            <v>0</v>
          </cell>
          <cell r="AK288">
            <v>97.5</v>
          </cell>
          <cell r="AL288">
            <v>0</v>
          </cell>
          <cell r="AM288">
            <v>0</v>
          </cell>
          <cell r="AN288">
            <v>126.75</v>
          </cell>
          <cell r="AO288">
            <v>0</v>
          </cell>
          <cell r="AP288">
            <v>0</v>
          </cell>
          <cell r="AQ288">
            <v>9.75</v>
          </cell>
          <cell r="AR288">
            <v>0</v>
          </cell>
          <cell r="AS288">
            <v>0</v>
          </cell>
          <cell r="AT288">
            <v>150</v>
          </cell>
          <cell r="AU288">
            <v>0</v>
          </cell>
          <cell r="AV288">
            <v>0</v>
          </cell>
          <cell r="AW288">
            <v>195</v>
          </cell>
          <cell r="AX288">
            <v>0</v>
          </cell>
          <cell r="AY288">
            <v>0</v>
          </cell>
          <cell r="AZ288">
            <v>15</v>
          </cell>
          <cell r="BA288">
            <v>0</v>
          </cell>
          <cell r="BB288">
            <v>0</v>
          </cell>
          <cell r="BC288">
            <v>75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7522.5</v>
          </cell>
        </row>
        <row r="289">
          <cell r="C289">
            <v>3839</v>
          </cell>
          <cell r="D289" t="str">
            <v>Bayani, Ellah May Abling</v>
          </cell>
          <cell r="E289">
            <v>88</v>
          </cell>
          <cell r="F289">
            <v>11</v>
          </cell>
          <cell r="G289">
            <v>600</v>
          </cell>
          <cell r="H289">
            <v>6600</v>
          </cell>
          <cell r="I289">
            <v>0</v>
          </cell>
          <cell r="J289">
            <v>1.25</v>
          </cell>
          <cell r="K289">
            <v>0</v>
          </cell>
          <cell r="L289">
            <v>14</v>
          </cell>
          <cell r="M289">
            <v>93.75</v>
          </cell>
          <cell r="N289">
            <v>1312.5</v>
          </cell>
          <cell r="O289">
            <v>46</v>
          </cell>
          <cell r="P289">
            <v>7.5</v>
          </cell>
          <cell r="Q289">
            <v>345</v>
          </cell>
          <cell r="R289">
            <v>0</v>
          </cell>
          <cell r="S289">
            <v>97.5</v>
          </cell>
          <cell r="T289">
            <v>0</v>
          </cell>
          <cell r="U289">
            <v>0</v>
          </cell>
          <cell r="V289">
            <v>126.75</v>
          </cell>
          <cell r="W289">
            <v>0</v>
          </cell>
          <cell r="X289">
            <v>0</v>
          </cell>
          <cell r="Y289">
            <v>9.75</v>
          </cell>
          <cell r="Z289">
            <v>0</v>
          </cell>
          <cell r="AA289">
            <v>0</v>
          </cell>
          <cell r="AB289">
            <v>112.5</v>
          </cell>
          <cell r="AC289">
            <v>0</v>
          </cell>
          <cell r="AD289">
            <v>0</v>
          </cell>
          <cell r="AE289">
            <v>146.25</v>
          </cell>
          <cell r="AF289">
            <v>0</v>
          </cell>
          <cell r="AG289">
            <v>0</v>
          </cell>
          <cell r="AH289">
            <v>11.25</v>
          </cell>
          <cell r="AI289">
            <v>0</v>
          </cell>
          <cell r="AJ289">
            <v>0</v>
          </cell>
          <cell r="AK289">
            <v>97.5</v>
          </cell>
          <cell r="AL289">
            <v>0</v>
          </cell>
          <cell r="AM289">
            <v>0</v>
          </cell>
          <cell r="AN289">
            <v>126.75</v>
          </cell>
          <cell r="AO289">
            <v>0</v>
          </cell>
          <cell r="AP289">
            <v>0</v>
          </cell>
          <cell r="AQ289">
            <v>9.75</v>
          </cell>
          <cell r="AR289">
            <v>0</v>
          </cell>
          <cell r="AS289">
            <v>0</v>
          </cell>
          <cell r="AT289">
            <v>150</v>
          </cell>
          <cell r="AU289">
            <v>0</v>
          </cell>
          <cell r="AV289">
            <v>0</v>
          </cell>
          <cell r="AW289">
            <v>195</v>
          </cell>
          <cell r="AX289">
            <v>0</v>
          </cell>
          <cell r="AY289">
            <v>0</v>
          </cell>
          <cell r="AZ289">
            <v>15</v>
          </cell>
          <cell r="BA289">
            <v>0</v>
          </cell>
          <cell r="BB289">
            <v>0</v>
          </cell>
          <cell r="BC289">
            <v>75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8257.5</v>
          </cell>
        </row>
        <row r="290">
          <cell r="C290">
            <v>7708</v>
          </cell>
          <cell r="D290" t="str">
            <v>Belarmino, Jade Espenida</v>
          </cell>
          <cell r="E290">
            <v>88</v>
          </cell>
          <cell r="F290">
            <v>11</v>
          </cell>
          <cell r="G290">
            <v>600</v>
          </cell>
          <cell r="H290">
            <v>6600</v>
          </cell>
          <cell r="I290">
            <v>0</v>
          </cell>
          <cell r="J290">
            <v>1.25</v>
          </cell>
          <cell r="K290">
            <v>0</v>
          </cell>
          <cell r="L290">
            <v>10</v>
          </cell>
          <cell r="M290">
            <v>93.75</v>
          </cell>
          <cell r="N290">
            <v>937.5</v>
          </cell>
          <cell r="O290">
            <v>50</v>
          </cell>
          <cell r="P290">
            <v>7.5</v>
          </cell>
          <cell r="Q290">
            <v>375</v>
          </cell>
          <cell r="R290">
            <v>0</v>
          </cell>
          <cell r="S290">
            <v>97.5</v>
          </cell>
          <cell r="T290">
            <v>0</v>
          </cell>
          <cell r="U290">
            <v>0</v>
          </cell>
          <cell r="V290">
            <v>126.75</v>
          </cell>
          <cell r="W290">
            <v>0</v>
          </cell>
          <cell r="X290">
            <v>0</v>
          </cell>
          <cell r="Y290">
            <v>9.75</v>
          </cell>
          <cell r="Z290">
            <v>0</v>
          </cell>
          <cell r="AA290">
            <v>0</v>
          </cell>
          <cell r="AB290">
            <v>112.5</v>
          </cell>
          <cell r="AC290">
            <v>0</v>
          </cell>
          <cell r="AD290">
            <v>0</v>
          </cell>
          <cell r="AE290">
            <v>146.25</v>
          </cell>
          <cell r="AF290">
            <v>0</v>
          </cell>
          <cell r="AG290">
            <v>0</v>
          </cell>
          <cell r="AH290">
            <v>11.25</v>
          </cell>
          <cell r="AI290">
            <v>0</v>
          </cell>
          <cell r="AJ290">
            <v>0</v>
          </cell>
          <cell r="AK290">
            <v>97.5</v>
          </cell>
          <cell r="AL290">
            <v>0</v>
          </cell>
          <cell r="AM290">
            <v>0</v>
          </cell>
          <cell r="AN290">
            <v>126.75</v>
          </cell>
          <cell r="AO290">
            <v>0</v>
          </cell>
          <cell r="AP290">
            <v>0</v>
          </cell>
          <cell r="AQ290">
            <v>9.75</v>
          </cell>
          <cell r="AR290">
            <v>0</v>
          </cell>
          <cell r="AS290">
            <v>0</v>
          </cell>
          <cell r="AT290">
            <v>150</v>
          </cell>
          <cell r="AU290">
            <v>0</v>
          </cell>
          <cell r="AV290">
            <v>0</v>
          </cell>
          <cell r="AW290">
            <v>195</v>
          </cell>
          <cell r="AX290">
            <v>0</v>
          </cell>
          <cell r="AY290">
            <v>0</v>
          </cell>
          <cell r="AZ290">
            <v>15</v>
          </cell>
          <cell r="BA290">
            <v>0</v>
          </cell>
          <cell r="BB290">
            <v>0</v>
          </cell>
          <cell r="BC290">
            <v>75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7912.5</v>
          </cell>
        </row>
        <row r="291">
          <cell r="C291">
            <v>14122</v>
          </cell>
          <cell r="D291" t="str">
            <v>Berana, Arjay Don De Rosas</v>
          </cell>
          <cell r="E291">
            <v>48</v>
          </cell>
          <cell r="F291">
            <v>6</v>
          </cell>
          <cell r="G291">
            <v>600</v>
          </cell>
          <cell r="H291">
            <v>3600</v>
          </cell>
          <cell r="I291">
            <v>1</v>
          </cell>
          <cell r="J291">
            <v>1.25</v>
          </cell>
          <cell r="K291">
            <v>-1.25</v>
          </cell>
          <cell r="L291">
            <v>8</v>
          </cell>
          <cell r="M291">
            <v>93.75</v>
          </cell>
          <cell r="N291">
            <v>750</v>
          </cell>
          <cell r="O291">
            <v>0</v>
          </cell>
          <cell r="P291">
            <v>7.5</v>
          </cell>
          <cell r="Q291">
            <v>0</v>
          </cell>
          <cell r="R291">
            <v>0</v>
          </cell>
          <cell r="S291">
            <v>97.5</v>
          </cell>
          <cell r="T291">
            <v>0</v>
          </cell>
          <cell r="U291">
            <v>0</v>
          </cell>
          <cell r="V291">
            <v>126.75</v>
          </cell>
          <cell r="W291">
            <v>0</v>
          </cell>
          <cell r="X291">
            <v>0</v>
          </cell>
          <cell r="Y291">
            <v>9.75</v>
          </cell>
          <cell r="Z291">
            <v>0</v>
          </cell>
          <cell r="AA291">
            <v>0</v>
          </cell>
          <cell r="AB291">
            <v>112.5</v>
          </cell>
          <cell r="AC291">
            <v>0</v>
          </cell>
          <cell r="AD291">
            <v>0</v>
          </cell>
          <cell r="AE291">
            <v>146.25</v>
          </cell>
          <cell r="AF291">
            <v>0</v>
          </cell>
          <cell r="AG291">
            <v>0</v>
          </cell>
          <cell r="AH291">
            <v>11.25</v>
          </cell>
          <cell r="AI291">
            <v>0</v>
          </cell>
          <cell r="AJ291">
            <v>0</v>
          </cell>
          <cell r="AK291">
            <v>97.5</v>
          </cell>
          <cell r="AL291">
            <v>0</v>
          </cell>
          <cell r="AM291">
            <v>0</v>
          </cell>
          <cell r="AN291">
            <v>126.75</v>
          </cell>
          <cell r="AO291">
            <v>0</v>
          </cell>
          <cell r="AP291">
            <v>0</v>
          </cell>
          <cell r="AQ291">
            <v>9.75</v>
          </cell>
          <cell r="AR291">
            <v>0</v>
          </cell>
          <cell r="AS291">
            <v>0</v>
          </cell>
          <cell r="AT291">
            <v>150</v>
          </cell>
          <cell r="AU291">
            <v>0</v>
          </cell>
          <cell r="AV291">
            <v>0</v>
          </cell>
          <cell r="AW291">
            <v>195</v>
          </cell>
          <cell r="AX291">
            <v>0</v>
          </cell>
          <cell r="AY291">
            <v>0</v>
          </cell>
          <cell r="AZ291">
            <v>15</v>
          </cell>
          <cell r="BA291">
            <v>0</v>
          </cell>
          <cell r="BB291">
            <v>0</v>
          </cell>
          <cell r="BC291">
            <v>75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4348.75</v>
          </cell>
        </row>
        <row r="292">
          <cell r="C292">
            <v>14631</v>
          </cell>
          <cell r="D292" t="str">
            <v>Beronio, Joshua Beringuela</v>
          </cell>
          <cell r="E292">
            <v>80</v>
          </cell>
          <cell r="F292">
            <v>10</v>
          </cell>
          <cell r="G292">
            <v>600</v>
          </cell>
          <cell r="H292">
            <v>6000</v>
          </cell>
          <cell r="I292">
            <v>0</v>
          </cell>
          <cell r="J292">
            <v>1.25</v>
          </cell>
          <cell r="K292">
            <v>0</v>
          </cell>
          <cell r="L292">
            <v>16</v>
          </cell>
          <cell r="M292">
            <v>93.75</v>
          </cell>
          <cell r="N292">
            <v>1500</v>
          </cell>
          <cell r="O292">
            <v>30</v>
          </cell>
          <cell r="P292">
            <v>7.5</v>
          </cell>
          <cell r="Q292">
            <v>225</v>
          </cell>
          <cell r="R292">
            <v>0</v>
          </cell>
          <cell r="S292">
            <v>97.5</v>
          </cell>
          <cell r="T292">
            <v>0</v>
          </cell>
          <cell r="U292">
            <v>0</v>
          </cell>
          <cell r="V292">
            <v>126.75</v>
          </cell>
          <cell r="W292">
            <v>0</v>
          </cell>
          <cell r="X292">
            <v>0</v>
          </cell>
          <cell r="Y292">
            <v>9.75</v>
          </cell>
          <cell r="Z292">
            <v>0</v>
          </cell>
          <cell r="AA292">
            <v>0</v>
          </cell>
          <cell r="AB292">
            <v>112.5</v>
          </cell>
          <cell r="AC292">
            <v>0</v>
          </cell>
          <cell r="AD292">
            <v>0</v>
          </cell>
          <cell r="AE292">
            <v>146.25</v>
          </cell>
          <cell r="AF292">
            <v>0</v>
          </cell>
          <cell r="AG292">
            <v>0</v>
          </cell>
          <cell r="AH292">
            <v>11.25</v>
          </cell>
          <cell r="AI292">
            <v>0</v>
          </cell>
          <cell r="AJ292">
            <v>0</v>
          </cell>
          <cell r="AK292">
            <v>97.5</v>
          </cell>
          <cell r="AL292">
            <v>0</v>
          </cell>
          <cell r="AM292">
            <v>0</v>
          </cell>
          <cell r="AN292">
            <v>126.75</v>
          </cell>
          <cell r="AO292">
            <v>0</v>
          </cell>
          <cell r="AP292">
            <v>0</v>
          </cell>
          <cell r="AQ292">
            <v>9.75</v>
          </cell>
          <cell r="AR292">
            <v>0</v>
          </cell>
          <cell r="AS292">
            <v>0</v>
          </cell>
          <cell r="AT292">
            <v>150</v>
          </cell>
          <cell r="AU292">
            <v>0</v>
          </cell>
          <cell r="AV292">
            <v>0</v>
          </cell>
          <cell r="AW292">
            <v>195</v>
          </cell>
          <cell r="AX292">
            <v>0</v>
          </cell>
          <cell r="AY292">
            <v>0</v>
          </cell>
          <cell r="AZ292">
            <v>15</v>
          </cell>
          <cell r="BA292">
            <v>0</v>
          </cell>
          <cell r="BB292">
            <v>0</v>
          </cell>
          <cell r="BC292">
            <v>75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7725</v>
          </cell>
        </row>
        <row r="293">
          <cell r="C293">
            <v>12869</v>
          </cell>
          <cell r="D293" t="str">
            <v>Billones, Mary jane Velasquez</v>
          </cell>
          <cell r="E293">
            <v>80</v>
          </cell>
          <cell r="F293">
            <v>10</v>
          </cell>
          <cell r="G293">
            <v>600</v>
          </cell>
          <cell r="H293">
            <v>6000</v>
          </cell>
          <cell r="I293">
            <v>0</v>
          </cell>
          <cell r="J293">
            <v>1.25</v>
          </cell>
          <cell r="K293">
            <v>0</v>
          </cell>
          <cell r="L293">
            <v>1</v>
          </cell>
          <cell r="M293">
            <v>93.75</v>
          </cell>
          <cell r="N293">
            <v>93.75</v>
          </cell>
          <cell r="O293">
            <v>0</v>
          </cell>
          <cell r="P293">
            <v>7.5</v>
          </cell>
          <cell r="Q293">
            <v>0</v>
          </cell>
          <cell r="R293">
            <v>0</v>
          </cell>
          <cell r="S293">
            <v>97.5</v>
          </cell>
          <cell r="T293">
            <v>0</v>
          </cell>
          <cell r="U293">
            <v>0</v>
          </cell>
          <cell r="V293">
            <v>126.75</v>
          </cell>
          <cell r="W293">
            <v>0</v>
          </cell>
          <cell r="X293">
            <v>0</v>
          </cell>
          <cell r="Y293">
            <v>9.75</v>
          </cell>
          <cell r="Z293">
            <v>0</v>
          </cell>
          <cell r="AA293">
            <v>0</v>
          </cell>
          <cell r="AB293">
            <v>112.5</v>
          </cell>
          <cell r="AC293">
            <v>0</v>
          </cell>
          <cell r="AD293">
            <v>0</v>
          </cell>
          <cell r="AE293">
            <v>146.25</v>
          </cell>
          <cell r="AF293">
            <v>0</v>
          </cell>
          <cell r="AG293">
            <v>0</v>
          </cell>
          <cell r="AH293">
            <v>11.25</v>
          </cell>
          <cell r="AI293">
            <v>0</v>
          </cell>
          <cell r="AJ293">
            <v>0</v>
          </cell>
          <cell r="AK293">
            <v>97.5</v>
          </cell>
          <cell r="AL293">
            <v>0</v>
          </cell>
          <cell r="AM293">
            <v>0</v>
          </cell>
          <cell r="AN293">
            <v>126.75</v>
          </cell>
          <cell r="AO293">
            <v>0</v>
          </cell>
          <cell r="AP293">
            <v>0</v>
          </cell>
          <cell r="AQ293">
            <v>9.75</v>
          </cell>
          <cell r="AR293">
            <v>0</v>
          </cell>
          <cell r="AS293">
            <v>0</v>
          </cell>
          <cell r="AT293">
            <v>150</v>
          </cell>
          <cell r="AU293">
            <v>0</v>
          </cell>
          <cell r="AV293">
            <v>0</v>
          </cell>
          <cell r="AW293">
            <v>195</v>
          </cell>
          <cell r="AX293">
            <v>0</v>
          </cell>
          <cell r="AY293">
            <v>0</v>
          </cell>
          <cell r="AZ293">
            <v>15</v>
          </cell>
          <cell r="BA293">
            <v>0</v>
          </cell>
          <cell r="BB293">
            <v>0</v>
          </cell>
          <cell r="BC293">
            <v>75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6093.75</v>
          </cell>
        </row>
        <row r="294">
          <cell r="C294">
            <v>8180</v>
          </cell>
          <cell r="D294" t="str">
            <v>Blacer, Rowena Rovera</v>
          </cell>
          <cell r="E294">
            <v>72</v>
          </cell>
          <cell r="F294">
            <v>9</v>
          </cell>
          <cell r="G294">
            <v>600</v>
          </cell>
          <cell r="H294">
            <v>5400</v>
          </cell>
          <cell r="I294">
            <v>0</v>
          </cell>
          <cell r="J294">
            <v>1.25</v>
          </cell>
          <cell r="K294">
            <v>0</v>
          </cell>
          <cell r="L294">
            <v>12</v>
          </cell>
          <cell r="M294">
            <v>93.75</v>
          </cell>
          <cell r="N294">
            <v>1125</v>
          </cell>
          <cell r="O294">
            <v>28</v>
          </cell>
          <cell r="P294">
            <v>7.5</v>
          </cell>
          <cell r="Q294">
            <v>210</v>
          </cell>
          <cell r="R294">
            <v>0</v>
          </cell>
          <cell r="S294">
            <v>97.5</v>
          </cell>
          <cell r="T294">
            <v>0</v>
          </cell>
          <cell r="U294">
            <v>0</v>
          </cell>
          <cell r="V294">
            <v>126.75</v>
          </cell>
          <cell r="W294">
            <v>0</v>
          </cell>
          <cell r="X294">
            <v>0</v>
          </cell>
          <cell r="Y294">
            <v>9.75</v>
          </cell>
          <cell r="Z294">
            <v>0</v>
          </cell>
          <cell r="AA294">
            <v>0</v>
          </cell>
          <cell r="AB294">
            <v>112.5</v>
          </cell>
          <cell r="AC294">
            <v>0</v>
          </cell>
          <cell r="AD294">
            <v>0</v>
          </cell>
          <cell r="AE294">
            <v>146.25</v>
          </cell>
          <cell r="AF294">
            <v>0</v>
          </cell>
          <cell r="AG294">
            <v>0</v>
          </cell>
          <cell r="AH294">
            <v>11.25</v>
          </cell>
          <cell r="AI294">
            <v>0</v>
          </cell>
          <cell r="AJ294">
            <v>0</v>
          </cell>
          <cell r="AK294">
            <v>97.5</v>
          </cell>
          <cell r="AL294">
            <v>0</v>
          </cell>
          <cell r="AM294">
            <v>0</v>
          </cell>
          <cell r="AN294">
            <v>126.75</v>
          </cell>
          <cell r="AO294">
            <v>0</v>
          </cell>
          <cell r="AP294">
            <v>0</v>
          </cell>
          <cell r="AQ294">
            <v>9.75</v>
          </cell>
          <cell r="AR294">
            <v>0</v>
          </cell>
          <cell r="AS294">
            <v>0</v>
          </cell>
          <cell r="AT294">
            <v>150</v>
          </cell>
          <cell r="AU294">
            <v>0</v>
          </cell>
          <cell r="AV294">
            <v>0</v>
          </cell>
          <cell r="AW294">
            <v>195</v>
          </cell>
          <cell r="AX294">
            <v>0</v>
          </cell>
          <cell r="AY294">
            <v>0</v>
          </cell>
          <cell r="AZ294">
            <v>15</v>
          </cell>
          <cell r="BA294">
            <v>0</v>
          </cell>
          <cell r="BB294">
            <v>0</v>
          </cell>
          <cell r="BC294">
            <v>75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6735</v>
          </cell>
        </row>
        <row r="295">
          <cell r="C295">
            <v>12870</v>
          </cell>
          <cell r="D295" t="str">
            <v>Blanco, Aireen Bambase</v>
          </cell>
          <cell r="E295">
            <v>80</v>
          </cell>
          <cell r="F295">
            <v>10</v>
          </cell>
          <cell r="G295">
            <v>600</v>
          </cell>
          <cell r="H295">
            <v>6000</v>
          </cell>
          <cell r="I295">
            <v>0</v>
          </cell>
          <cell r="J295">
            <v>1.25</v>
          </cell>
          <cell r="K295">
            <v>0</v>
          </cell>
          <cell r="L295">
            <v>6</v>
          </cell>
          <cell r="M295">
            <v>93.75</v>
          </cell>
          <cell r="N295">
            <v>562.5</v>
          </cell>
          <cell r="O295">
            <v>28</v>
          </cell>
          <cell r="P295">
            <v>7.5</v>
          </cell>
          <cell r="Q295">
            <v>210</v>
          </cell>
          <cell r="R295">
            <v>0</v>
          </cell>
          <cell r="S295">
            <v>97.5</v>
          </cell>
          <cell r="T295">
            <v>0</v>
          </cell>
          <cell r="U295">
            <v>0</v>
          </cell>
          <cell r="V295">
            <v>126.75</v>
          </cell>
          <cell r="W295">
            <v>0</v>
          </cell>
          <cell r="X295">
            <v>0</v>
          </cell>
          <cell r="Y295">
            <v>9.75</v>
          </cell>
          <cell r="Z295">
            <v>0</v>
          </cell>
          <cell r="AA295">
            <v>0</v>
          </cell>
          <cell r="AB295">
            <v>112.5</v>
          </cell>
          <cell r="AC295">
            <v>0</v>
          </cell>
          <cell r="AD295">
            <v>0</v>
          </cell>
          <cell r="AE295">
            <v>146.25</v>
          </cell>
          <cell r="AF295">
            <v>0</v>
          </cell>
          <cell r="AG295">
            <v>0</v>
          </cell>
          <cell r="AH295">
            <v>11.25</v>
          </cell>
          <cell r="AI295">
            <v>0</v>
          </cell>
          <cell r="AJ295">
            <v>0</v>
          </cell>
          <cell r="AK295">
            <v>97.5</v>
          </cell>
          <cell r="AL295">
            <v>0</v>
          </cell>
          <cell r="AM295">
            <v>0</v>
          </cell>
          <cell r="AN295">
            <v>126.75</v>
          </cell>
          <cell r="AO295">
            <v>0</v>
          </cell>
          <cell r="AP295">
            <v>0</v>
          </cell>
          <cell r="AQ295">
            <v>9.75</v>
          </cell>
          <cell r="AR295">
            <v>0</v>
          </cell>
          <cell r="AS295">
            <v>0</v>
          </cell>
          <cell r="AT295">
            <v>150</v>
          </cell>
          <cell r="AU295">
            <v>0</v>
          </cell>
          <cell r="AV295">
            <v>0</v>
          </cell>
          <cell r="AW295">
            <v>195</v>
          </cell>
          <cell r="AX295">
            <v>0</v>
          </cell>
          <cell r="AY295">
            <v>0</v>
          </cell>
          <cell r="AZ295">
            <v>15</v>
          </cell>
          <cell r="BA295">
            <v>0</v>
          </cell>
          <cell r="BB295">
            <v>0</v>
          </cell>
          <cell r="BC295">
            <v>75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6772.5</v>
          </cell>
        </row>
        <row r="296">
          <cell r="C296">
            <v>12871</v>
          </cell>
          <cell r="D296" t="str">
            <v>Blaza, Jerilyn Roldan</v>
          </cell>
          <cell r="E296">
            <v>80</v>
          </cell>
          <cell r="F296">
            <v>10</v>
          </cell>
          <cell r="G296">
            <v>600</v>
          </cell>
          <cell r="H296">
            <v>6000</v>
          </cell>
          <cell r="I296">
            <v>0</v>
          </cell>
          <cell r="J296">
            <v>1.25</v>
          </cell>
          <cell r="K296">
            <v>0</v>
          </cell>
          <cell r="L296">
            <v>4</v>
          </cell>
          <cell r="M296">
            <v>93.75</v>
          </cell>
          <cell r="N296">
            <v>375</v>
          </cell>
          <cell r="O296">
            <v>0</v>
          </cell>
          <cell r="P296">
            <v>7.5</v>
          </cell>
          <cell r="Q296">
            <v>0</v>
          </cell>
          <cell r="R296">
            <v>0</v>
          </cell>
          <cell r="S296">
            <v>97.5</v>
          </cell>
          <cell r="T296">
            <v>0</v>
          </cell>
          <cell r="U296">
            <v>0</v>
          </cell>
          <cell r="V296">
            <v>126.75</v>
          </cell>
          <cell r="W296">
            <v>0</v>
          </cell>
          <cell r="X296">
            <v>0</v>
          </cell>
          <cell r="Y296">
            <v>9.75</v>
          </cell>
          <cell r="Z296">
            <v>0</v>
          </cell>
          <cell r="AA296">
            <v>0</v>
          </cell>
          <cell r="AB296">
            <v>112.5</v>
          </cell>
          <cell r="AC296">
            <v>0</v>
          </cell>
          <cell r="AD296">
            <v>0</v>
          </cell>
          <cell r="AE296">
            <v>146.25</v>
          </cell>
          <cell r="AF296">
            <v>0</v>
          </cell>
          <cell r="AG296">
            <v>0</v>
          </cell>
          <cell r="AH296">
            <v>11.25</v>
          </cell>
          <cell r="AI296">
            <v>0</v>
          </cell>
          <cell r="AJ296">
            <v>0</v>
          </cell>
          <cell r="AK296">
            <v>97.5</v>
          </cell>
          <cell r="AL296">
            <v>0</v>
          </cell>
          <cell r="AM296">
            <v>0</v>
          </cell>
          <cell r="AN296">
            <v>126.75</v>
          </cell>
          <cell r="AO296">
            <v>0</v>
          </cell>
          <cell r="AP296">
            <v>0</v>
          </cell>
          <cell r="AQ296">
            <v>9.75</v>
          </cell>
          <cell r="AR296">
            <v>0</v>
          </cell>
          <cell r="AS296">
            <v>0</v>
          </cell>
          <cell r="AT296">
            <v>150</v>
          </cell>
          <cell r="AU296">
            <v>0</v>
          </cell>
          <cell r="AV296">
            <v>0</v>
          </cell>
          <cell r="AW296">
            <v>195</v>
          </cell>
          <cell r="AX296">
            <v>0</v>
          </cell>
          <cell r="AY296">
            <v>0</v>
          </cell>
          <cell r="AZ296">
            <v>15</v>
          </cell>
          <cell r="BA296">
            <v>0</v>
          </cell>
          <cell r="BB296">
            <v>0</v>
          </cell>
          <cell r="BC296">
            <v>75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6375</v>
          </cell>
        </row>
        <row r="297">
          <cell r="C297">
            <v>6941</v>
          </cell>
          <cell r="D297" t="str">
            <v>Bolanio, Gina Pandacan</v>
          </cell>
          <cell r="E297">
            <v>80</v>
          </cell>
          <cell r="F297">
            <v>10</v>
          </cell>
          <cell r="G297">
            <v>600</v>
          </cell>
          <cell r="H297">
            <v>6000</v>
          </cell>
          <cell r="I297">
            <v>0</v>
          </cell>
          <cell r="J297">
            <v>1.25</v>
          </cell>
          <cell r="K297">
            <v>0</v>
          </cell>
          <cell r="L297">
            <v>16</v>
          </cell>
          <cell r="M297">
            <v>93.75</v>
          </cell>
          <cell r="N297">
            <v>1500</v>
          </cell>
          <cell r="O297">
            <v>30</v>
          </cell>
          <cell r="P297">
            <v>7.5</v>
          </cell>
          <cell r="Q297">
            <v>225</v>
          </cell>
          <cell r="R297">
            <v>0</v>
          </cell>
          <cell r="S297">
            <v>97.5</v>
          </cell>
          <cell r="T297">
            <v>0</v>
          </cell>
          <cell r="U297">
            <v>0</v>
          </cell>
          <cell r="V297">
            <v>126.75</v>
          </cell>
          <cell r="W297">
            <v>0</v>
          </cell>
          <cell r="X297">
            <v>0</v>
          </cell>
          <cell r="Y297">
            <v>9.75</v>
          </cell>
          <cell r="Z297">
            <v>0</v>
          </cell>
          <cell r="AA297">
            <v>0</v>
          </cell>
          <cell r="AB297">
            <v>112.5</v>
          </cell>
          <cell r="AC297">
            <v>0</v>
          </cell>
          <cell r="AD297">
            <v>0</v>
          </cell>
          <cell r="AE297">
            <v>146.25</v>
          </cell>
          <cell r="AF297">
            <v>0</v>
          </cell>
          <cell r="AG297">
            <v>0</v>
          </cell>
          <cell r="AH297">
            <v>11.25</v>
          </cell>
          <cell r="AI297">
            <v>0</v>
          </cell>
          <cell r="AJ297">
            <v>0</v>
          </cell>
          <cell r="AK297">
            <v>97.5</v>
          </cell>
          <cell r="AL297">
            <v>0</v>
          </cell>
          <cell r="AM297">
            <v>0</v>
          </cell>
          <cell r="AN297">
            <v>126.75</v>
          </cell>
          <cell r="AO297">
            <v>0</v>
          </cell>
          <cell r="AP297">
            <v>0</v>
          </cell>
          <cell r="AQ297">
            <v>9.75</v>
          </cell>
          <cell r="AR297">
            <v>0</v>
          </cell>
          <cell r="AS297">
            <v>0</v>
          </cell>
          <cell r="AT297">
            <v>150</v>
          </cell>
          <cell r="AU297">
            <v>0</v>
          </cell>
          <cell r="AV297">
            <v>0</v>
          </cell>
          <cell r="AW297">
            <v>195</v>
          </cell>
          <cell r="AX297">
            <v>0</v>
          </cell>
          <cell r="AY297">
            <v>0</v>
          </cell>
          <cell r="AZ297">
            <v>15</v>
          </cell>
          <cell r="BA297">
            <v>0</v>
          </cell>
          <cell r="BB297">
            <v>0</v>
          </cell>
          <cell r="BC297">
            <v>75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7725</v>
          </cell>
        </row>
        <row r="298">
          <cell r="C298">
            <v>30297</v>
          </cell>
          <cell r="D298" t="str">
            <v>Borja, Joshua De Quina</v>
          </cell>
          <cell r="E298">
            <v>4</v>
          </cell>
          <cell r="F298">
            <v>0.5</v>
          </cell>
          <cell r="G298">
            <v>600</v>
          </cell>
          <cell r="H298">
            <v>300</v>
          </cell>
          <cell r="I298">
            <v>0</v>
          </cell>
          <cell r="J298">
            <v>1.25</v>
          </cell>
          <cell r="K298">
            <v>0</v>
          </cell>
          <cell r="L298">
            <v>0</v>
          </cell>
          <cell r="M298">
            <v>93.75</v>
          </cell>
          <cell r="N298">
            <v>0</v>
          </cell>
          <cell r="O298">
            <v>0</v>
          </cell>
          <cell r="P298">
            <v>7.5</v>
          </cell>
          <cell r="Q298">
            <v>0</v>
          </cell>
          <cell r="R298">
            <v>0</v>
          </cell>
          <cell r="S298">
            <v>97.5</v>
          </cell>
          <cell r="T298">
            <v>0</v>
          </cell>
          <cell r="U298">
            <v>0</v>
          </cell>
          <cell r="V298">
            <v>126.75</v>
          </cell>
          <cell r="W298">
            <v>0</v>
          </cell>
          <cell r="X298">
            <v>0</v>
          </cell>
          <cell r="Y298">
            <v>9.75</v>
          </cell>
          <cell r="Z298">
            <v>0</v>
          </cell>
          <cell r="AA298">
            <v>0</v>
          </cell>
          <cell r="AB298">
            <v>112.5</v>
          </cell>
          <cell r="AC298">
            <v>0</v>
          </cell>
          <cell r="AD298">
            <v>0</v>
          </cell>
          <cell r="AE298">
            <v>146.25</v>
          </cell>
          <cell r="AF298">
            <v>0</v>
          </cell>
          <cell r="AG298">
            <v>0</v>
          </cell>
          <cell r="AH298">
            <v>11.25</v>
          </cell>
          <cell r="AI298">
            <v>0</v>
          </cell>
          <cell r="AJ298">
            <v>0</v>
          </cell>
          <cell r="AK298">
            <v>97.5</v>
          </cell>
          <cell r="AL298">
            <v>0</v>
          </cell>
          <cell r="AM298">
            <v>0</v>
          </cell>
          <cell r="AN298">
            <v>126.75</v>
          </cell>
          <cell r="AO298">
            <v>0</v>
          </cell>
          <cell r="AP298">
            <v>0</v>
          </cell>
          <cell r="AQ298">
            <v>9.75</v>
          </cell>
          <cell r="AR298">
            <v>0</v>
          </cell>
          <cell r="AS298">
            <v>0</v>
          </cell>
          <cell r="AT298">
            <v>150</v>
          </cell>
          <cell r="AU298">
            <v>0</v>
          </cell>
          <cell r="AV298">
            <v>0</v>
          </cell>
          <cell r="AW298">
            <v>195</v>
          </cell>
          <cell r="AX298">
            <v>0</v>
          </cell>
          <cell r="AY298">
            <v>0</v>
          </cell>
          <cell r="AZ298">
            <v>15</v>
          </cell>
          <cell r="BA298">
            <v>0</v>
          </cell>
          <cell r="BB298">
            <v>0</v>
          </cell>
          <cell r="BC298">
            <v>75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300</v>
          </cell>
        </row>
        <row r="299">
          <cell r="C299">
            <v>12882</v>
          </cell>
          <cell r="D299" t="str">
            <v>Bual, Maricar Dela Rosa</v>
          </cell>
          <cell r="E299">
            <v>80</v>
          </cell>
          <cell r="F299">
            <v>10</v>
          </cell>
          <cell r="G299">
            <v>600</v>
          </cell>
          <cell r="H299">
            <v>6000</v>
          </cell>
          <cell r="I299">
            <v>18</v>
          </cell>
          <cell r="J299">
            <v>1.25</v>
          </cell>
          <cell r="K299">
            <v>-22.5</v>
          </cell>
          <cell r="L299">
            <v>18</v>
          </cell>
          <cell r="M299">
            <v>93.75</v>
          </cell>
          <cell r="N299">
            <v>1687.5</v>
          </cell>
          <cell r="O299">
            <v>48</v>
          </cell>
          <cell r="P299">
            <v>7.5</v>
          </cell>
          <cell r="Q299">
            <v>360</v>
          </cell>
          <cell r="R299">
            <v>0</v>
          </cell>
          <cell r="S299">
            <v>97.5</v>
          </cell>
          <cell r="T299">
            <v>0</v>
          </cell>
          <cell r="U299">
            <v>0</v>
          </cell>
          <cell r="V299">
            <v>126.75</v>
          </cell>
          <cell r="W299">
            <v>0</v>
          </cell>
          <cell r="X299">
            <v>0</v>
          </cell>
          <cell r="Y299">
            <v>9.75</v>
          </cell>
          <cell r="Z299">
            <v>0</v>
          </cell>
          <cell r="AA299">
            <v>0</v>
          </cell>
          <cell r="AB299">
            <v>112.5</v>
          </cell>
          <cell r="AC299">
            <v>0</v>
          </cell>
          <cell r="AD299">
            <v>0</v>
          </cell>
          <cell r="AE299">
            <v>146.25</v>
          </cell>
          <cell r="AF299">
            <v>0</v>
          </cell>
          <cell r="AG299">
            <v>0</v>
          </cell>
          <cell r="AH299">
            <v>11.25</v>
          </cell>
          <cell r="AI299">
            <v>0</v>
          </cell>
          <cell r="AJ299">
            <v>0</v>
          </cell>
          <cell r="AK299">
            <v>97.5</v>
          </cell>
          <cell r="AL299">
            <v>0</v>
          </cell>
          <cell r="AM299">
            <v>0</v>
          </cell>
          <cell r="AN299">
            <v>126.75</v>
          </cell>
          <cell r="AO299">
            <v>0</v>
          </cell>
          <cell r="AP299">
            <v>0</v>
          </cell>
          <cell r="AQ299">
            <v>9.75</v>
          </cell>
          <cell r="AR299">
            <v>0</v>
          </cell>
          <cell r="AS299">
            <v>0</v>
          </cell>
          <cell r="AT299">
            <v>150</v>
          </cell>
          <cell r="AU299">
            <v>0</v>
          </cell>
          <cell r="AV299">
            <v>0</v>
          </cell>
          <cell r="AW299">
            <v>195</v>
          </cell>
          <cell r="AX299">
            <v>0</v>
          </cell>
          <cell r="AY299">
            <v>0</v>
          </cell>
          <cell r="AZ299">
            <v>15</v>
          </cell>
          <cell r="BA299">
            <v>0</v>
          </cell>
          <cell r="BB299">
            <v>0</v>
          </cell>
          <cell r="BC299">
            <v>75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8025</v>
          </cell>
        </row>
        <row r="300">
          <cell r="C300">
            <v>12883</v>
          </cell>
          <cell r="D300" t="str">
            <v>Buban, Rochelle Andes</v>
          </cell>
          <cell r="E300">
            <v>72</v>
          </cell>
          <cell r="F300">
            <v>9</v>
          </cell>
          <cell r="G300">
            <v>600</v>
          </cell>
          <cell r="H300">
            <v>5400</v>
          </cell>
          <cell r="I300">
            <v>0</v>
          </cell>
          <cell r="J300">
            <v>1.25</v>
          </cell>
          <cell r="K300">
            <v>0</v>
          </cell>
          <cell r="L300">
            <v>16</v>
          </cell>
          <cell r="M300">
            <v>93.75</v>
          </cell>
          <cell r="N300">
            <v>1500</v>
          </cell>
          <cell r="O300">
            <v>38</v>
          </cell>
          <cell r="P300">
            <v>7.5</v>
          </cell>
          <cell r="Q300">
            <v>285</v>
          </cell>
          <cell r="R300">
            <v>0</v>
          </cell>
          <cell r="S300">
            <v>97.5</v>
          </cell>
          <cell r="T300">
            <v>0</v>
          </cell>
          <cell r="U300">
            <v>0</v>
          </cell>
          <cell r="V300">
            <v>126.75</v>
          </cell>
          <cell r="W300">
            <v>0</v>
          </cell>
          <cell r="X300">
            <v>0</v>
          </cell>
          <cell r="Y300">
            <v>9.75</v>
          </cell>
          <cell r="Z300">
            <v>0</v>
          </cell>
          <cell r="AA300">
            <v>0</v>
          </cell>
          <cell r="AB300">
            <v>112.5</v>
          </cell>
          <cell r="AC300">
            <v>0</v>
          </cell>
          <cell r="AD300">
            <v>0</v>
          </cell>
          <cell r="AE300">
            <v>146.25</v>
          </cell>
          <cell r="AF300">
            <v>0</v>
          </cell>
          <cell r="AG300">
            <v>0</v>
          </cell>
          <cell r="AH300">
            <v>11.25</v>
          </cell>
          <cell r="AI300">
            <v>0</v>
          </cell>
          <cell r="AJ300">
            <v>8</v>
          </cell>
          <cell r="AK300">
            <v>97.5</v>
          </cell>
          <cell r="AL300">
            <v>780</v>
          </cell>
          <cell r="AM300">
            <v>1</v>
          </cell>
          <cell r="AN300">
            <v>126.75</v>
          </cell>
          <cell r="AO300">
            <v>126.75</v>
          </cell>
          <cell r="AP300">
            <v>0</v>
          </cell>
          <cell r="AQ300">
            <v>9.75</v>
          </cell>
          <cell r="AR300">
            <v>0</v>
          </cell>
          <cell r="AS300">
            <v>0</v>
          </cell>
          <cell r="AT300">
            <v>150</v>
          </cell>
          <cell r="AU300">
            <v>0</v>
          </cell>
          <cell r="AV300">
            <v>0</v>
          </cell>
          <cell r="AW300">
            <v>195</v>
          </cell>
          <cell r="AX300">
            <v>0</v>
          </cell>
          <cell r="AY300">
            <v>0</v>
          </cell>
          <cell r="AZ300">
            <v>15</v>
          </cell>
          <cell r="BA300">
            <v>0</v>
          </cell>
          <cell r="BB300">
            <v>0</v>
          </cell>
          <cell r="BC300">
            <v>75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8091.75</v>
          </cell>
        </row>
        <row r="301">
          <cell r="C301">
            <v>14797</v>
          </cell>
          <cell r="D301" t="str">
            <v>Calalo, Kim Archie Mosca</v>
          </cell>
          <cell r="E301">
            <v>72</v>
          </cell>
          <cell r="F301">
            <v>9</v>
          </cell>
          <cell r="G301">
            <v>600</v>
          </cell>
          <cell r="H301">
            <v>5400</v>
          </cell>
          <cell r="I301">
            <v>0</v>
          </cell>
          <cell r="J301">
            <v>1.25</v>
          </cell>
          <cell r="K301">
            <v>0</v>
          </cell>
          <cell r="L301">
            <v>16</v>
          </cell>
          <cell r="M301">
            <v>93.75</v>
          </cell>
          <cell r="N301">
            <v>1500</v>
          </cell>
          <cell r="O301">
            <v>0</v>
          </cell>
          <cell r="P301">
            <v>7.5</v>
          </cell>
          <cell r="Q301">
            <v>0</v>
          </cell>
          <cell r="R301">
            <v>0</v>
          </cell>
          <cell r="S301">
            <v>97.5</v>
          </cell>
          <cell r="T301">
            <v>0</v>
          </cell>
          <cell r="U301">
            <v>0</v>
          </cell>
          <cell r="V301">
            <v>126.75</v>
          </cell>
          <cell r="W301">
            <v>0</v>
          </cell>
          <cell r="X301">
            <v>0</v>
          </cell>
          <cell r="Y301">
            <v>9.75</v>
          </cell>
          <cell r="Z301">
            <v>0</v>
          </cell>
          <cell r="AA301">
            <v>0</v>
          </cell>
          <cell r="AB301">
            <v>112.5</v>
          </cell>
          <cell r="AC301">
            <v>0</v>
          </cell>
          <cell r="AD301">
            <v>0</v>
          </cell>
          <cell r="AE301">
            <v>146.25</v>
          </cell>
          <cell r="AF301">
            <v>0</v>
          </cell>
          <cell r="AG301">
            <v>0</v>
          </cell>
          <cell r="AH301">
            <v>11.25</v>
          </cell>
          <cell r="AI301">
            <v>0</v>
          </cell>
          <cell r="AJ301">
            <v>0</v>
          </cell>
          <cell r="AK301">
            <v>97.5</v>
          </cell>
          <cell r="AL301">
            <v>0</v>
          </cell>
          <cell r="AM301">
            <v>0</v>
          </cell>
          <cell r="AN301">
            <v>126.75</v>
          </cell>
          <cell r="AO301">
            <v>0</v>
          </cell>
          <cell r="AP301">
            <v>0</v>
          </cell>
          <cell r="AQ301">
            <v>9.75</v>
          </cell>
          <cell r="AR301">
            <v>0</v>
          </cell>
          <cell r="AS301">
            <v>0</v>
          </cell>
          <cell r="AT301">
            <v>150</v>
          </cell>
          <cell r="AU301">
            <v>0</v>
          </cell>
          <cell r="AV301">
            <v>0</v>
          </cell>
          <cell r="AW301">
            <v>195</v>
          </cell>
          <cell r="AX301">
            <v>0</v>
          </cell>
          <cell r="AY301">
            <v>0</v>
          </cell>
          <cell r="AZ301">
            <v>15</v>
          </cell>
          <cell r="BA301">
            <v>0</v>
          </cell>
          <cell r="BB301">
            <v>0</v>
          </cell>
          <cell r="BC301">
            <v>75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6900</v>
          </cell>
        </row>
        <row r="302">
          <cell r="C302">
            <v>5137</v>
          </cell>
          <cell r="D302" t="str">
            <v>Calangi, Cejie Ruldan</v>
          </cell>
          <cell r="E302">
            <v>88</v>
          </cell>
          <cell r="F302">
            <v>11</v>
          </cell>
          <cell r="G302">
            <v>600</v>
          </cell>
          <cell r="H302">
            <v>6600</v>
          </cell>
          <cell r="I302">
            <v>0</v>
          </cell>
          <cell r="J302">
            <v>1.25</v>
          </cell>
          <cell r="K302">
            <v>0</v>
          </cell>
          <cell r="L302">
            <v>8</v>
          </cell>
          <cell r="M302">
            <v>93.75</v>
          </cell>
          <cell r="N302">
            <v>750</v>
          </cell>
          <cell r="O302">
            <v>48</v>
          </cell>
          <cell r="P302">
            <v>7.5</v>
          </cell>
          <cell r="Q302">
            <v>360</v>
          </cell>
          <cell r="R302">
            <v>0</v>
          </cell>
          <cell r="S302">
            <v>97.5</v>
          </cell>
          <cell r="T302">
            <v>0</v>
          </cell>
          <cell r="U302">
            <v>0</v>
          </cell>
          <cell r="V302">
            <v>126.75</v>
          </cell>
          <cell r="W302">
            <v>0</v>
          </cell>
          <cell r="X302">
            <v>0</v>
          </cell>
          <cell r="Y302">
            <v>9.75</v>
          </cell>
          <cell r="Z302">
            <v>0</v>
          </cell>
          <cell r="AA302">
            <v>0</v>
          </cell>
          <cell r="AB302">
            <v>112.5</v>
          </cell>
          <cell r="AC302">
            <v>0</v>
          </cell>
          <cell r="AD302">
            <v>0</v>
          </cell>
          <cell r="AE302">
            <v>146.25</v>
          </cell>
          <cell r="AF302">
            <v>0</v>
          </cell>
          <cell r="AG302">
            <v>0</v>
          </cell>
          <cell r="AH302">
            <v>11.25</v>
          </cell>
          <cell r="AI302">
            <v>0</v>
          </cell>
          <cell r="AJ302">
            <v>0</v>
          </cell>
          <cell r="AK302">
            <v>97.5</v>
          </cell>
          <cell r="AL302">
            <v>0</v>
          </cell>
          <cell r="AM302">
            <v>0</v>
          </cell>
          <cell r="AN302">
            <v>126.75</v>
          </cell>
          <cell r="AO302">
            <v>0</v>
          </cell>
          <cell r="AP302">
            <v>0</v>
          </cell>
          <cell r="AQ302">
            <v>9.75</v>
          </cell>
          <cell r="AR302">
            <v>0</v>
          </cell>
          <cell r="AS302">
            <v>0</v>
          </cell>
          <cell r="AT302">
            <v>150</v>
          </cell>
          <cell r="AU302">
            <v>0</v>
          </cell>
          <cell r="AV302">
            <v>0</v>
          </cell>
          <cell r="AW302">
            <v>195</v>
          </cell>
          <cell r="AX302">
            <v>0</v>
          </cell>
          <cell r="AY302">
            <v>0</v>
          </cell>
          <cell r="AZ302">
            <v>15</v>
          </cell>
          <cell r="BA302">
            <v>0</v>
          </cell>
          <cell r="BB302">
            <v>0</v>
          </cell>
          <cell r="BC302">
            <v>75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7710</v>
          </cell>
        </row>
        <row r="303">
          <cell r="C303">
            <v>14448</v>
          </cell>
          <cell r="D303" t="str">
            <v>Calangi, Cris John Roldan</v>
          </cell>
          <cell r="E303">
            <v>72</v>
          </cell>
          <cell r="F303">
            <v>9</v>
          </cell>
          <cell r="G303">
            <v>600</v>
          </cell>
          <cell r="H303">
            <v>5400</v>
          </cell>
          <cell r="I303">
            <v>2</v>
          </cell>
          <cell r="J303">
            <v>1.25</v>
          </cell>
          <cell r="K303">
            <v>-2.5</v>
          </cell>
          <cell r="L303">
            <v>12</v>
          </cell>
          <cell r="M303">
            <v>93.75</v>
          </cell>
          <cell r="N303">
            <v>1125</v>
          </cell>
          <cell r="O303">
            <v>0</v>
          </cell>
          <cell r="P303">
            <v>7.5</v>
          </cell>
          <cell r="Q303">
            <v>0</v>
          </cell>
          <cell r="R303">
            <v>8</v>
          </cell>
          <cell r="S303">
            <v>97.5</v>
          </cell>
          <cell r="T303">
            <v>780</v>
          </cell>
          <cell r="U303">
            <v>0</v>
          </cell>
          <cell r="V303">
            <v>126.75</v>
          </cell>
          <cell r="W303">
            <v>0</v>
          </cell>
          <cell r="X303">
            <v>0</v>
          </cell>
          <cell r="Y303">
            <v>9.75</v>
          </cell>
          <cell r="Z303">
            <v>0</v>
          </cell>
          <cell r="AA303">
            <v>0</v>
          </cell>
          <cell r="AB303">
            <v>112.5</v>
          </cell>
          <cell r="AC303">
            <v>0</v>
          </cell>
          <cell r="AD303">
            <v>0</v>
          </cell>
          <cell r="AE303">
            <v>146.25</v>
          </cell>
          <cell r="AF303">
            <v>0</v>
          </cell>
          <cell r="AG303">
            <v>0</v>
          </cell>
          <cell r="AH303">
            <v>11.25</v>
          </cell>
          <cell r="AI303">
            <v>0</v>
          </cell>
          <cell r="AJ303">
            <v>0</v>
          </cell>
          <cell r="AK303">
            <v>97.5</v>
          </cell>
          <cell r="AL303">
            <v>0</v>
          </cell>
          <cell r="AM303">
            <v>0</v>
          </cell>
          <cell r="AN303">
            <v>126.75</v>
          </cell>
          <cell r="AO303">
            <v>0</v>
          </cell>
          <cell r="AP303">
            <v>0</v>
          </cell>
          <cell r="AQ303">
            <v>9.75</v>
          </cell>
          <cell r="AR303">
            <v>0</v>
          </cell>
          <cell r="AS303">
            <v>0</v>
          </cell>
          <cell r="AT303">
            <v>150</v>
          </cell>
          <cell r="AU303">
            <v>0</v>
          </cell>
          <cell r="AV303">
            <v>0</v>
          </cell>
          <cell r="AW303">
            <v>195</v>
          </cell>
          <cell r="AX303">
            <v>0</v>
          </cell>
          <cell r="AY303">
            <v>0</v>
          </cell>
          <cell r="AZ303">
            <v>15</v>
          </cell>
          <cell r="BA303">
            <v>0</v>
          </cell>
          <cell r="BB303">
            <v>0</v>
          </cell>
          <cell r="BC303">
            <v>75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7302.5</v>
          </cell>
        </row>
        <row r="304">
          <cell r="C304">
            <v>3595</v>
          </cell>
          <cell r="D304" t="str">
            <v>Calingasan, Rafe N/A</v>
          </cell>
          <cell r="E304">
            <v>64</v>
          </cell>
          <cell r="F304">
            <v>8</v>
          </cell>
          <cell r="G304">
            <v>600</v>
          </cell>
          <cell r="H304">
            <v>4800</v>
          </cell>
          <cell r="I304">
            <v>0</v>
          </cell>
          <cell r="J304">
            <v>1.25</v>
          </cell>
          <cell r="K304">
            <v>0</v>
          </cell>
          <cell r="L304">
            <v>6</v>
          </cell>
          <cell r="M304">
            <v>93.75</v>
          </cell>
          <cell r="N304">
            <v>562.5</v>
          </cell>
          <cell r="O304">
            <v>36</v>
          </cell>
          <cell r="P304">
            <v>7.5</v>
          </cell>
          <cell r="Q304">
            <v>270</v>
          </cell>
          <cell r="R304">
            <v>0</v>
          </cell>
          <cell r="S304">
            <v>97.5</v>
          </cell>
          <cell r="T304">
            <v>0</v>
          </cell>
          <cell r="U304">
            <v>0</v>
          </cell>
          <cell r="V304">
            <v>126.75</v>
          </cell>
          <cell r="W304">
            <v>0</v>
          </cell>
          <cell r="X304">
            <v>0</v>
          </cell>
          <cell r="Y304">
            <v>9.75</v>
          </cell>
          <cell r="Z304">
            <v>0</v>
          </cell>
          <cell r="AA304">
            <v>0</v>
          </cell>
          <cell r="AB304">
            <v>112.5</v>
          </cell>
          <cell r="AC304">
            <v>0</v>
          </cell>
          <cell r="AD304">
            <v>0</v>
          </cell>
          <cell r="AE304">
            <v>146.25</v>
          </cell>
          <cell r="AF304">
            <v>0</v>
          </cell>
          <cell r="AG304">
            <v>0</v>
          </cell>
          <cell r="AH304">
            <v>11.25</v>
          </cell>
          <cell r="AI304">
            <v>0</v>
          </cell>
          <cell r="AJ304">
            <v>0</v>
          </cell>
          <cell r="AK304">
            <v>97.5</v>
          </cell>
          <cell r="AL304">
            <v>0</v>
          </cell>
          <cell r="AM304">
            <v>0</v>
          </cell>
          <cell r="AN304">
            <v>126.75</v>
          </cell>
          <cell r="AO304">
            <v>0</v>
          </cell>
          <cell r="AP304">
            <v>0</v>
          </cell>
          <cell r="AQ304">
            <v>9.75</v>
          </cell>
          <cell r="AR304">
            <v>0</v>
          </cell>
          <cell r="AS304">
            <v>0</v>
          </cell>
          <cell r="AT304">
            <v>150</v>
          </cell>
          <cell r="AU304">
            <v>0</v>
          </cell>
          <cell r="AV304">
            <v>0</v>
          </cell>
          <cell r="AW304">
            <v>195</v>
          </cell>
          <cell r="AX304">
            <v>0</v>
          </cell>
          <cell r="AY304">
            <v>0</v>
          </cell>
          <cell r="AZ304">
            <v>15</v>
          </cell>
          <cell r="BA304">
            <v>0</v>
          </cell>
          <cell r="BB304">
            <v>0</v>
          </cell>
          <cell r="BC304">
            <v>75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5632.5</v>
          </cell>
        </row>
        <row r="305">
          <cell r="C305">
            <v>14586</v>
          </cell>
          <cell r="D305" t="str">
            <v>Calleja, Mark Joseph Balat</v>
          </cell>
          <cell r="E305">
            <v>72</v>
          </cell>
          <cell r="F305">
            <v>9</v>
          </cell>
          <cell r="G305">
            <v>600</v>
          </cell>
          <cell r="H305">
            <v>5400</v>
          </cell>
          <cell r="I305">
            <v>1</v>
          </cell>
          <cell r="J305">
            <v>1.25</v>
          </cell>
          <cell r="K305">
            <v>-1.25</v>
          </cell>
          <cell r="L305">
            <v>16</v>
          </cell>
          <cell r="M305">
            <v>93.75</v>
          </cell>
          <cell r="N305">
            <v>1500</v>
          </cell>
          <cell r="O305">
            <v>0</v>
          </cell>
          <cell r="P305">
            <v>7.5</v>
          </cell>
          <cell r="Q305">
            <v>0</v>
          </cell>
          <cell r="R305">
            <v>0</v>
          </cell>
          <cell r="S305">
            <v>97.5</v>
          </cell>
          <cell r="T305">
            <v>0</v>
          </cell>
          <cell r="U305">
            <v>0</v>
          </cell>
          <cell r="V305">
            <v>126.75</v>
          </cell>
          <cell r="W305">
            <v>0</v>
          </cell>
          <cell r="X305">
            <v>0</v>
          </cell>
          <cell r="Y305">
            <v>9.75</v>
          </cell>
          <cell r="Z305">
            <v>0</v>
          </cell>
          <cell r="AA305">
            <v>0</v>
          </cell>
          <cell r="AB305">
            <v>112.5</v>
          </cell>
          <cell r="AC305">
            <v>0</v>
          </cell>
          <cell r="AD305">
            <v>0</v>
          </cell>
          <cell r="AE305">
            <v>146.25</v>
          </cell>
          <cell r="AF305">
            <v>0</v>
          </cell>
          <cell r="AG305">
            <v>0</v>
          </cell>
          <cell r="AH305">
            <v>11.25</v>
          </cell>
          <cell r="AI305">
            <v>0</v>
          </cell>
          <cell r="AJ305">
            <v>0</v>
          </cell>
          <cell r="AK305">
            <v>97.5</v>
          </cell>
          <cell r="AL305">
            <v>0</v>
          </cell>
          <cell r="AM305">
            <v>0</v>
          </cell>
          <cell r="AN305">
            <v>126.75</v>
          </cell>
          <cell r="AO305">
            <v>0</v>
          </cell>
          <cell r="AP305">
            <v>0</v>
          </cell>
          <cell r="AQ305">
            <v>9.75</v>
          </cell>
          <cell r="AR305">
            <v>0</v>
          </cell>
          <cell r="AS305">
            <v>0</v>
          </cell>
          <cell r="AT305">
            <v>150</v>
          </cell>
          <cell r="AU305">
            <v>0</v>
          </cell>
          <cell r="AV305">
            <v>0</v>
          </cell>
          <cell r="AW305">
            <v>195</v>
          </cell>
          <cell r="AX305">
            <v>0</v>
          </cell>
          <cell r="AY305">
            <v>0</v>
          </cell>
          <cell r="AZ305">
            <v>15</v>
          </cell>
          <cell r="BA305">
            <v>0</v>
          </cell>
          <cell r="BB305">
            <v>0</v>
          </cell>
          <cell r="BC305">
            <v>75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6898.75</v>
          </cell>
        </row>
        <row r="306">
          <cell r="C306">
            <v>30669</v>
          </cell>
          <cell r="D306" t="str">
            <v>Cama, Nino Cultivo</v>
          </cell>
          <cell r="E306">
            <v>48</v>
          </cell>
          <cell r="F306">
            <v>6</v>
          </cell>
          <cell r="G306">
            <v>600</v>
          </cell>
          <cell r="H306">
            <v>3600</v>
          </cell>
          <cell r="I306">
            <v>0</v>
          </cell>
          <cell r="J306">
            <v>1.25</v>
          </cell>
          <cell r="K306">
            <v>0</v>
          </cell>
          <cell r="L306">
            <v>2</v>
          </cell>
          <cell r="M306">
            <v>93.75</v>
          </cell>
          <cell r="N306">
            <v>187.5</v>
          </cell>
          <cell r="O306">
            <v>0</v>
          </cell>
          <cell r="P306">
            <v>7.5</v>
          </cell>
          <cell r="Q306">
            <v>0</v>
          </cell>
          <cell r="R306">
            <v>0</v>
          </cell>
          <cell r="S306">
            <v>97.5</v>
          </cell>
          <cell r="T306">
            <v>0</v>
          </cell>
          <cell r="U306">
            <v>0</v>
          </cell>
          <cell r="V306">
            <v>126.75</v>
          </cell>
          <cell r="W306">
            <v>0</v>
          </cell>
          <cell r="X306">
            <v>0</v>
          </cell>
          <cell r="Y306">
            <v>9.75</v>
          </cell>
          <cell r="Z306">
            <v>0</v>
          </cell>
          <cell r="AA306">
            <v>0</v>
          </cell>
          <cell r="AB306">
            <v>112.5</v>
          </cell>
          <cell r="AC306">
            <v>0</v>
          </cell>
          <cell r="AD306">
            <v>0</v>
          </cell>
          <cell r="AE306">
            <v>146.25</v>
          </cell>
          <cell r="AF306">
            <v>0</v>
          </cell>
          <cell r="AG306">
            <v>0</v>
          </cell>
          <cell r="AH306">
            <v>11.25</v>
          </cell>
          <cell r="AI306">
            <v>0</v>
          </cell>
          <cell r="AJ306">
            <v>0</v>
          </cell>
          <cell r="AK306">
            <v>97.5</v>
          </cell>
          <cell r="AL306">
            <v>0</v>
          </cell>
          <cell r="AM306">
            <v>0</v>
          </cell>
          <cell r="AN306">
            <v>126.75</v>
          </cell>
          <cell r="AO306">
            <v>0</v>
          </cell>
          <cell r="AP306">
            <v>0</v>
          </cell>
          <cell r="AQ306">
            <v>9.75</v>
          </cell>
          <cell r="AR306">
            <v>0</v>
          </cell>
          <cell r="AS306">
            <v>0</v>
          </cell>
          <cell r="AT306">
            <v>150</v>
          </cell>
          <cell r="AU306">
            <v>0</v>
          </cell>
          <cell r="AV306">
            <v>0</v>
          </cell>
          <cell r="AW306">
            <v>195</v>
          </cell>
          <cell r="AX306">
            <v>0</v>
          </cell>
          <cell r="AY306">
            <v>0</v>
          </cell>
          <cell r="AZ306">
            <v>15</v>
          </cell>
          <cell r="BA306">
            <v>0</v>
          </cell>
          <cell r="BB306">
            <v>0</v>
          </cell>
          <cell r="BC306">
            <v>75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3787.5</v>
          </cell>
        </row>
        <row r="307">
          <cell r="C307">
            <v>12894</v>
          </cell>
          <cell r="D307" t="str">
            <v>Cañete, Miguel Guro</v>
          </cell>
          <cell r="E307">
            <v>80</v>
          </cell>
          <cell r="F307">
            <v>10</v>
          </cell>
          <cell r="G307">
            <v>600</v>
          </cell>
          <cell r="H307">
            <v>6000</v>
          </cell>
          <cell r="I307">
            <v>0</v>
          </cell>
          <cell r="J307">
            <v>1.25</v>
          </cell>
          <cell r="K307">
            <v>0</v>
          </cell>
          <cell r="L307">
            <v>8</v>
          </cell>
          <cell r="M307">
            <v>93.75</v>
          </cell>
          <cell r="N307">
            <v>750</v>
          </cell>
          <cell r="O307">
            <v>38</v>
          </cell>
          <cell r="P307">
            <v>7.5</v>
          </cell>
          <cell r="Q307">
            <v>285</v>
          </cell>
          <cell r="R307">
            <v>0</v>
          </cell>
          <cell r="S307">
            <v>97.5</v>
          </cell>
          <cell r="T307">
            <v>0</v>
          </cell>
          <cell r="U307">
            <v>0</v>
          </cell>
          <cell r="V307">
            <v>126.75</v>
          </cell>
          <cell r="W307">
            <v>0</v>
          </cell>
          <cell r="X307">
            <v>0</v>
          </cell>
          <cell r="Y307">
            <v>9.75</v>
          </cell>
          <cell r="Z307">
            <v>0</v>
          </cell>
          <cell r="AA307">
            <v>0</v>
          </cell>
          <cell r="AB307">
            <v>112.5</v>
          </cell>
          <cell r="AC307">
            <v>0</v>
          </cell>
          <cell r="AD307">
            <v>0</v>
          </cell>
          <cell r="AE307">
            <v>146.25</v>
          </cell>
          <cell r="AF307">
            <v>0</v>
          </cell>
          <cell r="AG307">
            <v>0</v>
          </cell>
          <cell r="AH307">
            <v>11.25</v>
          </cell>
          <cell r="AI307">
            <v>0</v>
          </cell>
          <cell r="AJ307">
            <v>0</v>
          </cell>
          <cell r="AK307">
            <v>97.5</v>
          </cell>
          <cell r="AL307">
            <v>0</v>
          </cell>
          <cell r="AM307">
            <v>0</v>
          </cell>
          <cell r="AN307">
            <v>126.75</v>
          </cell>
          <cell r="AO307">
            <v>0</v>
          </cell>
          <cell r="AP307">
            <v>0</v>
          </cell>
          <cell r="AQ307">
            <v>9.75</v>
          </cell>
          <cell r="AR307">
            <v>0</v>
          </cell>
          <cell r="AS307">
            <v>0</v>
          </cell>
          <cell r="AT307">
            <v>150</v>
          </cell>
          <cell r="AU307">
            <v>0</v>
          </cell>
          <cell r="AV307">
            <v>0</v>
          </cell>
          <cell r="AW307">
            <v>195</v>
          </cell>
          <cell r="AX307">
            <v>0</v>
          </cell>
          <cell r="AY307">
            <v>0</v>
          </cell>
          <cell r="AZ307">
            <v>15</v>
          </cell>
          <cell r="BA307">
            <v>0</v>
          </cell>
          <cell r="BB307">
            <v>0</v>
          </cell>
          <cell r="BC307">
            <v>75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7035</v>
          </cell>
        </row>
        <row r="308">
          <cell r="C308">
            <v>7647</v>
          </cell>
          <cell r="D308" t="str">
            <v>Cantos, Mary Grace Ramirez</v>
          </cell>
          <cell r="E308">
            <v>64</v>
          </cell>
          <cell r="F308">
            <v>8</v>
          </cell>
          <cell r="G308">
            <v>600</v>
          </cell>
          <cell r="H308">
            <v>4800</v>
          </cell>
          <cell r="I308">
            <v>0</v>
          </cell>
          <cell r="J308">
            <v>1.25</v>
          </cell>
          <cell r="K308">
            <v>0</v>
          </cell>
          <cell r="L308">
            <v>5</v>
          </cell>
          <cell r="M308">
            <v>93.75</v>
          </cell>
          <cell r="N308">
            <v>468.75</v>
          </cell>
          <cell r="O308">
            <v>0</v>
          </cell>
          <cell r="P308">
            <v>7.5</v>
          </cell>
          <cell r="Q308">
            <v>0</v>
          </cell>
          <cell r="R308">
            <v>0</v>
          </cell>
          <cell r="S308">
            <v>97.5</v>
          </cell>
          <cell r="T308">
            <v>0</v>
          </cell>
          <cell r="U308">
            <v>0</v>
          </cell>
          <cell r="V308">
            <v>126.75</v>
          </cell>
          <cell r="W308">
            <v>0</v>
          </cell>
          <cell r="X308">
            <v>0</v>
          </cell>
          <cell r="Y308">
            <v>9.75</v>
          </cell>
          <cell r="Z308">
            <v>0</v>
          </cell>
          <cell r="AA308">
            <v>0</v>
          </cell>
          <cell r="AB308">
            <v>112.5</v>
          </cell>
          <cell r="AC308">
            <v>0</v>
          </cell>
          <cell r="AD308">
            <v>0</v>
          </cell>
          <cell r="AE308">
            <v>146.25</v>
          </cell>
          <cell r="AF308">
            <v>0</v>
          </cell>
          <cell r="AG308">
            <v>0</v>
          </cell>
          <cell r="AH308">
            <v>11.25</v>
          </cell>
          <cell r="AI308">
            <v>0</v>
          </cell>
          <cell r="AJ308">
            <v>0</v>
          </cell>
          <cell r="AK308">
            <v>97.5</v>
          </cell>
          <cell r="AL308">
            <v>0</v>
          </cell>
          <cell r="AM308">
            <v>0</v>
          </cell>
          <cell r="AN308">
            <v>126.75</v>
          </cell>
          <cell r="AO308">
            <v>0</v>
          </cell>
          <cell r="AP308">
            <v>0</v>
          </cell>
          <cell r="AQ308">
            <v>9.75</v>
          </cell>
          <cell r="AR308">
            <v>0</v>
          </cell>
          <cell r="AS308">
            <v>0</v>
          </cell>
          <cell r="AT308">
            <v>150</v>
          </cell>
          <cell r="AU308">
            <v>0</v>
          </cell>
          <cell r="AV308">
            <v>0</v>
          </cell>
          <cell r="AW308">
            <v>195</v>
          </cell>
          <cell r="AX308">
            <v>0</v>
          </cell>
          <cell r="AY308">
            <v>0</v>
          </cell>
          <cell r="AZ308">
            <v>15</v>
          </cell>
          <cell r="BA308">
            <v>0</v>
          </cell>
          <cell r="BB308">
            <v>0</v>
          </cell>
          <cell r="BC308">
            <v>75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5268.75</v>
          </cell>
        </row>
        <row r="309">
          <cell r="C309">
            <v>12397</v>
          </cell>
          <cell r="D309" t="str">
            <v>Capuno, Janarah Nicole Ical</v>
          </cell>
          <cell r="E309">
            <v>80</v>
          </cell>
          <cell r="F309">
            <v>10</v>
          </cell>
          <cell r="G309">
            <v>600</v>
          </cell>
          <cell r="H309">
            <v>6000</v>
          </cell>
          <cell r="I309">
            <v>0</v>
          </cell>
          <cell r="J309">
            <v>1.25</v>
          </cell>
          <cell r="K309">
            <v>0</v>
          </cell>
          <cell r="L309">
            <v>11</v>
          </cell>
          <cell r="M309">
            <v>93.75</v>
          </cell>
          <cell r="N309">
            <v>1031.25</v>
          </cell>
          <cell r="O309">
            <v>0</v>
          </cell>
          <cell r="P309">
            <v>7.5</v>
          </cell>
          <cell r="Q309">
            <v>0</v>
          </cell>
          <cell r="R309">
            <v>0</v>
          </cell>
          <cell r="S309">
            <v>97.5</v>
          </cell>
          <cell r="T309">
            <v>0</v>
          </cell>
          <cell r="U309">
            <v>0</v>
          </cell>
          <cell r="V309">
            <v>126.75</v>
          </cell>
          <cell r="W309">
            <v>0</v>
          </cell>
          <cell r="X309">
            <v>0</v>
          </cell>
          <cell r="Y309">
            <v>9.75</v>
          </cell>
          <cell r="Z309">
            <v>0</v>
          </cell>
          <cell r="AA309">
            <v>0</v>
          </cell>
          <cell r="AB309">
            <v>112.5</v>
          </cell>
          <cell r="AC309">
            <v>0</v>
          </cell>
          <cell r="AD309">
            <v>0</v>
          </cell>
          <cell r="AE309">
            <v>146.25</v>
          </cell>
          <cell r="AF309">
            <v>0</v>
          </cell>
          <cell r="AG309">
            <v>0</v>
          </cell>
          <cell r="AH309">
            <v>11.25</v>
          </cell>
          <cell r="AI309">
            <v>0</v>
          </cell>
          <cell r="AJ309">
            <v>0</v>
          </cell>
          <cell r="AK309">
            <v>97.5</v>
          </cell>
          <cell r="AL309">
            <v>0</v>
          </cell>
          <cell r="AM309">
            <v>0</v>
          </cell>
          <cell r="AN309">
            <v>126.75</v>
          </cell>
          <cell r="AO309">
            <v>0</v>
          </cell>
          <cell r="AP309">
            <v>0</v>
          </cell>
          <cell r="AQ309">
            <v>9.75</v>
          </cell>
          <cell r="AR309">
            <v>0</v>
          </cell>
          <cell r="AS309">
            <v>0</v>
          </cell>
          <cell r="AT309">
            <v>150</v>
          </cell>
          <cell r="AU309">
            <v>0</v>
          </cell>
          <cell r="AV309">
            <v>0</v>
          </cell>
          <cell r="AW309">
            <v>195</v>
          </cell>
          <cell r="AX309">
            <v>0</v>
          </cell>
          <cell r="AY309">
            <v>0</v>
          </cell>
          <cell r="AZ309">
            <v>15</v>
          </cell>
          <cell r="BA309">
            <v>0</v>
          </cell>
          <cell r="BB309">
            <v>0</v>
          </cell>
          <cell r="BC309">
            <v>75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7031.25</v>
          </cell>
        </row>
        <row r="310">
          <cell r="C310">
            <v>12896</v>
          </cell>
          <cell r="D310" t="str">
            <v>Caraan, Mary Joy Saquido</v>
          </cell>
          <cell r="E310">
            <v>80</v>
          </cell>
          <cell r="F310">
            <v>10</v>
          </cell>
          <cell r="G310">
            <v>600</v>
          </cell>
          <cell r="H310">
            <v>6000</v>
          </cell>
          <cell r="I310">
            <v>4</v>
          </cell>
          <cell r="J310">
            <v>1.25</v>
          </cell>
          <cell r="K310">
            <v>-5</v>
          </cell>
          <cell r="L310">
            <v>11</v>
          </cell>
          <cell r="M310">
            <v>93.75</v>
          </cell>
          <cell r="N310">
            <v>1031.25</v>
          </cell>
          <cell r="O310">
            <v>0</v>
          </cell>
          <cell r="P310">
            <v>7.5</v>
          </cell>
          <cell r="Q310">
            <v>0</v>
          </cell>
          <cell r="R310">
            <v>0</v>
          </cell>
          <cell r="S310">
            <v>97.5</v>
          </cell>
          <cell r="T310">
            <v>0</v>
          </cell>
          <cell r="U310">
            <v>0</v>
          </cell>
          <cell r="V310">
            <v>126.75</v>
          </cell>
          <cell r="W310">
            <v>0</v>
          </cell>
          <cell r="X310">
            <v>0</v>
          </cell>
          <cell r="Y310">
            <v>9.75</v>
          </cell>
          <cell r="Z310">
            <v>0</v>
          </cell>
          <cell r="AA310">
            <v>0</v>
          </cell>
          <cell r="AB310">
            <v>112.5</v>
          </cell>
          <cell r="AC310">
            <v>0</v>
          </cell>
          <cell r="AD310">
            <v>0</v>
          </cell>
          <cell r="AE310">
            <v>146.25</v>
          </cell>
          <cell r="AF310">
            <v>0</v>
          </cell>
          <cell r="AG310">
            <v>0</v>
          </cell>
          <cell r="AH310">
            <v>11.25</v>
          </cell>
          <cell r="AI310">
            <v>0</v>
          </cell>
          <cell r="AJ310">
            <v>0</v>
          </cell>
          <cell r="AK310">
            <v>97.5</v>
          </cell>
          <cell r="AL310">
            <v>0</v>
          </cell>
          <cell r="AM310">
            <v>0</v>
          </cell>
          <cell r="AN310">
            <v>126.75</v>
          </cell>
          <cell r="AO310">
            <v>0</v>
          </cell>
          <cell r="AP310">
            <v>0</v>
          </cell>
          <cell r="AQ310">
            <v>9.75</v>
          </cell>
          <cell r="AR310">
            <v>0</v>
          </cell>
          <cell r="AS310">
            <v>0</v>
          </cell>
          <cell r="AT310">
            <v>150</v>
          </cell>
          <cell r="AU310">
            <v>0</v>
          </cell>
          <cell r="AV310">
            <v>0</v>
          </cell>
          <cell r="AW310">
            <v>195</v>
          </cell>
          <cell r="AX310">
            <v>0</v>
          </cell>
          <cell r="AY310">
            <v>0</v>
          </cell>
          <cell r="AZ310">
            <v>15</v>
          </cell>
          <cell r="BA310">
            <v>0</v>
          </cell>
          <cell r="BB310">
            <v>0</v>
          </cell>
          <cell r="BC310">
            <v>75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7026.25</v>
          </cell>
        </row>
        <row r="311">
          <cell r="C311">
            <v>30795</v>
          </cell>
          <cell r="D311" t="str">
            <v>Castillo, Hazel Aldovino</v>
          </cell>
          <cell r="E311">
            <v>72</v>
          </cell>
          <cell r="F311">
            <v>9</v>
          </cell>
          <cell r="G311">
            <v>600</v>
          </cell>
          <cell r="H311">
            <v>5400</v>
          </cell>
          <cell r="I311">
            <v>0</v>
          </cell>
          <cell r="J311">
            <v>1.25</v>
          </cell>
          <cell r="K311">
            <v>0</v>
          </cell>
          <cell r="L311">
            <v>2</v>
          </cell>
          <cell r="M311">
            <v>93.75</v>
          </cell>
          <cell r="N311">
            <v>187.5</v>
          </cell>
          <cell r="O311">
            <v>36</v>
          </cell>
          <cell r="P311">
            <v>7.5</v>
          </cell>
          <cell r="Q311">
            <v>270</v>
          </cell>
          <cell r="R311">
            <v>0</v>
          </cell>
          <cell r="S311">
            <v>97.5</v>
          </cell>
          <cell r="T311">
            <v>0</v>
          </cell>
          <cell r="U311">
            <v>0</v>
          </cell>
          <cell r="V311">
            <v>126.75</v>
          </cell>
          <cell r="W311">
            <v>0</v>
          </cell>
          <cell r="X311">
            <v>0</v>
          </cell>
          <cell r="Y311">
            <v>9.75</v>
          </cell>
          <cell r="Z311">
            <v>0</v>
          </cell>
          <cell r="AA311">
            <v>0</v>
          </cell>
          <cell r="AB311">
            <v>112.5</v>
          </cell>
          <cell r="AC311">
            <v>0</v>
          </cell>
          <cell r="AD311">
            <v>0</v>
          </cell>
          <cell r="AE311">
            <v>146.25</v>
          </cell>
          <cell r="AF311">
            <v>0</v>
          </cell>
          <cell r="AG311">
            <v>0</v>
          </cell>
          <cell r="AH311">
            <v>11.25</v>
          </cell>
          <cell r="AI311">
            <v>0</v>
          </cell>
          <cell r="AJ311">
            <v>0</v>
          </cell>
          <cell r="AK311">
            <v>97.5</v>
          </cell>
          <cell r="AL311">
            <v>0</v>
          </cell>
          <cell r="AM311">
            <v>0</v>
          </cell>
          <cell r="AN311">
            <v>126.75</v>
          </cell>
          <cell r="AO311">
            <v>0</v>
          </cell>
          <cell r="AP311">
            <v>0</v>
          </cell>
          <cell r="AQ311">
            <v>9.75</v>
          </cell>
          <cell r="AR311">
            <v>0</v>
          </cell>
          <cell r="AS311">
            <v>0</v>
          </cell>
          <cell r="AT311">
            <v>150</v>
          </cell>
          <cell r="AU311">
            <v>0</v>
          </cell>
          <cell r="AV311">
            <v>0</v>
          </cell>
          <cell r="AW311">
            <v>195</v>
          </cell>
          <cell r="AX311">
            <v>0</v>
          </cell>
          <cell r="AY311">
            <v>0</v>
          </cell>
          <cell r="AZ311">
            <v>15</v>
          </cell>
          <cell r="BA311">
            <v>0</v>
          </cell>
          <cell r="BB311">
            <v>0</v>
          </cell>
          <cell r="BC311">
            <v>75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5857.5</v>
          </cell>
        </row>
        <row r="312">
          <cell r="C312">
            <v>14289</v>
          </cell>
          <cell r="D312" t="str">
            <v>Casusi, Lex Denver Manzanilla</v>
          </cell>
          <cell r="E312">
            <v>80</v>
          </cell>
          <cell r="F312">
            <v>10</v>
          </cell>
          <cell r="G312">
            <v>600</v>
          </cell>
          <cell r="H312">
            <v>6000</v>
          </cell>
          <cell r="I312">
            <v>0</v>
          </cell>
          <cell r="J312">
            <v>1.25</v>
          </cell>
          <cell r="K312">
            <v>0</v>
          </cell>
          <cell r="L312">
            <v>16</v>
          </cell>
          <cell r="M312">
            <v>93.75</v>
          </cell>
          <cell r="N312">
            <v>1500</v>
          </cell>
          <cell r="O312">
            <v>0</v>
          </cell>
          <cell r="P312">
            <v>7.5</v>
          </cell>
          <cell r="Q312">
            <v>0</v>
          </cell>
          <cell r="R312">
            <v>8</v>
          </cell>
          <cell r="S312">
            <v>97.5</v>
          </cell>
          <cell r="T312">
            <v>780</v>
          </cell>
          <cell r="U312">
            <v>0</v>
          </cell>
          <cell r="V312">
            <v>126.75</v>
          </cell>
          <cell r="W312">
            <v>0</v>
          </cell>
          <cell r="X312">
            <v>0</v>
          </cell>
          <cell r="Y312">
            <v>9.75</v>
          </cell>
          <cell r="Z312">
            <v>0</v>
          </cell>
          <cell r="AA312">
            <v>0</v>
          </cell>
          <cell r="AB312">
            <v>112.5</v>
          </cell>
          <cell r="AC312">
            <v>0</v>
          </cell>
          <cell r="AD312">
            <v>0</v>
          </cell>
          <cell r="AE312">
            <v>146.25</v>
          </cell>
          <cell r="AF312">
            <v>0</v>
          </cell>
          <cell r="AG312">
            <v>0</v>
          </cell>
          <cell r="AH312">
            <v>11.25</v>
          </cell>
          <cell r="AI312">
            <v>0</v>
          </cell>
          <cell r="AJ312">
            <v>0</v>
          </cell>
          <cell r="AK312">
            <v>97.5</v>
          </cell>
          <cell r="AL312">
            <v>0</v>
          </cell>
          <cell r="AM312">
            <v>0</v>
          </cell>
          <cell r="AN312">
            <v>126.75</v>
          </cell>
          <cell r="AO312">
            <v>0</v>
          </cell>
          <cell r="AP312">
            <v>0</v>
          </cell>
          <cell r="AQ312">
            <v>9.75</v>
          </cell>
          <cell r="AR312">
            <v>0</v>
          </cell>
          <cell r="AS312">
            <v>0</v>
          </cell>
          <cell r="AT312">
            <v>150</v>
          </cell>
          <cell r="AU312">
            <v>0</v>
          </cell>
          <cell r="AV312">
            <v>0</v>
          </cell>
          <cell r="AW312">
            <v>195</v>
          </cell>
          <cell r="AX312">
            <v>0</v>
          </cell>
          <cell r="AY312">
            <v>0</v>
          </cell>
          <cell r="AZ312">
            <v>15</v>
          </cell>
          <cell r="BA312">
            <v>0</v>
          </cell>
          <cell r="BB312">
            <v>0</v>
          </cell>
          <cell r="BC312">
            <v>75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8280</v>
          </cell>
        </row>
        <row r="313">
          <cell r="C313">
            <v>13397</v>
          </cell>
          <cell r="D313" t="str">
            <v>Catambay, Roldan Roca</v>
          </cell>
          <cell r="E313">
            <v>72</v>
          </cell>
          <cell r="F313">
            <v>9</v>
          </cell>
          <cell r="G313">
            <v>600</v>
          </cell>
          <cell r="H313">
            <v>5400</v>
          </cell>
          <cell r="I313">
            <v>55</v>
          </cell>
          <cell r="J313">
            <v>1.25</v>
          </cell>
          <cell r="K313">
            <v>-68.75</v>
          </cell>
          <cell r="L313">
            <v>4</v>
          </cell>
          <cell r="M313">
            <v>93.75</v>
          </cell>
          <cell r="N313">
            <v>375</v>
          </cell>
          <cell r="O313">
            <v>0</v>
          </cell>
          <cell r="P313">
            <v>7.5</v>
          </cell>
          <cell r="Q313">
            <v>0</v>
          </cell>
          <cell r="R313">
            <v>0</v>
          </cell>
          <cell r="S313">
            <v>97.5</v>
          </cell>
          <cell r="T313">
            <v>0</v>
          </cell>
          <cell r="U313">
            <v>0</v>
          </cell>
          <cell r="V313">
            <v>126.75</v>
          </cell>
          <cell r="W313">
            <v>0</v>
          </cell>
          <cell r="X313">
            <v>0</v>
          </cell>
          <cell r="Y313">
            <v>9.75</v>
          </cell>
          <cell r="Z313">
            <v>0</v>
          </cell>
          <cell r="AA313">
            <v>0</v>
          </cell>
          <cell r="AB313">
            <v>112.5</v>
          </cell>
          <cell r="AC313">
            <v>0</v>
          </cell>
          <cell r="AD313">
            <v>0</v>
          </cell>
          <cell r="AE313">
            <v>146.25</v>
          </cell>
          <cell r="AF313">
            <v>0</v>
          </cell>
          <cell r="AG313">
            <v>0</v>
          </cell>
          <cell r="AH313">
            <v>11.25</v>
          </cell>
          <cell r="AI313">
            <v>0</v>
          </cell>
          <cell r="AJ313">
            <v>0</v>
          </cell>
          <cell r="AK313">
            <v>97.5</v>
          </cell>
          <cell r="AL313">
            <v>0</v>
          </cell>
          <cell r="AM313">
            <v>0</v>
          </cell>
          <cell r="AN313">
            <v>126.75</v>
          </cell>
          <cell r="AO313">
            <v>0</v>
          </cell>
          <cell r="AP313">
            <v>0</v>
          </cell>
          <cell r="AQ313">
            <v>9.75</v>
          </cell>
          <cell r="AR313">
            <v>0</v>
          </cell>
          <cell r="AS313">
            <v>0</v>
          </cell>
          <cell r="AT313">
            <v>150</v>
          </cell>
          <cell r="AU313">
            <v>0</v>
          </cell>
          <cell r="AV313">
            <v>0</v>
          </cell>
          <cell r="AW313">
            <v>195</v>
          </cell>
          <cell r="AX313">
            <v>0</v>
          </cell>
          <cell r="AY313">
            <v>0</v>
          </cell>
          <cell r="AZ313">
            <v>15</v>
          </cell>
          <cell r="BA313">
            <v>0</v>
          </cell>
          <cell r="BB313">
            <v>0</v>
          </cell>
          <cell r="BC313">
            <v>75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5706.25</v>
          </cell>
        </row>
        <row r="314">
          <cell r="C314">
            <v>14696</v>
          </cell>
          <cell r="D314" t="str">
            <v>Catanyag, Jeccanna Enriquez</v>
          </cell>
          <cell r="E314">
            <v>88</v>
          </cell>
          <cell r="F314">
            <v>11</v>
          </cell>
          <cell r="G314">
            <v>600</v>
          </cell>
          <cell r="H314">
            <v>6600</v>
          </cell>
          <cell r="I314">
            <v>0</v>
          </cell>
          <cell r="J314">
            <v>1.25</v>
          </cell>
          <cell r="K314">
            <v>0</v>
          </cell>
          <cell r="L314">
            <v>16</v>
          </cell>
          <cell r="M314">
            <v>93.75</v>
          </cell>
          <cell r="N314">
            <v>1500</v>
          </cell>
          <cell r="O314">
            <v>54</v>
          </cell>
          <cell r="P314">
            <v>7.5</v>
          </cell>
          <cell r="Q314">
            <v>405</v>
          </cell>
          <cell r="R314">
            <v>0</v>
          </cell>
          <cell r="S314">
            <v>97.5</v>
          </cell>
          <cell r="T314">
            <v>0</v>
          </cell>
          <cell r="U314">
            <v>0</v>
          </cell>
          <cell r="V314">
            <v>126.75</v>
          </cell>
          <cell r="W314">
            <v>0</v>
          </cell>
          <cell r="X314">
            <v>0</v>
          </cell>
          <cell r="Y314">
            <v>9.75</v>
          </cell>
          <cell r="Z314">
            <v>0</v>
          </cell>
          <cell r="AA314">
            <v>0</v>
          </cell>
          <cell r="AB314">
            <v>112.5</v>
          </cell>
          <cell r="AC314">
            <v>0</v>
          </cell>
          <cell r="AD314">
            <v>0</v>
          </cell>
          <cell r="AE314">
            <v>146.25</v>
          </cell>
          <cell r="AF314">
            <v>0</v>
          </cell>
          <cell r="AG314">
            <v>0</v>
          </cell>
          <cell r="AH314">
            <v>11.25</v>
          </cell>
          <cell r="AI314">
            <v>0</v>
          </cell>
          <cell r="AJ314">
            <v>0</v>
          </cell>
          <cell r="AK314">
            <v>97.5</v>
          </cell>
          <cell r="AL314">
            <v>0</v>
          </cell>
          <cell r="AM314">
            <v>0</v>
          </cell>
          <cell r="AN314">
            <v>126.75</v>
          </cell>
          <cell r="AO314">
            <v>0</v>
          </cell>
          <cell r="AP314">
            <v>0</v>
          </cell>
          <cell r="AQ314">
            <v>9.75</v>
          </cell>
          <cell r="AR314">
            <v>0</v>
          </cell>
          <cell r="AS314">
            <v>0</v>
          </cell>
          <cell r="AT314">
            <v>150</v>
          </cell>
          <cell r="AU314">
            <v>0</v>
          </cell>
          <cell r="AV314">
            <v>0</v>
          </cell>
          <cell r="AW314">
            <v>195</v>
          </cell>
          <cell r="AX314">
            <v>0</v>
          </cell>
          <cell r="AY314">
            <v>0</v>
          </cell>
          <cell r="AZ314">
            <v>15</v>
          </cell>
          <cell r="BA314">
            <v>0</v>
          </cell>
          <cell r="BB314">
            <v>0</v>
          </cell>
          <cell r="BC314">
            <v>75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8505</v>
          </cell>
        </row>
        <row r="315">
          <cell r="C315">
            <v>14698</v>
          </cell>
          <cell r="D315" t="str">
            <v>Catanyag, Jeffrey Mamaril</v>
          </cell>
          <cell r="E315">
            <v>88</v>
          </cell>
          <cell r="F315">
            <v>11</v>
          </cell>
          <cell r="G315">
            <v>600</v>
          </cell>
          <cell r="H315">
            <v>6600</v>
          </cell>
          <cell r="I315">
            <v>0</v>
          </cell>
          <cell r="J315">
            <v>1.25</v>
          </cell>
          <cell r="K315">
            <v>0</v>
          </cell>
          <cell r="L315">
            <v>16</v>
          </cell>
          <cell r="M315">
            <v>93.75</v>
          </cell>
          <cell r="N315">
            <v>1500</v>
          </cell>
          <cell r="O315">
            <v>52</v>
          </cell>
          <cell r="P315">
            <v>7.5</v>
          </cell>
          <cell r="Q315">
            <v>390</v>
          </cell>
          <cell r="R315">
            <v>0</v>
          </cell>
          <cell r="S315">
            <v>97.5</v>
          </cell>
          <cell r="T315">
            <v>0</v>
          </cell>
          <cell r="U315">
            <v>0</v>
          </cell>
          <cell r="V315">
            <v>126.75</v>
          </cell>
          <cell r="W315">
            <v>0</v>
          </cell>
          <cell r="X315">
            <v>0</v>
          </cell>
          <cell r="Y315">
            <v>9.75</v>
          </cell>
          <cell r="Z315">
            <v>0</v>
          </cell>
          <cell r="AA315">
            <v>0</v>
          </cell>
          <cell r="AB315">
            <v>112.5</v>
          </cell>
          <cell r="AC315">
            <v>0</v>
          </cell>
          <cell r="AD315">
            <v>0</v>
          </cell>
          <cell r="AE315">
            <v>146.25</v>
          </cell>
          <cell r="AF315">
            <v>0</v>
          </cell>
          <cell r="AG315">
            <v>0</v>
          </cell>
          <cell r="AH315">
            <v>11.25</v>
          </cell>
          <cell r="AI315">
            <v>0</v>
          </cell>
          <cell r="AJ315">
            <v>0</v>
          </cell>
          <cell r="AK315">
            <v>97.5</v>
          </cell>
          <cell r="AL315">
            <v>0</v>
          </cell>
          <cell r="AM315">
            <v>0</v>
          </cell>
          <cell r="AN315">
            <v>126.75</v>
          </cell>
          <cell r="AO315">
            <v>0</v>
          </cell>
          <cell r="AP315">
            <v>0</v>
          </cell>
          <cell r="AQ315">
            <v>9.75</v>
          </cell>
          <cell r="AR315">
            <v>0</v>
          </cell>
          <cell r="AS315">
            <v>0</v>
          </cell>
          <cell r="AT315">
            <v>150</v>
          </cell>
          <cell r="AU315">
            <v>0</v>
          </cell>
          <cell r="AV315">
            <v>0</v>
          </cell>
          <cell r="AW315">
            <v>195</v>
          </cell>
          <cell r="AX315">
            <v>0</v>
          </cell>
          <cell r="AY315">
            <v>0</v>
          </cell>
          <cell r="AZ315">
            <v>15</v>
          </cell>
          <cell r="BA315">
            <v>0</v>
          </cell>
          <cell r="BB315">
            <v>0</v>
          </cell>
          <cell r="BC315">
            <v>75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8490</v>
          </cell>
        </row>
        <row r="316">
          <cell r="C316">
            <v>12905</v>
          </cell>
          <cell r="D316" t="str">
            <v>Catapang , NolascoJr. Mendoza</v>
          </cell>
          <cell r="E316">
            <v>72</v>
          </cell>
          <cell r="F316">
            <v>9</v>
          </cell>
          <cell r="G316">
            <v>600</v>
          </cell>
          <cell r="H316">
            <v>5400</v>
          </cell>
          <cell r="I316">
            <v>0</v>
          </cell>
          <cell r="J316">
            <v>1.25</v>
          </cell>
          <cell r="K316">
            <v>0</v>
          </cell>
          <cell r="L316">
            <v>17</v>
          </cell>
          <cell r="M316">
            <v>93.75</v>
          </cell>
          <cell r="N316">
            <v>1593.75</v>
          </cell>
          <cell r="O316">
            <v>0</v>
          </cell>
          <cell r="P316">
            <v>7.5</v>
          </cell>
          <cell r="Q316">
            <v>0</v>
          </cell>
          <cell r="R316">
            <v>0</v>
          </cell>
          <cell r="S316">
            <v>97.5</v>
          </cell>
          <cell r="T316">
            <v>0</v>
          </cell>
          <cell r="U316">
            <v>0</v>
          </cell>
          <cell r="V316">
            <v>126.75</v>
          </cell>
          <cell r="W316">
            <v>0</v>
          </cell>
          <cell r="X316">
            <v>0</v>
          </cell>
          <cell r="Y316">
            <v>9.75</v>
          </cell>
          <cell r="Z316">
            <v>0</v>
          </cell>
          <cell r="AA316">
            <v>0</v>
          </cell>
          <cell r="AB316">
            <v>112.5</v>
          </cell>
          <cell r="AC316">
            <v>0</v>
          </cell>
          <cell r="AD316">
            <v>0</v>
          </cell>
          <cell r="AE316">
            <v>146.25</v>
          </cell>
          <cell r="AF316">
            <v>0</v>
          </cell>
          <cell r="AG316">
            <v>0</v>
          </cell>
          <cell r="AH316">
            <v>11.25</v>
          </cell>
          <cell r="AI316">
            <v>0</v>
          </cell>
          <cell r="AJ316">
            <v>0</v>
          </cell>
          <cell r="AK316">
            <v>97.5</v>
          </cell>
          <cell r="AL316">
            <v>0</v>
          </cell>
          <cell r="AM316">
            <v>0</v>
          </cell>
          <cell r="AN316">
            <v>126.75</v>
          </cell>
          <cell r="AO316">
            <v>0</v>
          </cell>
          <cell r="AP316">
            <v>0</v>
          </cell>
          <cell r="AQ316">
            <v>9.75</v>
          </cell>
          <cell r="AR316">
            <v>0</v>
          </cell>
          <cell r="AS316">
            <v>0</v>
          </cell>
          <cell r="AT316">
            <v>150</v>
          </cell>
          <cell r="AU316">
            <v>0</v>
          </cell>
          <cell r="AV316">
            <v>0</v>
          </cell>
          <cell r="AW316">
            <v>195</v>
          </cell>
          <cell r="AX316">
            <v>0</v>
          </cell>
          <cell r="AY316">
            <v>0</v>
          </cell>
          <cell r="AZ316">
            <v>15</v>
          </cell>
          <cell r="BA316">
            <v>0</v>
          </cell>
          <cell r="BB316">
            <v>0</v>
          </cell>
          <cell r="BC316">
            <v>75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6993.75</v>
          </cell>
        </row>
        <row r="317">
          <cell r="C317">
            <v>8064</v>
          </cell>
          <cell r="D317" t="str">
            <v>Caudilla, Arlene</v>
          </cell>
          <cell r="E317">
            <v>80</v>
          </cell>
          <cell r="F317">
            <v>10</v>
          </cell>
          <cell r="G317">
            <v>600</v>
          </cell>
          <cell r="H317">
            <v>6000</v>
          </cell>
          <cell r="I317">
            <v>0</v>
          </cell>
          <cell r="J317">
            <v>1.25</v>
          </cell>
          <cell r="K317">
            <v>0</v>
          </cell>
          <cell r="L317">
            <v>8</v>
          </cell>
          <cell r="M317">
            <v>93.75</v>
          </cell>
          <cell r="N317">
            <v>750</v>
          </cell>
          <cell r="O317">
            <v>0</v>
          </cell>
          <cell r="P317">
            <v>7.5</v>
          </cell>
          <cell r="Q317">
            <v>0</v>
          </cell>
          <cell r="R317">
            <v>0</v>
          </cell>
          <cell r="S317">
            <v>97.5</v>
          </cell>
          <cell r="T317">
            <v>0</v>
          </cell>
          <cell r="U317">
            <v>0</v>
          </cell>
          <cell r="V317">
            <v>126.75</v>
          </cell>
          <cell r="W317">
            <v>0</v>
          </cell>
          <cell r="X317">
            <v>0</v>
          </cell>
          <cell r="Y317">
            <v>9.75</v>
          </cell>
          <cell r="Z317">
            <v>0</v>
          </cell>
          <cell r="AA317">
            <v>0</v>
          </cell>
          <cell r="AB317">
            <v>112.5</v>
          </cell>
          <cell r="AC317">
            <v>0</v>
          </cell>
          <cell r="AD317">
            <v>0</v>
          </cell>
          <cell r="AE317">
            <v>146.25</v>
          </cell>
          <cell r="AF317">
            <v>0</v>
          </cell>
          <cell r="AG317">
            <v>0</v>
          </cell>
          <cell r="AH317">
            <v>11.25</v>
          </cell>
          <cell r="AI317">
            <v>0</v>
          </cell>
          <cell r="AJ317">
            <v>0</v>
          </cell>
          <cell r="AK317">
            <v>97.5</v>
          </cell>
          <cell r="AL317">
            <v>0</v>
          </cell>
          <cell r="AM317">
            <v>0</v>
          </cell>
          <cell r="AN317">
            <v>126.75</v>
          </cell>
          <cell r="AO317">
            <v>0</v>
          </cell>
          <cell r="AP317">
            <v>0</v>
          </cell>
          <cell r="AQ317">
            <v>9.75</v>
          </cell>
          <cell r="AR317">
            <v>0</v>
          </cell>
          <cell r="AS317">
            <v>0</v>
          </cell>
          <cell r="AT317">
            <v>150</v>
          </cell>
          <cell r="AU317">
            <v>0</v>
          </cell>
          <cell r="AV317">
            <v>0</v>
          </cell>
          <cell r="AW317">
            <v>195</v>
          </cell>
          <cell r="AX317">
            <v>0</v>
          </cell>
          <cell r="AY317">
            <v>0</v>
          </cell>
          <cell r="AZ317">
            <v>15</v>
          </cell>
          <cell r="BA317">
            <v>0</v>
          </cell>
          <cell r="BB317">
            <v>0</v>
          </cell>
          <cell r="BC317">
            <v>75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6750</v>
          </cell>
        </row>
        <row r="318">
          <cell r="C318">
            <v>12906</v>
          </cell>
          <cell r="D318" t="str">
            <v>Cay, Herson Mollejon</v>
          </cell>
          <cell r="E318">
            <v>80</v>
          </cell>
          <cell r="F318">
            <v>10</v>
          </cell>
          <cell r="G318">
            <v>600</v>
          </cell>
          <cell r="H318">
            <v>6000</v>
          </cell>
          <cell r="I318">
            <v>0</v>
          </cell>
          <cell r="J318">
            <v>1.25</v>
          </cell>
          <cell r="K318">
            <v>0</v>
          </cell>
          <cell r="L318">
            <v>11</v>
          </cell>
          <cell r="M318">
            <v>93.75</v>
          </cell>
          <cell r="N318">
            <v>1031.25</v>
          </cell>
          <cell r="O318">
            <v>27</v>
          </cell>
          <cell r="P318">
            <v>7.5</v>
          </cell>
          <cell r="Q318">
            <v>202.5</v>
          </cell>
          <cell r="R318">
            <v>0</v>
          </cell>
          <cell r="S318">
            <v>97.5</v>
          </cell>
          <cell r="T318">
            <v>0</v>
          </cell>
          <cell r="U318">
            <v>0</v>
          </cell>
          <cell r="V318">
            <v>126.75</v>
          </cell>
          <cell r="W318">
            <v>0</v>
          </cell>
          <cell r="X318">
            <v>0</v>
          </cell>
          <cell r="Y318">
            <v>9.75</v>
          </cell>
          <cell r="Z318">
            <v>0</v>
          </cell>
          <cell r="AA318">
            <v>0</v>
          </cell>
          <cell r="AB318">
            <v>112.5</v>
          </cell>
          <cell r="AC318">
            <v>0</v>
          </cell>
          <cell r="AD318">
            <v>0</v>
          </cell>
          <cell r="AE318">
            <v>146.25</v>
          </cell>
          <cell r="AF318">
            <v>0</v>
          </cell>
          <cell r="AG318">
            <v>0</v>
          </cell>
          <cell r="AH318">
            <v>11.25</v>
          </cell>
          <cell r="AI318">
            <v>0</v>
          </cell>
          <cell r="AJ318">
            <v>0</v>
          </cell>
          <cell r="AK318">
            <v>97.5</v>
          </cell>
          <cell r="AL318">
            <v>0</v>
          </cell>
          <cell r="AM318">
            <v>0</v>
          </cell>
          <cell r="AN318">
            <v>126.75</v>
          </cell>
          <cell r="AO318">
            <v>0</v>
          </cell>
          <cell r="AP318">
            <v>0</v>
          </cell>
          <cell r="AQ318">
            <v>9.75</v>
          </cell>
          <cell r="AR318">
            <v>0</v>
          </cell>
          <cell r="AS318">
            <v>0</v>
          </cell>
          <cell r="AT318">
            <v>150</v>
          </cell>
          <cell r="AU318">
            <v>0</v>
          </cell>
          <cell r="AV318">
            <v>0</v>
          </cell>
          <cell r="AW318">
            <v>195</v>
          </cell>
          <cell r="AX318">
            <v>0</v>
          </cell>
          <cell r="AY318">
            <v>0</v>
          </cell>
          <cell r="AZ318">
            <v>15</v>
          </cell>
          <cell r="BA318">
            <v>0</v>
          </cell>
          <cell r="BB318">
            <v>0</v>
          </cell>
          <cell r="BC318">
            <v>75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7233.75</v>
          </cell>
        </row>
        <row r="319">
          <cell r="C319">
            <v>14174</v>
          </cell>
          <cell r="D319" t="str">
            <v>Cedeno, Jovan Omnes</v>
          </cell>
          <cell r="E319">
            <v>80</v>
          </cell>
          <cell r="F319">
            <v>10</v>
          </cell>
          <cell r="G319">
            <v>600</v>
          </cell>
          <cell r="H319">
            <v>6000</v>
          </cell>
          <cell r="I319">
            <v>0</v>
          </cell>
          <cell r="J319">
            <v>1.25</v>
          </cell>
          <cell r="K319">
            <v>0</v>
          </cell>
          <cell r="L319">
            <v>15</v>
          </cell>
          <cell r="M319">
            <v>93.75</v>
          </cell>
          <cell r="N319">
            <v>1406.25</v>
          </cell>
          <cell r="O319">
            <v>46</v>
          </cell>
          <cell r="P319">
            <v>7.5</v>
          </cell>
          <cell r="Q319">
            <v>345</v>
          </cell>
          <cell r="R319">
            <v>0</v>
          </cell>
          <cell r="S319">
            <v>97.5</v>
          </cell>
          <cell r="T319">
            <v>0</v>
          </cell>
          <cell r="U319">
            <v>0</v>
          </cell>
          <cell r="V319">
            <v>126.75</v>
          </cell>
          <cell r="W319">
            <v>0</v>
          </cell>
          <cell r="X319">
            <v>0</v>
          </cell>
          <cell r="Y319">
            <v>9.75</v>
          </cell>
          <cell r="Z319">
            <v>0</v>
          </cell>
          <cell r="AA319">
            <v>0</v>
          </cell>
          <cell r="AB319">
            <v>112.5</v>
          </cell>
          <cell r="AC319">
            <v>0</v>
          </cell>
          <cell r="AD319">
            <v>0</v>
          </cell>
          <cell r="AE319">
            <v>146.25</v>
          </cell>
          <cell r="AF319">
            <v>0</v>
          </cell>
          <cell r="AG319">
            <v>0</v>
          </cell>
          <cell r="AH319">
            <v>11.25</v>
          </cell>
          <cell r="AI319">
            <v>0</v>
          </cell>
          <cell r="AJ319">
            <v>0</v>
          </cell>
          <cell r="AK319">
            <v>97.5</v>
          </cell>
          <cell r="AL319">
            <v>0</v>
          </cell>
          <cell r="AM319">
            <v>0</v>
          </cell>
          <cell r="AN319">
            <v>126.75</v>
          </cell>
          <cell r="AO319">
            <v>0</v>
          </cell>
          <cell r="AP319">
            <v>0</v>
          </cell>
          <cell r="AQ319">
            <v>9.75</v>
          </cell>
          <cell r="AR319">
            <v>0</v>
          </cell>
          <cell r="AS319">
            <v>0</v>
          </cell>
          <cell r="AT319">
            <v>150</v>
          </cell>
          <cell r="AU319">
            <v>0</v>
          </cell>
          <cell r="AV319">
            <v>0</v>
          </cell>
          <cell r="AW319">
            <v>195</v>
          </cell>
          <cell r="AX319">
            <v>0</v>
          </cell>
          <cell r="AY319">
            <v>0</v>
          </cell>
          <cell r="AZ319">
            <v>15</v>
          </cell>
          <cell r="BA319">
            <v>0</v>
          </cell>
          <cell r="BB319">
            <v>0</v>
          </cell>
          <cell r="BC319">
            <v>75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7751.25</v>
          </cell>
        </row>
        <row r="320">
          <cell r="C320">
            <v>7695</v>
          </cell>
          <cell r="D320" t="str">
            <v>Cilot, Roma Navarro</v>
          </cell>
          <cell r="E320">
            <v>56</v>
          </cell>
          <cell r="F320">
            <v>7</v>
          </cell>
          <cell r="G320">
            <v>600</v>
          </cell>
          <cell r="H320">
            <v>4200</v>
          </cell>
          <cell r="I320">
            <v>0</v>
          </cell>
          <cell r="J320">
            <v>1.25</v>
          </cell>
          <cell r="K320">
            <v>0</v>
          </cell>
          <cell r="L320">
            <v>4</v>
          </cell>
          <cell r="M320">
            <v>93.75</v>
          </cell>
          <cell r="N320">
            <v>375</v>
          </cell>
          <cell r="O320">
            <v>20</v>
          </cell>
          <cell r="P320">
            <v>7.5</v>
          </cell>
          <cell r="Q320">
            <v>150</v>
          </cell>
          <cell r="R320">
            <v>0</v>
          </cell>
          <cell r="S320">
            <v>97.5</v>
          </cell>
          <cell r="T320">
            <v>0</v>
          </cell>
          <cell r="U320">
            <v>0</v>
          </cell>
          <cell r="V320">
            <v>126.75</v>
          </cell>
          <cell r="W320">
            <v>0</v>
          </cell>
          <cell r="X320">
            <v>0</v>
          </cell>
          <cell r="Y320">
            <v>9.75</v>
          </cell>
          <cell r="Z320">
            <v>0</v>
          </cell>
          <cell r="AA320">
            <v>0</v>
          </cell>
          <cell r="AB320">
            <v>112.5</v>
          </cell>
          <cell r="AC320">
            <v>0</v>
          </cell>
          <cell r="AD320">
            <v>0</v>
          </cell>
          <cell r="AE320">
            <v>146.25</v>
          </cell>
          <cell r="AF320">
            <v>0</v>
          </cell>
          <cell r="AG320">
            <v>0</v>
          </cell>
          <cell r="AH320">
            <v>11.25</v>
          </cell>
          <cell r="AI320">
            <v>0</v>
          </cell>
          <cell r="AJ320">
            <v>0</v>
          </cell>
          <cell r="AK320">
            <v>97.5</v>
          </cell>
          <cell r="AL320">
            <v>0</v>
          </cell>
          <cell r="AM320">
            <v>0</v>
          </cell>
          <cell r="AN320">
            <v>126.75</v>
          </cell>
          <cell r="AO320">
            <v>0</v>
          </cell>
          <cell r="AP320">
            <v>0</v>
          </cell>
          <cell r="AQ320">
            <v>9.75</v>
          </cell>
          <cell r="AR320">
            <v>0</v>
          </cell>
          <cell r="AS320">
            <v>0</v>
          </cell>
          <cell r="AT320">
            <v>150</v>
          </cell>
          <cell r="AU320">
            <v>0</v>
          </cell>
          <cell r="AV320">
            <v>0</v>
          </cell>
          <cell r="AW320">
            <v>195</v>
          </cell>
          <cell r="AX320">
            <v>0</v>
          </cell>
          <cell r="AY320">
            <v>0</v>
          </cell>
          <cell r="AZ320">
            <v>15</v>
          </cell>
          <cell r="BA320">
            <v>0</v>
          </cell>
          <cell r="BB320">
            <v>0</v>
          </cell>
          <cell r="BC320">
            <v>75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4725</v>
          </cell>
        </row>
        <row r="321">
          <cell r="C321">
            <v>12913</v>
          </cell>
          <cell r="D321" t="str">
            <v>Cleope , Bonifacio Perez</v>
          </cell>
          <cell r="E321">
            <v>72</v>
          </cell>
          <cell r="F321">
            <v>9</v>
          </cell>
          <cell r="G321">
            <v>600</v>
          </cell>
          <cell r="H321">
            <v>5400</v>
          </cell>
          <cell r="I321">
            <v>0</v>
          </cell>
          <cell r="J321">
            <v>1.25</v>
          </cell>
          <cell r="K321">
            <v>0</v>
          </cell>
          <cell r="L321">
            <v>8</v>
          </cell>
          <cell r="M321">
            <v>93.75</v>
          </cell>
          <cell r="N321">
            <v>750</v>
          </cell>
          <cell r="O321">
            <v>0</v>
          </cell>
          <cell r="P321">
            <v>7.5</v>
          </cell>
          <cell r="Q321">
            <v>0</v>
          </cell>
          <cell r="R321">
            <v>0</v>
          </cell>
          <cell r="S321">
            <v>97.5</v>
          </cell>
          <cell r="T321">
            <v>0</v>
          </cell>
          <cell r="U321">
            <v>0</v>
          </cell>
          <cell r="V321">
            <v>126.75</v>
          </cell>
          <cell r="W321">
            <v>0</v>
          </cell>
          <cell r="X321">
            <v>0</v>
          </cell>
          <cell r="Y321">
            <v>9.75</v>
          </cell>
          <cell r="Z321">
            <v>0</v>
          </cell>
          <cell r="AA321">
            <v>0</v>
          </cell>
          <cell r="AB321">
            <v>112.5</v>
          </cell>
          <cell r="AC321">
            <v>0</v>
          </cell>
          <cell r="AD321">
            <v>0</v>
          </cell>
          <cell r="AE321">
            <v>146.25</v>
          </cell>
          <cell r="AF321">
            <v>0</v>
          </cell>
          <cell r="AG321">
            <v>0</v>
          </cell>
          <cell r="AH321">
            <v>11.25</v>
          </cell>
          <cell r="AI321">
            <v>0</v>
          </cell>
          <cell r="AJ321">
            <v>0</v>
          </cell>
          <cell r="AK321">
            <v>97.5</v>
          </cell>
          <cell r="AL321">
            <v>0</v>
          </cell>
          <cell r="AM321">
            <v>0</v>
          </cell>
          <cell r="AN321">
            <v>126.75</v>
          </cell>
          <cell r="AO321">
            <v>0</v>
          </cell>
          <cell r="AP321">
            <v>0</v>
          </cell>
          <cell r="AQ321">
            <v>9.75</v>
          </cell>
          <cell r="AR321">
            <v>0</v>
          </cell>
          <cell r="AS321">
            <v>0</v>
          </cell>
          <cell r="AT321">
            <v>150</v>
          </cell>
          <cell r="AU321">
            <v>0</v>
          </cell>
          <cell r="AV321">
            <v>0</v>
          </cell>
          <cell r="AW321">
            <v>195</v>
          </cell>
          <cell r="AX321">
            <v>0</v>
          </cell>
          <cell r="AY321">
            <v>0</v>
          </cell>
          <cell r="AZ321">
            <v>15</v>
          </cell>
          <cell r="BA321">
            <v>0</v>
          </cell>
          <cell r="BB321">
            <v>0</v>
          </cell>
          <cell r="BC321">
            <v>75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6150</v>
          </cell>
        </row>
        <row r="322">
          <cell r="C322">
            <v>12153</v>
          </cell>
          <cell r="D322" t="str">
            <v>Colambo, Romeo Jr. Mercado</v>
          </cell>
          <cell r="E322">
            <v>80</v>
          </cell>
          <cell r="F322">
            <v>10</v>
          </cell>
          <cell r="G322">
            <v>600</v>
          </cell>
          <cell r="H322">
            <v>6000</v>
          </cell>
          <cell r="I322">
            <v>0</v>
          </cell>
          <cell r="J322">
            <v>1.25</v>
          </cell>
          <cell r="K322">
            <v>0</v>
          </cell>
          <cell r="L322">
            <v>16</v>
          </cell>
          <cell r="M322">
            <v>93.75</v>
          </cell>
          <cell r="N322">
            <v>1500</v>
          </cell>
          <cell r="O322">
            <v>44</v>
          </cell>
          <cell r="P322">
            <v>7.5</v>
          </cell>
          <cell r="Q322">
            <v>330</v>
          </cell>
          <cell r="R322">
            <v>0</v>
          </cell>
          <cell r="S322">
            <v>97.5</v>
          </cell>
          <cell r="T322">
            <v>0</v>
          </cell>
          <cell r="U322">
            <v>0</v>
          </cell>
          <cell r="V322">
            <v>126.75</v>
          </cell>
          <cell r="W322">
            <v>0</v>
          </cell>
          <cell r="X322">
            <v>0</v>
          </cell>
          <cell r="Y322">
            <v>9.75</v>
          </cell>
          <cell r="Z322">
            <v>0</v>
          </cell>
          <cell r="AA322">
            <v>0</v>
          </cell>
          <cell r="AB322">
            <v>112.5</v>
          </cell>
          <cell r="AC322">
            <v>0</v>
          </cell>
          <cell r="AD322">
            <v>0</v>
          </cell>
          <cell r="AE322">
            <v>146.25</v>
          </cell>
          <cell r="AF322">
            <v>0</v>
          </cell>
          <cell r="AG322">
            <v>0</v>
          </cell>
          <cell r="AH322">
            <v>11.25</v>
          </cell>
          <cell r="AI322">
            <v>0</v>
          </cell>
          <cell r="AJ322">
            <v>0</v>
          </cell>
          <cell r="AK322">
            <v>97.5</v>
          </cell>
          <cell r="AL322">
            <v>0</v>
          </cell>
          <cell r="AM322">
            <v>0</v>
          </cell>
          <cell r="AN322">
            <v>126.75</v>
          </cell>
          <cell r="AO322">
            <v>0</v>
          </cell>
          <cell r="AP322">
            <v>0</v>
          </cell>
          <cell r="AQ322">
            <v>9.75</v>
          </cell>
          <cell r="AR322">
            <v>0</v>
          </cell>
          <cell r="AS322">
            <v>0</v>
          </cell>
          <cell r="AT322">
            <v>150</v>
          </cell>
          <cell r="AU322">
            <v>0</v>
          </cell>
          <cell r="AV322">
            <v>0</v>
          </cell>
          <cell r="AW322">
            <v>195</v>
          </cell>
          <cell r="AX322">
            <v>0</v>
          </cell>
          <cell r="AY322">
            <v>0</v>
          </cell>
          <cell r="AZ322">
            <v>15</v>
          </cell>
          <cell r="BA322">
            <v>0</v>
          </cell>
          <cell r="BB322">
            <v>0</v>
          </cell>
          <cell r="BC322">
            <v>75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7830</v>
          </cell>
        </row>
        <row r="323">
          <cell r="C323">
            <v>30291</v>
          </cell>
          <cell r="D323" t="str">
            <v>Conde, Janice Cabardo</v>
          </cell>
          <cell r="E323">
            <v>80</v>
          </cell>
          <cell r="F323">
            <v>10</v>
          </cell>
          <cell r="G323">
            <v>600</v>
          </cell>
          <cell r="H323">
            <v>6000</v>
          </cell>
          <cell r="I323">
            <v>0</v>
          </cell>
          <cell r="J323">
            <v>1.25</v>
          </cell>
          <cell r="K323">
            <v>0</v>
          </cell>
          <cell r="L323">
            <v>10</v>
          </cell>
          <cell r="M323">
            <v>93.75</v>
          </cell>
          <cell r="N323">
            <v>937.5</v>
          </cell>
          <cell r="O323">
            <v>0</v>
          </cell>
          <cell r="P323">
            <v>7.5</v>
          </cell>
          <cell r="Q323">
            <v>0</v>
          </cell>
          <cell r="R323">
            <v>0</v>
          </cell>
          <cell r="S323">
            <v>97.5</v>
          </cell>
          <cell r="T323">
            <v>0</v>
          </cell>
          <cell r="U323">
            <v>0</v>
          </cell>
          <cell r="V323">
            <v>126.75</v>
          </cell>
          <cell r="W323">
            <v>0</v>
          </cell>
          <cell r="X323">
            <v>0</v>
          </cell>
          <cell r="Y323">
            <v>9.75</v>
          </cell>
          <cell r="Z323">
            <v>0</v>
          </cell>
          <cell r="AA323">
            <v>0</v>
          </cell>
          <cell r="AB323">
            <v>112.5</v>
          </cell>
          <cell r="AC323">
            <v>0</v>
          </cell>
          <cell r="AD323">
            <v>0</v>
          </cell>
          <cell r="AE323">
            <v>146.25</v>
          </cell>
          <cell r="AF323">
            <v>0</v>
          </cell>
          <cell r="AG323">
            <v>0</v>
          </cell>
          <cell r="AH323">
            <v>11.25</v>
          </cell>
          <cell r="AI323">
            <v>0</v>
          </cell>
          <cell r="AJ323">
            <v>0</v>
          </cell>
          <cell r="AK323">
            <v>97.5</v>
          </cell>
          <cell r="AL323">
            <v>0</v>
          </cell>
          <cell r="AM323">
            <v>0</v>
          </cell>
          <cell r="AN323">
            <v>126.75</v>
          </cell>
          <cell r="AO323">
            <v>0</v>
          </cell>
          <cell r="AP323">
            <v>0</v>
          </cell>
          <cell r="AQ323">
            <v>9.75</v>
          </cell>
          <cell r="AR323">
            <v>0</v>
          </cell>
          <cell r="AS323">
            <v>0</v>
          </cell>
          <cell r="AT323">
            <v>150</v>
          </cell>
          <cell r="AU323">
            <v>0</v>
          </cell>
          <cell r="AV323">
            <v>0</v>
          </cell>
          <cell r="AW323">
            <v>195</v>
          </cell>
          <cell r="AX323">
            <v>0</v>
          </cell>
          <cell r="AY323">
            <v>0</v>
          </cell>
          <cell r="AZ323">
            <v>15</v>
          </cell>
          <cell r="BA323">
            <v>0</v>
          </cell>
          <cell r="BB323">
            <v>0</v>
          </cell>
          <cell r="BC323">
            <v>75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6937.5</v>
          </cell>
        </row>
        <row r="324">
          <cell r="C324">
            <v>12916</v>
          </cell>
          <cell r="D324" t="str">
            <v>Constantino, Cristine Joy De Silva</v>
          </cell>
          <cell r="E324">
            <v>72</v>
          </cell>
          <cell r="F324">
            <v>9</v>
          </cell>
          <cell r="G324">
            <v>600</v>
          </cell>
          <cell r="H324">
            <v>5400</v>
          </cell>
          <cell r="I324">
            <v>0</v>
          </cell>
          <cell r="J324">
            <v>1.25</v>
          </cell>
          <cell r="K324">
            <v>0</v>
          </cell>
          <cell r="L324">
            <v>14</v>
          </cell>
          <cell r="M324">
            <v>93.75</v>
          </cell>
          <cell r="N324">
            <v>1312.5</v>
          </cell>
          <cell r="O324">
            <v>28</v>
          </cell>
          <cell r="P324">
            <v>7.5</v>
          </cell>
          <cell r="Q324">
            <v>210</v>
          </cell>
          <cell r="R324">
            <v>0</v>
          </cell>
          <cell r="S324">
            <v>97.5</v>
          </cell>
          <cell r="T324">
            <v>0</v>
          </cell>
          <cell r="U324">
            <v>0</v>
          </cell>
          <cell r="V324">
            <v>126.75</v>
          </cell>
          <cell r="W324">
            <v>0</v>
          </cell>
          <cell r="X324">
            <v>0</v>
          </cell>
          <cell r="Y324">
            <v>9.75</v>
          </cell>
          <cell r="Z324">
            <v>0</v>
          </cell>
          <cell r="AA324">
            <v>0</v>
          </cell>
          <cell r="AB324">
            <v>112.5</v>
          </cell>
          <cell r="AC324">
            <v>0</v>
          </cell>
          <cell r="AD324">
            <v>0</v>
          </cell>
          <cell r="AE324">
            <v>146.25</v>
          </cell>
          <cell r="AF324">
            <v>0</v>
          </cell>
          <cell r="AG324">
            <v>0</v>
          </cell>
          <cell r="AH324">
            <v>11.25</v>
          </cell>
          <cell r="AI324">
            <v>0</v>
          </cell>
          <cell r="AJ324">
            <v>0</v>
          </cell>
          <cell r="AK324">
            <v>97.5</v>
          </cell>
          <cell r="AL324">
            <v>0</v>
          </cell>
          <cell r="AM324">
            <v>0</v>
          </cell>
          <cell r="AN324">
            <v>126.75</v>
          </cell>
          <cell r="AO324">
            <v>0</v>
          </cell>
          <cell r="AP324">
            <v>0</v>
          </cell>
          <cell r="AQ324">
            <v>9.75</v>
          </cell>
          <cell r="AR324">
            <v>0</v>
          </cell>
          <cell r="AS324">
            <v>0</v>
          </cell>
          <cell r="AT324">
            <v>150</v>
          </cell>
          <cell r="AU324">
            <v>0</v>
          </cell>
          <cell r="AV324">
            <v>0</v>
          </cell>
          <cell r="AW324">
            <v>195</v>
          </cell>
          <cell r="AX324">
            <v>0</v>
          </cell>
          <cell r="AY324">
            <v>0</v>
          </cell>
          <cell r="AZ324">
            <v>15</v>
          </cell>
          <cell r="BA324">
            <v>0</v>
          </cell>
          <cell r="BB324">
            <v>0</v>
          </cell>
          <cell r="BC324">
            <v>75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6922.5</v>
          </cell>
        </row>
        <row r="325">
          <cell r="C325">
            <v>30293</v>
          </cell>
          <cell r="D325" t="str">
            <v>Conzaga, Anna Fe Acopio</v>
          </cell>
          <cell r="E325">
            <v>80</v>
          </cell>
          <cell r="F325">
            <v>10</v>
          </cell>
          <cell r="G325">
            <v>600</v>
          </cell>
          <cell r="H325">
            <v>6000</v>
          </cell>
          <cell r="I325">
            <v>0</v>
          </cell>
          <cell r="J325">
            <v>1.25</v>
          </cell>
          <cell r="K325">
            <v>0</v>
          </cell>
          <cell r="L325">
            <v>13</v>
          </cell>
          <cell r="M325">
            <v>93.75</v>
          </cell>
          <cell r="N325">
            <v>1218.75</v>
          </cell>
          <cell r="O325">
            <v>0</v>
          </cell>
          <cell r="P325">
            <v>7.5</v>
          </cell>
          <cell r="Q325">
            <v>0</v>
          </cell>
          <cell r="R325">
            <v>0</v>
          </cell>
          <cell r="S325">
            <v>97.5</v>
          </cell>
          <cell r="T325">
            <v>0</v>
          </cell>
          <cell r="U325">
            <v>0</v>
          </cell>
          <cell r="V325">
            <v>126.75</v>
          </cell>
          <cell r="W325">
            <v>0</v>
          </cell>
          <cell r="X325">
            <v>0</v>
          </cell>
          <cell r="Y325">
            <v>9.75</v>
          </cell>
          <cell r="Z325">
            <v>0</v>
          </cell>
          <cell r="AA325">
            <v>0</v>
          </cell>
          <cell r="AB325">
            <v>112.5</v>
          </cell>
          <cell r="AC325">
            <v>0</v>
          </cell>
          <cell r="AD325">
            <v>0</v>
          </cell>
          <cell r="AE325">
            <v>146.25</v>
          </cell>
          <cell r="AF325">
            <v>0</v>
          </cell>
          <cell r="AG325">
            <v>0</v>
          </cell>
          <cell r="AH325">
            <v>11.25</v>
          </cell>
          <cell r="AI325">
            <v>0</v>
          </cell>
          <cell r="AJ325">
            <v>0</v>
          </cell>
          <cell r="AK325">
            <v>97.5</v>
          </cell>
          <cell r="AL325">
            <v>0</v>
          </cell>
          <cell r="AM325">
            <v>0</v>
          </cell>
          <cell r="AN325">
            <v>126.75</v>
          </cell>
          <cell r="AO325">
            <v>0</v>
          </cell>
          <cell r="AP325">
            <v>0</v>
          </cell>
          <cell r="AQ325">
            <v>9.75</v>
          </cell>
          <cell r="AR325">
            <v>0</v>
          </cell>
          <cell r="AS325">
            <v>0</v>
          </cell>
          <cell r="AT325">
            <v>150</v>
          </cell>
          <cell r="AU325">
            <v>0</v>
          </cell>
          <cell r="AV325">
            <v>0</v>
          </cell>
          <cell r="AW325">
            <v>195</v>
          </cell>
          <cell r="AX325">
            <v>0</v>
          </cell>
          <cell r="AY325">
            <v>0</v>
          </cell>
          <cell r="AZ325">
            <v>15</v>
          </cell>
          <cell r="BA325">
            <v>0</v>
          </cell>
          <cell r="BB325">
            <v>0</v>
          </cell>
          <cell r="BC325">
            <v>75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7218.75</v>
          </cell>
        </row>
        <row r="326">
          <cell r="C326">
            <v>11863</v>
          </cell>
          <cell r="D326" t="str">
            <v>Cortez, Armin Padis</v>
          </cell>
          <cell r="E326">
            <v>80</v>
          </cell>
          <cell r="F326">
            <v>10</v>
          </cell>
          <cell r="G326">
            <v>600</v>
          </cell>
          <cell r="H326">
            <v>6000</v>
          </cell>
          <cell r="I326">
            <v>0</v>
          </cell>
          <cell r="J326">
            <v>1.25</v>
          </cell>
          <cell r="K326">
            <v>0</v>
          </cell>
          <cell r="L326">
            <v>4</v>
          </cell>
          <cell r="M326">
            <v>93.75</v>
          </cell>
          <cell r="N326">
            <v>375</v>
          </cell>
          <cell r="O326">
            <v>0</v>
          </cell>
          <cell r="P326">
            <v>7.5</v>
          </cell>
          <cell r="Q326">
            <v>0</v>
          </cell>
          <cell r="R326">
            <v>0</v>
          </cell>
          <cell r="S326">
            <v>97.5</v>
          </cell>
          <cell r="T326">
            <v>0</v>
          </cell>
          <cell r="U326">
            <v>0</v>
          </cell>
          <cell r="V326">
            <v>126.75</v>
          </cell>
          <cell r="W326">
            <v>0</v>
          </cell>
          <cell r="X326">
            <v>0</v>
          </cell>
          <cell r="Y326">
            <v>9.75</v>
          </cell>
          <cell r="Z326">
            <v>0</v>
          </cell>
          <cell r="AA326">
            <v>0</v>
          </cell>
          <cell r="AB326">
            <v>112.5</v>
          </cell>
          <cell r="AC326">
            <v>0</v>
          </cell>
          <cell r="AD326">
            <v>0</v>
          </cell>
          <cell r="AE326">
            <v>146.25</v>
          </cell>
          <cell r="AF326">
            <v>0</v>
          </cell>
          <cell r="AG326">
            <v>0</v>
          </cell>
          <cell r="AH326">
            <v>11.25</v>
          </cell>
          <cell r="AI326">
            <v>0</v>
          </cell>
          <cell r="AJ326">
            <v>0</v>
          </cell>
          <cell r="AK326">
            <v>97.5</v>
          </cell>
          <cell r="AL326">
            <v>0</v>
          </cell>
          <cell r="AM326">
            <v>0</v>
          </cell>
          <cell r="AN326">
            <v>126.75</v>
          </cell>
          <cell r="AO326">
            <v>0</v>
          </cell>
          <cell r="AP326">
            <v>0</v>
          </cell>
          <cell r="AQ326">
            <v>9.75</v>
          </cell>
          <cell r="AR326">
            <v>0</v>
          </cell>
          <cell r="AS326">
            <v>0</v>
          </cell>
          <cell r="AT326">
            <v>150</v>
          </cell>
          <cell r="AU326">
            <v>0</v>
          </cell>
          <cell r="AV326">
            <v>0</v>
          </cell>
          <cell r="AW326">
            <v>195</v>
          </cell>
          <cell r="AX326">
            <v>0</v>
          </cell>
          <cell r="AY326">
            <v>0</v>
          </cell>
          <cell r="AZ326">
            <v>15</v>
          </cell>
          <cell r="BA326">
            <v>0</v>
          </cell>
          <cell r="BB326">
            <v>0</v>
          </cell>
          <cell r="BC326">
            <v>75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6375</v>
          </cell>
        </row>
        <row r="327">
          <cell r="C327">
            <v>11919</v>
          </cell>
          <cell r="D327" t="str">
            <v>Credo, Josua Saludes</v>
          </cell>
          <cell r="E327">
            <v>56</v>
          </cell>
          <cell r="F327">
            <v>7</v>
          </cell>
          <cell r="G327">
            <v>600</v>
          </cell>
          <cell r="H327">
            <v>4200</v>
          </cell>
          <cell r="I327">
            <v>0</v>
          </cell>
          <cell r="J327">
            <v>1.25</v>
          </cell>
          <cell r="K327">
            <v>0</v>
          </cell>
          <cell r="L327">
            <v>6</v>
          </cell>
          <cell r="M327">
            <v>93.75</v>
          </cell>
          <cell r="N327">
            <v>562.5</v>
          </cell>
          <cell r="O327">
            <v>14</v>
          </cell>
          <cell r="P327">
            <v>7.5</v>
          </cell>
          <cell r="Q327">
            <v>105</v>
          </cell>
          <cell r="R327">
            <v>0</v>
          </cell>
          <cell r="S327">
            <v>97.5</v>
          </cell>
          <cell r="T327">
            <v>0</v>
          </cell>
          <cell r="U327">
            <v>0</v>
          </cell>
          <cell r="V327">
            <v>126.75</v>
          </cell>
          <cell r="W327">
            <v>0</v>
          </cell>
          <cell r="X327">
            <v>0</v>
          </cell>
          <cell r="Y327">
            <v>9.75</v>
          </cell>
          <cell r="Z327">
            <v>0</v>
          </cell>
          <cell r="AA327">
            <v>0</v>
          </cell>
          <cell r="AB327">
            <v>112.5</v>
          </cell>
          <cell r="AC327">
            <v>0</v>
          </cell>
          <cell r="AD327">
            <v>0</v>
          </cell>
          <cell r="AE327">
            <v>146.25</v>
          </cell>
          <cell r="AF327">
            <v>0</v>
          </cell>
          <cell r="AG327">
            <v>0</v>
          </cell>
          <cell r="AH327">
            <v>11.25</v>
          </cell>
          <cell r="AI327">
            <v>0</v>
          </cell>
          <cell r="AJ327">
            <v>0</v>
          </cell>
          <cell r="AK327">
            <v>97.5</v>
          </cell>
          <cell r="AL327">
            <v>0</v>
          </cell>
          <cell r="AM327">
            <v>0</v>
          </cell>
          <cell r="AN327">
            <v>126.75</v>
          </cell>
          <cell r="AO327">
            <v>0</v>
          </cell>
          <cell r="AP327">
            <v>0</v>
          </cell>
          <cell r="AQ327">
            <v>9.75</v>
          </cell>
          <cell r="AR327">
            <v>0</v>
          </cell>
          <cell r="AS327">
            <v>0</v>
          </cell>
          <cell r="AT327">
            <v>150</v>
          </cell>
          <cell r="AU327">
            <v>0</v>
          </cell>
          <cell r="AV327">
            <v>0</v>
          </cell>
          <cell r="AW327">
            <v>195</v>
          </cell>
          <cell r="AX327">
            <v>0</v>
          </cell>
          <cell r="AY327">
            <v>0</v>
          </cell>
          <cell r="AZ327">
            <v>15</v>
          </cell>
          <cell r="BA327">
            <v>0</v>
          </cell>
          <cell r="BB327">
            <v>0</v>
          </cell>
          <cell r="BC327">
            <v>75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4867.5</v>
          </cell>
        </row>
        <row r="328">
          <cell r="C328">
            <v>12922</v>
          </cell>
          <cell r="D328" t="str">
            <v>Cueto, Joan Magsino</v>
          </cell>
          <cell r="E328">
            <v>88</v>
          </cell>
          <cell r="F328">
            <v>11</v>
          </cell>
          <cell r="G328">
            <v>600</v>
          </cell>
          <cell r="H328">
            <v>6600</v>
          </cell>
          <cell r="I328">
            <v>0</v>
          </cell>
          <cell r="J328">
            <v>1.25</v>
          </cell>
          <cell r="K328">
            <v>0</v>
          </cell>
          <cell r="L328">
            <v>12</v>
          </cell>
          <cell r="M328">
            <v>93.75</v>
          </cell>
          <cell r="N328">
            <v>1125</v>
          </cell>
          <cell r="O328">
            <v>78</v>
          </cell>
          <cell r="P328">
            <v>7.5</v>
          </cell>
          <cell r="Q328">
            <v>585</v>
          </cell>
          <cell r="R328">
            <v>0</v>
          </cell>
          <cell r="S328">
            <v>97.5</v>
          </cell>
          <cell r="T328">
            <v>0</v>
          </cell>
          <cell r="U328">
            <v>0</v>
          </cell>
          <cell r="V328">
            <v>126.75</v>
          </cell>
          <cell r="W328">
            <v>0</v>
          </cell>
          <cell r="X328">
            <v>0</v>
          </cell>
          <cell r="Y328">
            <v>9.75</v>
          </cell>
          <cell r="Z328">
            <v>0</v>
          </cell>
          <cell r="AA328">
            <v>0</v>
          </cell>
          <cell r="AB328">
            <v>112.5</v>
          </cell>
          <cell r="AC328">
            <v>0</v>
          </cell>
          <cell r="AD328">
            <v>0</v>
          </cell>
          <cell r="AE328">
            <v>146.25</v>
          </cell>
          <cell r="AF328">
            <v>0</v>
          </cell>
          <cell r="AG328">
            <v>0</v>
          </cell>
          <cell r="AH328">
            <v>11.25</v>
          </cell>
          <cell r="AI328">
            <v>0</v>
          </cell>
          <cell r="AJ328">
            <v>0</v>
          </cell>
          <cell r="AK328">
            <v>97.5</v>
          </cell>
          <cell r="AL328">
            <v>0</v>
          </cell>
          <cell r="AM328">
            <v>0</v>
          </cell>
          <cell r="AN328">
            <v>126.75</v>
          </cell>
          <cell r="AO328">
            <v>0</v>
          </cell>
          <cell r="AP328">
            <v>0</v>
          </cell>
          <cell r="AQ328">
            <v>9.75</v>
          </cell>
          <cell r="AR328">
            <v>0</v>
          </cell>
          <cell r="AS328">
            <v>0</v>
          </cell>
          <cell r="AT328">
            <v>150</v>
          </cell>
          <cell r="AU328">
            <v>0</v>
          </cell>
          <cell r="AV328">
            <v>0</v>
          </cell>
          <cell r="AW328">
            <v>195</v>
          </cell>
          <cell r="AX328">
            <v>0</v>
          </cell>
          <cell r="AY328">
            <v>0</v>
          </cell>
          <cell r="AZ328">
            <v>15</v>
          </cell>
          <cell r="BA328">
            <v>0</v>
          </cell>
          <cell r="BB328">
            <v>0</v>
          </cell>
          <cell r="BC328">
            <v>75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8310</v>
          </cell>
        </row>
        <row r="329">
          <cell r="C329">
            <v>30261</v>
          </cell>
          <cell r="D329" t="str">
            <v>Dado, Jerome Romero</v>
          </cell>
          <cell r="E329">
            <v>80</v>
          </cell>
          <cell r="F329">
            <v>10</v>
          </cell>
          <cell r="G329">
            <v>600</v>
          </cell>
          <cell r="H329">
            <v>6000</v>
          </cell>
          <cell r="I329">
            <v>0</v>
          </cell>
          <cell r="J329">
            <v>1.25</v>
          </cell>
          <cell r="K329">
            <v>0</v>
          </cell>
          <cell r="L329">
            <v>4</v>
          </cell>
          <cell r="M329">
            <v>93.75</v>
          </cell>
          <cell r="N329">
            <v>375</v>
          </cell>
          <cell r="O329">
            <v>0</v>
          </cell>
          <cell r="P329">
            <v>7.5</v>
          </cell>
          <cell r="Q329">
            <v>0</v>
          </cell>
          <cell r="R329">
            <v>0</v>
          </cell>
          <cell r="S329">
            <v>97.5</v>
          </cell>
          <cell r="T329">
            <v>0</v>
          </cell>
          <cell r="U329">
            <v>0</v>
          </cell>
          <cell r="V329">
            <v>126.75</v>
          </cell>
          <cell r="W329">
            <v>0</v>
          </cell>
          <cell r="X329">
            <v>0</v>
          </cell>
          <cell r="Y329">
            <v>9.75</v>
          </cell>
          <cell r="Z329">
            <v>0</v>
          </cell>
          <cell r="AA329">
            <v>0</v>
          </cell>
          <cell r="AB329">
            <v>112.5</v>
          </cell>
          <cell r="AC329">
            <v>0</v>
          </cell>
          <cell r="AD329">
            <v>0</v>
          </cell>
          <cell r="AE329">
            <v>146.25</v>
          </cell>
          <cell r="AF329">
            <v>0</v>
          </cell>
          <cell r="AG329">
            <v>0</v>
          </cell>
          <cell r="AH329">
            <v>11.25</v>
          </cell>
          <cell r="AI329">
            <v>0</v>
          </cell>
          <cell r="AJ329">
            <v>0</v>
          </cell>
          <cell r="AK329">
            <v>97.5</v>
          </cell>
          <cell r="AL329">
            <v>0</v>
          </cell>
          <cell r="AM329">
            <v>0</v>
          </cell>
          <cell r="AN329">
            <v>126.75</v>
          </cell>
          <cell r="AO329">
            <v>0</v>
          </cell>
          <cell r="AP329">
            <v>0</v>
          </cell>
          <cell r="AQ329">
            <v>9.75</v>
          </cell>
          <cell r="AR329">
            <v>0</v>
          </cell>
          <cell r="AS329">
            <v>0</v>
          </cell>
          <cell r="AT329">
            <v>150</v>
          </cell>
          <cell r="AU329">
            <v>0</v>
          </cell>
          <cell r="AV329">
            <v>0</v>
          </cell>
          <cell r="AW329">
            <v>195</v>
          </cell>
          <cell r="AX329">
            <v>0</v>
          </cell>
          <cell r="AY329">
            <v>0</v>
          </cell>
          <cell r="AZ329">
            <v>15</v>
          </cell>
          <cell r="BA329">
            <v>0</v>
          </cell>
          <cell r="BB329">
            <v>0</v>
          </cell>
          <cell r="BC329">
            <v>75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6375</v>
          </cell>
        </row>
        <row r="330">
          <cell r="C330">
            <v>12927</v>
          </cell>
          <cell r="D330" t="str">
            <v>Dagli, Renz Jemrick Zara</v>
          </cell>
          <cell r="E330">
            <v>88</v>
          </cell>
          <cell r="F330">
            <v>11</v>
          </cell>
          <cell r="G330">
            <v>600</v>
          </cell>
          <cell r="H330">
            <v>6600</v>
          </cell>
          <cell r="I330">
            <v>0</v>
          </cell>
          <cell r="J330">
            <v>1.25</v>
          </cell>
          <cell r="K330">
            <v>0</v>
          </cell>
          <cell r="L330">
            <v>10</v>
          </cell>
          <cell r="M330">
            <v>93.75</v>
          </cell>
          <cell r="N330">
            <v>937.5</v>
          </cell>
          <cell r="O330">
            <v>48</v>
          </cell>
          <cell r="P330">
            <v>7.5</v>
          </cell>
          <cell r="Q330">
            <v>360</v>
          </cell>
          <cell r="R330">
            <v>0</v>
          </cell>
          <cell r="S330">
            <v>97.5</v>
          </cell>
          <cell r="T330">
            <v>0</v>
          </cell>
          <cell r="U330">
            <v>0</v>
          </cell>
          <cell r="V330">
            <v>126.75</v>
          </cell>
          <cell r="W330">
            <v>0</v>
          </cell>
          <cell r="X330">
            <v>0</v>
          </cell>
          <cell r="Y330">
            <v>9.75</v>
          </cell>
          <cell r="Z330">
            <v>0</v>
          </cell>
          <cell r="AA330">
            <v>0</v>
          </cell>
          <cell r="AB330">
            <v>112.5</v>
          </cell>
          <cell r="AC330">
            <v>0</v>
          </cell>
          <cell r="AD330">
            <v>0</v>
          </cell>
          <cell r="AE330">
            <v>146.25</v>
          </cell>
          <cell r="AF330">
            <v>0</v>
          </cell>
          <cell r="AG330">
            <v>0</v>
          </cell>
          <cell r="AH330">
            <v>11.25</v>
          </cell>
          <cell r="AI330">
            <v>0</v>
          </cell>
          <cell r="AJ330">
            <v>0</v>
          </cell>
          <cell r="AK330">
            <v>97.5</v>
          </cell>
          <cell r="AL330">
            <v>0</v>
          </cell>
          <cell r="AM330">
            <v>0</v>
          </cell>
          <cell r="AN330">
            <v>126.75</v>
          </cell>
          <cell r="AO330">
            <v>0</v>
          </cell>
          <cell r="AP330">
            <v>0</v>
          </cell>
          <cell r="AQ330">
            <v>9.75</v>
          </cell>
          <cell r="AR330">
            <v>0</v>
          </cell>
          <cell r="AS330">
            <v>0</v>
          </cell>
          <cell r="AT330">
            <v>150</v>
          </cell>
          <cell r="AU330">
            <v>0</v>
          </cell>
          <cell r="AV330">
            <v>0</v>
          </cell>
          <cell r="AW330">
            <v>195</v>
          </cell>
          <cell r="AX330">
            <v>0</v>
          </cell>
          <cell r="AY330">
            <v>0</v>
          </cell>
          <cell r="AZ330">
            <v>15</v>
          </cell>
          <cell r="BA330">
            <v>0</v>
          </cell>
          <cell r="BB330">
            <v>0</v>
          </cell>
          <cell r="BC330">
            <v>75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7897.5</v>
          </cell>
        </row>
        <row r="331">
          <cell r="C331">
            <v>12928</v>
          </cell>
          <cell r="D331" t="str">
            <v>Dasal, Jayson Salazar</v>
          </cell>
          <cell r="E331">
            <v>80</v>
          </cell>
          <cell r="F331">
            <v>10</v>
          </cell>
          <cell r="G331">
            <v>600</v>
          </cell>
          <cell r="H331">
            <v>6000</v>
          </cell>
          <cell r="I331">
            <v>0</v>
          </cell>
          <cell r="J331">
            <v>1.25</v>
          </cell>
          <cell r="K331">
            <v>0</v>
          </cell>
          <cell r="L331">
            <v>9</v>
          </cell>
          <cell r="M331">
            <v>93.75</v>
          </cell>
          <cell r="N331">
            <v>843.75</v>
          </cell>
          <cell r="O331">
            <v>26</v>
          </cell>
          <cell r="P331">
            <v>7.5</v>
          </cell>
          <cell r="Q331">
            <v>195</v>
          </cell>
          <cell r="R331">
            <v>0</v>
          </cell>
          <cell r="S331">
            <v>97.5</v>
          </cell>
          <cell r="T331">
            <v>0</v>
          </cell>
          <cell r="U331">
            <v>0</v>
          </cell>
          <cell r="V331">
            <v>126.75</v>
          </cell>
          <cell r="W331">
            <v>0</v>
          </cell>
          <cell r="X331">
            <v>0</v>
          </cell>
          <cell r="Y331">
            <v>9.75</v>
          </cell>
          <cell r="Z331">
            <v>0</v>
          </cell>
          <cell r="AA331">
            <v>0</v>
          </cell>
          <cell r="AB331">
            <v>112.5</v>
          </cell>
          <cell r="AC331">
            <v>0</v>
          </cell>
          <cell r="AD331">
            <v>0</v>
          </cell>
          <cell r="AE331">
            <v>146.25</v>
          </cell>
          <cell r="AF331">
            <v>0</v>
          </cell>
          <cell r="AG331">
            <v>0</v>
          </cell>
          <cell r="AH331">
            <v>11.25</v>
          </cell>
          <cell r="AI331">
            <v>0</v>
          </cell>
          <cell r="AJ331">
            <v>0</v>
          </cell>
          <cell r="AK331">
            <v>97.5</v>
          </cell>
          <cell r="AL331">
            <v>0</v>
          </cell>
          <cell r="AM331">
            <v>0</v>
          </cell>
          <cell r="AN331">
            <v>126.75</v>
          </cell>
          <cell r="AO331">
            <v>0</v>
          </cell>
          <cell r="AP331">
            <v>0</v>
          </cell>
          <cell r="AQ331">
            <v>9.75</v>
          </cell>
          <cell r="AR331">
            <v>0</v>
          </cell>
          <cell r="AS331">
            <v>0</v>
          </cell>
          <cell r="AT331">
            <v>150</v>
          </cell>
          <cell r="AU331">
            <v>0</v>
          </cell>
          <cell r="AV331">
            <v>0</v>
          </cell>
          <cell r="AW331">
            <v>195</v>
          </cell>
          <cell r="AX331">
            <v>0</v>
          </cell>
          <cell r="AY331">
            <v>0</v>
          </cell>
          <cell r="AZ331">
            <v>15</v>
          </cell>
          <cell r="BA331">
            <v>0</v>
          </cell>
          <cell r="BB331">
            <v>0</v>
          </cell>
          <cell r="BC331">
            <v>75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7038.75</v>
          </cell>
        </row>
        <row r="332">
          <cell r="C332">
            <v>3328</v>
          </cell>
          <cell r="D332" t="str">
            <v>De Castro, King Janziel N/A</v>
          </cell>
          <cell r="E332">
            <v>76</v>
          </cell>
          <cell r="F332">
            <v>9.5</v>
          </cell>
          <cell r="G332">
            <v>600</v>
          </cell>
          <cell r="H332">
            <v>5700</v>
          </cell>
          <cell r="I332">
            <v>20</v>
          </cell>
          <cell r="J332">
            <v>1.25</v>
          </cell>
          <cell r="K332">
            <v>-25</v>
          </cell>
          <cell r="L332">
            <v>6</v>
          </cell>
          <cell r="M332">
            <v>93.75</v>
          </cell>
          <cell r="N332">
            <v>562.5</v>
          </cell>
          <cell r="O332">
            <v>0</v>
          </cell>
          <cell r="P332">
            <v>7.5</v>
          </cell>
          <cell r="Q332">
            <v>0</v>
          </cell>
          <cell r="R332">
            <v>0</v>
          </cell>
          <cell r="S332">
            <v>97.5</v>
          </cell>
          <cell r="T332">
            <v>0</v>
          </cell>
          <cell r="U332">
            <v>0</v>
          </cell>
          <cell r="V332">
            <v>126.75</v>
          </cell>
          <cell r="W332">
            <v>0</v>
          </cell>
          <cell r="X332">
            <v>0</v>
          </cell>
          <cell r="Y332">
            <v>9.75</v>
          </cell>
          <cell r="Z332">
            <v>0</v>
          </cell>
          <cell r="AA332">
            <v>0</v>
          </cell>
          <cell r="AB332">
            <v>112.5</v>
          </cell>
          <cell r="AC332">
            <v>0</v>
          </cell>
          <cell r="AD332">
            <v>0</v>
          </cell>
          <cell r="AE332">
            <v>146.25</v>
          </cell>
          <cell r="AF332">
            <v>0</v>
          </cell>
          <cell r="AG332">
            <v>0</v>
          </cell>
          <cell r="AH332">
            <v>11.25</v>
          </cell>
          <cell r="AI332">
            <v>0</v>
          </cell>
          <cell r="AJ332">
            <v>0</v>
          </cell>
          <cell r="AK332">
            <v>97.5</v>
          </cell>
          <cell r="AL332">
            <v>0</v>
          </cell>
          <cell r="AM332">
            <v>0</v>
          </cell>
          <cell r="AN332">
            <v>126.75</v>
          </cell>
          <cell r="AO332">
            <v>0</v>
          </cell>
          <cell r="AP332">
            <v>0</v>
          </cell>
          <cell r="AQ332">
            <v>9.75</v>
          </cell>
          <cell r="AR332">
            <v>0</v>
          </cell>
          <cell r="AS332">
            <v>0</v>
          </cell>
          <cell r="AT332">
            <v>150</v>
          </cell>
          <cell r="AU332">
            <v>0</v>
          </cell>
          <cell r="AV332">
            <v>0</v>
          </cell>
          <cell r="AW332">
            <v>195</v>
          </cell>
          <cell r="AX332">
            <v>0</v>
          </cell>
          <cell r="AY332">
            <v>0</v>
          </cell>
          <cell r="AZ332">
            <v>15</v>
          </cell>
          <cell r="BA332">
            <v>0</v>
          </cell>
          <cell r="BB332">
            <v>0</v>
          </cell>
          <cell r="BC332">
            <v>75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6237.5</v>
          </cell>
        </row>
        <row r="333">
          <cell r="C333">
            <v>11896</v>
          </cell>
          <cell r="D333" t="str">
            <v>De Castro, Remwel Tamares</v>
          </cell>
          <cell r="E333">
            <v>80</v>
          </cell>
          <cell r="F333">
            <v>10</v>
          </cell>
          <cell r="G333">
            <v>600</v>
          </cell>
          <cell r="H333">
            <v>6000</v>
          </cell>
          <cell r="I333">
            <v>0</v>
          </cell>
          <cell r="J333">
            <v>1.25</v>
          </cell>
          <cell r="K333">
            <v>0</v>
          </cell>
          <cell r="L333">
            <v>10</v>
          </cell>
          <cell r="M333">
            <v>93.75</v>
          </cell>
          <cell r="N333">
            <v>937.5</v>
          </cell>
          <cell r="O333">
            <v>0</v>
          </cell>
          <cell r="P333">
            <v>7.5</v>
          </cell>
          <cell r="Q333">
            <v>0</v>
          </cell>
          <cell r="R333">
            <v>0</v>
          </cell>
          <cell r="S333">
            <v>97.5</v>
          </cell>
          <cell r="T333">
            <v>0</v>
          </cell>
          <cell r="U333">
            <v>0</v>
          </cell>
          <cell r="V333">
            <v>126.75</v>
          </cell>
          <cell r="W333">
            <v>0</v>
          </cell>
          <cell r="X333">
            <v>0</v>
          </cell>
          <cell r="Y333">
            <v>9.75</v>
          </cell>
          <cell r="Z333">
            <v>0</v>
          </cell>
          <cell r="AA333">
            <v>0</v>
          </cell>
          <cell r="AB333">
            <v>112.5</v>
          </cell>
          <cell r="AC333">
            <v>0</v>
          </cell>
          <cell r="AD333">
            <v>0</v>
          </cell>
          <cell r="AE333">
            <v>146.25</v>
          </cell>
          <cell r="AF333">
            <v>0</v>
          </cell>
          <cell r="AG333">
            <v>0</v>
          </cell>
          <cell r="AH333">
            <v>11.25</v>
          </cell>
          <cell r="AI333">
            <v>0</v>
          </cell>
          <cell r="AJ333">
            <v>0</v>
          </cell>
          <cell r="AK333">
            <v>97.5</v>
          </cell>
          <cell r="AL333">
            <v>0</v>
          </cell>
          <cell r="AM333">
            <v>0</v>
          </cell>
          <cell r="AN333">
            <v>126.75</v>
          </cell>
          <cell r="AO333">
            <v>0</v>
          </cell>
          <cell r="AP333">
            <v>0</v>
          </cell>
          <cell r="AQ333">
            <v>9.75</v>
          </cell>
          <cell r="AR333">
            <v>0</v>
          </cell>
          <cell r="AS333">
            <v>0</v>
          </cell>
          <cell r="AT333">
            <v>150</v>
          </cell>
          <cell r="AU333">
            <v>0</v>
          </cell>
          <cell r="AV333">
            <v>0</v>
          </cell>
          <cell r="AW333">
            <v>195</v>
          </cell>
          <cell r="AX333">
            <v>0</v>
          </cell>
          <cell r="AY333">
            <v>0</v>
          </cell>
          <cell r="AZ333">
            <v>15</v>
          </cell>
          <cell r="BA333">
            <v>0</v>
          </cell>
          <cell r="BB333">
            <v>0</v>
          </cell>
          <cell r="BC333">
            <v>75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6937.5</v>
          </cell>
        </row>
        <row r="334">
          <cell r="C334">
            <v>14473</v>
          </cell>
          <cell r="D334" t="str">
            <v>De Jesus, John Lorren Liwanag</v>
          </cell>
          <cell r="E334">
            <v>72</v>
          </cell>
          <cell r="F334">
            <v>9</v>
          </cell>
          <cell r="G334">
            <v>600</v>
          </cell>
          <cell r="H334">
            <v>5400</v>
          </cell>
          <cell r="I334">
            <v>0</v>
          </cell>
          <cell r="J334">
            <v>1.25</v>
          </cell>
          <cell r="K334">
            <v>0</v>
          </cell>
          <cell r="L334">
            <v>17</v>
          </cell>
          <cell r="M334">
            <v>93.75</v>
          </cell>
          <cell r="N334">
            <v>1593.75</v>
          </cell>
          <cell r="O334">
            <v>0</v>
          </cell>
          <cell r="P334">
            <v>7.5</v>
          </cell>
          <cell r="Q334">
            <v>0</v>
          </cell>
          <cell r="R334">
            <v>0</v>
          </cell>
          <cell r="S334">
            <v>97.5</v>
          </cell>
          <cell r="T334">
            <v>0</v>
          </cell>
          <cell r="U334">
            <v>0</v>
          </cell>
          <cell r="V334">
            <v>126.75</v>
          </cell>
          <cell r="W334">
            <v>0</v>
          </cell>
          <cell r="X334">
            <v>0</v>
          </cell>
          <cell r="Y334">
            <v>9.75</v>
          </cell>
          <cell r="Z334">
            <v>0</v>
          </cell>
          <cell r="AA334">
            <v>0</v>
          </cell>
          <cell r="AB334">
            <v>112.5</v>
          </cell>
          <cell r="AC334">
            <v>0</v>
          </cell>
          <cell r="AD334">
            <v>0</v>
          </cell>
          <cell r="AE334">
            <v>146.25</v>
          </cell>
          <cell r="AF334">
            <v>0</v>
          </cell>
          <cell r="AG334">
            <v>0</v>
          </cell>
          <cell r="AH334">
            <v>11.25</v>
          </cell>
          <cell r="AI334">
            <v>0</v>
          </cell>
          <cell r="AJ334">
            <v>0</v>
          </cell>
          <cell r="AK334">
            <v>97.5</v>
          </cell>
          <cell r="AL334">
            <v>0</v>
          </cell>
          <cell r="AM334">
            <v>0</v>
          </cell>
          <cell r="AN334">
            <v>126.75</v>
          </cell>
          <cell r="AO334">
            <v>0</v>
          </cell>
          <cell r="AP334">
            <v>0</v>
          </cell>
          <cell r="AQ334">
            <v>9.75</v>
          </cell>
          <cell r="AR334">
            <v>0</v>
          </cell>
          <cell r="AS334">
            <v>0</v>
          </cell>
          <cell r="AT334">
            <v>150</v>
          </cell>
          <cell r="AU334">
            <v>0</v>
          </cell>
          <cell r="AV334">
            <v>0</v>
          </cell>
          <cell r="AW334">
            <v>195</v>
          </cell>
          <cell r="AX334">
            <v>0</v>
          </cell>
          <cell r="AY334">
            <v>0</v>
          </cell>
          <cell r="AZ334">
            <v>15</v>
          </cell>
          <cell r="BA334">
            <v>0</v>
          </cell>
          <cell r="BB334">
            <v>0</v>
          </cell>
          <cell r="BC334">
            <v>75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6993.75</v>
          </cell>
        </row>
        <row r="335">
          <cell r="C335">
            <v>5585</v>
          </cell>
          <cell r="D335" t="str">
            <v>De Leon, Jenny Sinodlay</v>
          </cell>
          <cell r="E335">
            <v>48</v>
          </cell>
          <cell r="F335">
            <v>6</v>
          </cell>
          <cell r="G335">
            <v>600</v>
          </cell>
          <cell r="H335">
            <v>3600</v>
          </cell>
          <cell r="I335">
            <v>0</v>
          </cell>
          <cell r="J335">
            <v>1.25</v>
          </cell>
          <cell r="K335">
            <v>0</v>
          </cell>
          <cell r="L335">
            <v>2</v>
          </cell>
          <cell r="M335">
            <v>93.75</v>
          </cell>
          <cell r="N335">
            <v>187.5</v>
          </cell>
          <cell r="O335">
            <v>0</v>
          </cell>
          <cell r="P335">
            <v>7.5</v>
          </cell>
          <cell r="Q335">
            <v>0</v>
          </cell>
          <cell r="R335">
            <v>0</v>
          </cell>
          <cell r="S335">
            <v>97.5</v>
          </cell>
          <cell r="T335">
            <v>0</v>
          </cell>
          <cell r="U335">
            <v>0</v>
          </cell>
          <cell r="V335">
            <v>126.75</v>
          </cell>
          <cell r="W335">
            <v>0</v>
          </cell>
          <cell r="X335">
            <v>0</v>
          </cell>
          <cell r="Y335">
            <v>9.75</v>
          </cell>
          <cell r="Z335">
            <v>0</v>
          </cell>
          <cell r="AA335">
            <v>0</v>
          </cell>
          <cell r="AB335">
            <v>112.5</v>
          </cell>
          <cell r="AC335">
            <v>0</v>
          </cell>
          <cell r="AD335">
            <v>0</v>
          </cell>
          <cell r="AE335">
            <v>146.25</v>
          </cell>
          <cell r="AF335">
            <v>0</v>
          </cell>
          <cell r="AG335">
            <v>0</v>
          </cell>
          <cell r="AH335">
            <v>11.25</v>
          </cell>
          <cell r="AI335">
            <v>0</v>
          </cell>
          <cell r="AJ335">
            <v>0</v>
          </cell>
          <cell r="AK335">
            <v>97.5</v>
          </cell>
          <cell r="AL335">
            <v>0</v>
          </cell>
          <cell r="AM335">
            <v>0</v>
          </cell>
          <cell r="AN335">
            <v>126.75</v>
          </cell>
          <cell r="AO335">
            <v>0</v>
          </cell>
          <cell r="AP335">
            <v>0</v>
          </cell>
          <cell r="AQ335">
            <v>9.75</v>
          </cell>
          <cell r="AR335">
            <v>0</v>
          </cell>
          <cell r="AS335">
            <v>0</v>
          </cell>
          <cell r="AT335">
            <v>150</v>
          </cell>
          <cell r="AU335">
            <v>0</v>
          </cell>
          <cell r="AV335">
            <v>0</v>
          </cell>
          <cell r="AW335">
            <v>195</v>
          </cell>
          <cell r="AX335">
            <v>0</v>
          </cell>
          <cell r="AY335">
            <v>0</v>
          </cell>
          <cell r="AZ335">
            <v>15</v>
          </cell>
          <cell r="BA335">
            <v>0</v>
          </cell>
          <cell r="BB335">
            <v>0</v>
          </cell>
          <cell r="BC335">
            <v>75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3787.5</v>
          </cell>
        </row>
        <row r="336">
          <cell r="C336">
            <v>12933</v>
          </cell>
          <cell r="D336" t="str">
            <v>De Luna, Anjanette Nual</v>
          </cell>
          <cell r="E336">
            <v>64</v>
          </cell>
          <cell r="F336">
            <v>8</v>
          </cell>
          <cell r="G336">
            <v>600</v>
          </cell>
          <cell r="H336">
            <v>4800</v>
          </cell>
          <cell r="I336">
            <v>0</v>
          </cell>
          <cell r="J336">
            <v>1.25</v>
          </cell>
          <cell r="K336">
            <v>0</v>
          </cell>
          <cell r="L336">
            <v>8</v>
          </cell>
          <cell r="M336">
            <v>93.75</v>
          </cell>
          <cell r="N336">
            <v>750</v>
          </cell>
          <cell r="O336">
            <v>0</v>
          </cell>
          <cell r="P336">
            <v>7.5</v>
          </cell>
          <cell r="Q336">
            <v>0</v>
          </cell>
          <cell r="R336">
            <v>0</v>
          </cell>
          <cell r="S336">
            <v>97.5</v>
          </cell>
          <cell r="T336">
            <v>0</v>
          </cell>
          <cell r="U336">
            <v>0</v>
          </cell>
          <cell r="V336">
            <v>126.75</v>
          </cell>
          <cell r="W336">
            <v>0</v>
          </cell>
          <cell r="X336">
            <v>0</v>
          </cell>
          <cell r="Y336">
            <v>9.75</v>
          </cell>
          <cell r="Z336">
            <v>0</v>
          </cell>
          <cell r="AA336">
            <v>0</v>
          </cell>
          <cell r="AB336">
            <v>112.5</v>
          </cell>
          <cell r="AC336">
            <v>0</v>
          </cell>
          <cell r="AD336">
            <v>0</v>
          </cell>
          <cell r="AE336">
            <v>146.25</v>
          </cell>
          <cell r="AF336">
            <v>0</v>
          </cell>
          <cell r="AG336">
            <v>0</v>
          </cell>
          <cell r="AH336">
            <v>11.25</v>
          </cell>
          <cell r="AI336">
            <v>0</v>
          </cell>
          <cell r="AJ336">
            <v>0</v>
          </cell>
          <cell r="AK336">
            <v>97.5</v>
          </cell>
          <cell r="AL336">
            <v>0</v>
          </cell>
          <cell r="AM336">
            <v>0</v>
          </cell>
          <cell r="AN336">
            <v>126.75</v>
          </cell>
          <cell r="AO336">
            <v>0</v>
          </cell>
          <cell r="AP336">
            <v>0</v>
          </cell>
          <cell r="AQ336">
            <v>9.75</v>
          </cell>
          <cell r="AR336">
            <v>0</v>
          </cell>
          <cell r="AS336">
            <v>0</v>
          </cell>
          <cell r="AT336">
            <v>150</v>
          </cell>
          <cell r="AU336">
            <v>0</v>
          </cell>
          <cell r="AV336">
            <v>0</v>
          </cell>
          <cell r="AW336">
            <v>195</v>
          </cell>
          <cell r="AX336">
            <v>0</v>
          </cell>
          <cell r="AY336">
            <v>0</v>
          </cell>
          <cell r="AZ336">
            <v>15</v>
          </cell>
          <cell r="BA336">
            <v>0</v>
          </cell>
          <cell r="BB336">
            <v>0</v>
          </cell>
          <cell r="BC336">
            <v>75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5550</v>
          </cell>
        </row>
        <row r="337">
          <cell r="C337">
            <v>12937</v>
          </cell>
          <cell r="D337" t="str">
            <v>De Silva, John Karlo Rosario</v>
          </cell>
          <cell r="E337">
            <v>80</v>
          </cell>
          <cell r="F337">
            <v>10</v>
          </cell>
          <cell r="G337">
            <v>600</v>
          </cell>
          <cell r="H337">
            <v>6000</v>
          </cell>
          <cell r="I337">
            <v>0</v>
          </cell>
          <cell r="J337">
            <v>1.25</v>
          </cell>
          <cell r="K337">
            <v>0</v>
          </cell>
          <cell r="L337">
            <v>14</v>
          </cell>
          <cell r="M337">
            <v>93.75</v>
          </cell>
          <cell r="N337">
            <v>1312.5</v>
          </cell>
          <cell r="O337">
            <v>0</v>
          </cell>
          <cell r="P337">
            <v>7.5</v>
          </cell>
          <cell r="Q337">
            <v>0</v>
          </cell>
          <cell r="R337">
            <v>0</v>
          </cell>
          <cell r="S337">
            <v>97.5</v>
          </cell>
          <cell r="T337">
            <v>0</v>
          </cell>
          <cell r="U337">
            <v>0</v>
          </cell>
          <cell r="V337">
            <v>126.75</v>
          </cell>
          <cell r="W337">
            <v>0</v>
          </cell>
          <cell r="X337">
            <v>0</v>
          </cell>
          <cell r="Y337">
            <v>9.75</v>
          </cell>
          <cell r="Z337">
            <v>0</v>
          </cell>
          <cell r="AA337">
            <v>0</v>
          </cell>
          <cell r="AB337">
            <v>112.5</v>
          </cell>
          <cell r="AC337">
            <v>0</v>
          </cell>
          <cell r="AD337">
            <v>0</v>
          </cell>
          <cell r="AE337">
            <v>146.25</v>
          </cell>
          <cell r="AF337">
            <v>0</v>
          </cell>
          <cell r="AG337">
            <v>0</v>
          </cell>
          <cell r="AH337">
            <v>11.25</v>
          </cell>
          <cell r="AI337">
            <v>0</v>
          </cell>
          <cell r="AJ337">
            <v>0</v>
          </cell>
          <cell r="AK337">
            <v>97.5</v>
          </cell>
          <cell r="AL337">
            <v>0</v>
          </cell>
          <cell r="AM337">
            <v>0</v>
          </cell>
          <cell r="AN337">
            <v>126.75</v>
          </cell>
          <cell r="AO337">
            <v>0</v>
          </cell>
          <cell r="AP337">
            <v>0</v>
          </cell>
          <cell r="AQ337">
            <v>9.75</v>
          </cell>
          <cell r="AR337">
            <v>0</v>
          </cell>
          <cell r="AS337">
            <v>0</v>
          </cell>
          <cell r="AT337">
            <v>150</v>
          </cell>
          <cell r="AU337">
            <v>0</v>
          </cell>
          <cell r="AV337">
            <v>0</v>
          </cell>
          <cell r="AW337">
            <v>195</v>
          </cell>
          <cell r="AX337">
            <v>0</v>
          </cell>
          <cell r="AY337">
            <v>0</v>
          </cell>
          <cell r="AZ337">
            <v>15</v>
          </cell>
          <cell r="BA337">
            <v>0</v>
          </cell>
          <cell r="BB337">
            <v>0</v>
          </cell>
          <cell r="BC337">
            <v>75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7312.5</v>
          </cell>
        </row>
        <row r="338">
          <cell r="C338">
            <v>12942</v>
          </cell>
          <cell r="D338" t="str">
            <v>Decena, Arriane Rose Luciano</v>
          </cell>
          <cell r="E338">
            <v>64</v>
          </cell>
          <cell r="F338">
            <v>8</v>
          </cell>
          <cell r="G338">
            <v>600</v>
          </cell>
          <cell r="H338">
            <v>4800</v>
          </cell>
          <cell r="I338">
            <v>0</v>
          </cell>
          <cell r="J338">
            <v>1.25</v>
          </cell>
          <cell r="K338">
            <v>0</v>
          </cell>
          <cell r="L338">
            <v>17</v>
          </cell>
          <cell r="M338">
            <v>93.75</v>
          </cell>
          <cell r="N338">
            <v>1593.75</v>
          </cell>
          <cell r="O338">
            <v>0</v>
          </cell>
          <cell r="P338">
            <v>7.5</v>
          </cell>
          <cell r="Q338">
            <v>0</v>
          </cell>
          <cell r="R338">
            <v>0</v>
          </cell>
          <cell r="S338">
            <v>97.5</v>
          </cell>
          <cell r="T338">
            <v>0</v>
          </cell>
          <cell r="U338">
            <v>0</v>
          </cell>
          <cell r="V338">
            <v>126.75</v>
          </cell>
          <cell r="W338">
            <v>0</v>
          </cell>
          <cell r="X338">
            <v>0</v>
          </cell>
          <cell r="Y338">
            <v>9.75</v>
          </cell>
          <cell r="Z338">
            <v>0</v>
          </cell>
          <cell r="AA338">
            <v>0</v>
          </cell>
          <cell r="AB338">
            <v>112.5</v>
          </cell>
          <cell r="AC338">
            <v>0</v>
          </cell>
          <cell r="AD338">
            <v>0</v>
          </cell>
          <cell r="AE338">
            <v>146.25</v>
          </cell>
          <cell r="AF338">
            <v>0</v>
          </cell>
          <cell r="AG338">
            <v>0</v>
          </cell>
          <cell r="AH338">
            <v>11.25</v>
          </cell>
          <cell r="AI338">
            <v>0</v>
          </cell>
          <cell r="AJ338">
            <v>0</v>
          </cell>
          <cell r="AK338">
            <v>97.5</v>
          </cell>
          <cell r="AL338">
            <v>0</v>
          </cell>
          <cell r="AM338">
            <v>0</v>
          </cell>
          <cell r="AN338">
            <v>126.75</v>
          </cell>
          <cell r="AO338">
            <v>0</v>
          </cell>
          <cell r="AP338">
            <v>0</v>
          </cell>
          <cell r="AQ338">
            <v>9.75</v>
          </cell>
          <cell r="AR338">
            <v>0</v>
          </cell>
          <cell r="AS338">
            <v>0</v>
          </cell>
          <cell r="AT338">
            <v>150</v>
          </cell>
          <cell r="AU338">
            <v>0</v>
          </cell>
          <cell r="AV338">
            <v>0</v>
          </cell>
          <cell r="AW338">
            <v>195</v>
          </cell>
          <cell r="AX338">
            <v>0</v>
          </cell>
          <cell r="AY338">
            <v>0</v>
          </cell>
          <cell r="AZ338">
            <v>15</v>
          </cell>
          <cell r="BA338">
            <v>0</v>
          </cell>
          <cell r="BB338">
            <v>0</v>
          </cell>
          <cell r="BC338">
            <v>75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6393.75</v>
          </cell>
        </row>
        <row r="339">
          <cell r="C339">
            <v>12947</v>
          </cell>
          <cell r="D339" t="str">
            <v>Dela Cruz, Rheena Jean Solano</v>
          </cell>
          <cell r="E339">
            <v>80</v>
          </cell>
          <cell r="F339">
            <v>10</v>
          </cell>
          <cell r="G339">
            <v>600</v>
          </cell>
          <cell r="H339">
            <v>6000</v>
          </cell>
          <cell r="I339">
            <v>0</v>
          </cell>
          <cell r="J339">
            <v>1.25</v>
          </cell>
          <cell r="K339">
            <v>0</v>
          </cell>
          <cell r="L339">
            <v>16</v>
          </cell>
          <cell r="M339">
            <v>93.75</v>
          </cell>
          <cell r="N339">
            <v>1500</v>
          </cell>
          <cell r="O339">
            <v>30</v>
          </cell>
          <cell r="P339">
            <v>7.5</v>
          </cell>
          <cell r="Q339">
            <v>225</v>
          </cell>
          <cell r="R339">
            <v>0</v>
          </cell>
          <cell r="S339">
            <v>97.5</v>
          </cell>
          <cell r="T339">
            <v>0</v>
          </cell>
          <cell r="U339">
            <v>0</v>
          </cell>
          <cell r="V339">
            <v>126.75</v>
          </cell>
          <cell r="W339">
            <v>0</v>
          </cell>
          <cell r="X339">
            <v>0</v>
          </cell>
          <cell r="Y339">
            <v>9.75</v>
          </cell>
          <cell r="Z339">
            <v>0</v>
          </cell>
          <cell r="AA339">
            <v>0</v>
          </cell>
          <cell r="AB339">
            <v>112.5</v>
          </cell>
          <cell r="AC339">
            <v>0</v>
          </cell>
          <cell r="AD339">
            <v>0</v>
          </cell>
          <cell r="AE339">
            <v>146.25</v>
          </cell>
          <cell r="AF339">
            <v>0</v>
          </cell>
          <cell r="AG339">
            <v>0</v>
          </cell>
          <cell r="AH339">
            <v>11.25</v>
          </cell>
          <cell r="AI339">
            <v>0</v>
          </cell>
          <cell r="AJ339">
            <v>0</v>
          </cell>
          <cell r="AK339">
            <v>97.5</v>
          </cell>
          <cell r="AL339">
            <v>0</v>
          </cell>
          <cell r="AM339">
            <v>0</v>
          </cell>
          <cell r="AN339">
            <v>126.75</v>
          </cell>
          <cell r="AO339">
            <v>0</v>
          </cell>
          <cell r="AP339">
            <v>0</v>
          </cell>
          <cell r="AQ339">
            <v>9.75</v>
          </cell>
          <cell r="AR339">
            <v>0</v>
          </cell>
          <cell r="AS339">
            <v>0</v>
          </cell>
          <cell r="AT339">
            <v>150</v>
          </cell>
          <cell r="AU339">
            <v>0</v>
          </cell>
          <cell r="AV339">
            <v>0</v>
          </cell>
          <cell r="AW339">
            <v>195</v>
          </cell>
          <cell r="AX339">
            <v>0</v>
          </cell>
          <cell r="AY339">
            <v>0</v>
          </cell>
          <cell r="AZ339">
            <v>15</v>
          </cell>
          <cell r="BA339">
            <v>0</v>
          </cell>
          <cell r="BB339">
            <v>0</v>
          </cell>
          <cell r="BC339">
            <v>75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7725</v>
          </cell>
        </row>
        <row r="340">
          <cell r="C340">
            <v>7646</v>
          </cell>
          <cell r="D340" t="str">
            <v>Delos Reyes, Renante Pernecita</v>
          </cell>
          <cell r="E340">
            <v>64</v>
          </cell>
          <cell r="F340">
            <v>8</v>
          </cell>
          <cell r="G340">
            <v>600</v>
          </cell>
          <cell r="H340">
            <v>4800</v>
          </cell>
          <cell r="I340">
            <v>0</v>
          </cell>
          <cell r="J340">
            <v>1.25</v>
          </cell>
          <cell r="K340">
            <v>0</v>
          </cell>
          <cell r="L340">
            <v>10</v>
          </cell>
          <cell r="M340">
            <v>93.75</v>
          </cell>
          <cell r="N340">
            <v>937.5</v>
          </cell>
          <cell r="O340">
            <v>38</v>
          </cell>
          <cell r="P340">
            <v>7.5</v>
          </cell>
          <cell r="Q340">
            <v>285</v>
          </cell>
          <cell r="R340">
            <v>0</v>
          </cell>
          <cell r="S340">
            <v>97.5</v>
          </cell>
          <cell r="T340">
            <v>0</v>
          </cell>
          <cell r="U340">
            <v>0</v>
          </cell>
          <cell r="V340">
            <v>126.75</v>
          </cell>
          <cell r="W340">
            <v>0</v>
          </cell>
          <cell r="X340">
            <v>0</v>
          </cell>
          <cell r="Y340">
            <v>9.75</v>
          </cell>
          <cell r="Z340">
            <v>0</v>
          </cell>
          <cell r="AA340">
            <v>0</v>
          </cell>
          <cell r="AB340">
            <v>112.5</v>
          </cell>
          <cell r="AC340">
            <v>0</v>
          </cell>
          <cell r="AD340">
            <v>0</v>
          </cell>
          <cell r="AE340">
            <v>146.25</v>
          </cell>
          <cell r="AF340">
            <v>0</v>
          </cell>
          <cell r="AG340">
            <v>0</v>
          </cell>
          <cell r="AH340">
            <v>11.25</v>
          </cell>
          <cell r="AI340">
            <v>0</v>
          </cell>
          <cell r="AJ340">
            <v>0</v>
          </cell>
          <cell r="AK340">
            <v>97.5</v>
          </cell>
          <cell r="AL340">
            <v>0</v>
          </cell>
          <cell r="AM340">
            <v>0</v>
          </cell>
          <cell r="AN340">
            <v>126.75</v>
          </cell>
          <cell r="AO340">
            <v>0</v>
          </cell>
          <cell r="AP340">
            <v>0</v>
          </cell>
          <cell r="AQ340">
            <v>9.75</v>
          </cell>
          <cell r="AR340">
            <v>0</v>
          </cell>
          <cell r="AS340">
            <v>0</v>
          </cell>
          <cell r="AT340">
            <v>150</v>
          </cell>
          <cell r="AU340">
            <v>0</v>
          </cell>
          <cell r="AV340">
            <v>0</v>
          </cell>
          <cell r="AW340">
            <v>195</v>
          </cell>
          <cell r="AX340">
            <v>0</v>
          </cell>
          <cell r="AY340">
            <v>0</v>
          </cell>
          <cell r="AZ340">
            <v>15</v>
          </cell>
          <cell r="BA340">
            <v>0</v>
          </cell>
          <cell r="BB340">
            <v>0</v>
          </cell>
          <cell r="BC340">
            <v>75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6022.5</v>
          </cell>
        </row>
        <row r="341">
          <cell r="C341">
            <v>12956</v>
          </cell>
          <cell r="D341" t="str">
            <v>Desalisa, Mark Jay Almaida</v>
          </cell>
          <cell r="E341">
            <v>72</v>
          </cell>
          <cell r="F341">
            <v>9</v>
          </cell>
          <cell r="G341">
            <v>600</v>
          </cell>
          <cell r="H341">
            <v>5400</v>
          </cell>
          <cell r="I341">
            <v>0</v>
          </cell>
          <cell r="J341">
            <v>1.25</v>
          </cell>
          <cell r="K341">
            <v>0</v>
          </cell>
          <cell r="L341">
            <v>4</v>
          </cell>
          <cell r="M341">
            <v>93.75</v>
          </cell>
          <cell r="N341">
            <v>375</v>
          </cell>
          <cell r="O341">
            <v>34</v>
          </cell>
          <cell r="P341">
            <v>7.5</v>
          </cell>
          <cell r="Q341">
            <v>255</v>
          </cell>
          <cell r="R341">
            <v>0</v>
          </cell>
          <cell r="S341">
            <v>97.5</v>
          </cell>
          <cell r="T341">
            <v>0</v>
          </cell>
          <cell r="U341">
            <v>0</v>
          </cell>
          <cell r="V341">
            <v>126.75</v>
          </cell>
          <cell r="W341">
            <v>0</v>
          </cell>
          <cell r="X341">
            <v>0</v>
          </cell>
          <cell r="Y341">
            <v>9.75</v>
          </cell>
          <cell r="Z341">
            <v>0</v>
          </cell>
          <cell r="AA341">
            <v>0</v>
          </cell>
          <cell r="AB341">
            <v>112.5</v>
          </cell>
          <cell r="AC341">
            <v>0</v>
          </cell>
          <cell r="AD341">
            <v>0</v>
          </cell>
          <cell r="AE341">
            <v>146.25</v>
          </cell>
          <cell r="AF341">
            <v>0</v>
          </cell>
          <cell r="AG341">
            <v>0</v>
          </cell>
          <cell r="AH341">
            <v>11.25</v>
          </cell>
          <cell r="AI341">
            <v>0</v>
          </cell>
          <cell r="AJ341">
            <v>0</v>
          </cell>
          <cell r="AK341">
            <v>97.5</v>
          </cell>
          <cell r="AL341">
            <v>0</v>
          </cell>
          <cell r="AM341">
            <v>0</v>
          </cell>
          <cell r="AN341">
            <v>126.75</v>
          </cell>
          <cell r="AO341">
            <v>0</v>
          </cell>
          <cell r="AP341">
            <v>0</v>
          </cell>
          <cell r="AQ341">
            <v>9.75</v>
          </cell>
          <cell r="AR341">
            <v>0</v>
          </cell>
          <cell r="AS341">
            <v>0</v>
          </cell>
          <cell r="AT341">
            <v>150</v>
          </cell>
          <cell r="AU341">
            <v>0</v>
          </cell>
          <cell r="AV341">
            <v>0</v>
          </cell>
          <cell r="AW341">
            <v>195</v>
          </cell>
          <cell r="AX341">
            <v>0</v>
          </cell>
          <cell r="AY341">
            <v>0</v>
          </cell>
          <cell r="AZ341">
            <v>15</v>
          </cell>
          <cell r="BA341">
            <v>0</v>
          </cell>
          <cell r="BB341">
            <v>0</v>
          </cell>
          <cell r="BC341">
            <v>75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6030</v>
          </cell>
        </row>
        <row r="342">
          <cell r="C342">
            <v>11606</v>
          </cell>
          <cell r="D342" t="str">
            <v>Deseo, Mark Leo Marasigan</v>
          </cell>
          <cell r="E342">
            <v>80</v>
          </cell>
          <cell r="F342">
            <v>10</v>
          </cell>
          <cell r="G342">
            <v>600</v>
          </cell>
          <cell r="H342">
            <v>6000</v>
          </cell>
          <cell r="I342">
            <v>0</v>
          </cell>
          <cell r="J342">
            <v>1.25</v>
          </cell>
          <cell r="K342">
            <v>0</v>
          </cell>
          <cell r="L342">
            <v>6</v>
          </cell>
          <cell r="M342">
            <v>93.75</v>
          </cell>
          <cell r="N342">
            <v>562.5</v>
          </cell>
          <cell r="O342">
            <v>24</v>
          </cell>
          <cell r="P342">
            <v>7.5</v>
          </cell>
          <cell r="Q342">
            <v>180</v>
          </cell>
          <cell r="R342">
            <v>0</v>
          </cell>
          <cell r="S342">
            <v>97.5</v>
          </cell>
          <cell r="T342">
            <v>0</v>
          </cell>
          <cell r="U342">
            <v>0</v>
          </cell>
          <cell r="V342">
            <v>126.75</v>
          </cell>
          <cell r="W342">
            <v>0</v>
          </cell>
          <cell r="X342">
            <v>0</v>
          </cell>
          <cell r="Y342">
            <v>9.75</v>
          </cell>
          <cell r="Z342">
            <v>0</v>
          </cell>
          <cell r="AA342">
            <v>0</v>
          </cell>
          <cell r="AB342">
            <v>112.5</v>
          </cell>
          <cell r="AC342">
            <v>0</v>
          </cell>
          <cell r="AD342">
            <v>0</v>
          </cell>
          <cell r="AE342">
            <v>146.25</v>
          </cell>
          <cell r="AF342">
            <v>0</v>
          </cell>
          <cell r="AG342">
            <v>0</v>
          </cell>
          <cell r="AH342">
            <v>11.25</v>
          </cell>
          <cell r="AI342">
            <v>0</v>
          </cell>
          <cell r="AJ342">
            <v>0</v>
          </cell>
          <cell r="AK342">
            <v>97.5</v>
          </cell>
          <cell r="AL342">
            <v>0</v>
          </cell>
          <cell r="AM342">
            <v>0</v>
          </cell>
          <cell r="AN342">
            <v>126.75</v>
          </cell>
          <cell r="AO342">
            <v>0</v>
          </cell>
          <cell r="AP342">
            <v>0</v>
          </cell>
          <cell r="AQ342">
            <v>9.75</v>
          </cell>
          <cell r="AR342">
            <v>0</v>
          </cell>
          <cell r="AS342">
            <v>0</v>
          </cell>
          <cell r="AT342">
            <v>150</v>
          </cell>
          <cell r="AU342">
            <v>0</v>
          </cell>
          <cell r="AV342">
            <v>0</v>
          </cell>
          <cell r="AW342">
            <v>195</v>
          </cell>
          <cell r="AX342">
            <v>0</v>
          </cell>
          <cell r="AY342">
            <v>0</v>
          </cell>
          <cell r="AZ342">
            <v>15</v>
          </cell>
          <cell r="BA342">
            <v>0</v>
          </cell>
          <cell r="BB342">
            <v>0</v>
          </cell>
          <cell r="BC342">
            <v>75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6742.5</v>
          </cell>
        </row>
        <row r="343">
          <cell r="C343">
            <v>14910</v>
          </cell>
          <cell r="D343" t="str">
            <v>Diasanta, Jesil De Leyos</v>
          </cell>
          <cell r="E343">
            <v>2</v>
          </cell>
          <cell r="F343">
            <v>0.25</v>
          </cell>
          <cell r="G343">
            <v>600</v>
          </cell>
          <cell r="H343">
            <v>150</v>
          </cell>
          <cell r="I343">
            <v>0</v>
          </cell>
          <cell r="J343">
            <v>1.25</v>
          </cell>
          <cell r="K343">
            <v>0</v>
          </cell>
          <cell r="L343">
            <v>0</v>
          </cell>
          <cell r="M343">
            <v>93.75</v>
          </cell>
          <cell r="N343">
            <v>0</v>
          </cell>
          <cell r="O343">
            <v>0</v>
          </cell>
          <cell r="P343">
            <v>7.5</v>
          </cell>
          <cell r="Q343">
            <v>0</v>
          </cell>
          <cell r="R343">
            <v>0</v>
          </cell>
          <cell r="S343">
            <v>97.5</v>
          </cell>
          <cell r="T343">
            <v>0</v>
          </cell>
          <cell r="U343">
            <v>0</v>
          </cell>
          <cell r="V343">
            <v>126.75</v>
          </cell>
          <cell r="W343">
            <v>0</v>
          </cell>
          <cell r="X343">
            <v>0</v>
          </cell>
          <cell r="Y343">
            <v>9.75</v>
          </cell>
          <cell r="Z343">
            <v>0</v>
          </cell>
          <cell r="AA343">
            <v>0</v>
          </cell>
          <cell r="AB343">
            <v>112.5</v>
          </cell>
          <cell r="AC343">
            <v>0</v>
          </cell>
          <cell r="AD343">
            <v>0</v>
          </cell>
          <cell r="AE343">
            <v>146.25</v>
          </cell>
          <cell r="AF343">
            <v>0</v>
          </cell>
          <cell r="AG343">
            <v>0</v>
          </cell>
          <cell r="AH343">
            <v>11.25</v>
          </cell>
          <cell r="AI343">
            <v>0</v>
          </cell>
          <cell r="AJ343">
            <v>0</v>
          </cell>
          <cell r="AK343">
            <v>97.5</v>
          </cell>
          <cell r="AL343">
            <v>0</v>
          </cell>
          <cell r="AM343">
            <v>0</v>
          </cell>
          <cell r="AN343">
            <v>126.75</v>
          </cell>
          <cell r="AO343">
            <v>0</v>
          </cell>
          <cell r="AP343">
            <v>0</v>
          </cell>
          <cell r="AQ343">
            <v>9.75</v>
          </cell>
          <cell r="AR343">
            <v>0</v>
          </cell>
          <cell r="AS343">
            <v>0</v>
          </cell>
          <cell r="AT343">
            <v>150</v>
          </cell>
          <cell r="AU343">
            <v>0</v>
          </cell>
          <cell r="AV343">
            <v>0</v>
          </cell>
          <cell r="AW343">
            <v>195</v>
          </cell>
          <cell r="AX343">
            <v>0</v>
          </cell>
          <cell r="AY343">
            <v>0</v>
          </cell>
          <cell r="AZ343">
            <v>15</v>
          </cell>
          <cell r="BA343">
            <v>0</v>
          </cell>
          <cell r="BB343">
            <v>0</v>
          </cell>
          <cell r="BC343">
            <v>75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150</v>
          </cell>
        </row>
        <row r="344">
          <cell r="C344">
            <v>12961</v>
          </cell>
          <cell r="D344" t="str">
            <v>Digno, Ara Ashley Belen</v>
          </cell>
          <cell r="E344">
            <v>88</v>
          </cell>
          <cell r="F344">
            <v>11</v>
          </cell>
          <cell r="G344">
            <v>600</v>
          </cell>
          <cell r="H344">
            <v>6600</v>
          </cell>
          <cell r="I344">
            <v>0</v>
          </cell>
          <cell r="J344">
            <v>1.25</v>
          </cell>
          <cell r="K344">
            <v>0</v>
          </cell>
          <cell r="L344">
            <v>18</v>
          </cell>
          <cell r="M344">
            <v>93.75</v>
          </cell>
          <cell r="N344">
            <v>1687.5</v>
          </cell>
          <cell r="O344">
            <v>46</v>
          </cell>
          <cell r="P344">
            <v>7.5</v>
          </cell>
          <cell r="Q344">
            <v>345</v>
          </cell>
          <cell r="R344">
            <v>0</v>
          </cell>
          <cell r="S344">
            <v>97.5</v>
          </cell>
          <cell r="T344">
            <v>0</v>
          </cell>
          <cell r="U344">
            <v>0</v>
          </cell>
          <cell r="V344">
            <v>126.75</v>
          </cell>
          <cell r="W344">
            <v>0</v>
          </cell>
          <cell r="X344">
            <v>0</v>
          </cell>
          <cell r="Y344">
            <v>9.75</v>
          </cell>
          <cell r="Z344">
            <v>0</v>
          </cell>
          <cell r="AA344">
            <v>0</v>
          </cell>
          <cell r="AB344">
            <v>112.5</v>
          </cell>
          <cell r="AC344">
            <v>0</v>
          </cell>
          <cell r="AD344">
            <v>0</v>
          </cell>
          <cell r="AE344">
            <v>146.25</v>
          </cell>
          <cell r="AF344">
            <v>0</v>
          </cell>
          <cell r="AG344">
            <v>0</v>
          </cell>
          <cell r="AH344">
            <v>11.25</v>
          </cell>
          <cell r="AI344">
            <v>0</v>
          </cell>
          <cell r="AJ344">
            <v>8</v>
          </cell>
          <cell r="AK344">
            <v>97.5</v>
          </cell>
          <cell r="AL344">
            <v>780</v>
          </cell>
          <cell r="AM344">
            <v>1</v>
          </cell>
          <cell r="AN344">
            <v>126.75</v>
          </cell>
          <cell r="AO344">
            <v>126.75</v>
          </cell>
          <cell r="AP344">
            <v>0</v>
          </cell>
          <cell r="AQ344">
            <v>9.75</v>
          </cell>
          <cell r="AR344">
            <v>0</v>
          </cell>
          <cell r="AS344">
            <v>0</v>
          </cell>
          <cell r="AT344">
            <v>150</v>
          </cell>
          <cell r="AU344">
            <v>0</v>
          </cell>
          <cell r="AV344">
            <v>0</v>
          </cell>
          <cell r="AW344">
            <v>195</v>
          </cell>
          <cell r="AX344">
            <v>0</v>
          </cell>
          <cell r="AY344">
            <v>0</v>
          </cell>
          <cell r="AZ344">
            <v>15</v>
          </cell>
          <cell r="BA344">
            <v>0</v>
          </cell>
          <cell r="BB344">
            <v>0</v>
          </cell>
          <cell r="BC344">
            <v>75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9539.25</v>
          </cell>
        </row>
        <row r="345">
          <cell r="C345">
            <v>7752</v>
          </cell>
          <cell r="D345" t="str">
            <v>Dimaano, Derick Kalaw</v>
          </cell>
          <cell r="E345">
            <v>80</v>
          </cell>
          <cell r="F345">
            <v>10</v>
          </cell>
          <cell r="G345">
            <v>600</v>
          </cell>
          <cell r="H345">
            <v>6000</v>
          </cell>
          <cell r="I345">
            <v>0</v>
          </cell>
          <cell r="J345">
            <v>1.25</v>
          </cell>
          <cell r="K345">
            <v>0</v>
          </cell>
          <cell r="L345">
            <v>16</v>
          </cell>
          <cell r="M345">
            <v>93.75</v>
          </cell>
          <cell r="N345">
            <v>1500</v>
          </cell>
          <cell r="O345">
            <v>0</v>
          </cell>
          <cell r="P345">
            <v>7.5</v>
          </cell>
          <cell r="Q345">
            <v>0</v>
          </cell>
          <cell r="R345">
            <v>0</v>
          </cell>
          <cell r="S345">
            <v>97.5</v>
          </cell>
          <cell r="T345">
            <v>0</v>
          </cell>
          <cell r="U345">
            <v>0</v>
          </cell>
          <cell r="V345">
            <v>126.75</v>
          </cell>
          <cell r="W345">
            <v>0</v>
          </cell>
          <cell r="X345">
            <v>0</v>
          </cell>
          <cell r="Y345">
            <v>9.75</v>
          </cell>
          <cell r="Z345">
            <v>0</v>
          </cell>
          <cell r="AA345">
            <v>0</v>
          </cell>
          <cell r="AB345">
            <v>112.5</v>
          </cell>
          <cell r="AC345">
            <v>0</v>
          </cell>
          <cell r="AD345">
            <v>0</v>
          </cell>
          <cell r="AE345">
            <v>146.25</v>
          </cell>
          <cell r="AF345">
            <v>0</v>
          </cell>
          <cell r="AG345">
            <v>0</v>
          </cell>
          <cell r="AH345">
            <v>11.25</v>
          </cell>
          <cell r="AI345">
            <v>0</v>
          </cell>
          <cell r="AJ345">
            <v>0</v>
          </cell>
          <cell r="AK345">
            <v>97.5</v>
          </cell>
          <cell r="AL345">
            <v>0</v>
          </cell>
          <cell r="AM345">
            <v>0</v>
          </cell>
          <cell r="AN345">
            <v>126.75</v>
          </cell>
          <cell r="AO345">
            <v>0</v>
          </cell>
          <cell r="AP345">
            <v>0</v>
          </cell>
          <cell r="AQ345">
            <v>9.75</v>
          </cell>
          <cell r="AR345">
            <v>0</v>
          </cell>
          <cell r="AS345">
            <v>0</v>
          </cell>
          <cell r="AT345">
            <v>150</v>
          </cell>
          <cell r="AU345">
            <v>0</v>
          </cell>
          <cell r="AV345">
            <v>0</v>
          </cell>
          <cell r="AW345">
            <v>195</v>
          </cell>
          <cell r="AX345">
            <v>0</v>
          </cell>
          <cell r="AY345">
            <v>0</v>
          </cell>
          <cell r="AZ345">
            <v>15</v>
          </cell>
          <cell r="BA345">
            <v>0</v>
          </cell>
          <cell r="BB345">
            <v>0</v>
          </cell>
          <cell r="BC345">
            <v>75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7500</v>
          </cell>
        </row>
        <row r="346">
          <cell r="C346">
            <v>5983</v>
          </cell>
          <cell r="D346" t="str">
            <v>Dimalibot, Cristine Barro</v>
          </cell>
          <cell r="E346">
            <v>80</v>
          </cell>
          <cell r="F346">
            <v>10</v>
          </cell>
          <cell r="G346">
            <v>600</v>
          </cell>
          <cell r="H346">
            <v>6000</v>
          </cell>
          <cell r="I346">
            <v>0</v>
          </cell>
          <cell r="J346">
            <v>1.25</v>
          </cell>
          <cell r="K346">
            <v>0</v>
          </cell>
          <cell r="L346">
            <v>2</v>
          </cell>
          <cell r="M346">
            <v>93.75</v>
          </cell>
          <cell r="N346">
            <v>187.5</v>
          </cell>
          <cell r="O346">
            <v>0</v>
          </cell>
          <cell r="P346">
            <v>7.5</v>
          </cell>
          <cell r="Q346">
            <v>0</v>
          </cell>
          <cell r="R346">
            <v>0</v>
          </cell>
          <cell r="S346">
            <v>97.5</v>
          </cell>
          <cell r="T346">
            <v>0</v>
          </cell>
          <cell r="U346">
            <v>0</v>
          </cell>
          <cell r="V346">
            <v>126.75</v>
          </cell>
          <cell r="W346">
            <v>0</v>
          </cell>
          <cell r="X346">
            <v>0</v>
          </cell>
          <cell r="Y346">
            <v>9.75</v>
          </cell>
          <cell r="Z346">
            <v>0</v>
          </cell>
          <cell r="AA346">
            <v>0</v>
          </cell>
          <cell r="AB346">
            <v>112.5</v>
          </cell>
          <cell r="AC346">
            <v>0</v>
          </cell>
          <cell r="AD346">
            <v>0</v>
          </cell>
          <cell r="AE346">
            <v>146.25</v>
          </cell>
          <cell r="AF346">
            <v>0</v>
          </cell>
          <cell r="AG346">
            <v>0</v>
          </cell>
          <cell r="AH346">
            <v>11.25</v>
          </cell>
          <cell r="AI346">
            <v>0</v>
          </cell>
          <cell r="AJ346">
            <v>0</v>
          </cell>
          <cell r="AK346">
            <v>97.5</v>
          </cell>
          <cell r="AL346">
            <v>0</v>
          </cell>
          <cell r="AM346">
            <v>0</v>
          </cell>
          <cell r="AN346">
            <v>126.75</v>
          </cell>
          <cell r="AO346">
            <v>0</v>
          </cell>
          <cell r="AP346">
            <v>0</v>
          </cell>
          <cell r="AQ346">
            <v>9.75</v>
          </cell>
          <cell r="AR346">
            <v>0</v>
          </cell>
          <cell r="AS346">
            <v>0</v>
          </cell>
          <cell r="AT346">
            <v>150</v>
          </cell>
          <cell r="AU346">
            <v>0</v>
          </cell>
          <cell r="AV346">
            <v>0</v>
          </cell>
          <cell r="AW346">
            <v>195</v>
          </cell>
          <cell r="AX346">
            <v>0</v>
          </cell>
          <cell r="AY346">
            <v>0</v>
          </cell>
          <cell r="AZ346">
            <v>15</v>
          </cell>
          <cell r="BA346">
            <v>0</v>
          </cell>
          <cell r="BB346">
            <v>0</v>
          </cell>
          <cell r="BC346">
            <v>75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3000</v>
          </cell>
          <cell r="BX346">
            <v>0</v>
          </cell>
          <cell r="BY346">
            <v>9187.5</v>
          </cell>
        </row>
        <row r="347">
          <cell r="C347">
            <v>12965</v>
          </cell>
          <cell r="D347" t="str">
            <v>Dimaunahan , Dianne Montallana</v>
          </cell>
          <cell r="E347">
            <v>56</v>
          </cell>
          <cell r="F347">
            <v>7</v>
          </cell>
          <cell r="G347">
            <v>600</v>
          </cell>
          <cell r="H347">
            <v>4200</v>
          </cell>
          <cell r="I347">
            <v>2</v>
          </cell>
          <cell r="J347">
            <v>1.25</v>
          </cell>
          <cell r="K347">
            <v>-2.5</v>
          </cell>
          <cell r="L347">
            <v>7</v>
          </cell>
          <cell r="M347">
            <v>93.75</v>
          </cell>
          <cell r="N347">
            <v>656.25</v>
          </cell>
          <cell r="O347">
            <v>27</v>
          </cell>
          <cell r="P347">
            <v>7.5</v>
          </cell>
          <cell r="Q347">
            <v>202.5</v>
          </cell>
          <cell r="R347">
            <v>0</v>
          </cell>
          <cell r="S347">
            <v>97.5</v>
          </cell>
          <cell r="T347">
            <v>0</v>
          </cell>
          <cell r="U347">
            <v>0</v>
          </cell>
          <cell r="V347">
            <v>126.75</v>
          </cell>
          <cell r="W347">
            <v>0</v>
          </cell>
          <cell r="X347">
            <v>0</v>
          </cell>
          <cell r="Y347">
            <v>9.75</v>
          </cell>
          <cell r="Z347">
            <v>0</v>
          </cell>
          <cell r="AA347">
            <v>0</v>
          </cell>
          <cell r="AB347">
            <v>112.5</v>
          </cell>
          <cell r="AC347">
            <v>0</v>
          </cell>
          <cell r="AD347">
            <v>0</v>
          </cell>
          <cell r="AE347">
            <v>146.25</v>
          </cell>
          <cell r="AF347">
            <v>0</v>
          </cell>
          <cell r="AG347">
            <v>0</v>
          </cell>
          <cell r="AH347">
            <v>11.25</v>
          </cell>
          <cell r="AI347">
            <v>0</v>
          </cell>
          <cell r="AJ347">
            <v>0</v>
          </cell>
          <cell r="AK347">
            <v>97.5</v>
          </cell>
          <cell r="AL347">
            <v>0</v>
          </cell>
          <cell r="AM347">
            <v>0</v>
          </cell>
          <cell r="AN347">
            <v>126.75</v>
          </cell>
          <cell r="AO347">
            <v>0</v>
          </cell>
          <cell r="AP347">
            <v>0</v>
          </cell>
          <cell r="AQ347">
            <v>9.75</v>
          </cell>
          <cell r="AR347">
            <v>0</v>
          </cell>
          <cell r="AS347">
            <v>0</v>
          </cell>
          <cell r="AT347">
            <v>150</v>
          </cell>
          <cell r="AU347">
            <v>0</v>
          </cell>
          <cell r="AV347">
            <v>0</v>
          </cell>
          <cell r="AW347">
            <v>195</v>
          </cell>
          <cell r="AX347">
            <v>0</v>
          </cell>
          <cell r="AY347">
            <v>0</v>
          </cell>
          <cell r="AZ347">
            <v>15</v>
          </cell>
          <cell r="BA347">
            <v>0</v>
          </cell>
          <cell r="BB347">
            <v>0</v>
          </cell>
          <cell r="BC347">
            <v>75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5056.25</v>
          </cell>
        </row>
        <row r="348">
          <cell r="C348">
            <v>12966</v>
          </cell>
          <cell r="D348" t="str">
            <v>Dioneda, Ruella Joyce Magpantay</v>
          </cell>
          <cell r="E348">
            <v>80</v>
          </cell>
          <cell r="F348">
            <v>10</v>
          </cell>
          <cell r="G348">
            <v>600</v>
          </cell>
          <cell r="H348">
            <v>6000</v>
          </cell>
          <cell r="I348">
            <v>0</v>
          </cell>
          <cell r="J348">
            <v>1.25</v>
          </cell>
          <cell r="K348">
            <v>0</v>
          </cell>
          <cell r="L348">
            <v>14</v>
          </cell>
          <cell r="M348">
            <v>93.75</v>
          </cell>
          <cell r="N348">
            <v>1312.5</v>
          </cell>
          <cell r="O348">
            <v>28</v>
          </cell>
          <cell r="P348">
            <v>7.5</v>
          </cell>
          <cell r="Q348">
            <v>210</v>
          </cell>
          <cell r="R348">
            <v>0</v>
          </cell>
          <cell r="S348">
            <v>97.5</v>
          </cell>
          <cell r="T348">
            <v>0</v>
          </cell>
          <cell r="U348">
            <v>0</v>
          </cell>
          <cell r="V348">
            <v>126.75</v>
          </cell>
          <cell r="W348">
            <v>0</v>
          </cell>
          <cell r="X348">
            <v>0</v>
          </cell>
          <cell r="Y348">
            <v>9.75</v>
          </cell>
          <cell r="Z348">
            <v>0</v>
          </cell>
          <cell r="AA348">
            <v>0</v>
          </cell>
          <cell r="AB348">
            <v>112.5</v>
          </cell>
          <cell r="AC348">
            <v>0</v>
          </cell>
          <cell r="AD348">
            <v>0</v>
          </cell>
          <cell r="AE348">
            <v>146.25</v>
          </cell>
          <cell r="AF348">
            <v>0</v>
          </cell>
          <cell r="AG348">
            <v>0</v>
          </cell>
          <cell r="AH348">
            <v>11.25</v>
          </cell>
          <cell r="AI348">
            <v>0</v>
          </cell>
          <cell r="AJ348">
            <v>0</v>
          </cell>
          <cell r="AK348">
            <v>97.5</v>
          </cell>
          <cell r="AL348">
            <v>0</v>
          </cell>
          <cell r="AM348">
            <v>0</v>
          </cell>
          <cell r="AN348">
            <v>126.75</v>
          </cell>
          <cell r="AO348">
            <v>0</v>
          </cell>
          <cell r="AP348">
            <v>0</v>
          </cell>
          <cell r="AQ348">
            <v>9.75</v>
          </cell>
          <cell r="AR348">
            <v>0</v>
          </cell>
          <cell r="AS348">
            <v>0</v>
          </cell>
          <cell r="AT348">
            <v>150</v>
          </cell>
          <cell r="AU348">
            <v>0</v>
          </cell>
          <cell r="AV348">
            <v>0</v>
          </cell>
          <cell r="AW348">
            <v>195</v>
          </cell>
          <cell r="AX348">
            <v>0</v>
          </cell>
          <cell r="AY348">
            <v>0</v>
          </cell>
          <cell r="AZ348">
            <v>15</v>
          </cell>
          <cell r="BA348">
            <v>0</v>
          </cell>
          <cell r="BB348">
            <v>0</v>
          </cell>
          <cell r="BC348">
            <v>75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7522.5</v>
          </cell>
        </row>
        <row r="349">
          <cell r="C349">
            <v>30612</v>
          </cell>
          <cell r="D349" t="str">
            <v>Dipasupil, Joshua Garcia</v>
          </cell>
          <cell r="E349">
            <v>80</v>
          </cell>
          <cell r="F349">
            <v>10</v>
          </cell>
          <cell r="G349">
            <v>600</v>
          </cell>
          <cell r="H349">
            <v>6000</v>
          </cell>
          <cell r="I349">
            <v>0</v>
          </cell>
          <cell r="J349">
            <v>1.25</v>
          </cell>
          <cell r="K349">
            <v>0</v>
          </cell>
          <cell r="L349">
            <v>10</v>
          </cell>
          <cell r="M349">
            <v>93.75</v>
          </cell>
          <cell r="N349">
            <v>937.5</v>
          </cell>
          <cell r="O349">
            <v>0</v>
          </cell>
          <cell r="P349">
            <v>7.5</v>
          </cell>
          <cell r="Q349">
            <v>0</v>
          </cell>
          <cell r="R349">
            <v>0</v>
          </cell>
          <cell r="S349">
            <v>97.5</v>
          </cell>
          <cell r="T349">
            <v>0</v>
          </cell>
          <cell r="U349">
            <v>0</v>
          </cell>
          <cell r="V349">
            <v>126.75</v>
          </cell>
          <cell r="W349">
            <v>0</v>
          </cell>
          <cell r="X349">
            <v>0</v>
          </cell>
          <cell r="Y349">
            <v>9.75</v>
          </cell>
          <cell r="Z349">
            <v>0</v>
          </cell>
          <cell r="AA349">
            <v>0</v>
          </cell>
          <cell r="AB349">
            <v>112.5</v>
          </cell>
          <cell r="AC349">
            <v>0</v>
          </cell>
          <cell r="AD349">
            <v>0</v>
          </cell>
          <cell r="AE349">
            <v>146.25</v>
          </cell>
          <cell r="AF349">
            <v>0</v>
          </cell>
          <cell r="AG349">
            <v>0</v>
          </cell>
          <cell r="AH349">
            <v>11.25</v>
          </cell>
          <cell r="AI349">
            <v>0</v>
          </cell>
          <cell r="AJ349">
            <v>0</v>
          </cell>
          <cell r="AK349">
            <v>97.5</v>
          </cell>
          <cell r="AL349">
            <v>0</v>
          </cell>
          <cell r="AM349">
            <v>0</v>
          </cell>
          <cell r="AN349">
            <v>126.75</v>
          </cell>
          <cell r="AO349">
            <v>0</v>
          </cell>
          <cell r="AP349">
            <v>0</v>
          </cell>
          <cell r="AQ349">
            <v>9.75</v>
          </cell>
          <cell r="AR349">
            <v>0</v>
          </cell>
          <cell r="AS349">
            <v>0</v>
          </cell>
          <cell r="AT349">
            <v>150</v>
          </cell>
          <cell r="AU349">
            <v>0</v>
          </cell>
          <cell r="AV349">
            <v>0</v>
          </cell>
          <cell r="AW349">
            <v>195</v>
          </cell>
          <cell r="AX349">
            <v>0</v>
          </cell>
          <cell r="AY349">
            <v>0</v>
          </cell>
          <cell r="AZ349">
            <v>15</v>
          </cell>
          <cell r="BA349">
            <v>0</v>
          </cell>
          <cell r="BB349">
            <v>0</v>
          </cell>
          <cell r="BC349">
            <v>75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6937.5</v>
          </cell>
        </row>
        <row r="350">
          <cell r="C350">
            <v>12967</v>
          </cell>
          <cell r="D350" t="str">
            <v>Dometita, Jeny Miraran</v>
          </cell>
          <cell r="E350">
            <v>88</v>
          </cell>
          <cell r="F350">
            <v>11</v>
          </cell>
          <cell r="G350">
            <v>600</v>
          </cell>
          <cell r="H350">
            <v>6600</v>
          </cell>
          <cell r="I350">
            <v>0</v>
          </cell>
          <cell r="J350">
            <v>1.25</v>
          </cell>
          <cell r="K350">
            <v>0</v>
          </cell>
          <cell r="L350">
            <v>12</v>
          </cell>
          <cell r="M350">
            <v>93.75</v>
          </cell>
          <cell r="N350">
            <v>1125</v>
          </cell>
          <cell r="O350">
            <v>50</v>
          </cell>
          <cell r="P350">
            <v>7.5</v>
          </cell>
          <cell r="Q350">
            <v>375</v>
          </cell>
          <cell r="R350">
            <v>0</v>
          </cell>
          <cell r="S350">
            <v>97.5</v>
          </cell>
          <cell r="T350">
            <v>0</v>
          </cell>
          <cell r="U350">
            <v>0</v>
          </cell>
          <cell r="V350">
            <v>126.75</v>
          </cell>
          <cell r="W350">
            <v>0</v>
          </cell>
          <cell r="X350">
            <v>0</v>
          </cell>
          <cell r="Y350">
            <v>9.75</v>
          </cell>
          <cell r="Z350">
            <v>0</v>
          </cell>
          <cell r="AA350">
            <v>0</v>
          </cell>
          <cell r="AB350">
            <v>112.5</v>
          </cell>
          <cell r="AC350">
            <v>0</v>
          </cell>
          <cell r="AD350">
            <v>0</v>
          </cell>
          <cell r="AE350">
            <v>146.25</v>
          </cell>
          <cell r="AF350">
            <v>0</v>
          </cell>
          <cell r="AG350">
            <v>0</v>
          </cell>
          <cell r="AH350">
            <v>11.25</v>
          </cell>
          <cell r="AI350">
            <v>0</v>
          </cell>
          <cell r="AJ350">
            <v>0</v>
          </cell>
          <cell r="AK350">
            <v>97.5</v>
          </cell>
          <cell r="AL350">
            <v>0</v>
          </cell>
          <cell r="AM350">
            <v>0</v>
          </cell>
          <cell r="AN350">
            <v>126.75</v>
          </cell>
          <cell r="AO350">
            <v>0</v>
          </cell>
          <cell r="AP350">
            <v>0</v>
          </cell>
          <cell r="AQ350">
            <v>9.75</v>
          </cell>
          <cell r="AR350">
            <v>0</v>
          </cell>
          <cell r="AS350">
            <v>0</v>
          </cell>
          <cell r="AT350">
            <v>150</v>
          </cell>
          <cell r="AU350">
            <v>0</v>
          </cell>
          <cell r="AV350">
            <v>0</v>
          </cell>
          <cell r="AW350">
            <v>195</v>
          </cell>
          <cell r="AX350">
            <v>0</v>
          </cell>
          <cell r="AY350">
            <v>0</v>
          </cell>
          <cell r="AZ350">
            <v>15</v>
          </cell>
          <cell r="BA350">
            <v>0</v>
          </cell>
          <cell r="BB350">
            <v>0</v>
          </cell>
          <cell r="BC350">
            <v>75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8100</v>
          </cell>
        </row>
        <row r="351">
          <cell r="C351">
            <v>30296</v>
          </cell>
          <cell r="D351" t="str">
            <v>Donato, Maria Christina Payumo</v>
          </cell>
          <cell r="E351">
            <v>80</v>
          </cell>
          <cell r="F351">
            <v>10</v>
          </cell>
          <cell r="G351">
            <v>600</v>
          </cell>
          <cell r="H351">
            <v>6000</v>
          </cell>
          <cell r="I351">
            <v>0</v>
          </cell>
          <cell r="J351">
            <v>1.25</v>
          </cell>
          <cell r="K351">
            <v>0</v>
          </cell>
          <cell r="L351">
            <v>13</v>
          </cell>
          <cell r="M351">
            <v>93.75</v>
          </cell>
          <cell r="N351">
            <v>1218.75</v>
          </cell>
          <cell r="O351">
            <v>0</v>
          </cell>
          <cell r="P351">
            <v>7.5</v>
          </cell>
          <cell r="Q351">
            <v>0</v>
          </cell>
          <cell r="R351">
            <v>0</v>
          </cell>
          <cell r="S351">
            <v>97.5</v>
          </cell>
          <cell r="T351">
            <v>0</v>
          </cell>
          <cell r="U351">
            <v>0</v>
          </cell>
          <cell r="V351">
            <v>126.75</v>
          </cell>
          <cell r="W351">
            <v>0</v>
          </cell>
          <cell r="X351">
            <v>0</v>
          </cell>
          <cell r="Y351">
            <v>9.75</v>
          </cell>
          <cell r="Z351">
            <v>0</v>
          </cell>
          <cell r="AA351">
            <v>0</v>
          </cell>
          <cell r="AB351">
            <v>112.5</v>
          </cell>
          <cell r="AC351">
            <v>0</v>
          </cell>
          <cell r="AD351">
            <v>0</v>
          </cell>
          <cell r="AE351">
            <v>146.25</v>
          </cell>
          <cell r="AF351">
            <v>0</v>
          </cell>
          <cell r="AG351">
            <v>0</v>
          </cell>
          <cell r="AH351">
            <v>11.25</v>
          </cell>
          <cell r="AI351">
            <v>0</v>
          </cell>
          <cell r="AJ351">
            <v>0</v>
          </cell>
          <cell r="AK351">
            <v>97.5</v>
          </cell>
          <cell r="AL351">
            <v>0</v>
          </cell>
          <cell r="AM351">
            <v>0</v>
          </cell>
          <cell r="AN351">
            <v>126.75</v>
          </cell>
          <cell r="AO351">
            <v>0</v>
          </cell>
          <cell r="AP351">
            <v>0</v>
          </cell>
          <cell r="AQ351">
            <v>9.75</v>
          </cell>
          <cell r="AR351">
            <v>0</v>
          </cell>
          <cell r="AS351">
            <v>0</v>
          </cell>
          <cell r="AT351">
            <v>150</v>
          </cell>
          <cell r="AU351">
            <v>0</v>
          </cell>
          <cell r="AV351">
            <v>0</v>
          </cell>
          <cell r="AW351">
            <v>195</v>
          </cell>
          <cell r="AX351">
            <v>0</v>
          </cell>
          <cell r="AY351">
            <v>0</v>
          </cell>
          <cell r="AZ351">
            <v>15</v>
          </cell>
          <cell r="BA351">
            <v>0</v>
          </cell>
          <cell r="BB351">
            <v>0</v>
          </cell>
          <cell r="BC351">
            <v>75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7218.75</v>
          </cell>
        </row>
        <row r="352">
          <cell r="C352">
            <v>8277</v>
          </cell>
          <cell r="D352" t="str">
            <v>Dorol, John Rey Esquilon</v>
          </cell>
          <cell r="E352">
            <v>88</v>
          </cell>
          <cell r="F352">
            <v>11</v>
          </cell>
          <cell r="G352">
            <v>600</v>
          </cell>
          <cell r="H352">
            <v>6600</v>
          </cell>
          <cell r="I352">
            <v>0</v>
          </cell>
          <cell r="J352">
            <v>1.25</v>
          </cell>
          <cell r="K352">
            <v>0</v>
          </cell>
          <cell r="L352">
            <v>10</v>
          </cell>
          <cell r="M352">
            <v>93.75</v>
          </cell>
          <cell r="N352">
            <v>937.5</v>
          </cell>
          <cell r="O352">
            <v>48</v>
          </cell>
          <cell r="P352">
            <v>7.5</v>
          </cell>
          <cell r="Q352">
            <v>360</v>
          </cell>
          <cell r="R352">
            <v>0</v>
          </cell>
          <cell r="S352">
            <v>97.5</v>
          </cell>
          <cell r="T352">
            <v>0</v>
          </cell>
          <cell r="U352">
            <v>0</v>
          </cell>
          <cell r="V352">
            <v>126.75</v>
          </cell>
          <cell r="W352">
            <v>0</v>
          </cell>
          <cell r="X352">
            <v>0</v>
          </cell>
          <cell r="Y352">
            <v>9.75</v>
          </cell>
          <cell r="Z352">
            <v>0</v>
          </cell>
          <cell r="AA352">
            <v>0</v>
          </cell>
          <cell r="AB352">
            <v>112.5</v>
          </cell>
          <cell r="AC352">
            <v>0</v>
          </cell>
          <cell r="AD352">
            <v>0</v>
          </cell>
          <cell r="AE352">
            <v>146.25</v>
          </cell>
          <cell r="AF352">
            <v>0</v>
          </cell>
          <cell r="AG352">
            <v>0</v>
          </cell>
          <cell r="AH352">
            <v>11.25</v>
          </cell>
          <cell r="AI352">
            <v>0</v>
          </cell>
          <cell r="AJ352">
            <v>0</v>
          </cell>
          <cell r="AK352">
            <v>97.5</v>
          </cell>
          <cell r="AL352">
            <v>0</v>
          </cell>
          <cell r="AM352">
            <v>0</v>
          </cell>
          <cell r="AN352">
            <v>126.75</v>
          </cell>
          <cell r="AO352">
            <v>0</v>
          </cell>
          <cell r="AP352">
            <v>0</v>
          </cell>
          <cell r="AQ352">
            <v>9.75</v>
          </cell>
          <cell r="AR352">
            <v>0</v>
          </cell>
          <cell r="AS352">
            <v>0</v>
          </cell>
          <cell r="AT352">
            <v>150</v>
          </cell>
          <cell r="AU352">
            <v>0</v>
          </cell>
          <cell r="AV352">
            <v>0</v>
          </cell>
          <cell r="AW352">
            <v>195</v>
          </cell>
          <cell r="AX352">
            <v>0</v>
          </cell>
          <cell r="AY352">
            <v>0</v>
          </cell>
          <cell r="AZ352">
            <v>15</v>
          </cell>
          <cell r="BA352">
            <v>0</v>
          </cell>
          <cell r="BB352">
            <v>0</v>
          </cell>
          <cell r="BC352">
            <v>75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7897.5</v>
          </cell>
        </row>
        <row r="353">
          <cell r="C353">
            <v>8278</v>
          </cell>
          <cell r="D353" t="str">
            <v>Dorol, Richmond Esquilon</v>
          </cell>
          <cell r="E353">
            <v>80</v>
          </cell>
          <cell r="F353">
            <v>10</v>
          </cell>
          <cell r="G353">
            <v>600</v>
          </cell>
          <cell r="H353">
            <v>6000</v>
          </cell>
          <cell r="I353">
            <v>0</v>
          </cell>
          <cell r="J353">
            <v>1.25</v>
          </cell>
          <cell r="K353">
            <v>0</v>
          </cell>
          <cell r="L353">
            <v>6</v>
          </cell>
          <cell r="M353">
            <v>93.75</v>
          </cell>
          <cell r="N353">
            <v>562.5</v>
          </cell>
          <cell r="O353">
            <v>40</v>
          </cell>
          <cell r="P353">
            <v>7.5</v>
          </cell>
          <cell r="Q353">
            <v>300</v>
          </cell>
          <cell r="R353">
            <v>0</v>
          </cell>
          <cell r="S353">
            <v>97.5</v>
          </cell>
          <cell r="T353">
            <v>0</v>
          </cell>
          <cell r="U353">
            <v>0</v>
          </cell>
          <cell r="V353">
            <v>126.75</v>
          </cell>
          <cell r="W353">
            <v>0</v>
          </cell>
          <cell r="X353">
            <v>0</v>
          </cell>
          <cell r="Y353">
            <v>9.75</v>
          </cell>
          <cell r="Z353">
            <v>0</v>
          </cell>
          <cell r="AA353">
            <v>0</v>
          </cell>
          <cell r="AB353">
            <v>112.5</v>
          </cell>
          <cell r="AC353">
            <v>0</v>
          </cell>
          <cell r="AD353">
            <v>0</v>
          </cell>
          <cell r="AE353">
            <v>146.25</v>
          </cell>
          <cell r="AF353">
            <v>0</v>
          </cell>
          <cell r="AG353">
            <v>0</v>
          </cell>
          <cell r="AH353">
            <v>11.25</v>
          </cell>
          <cell r="AI353">
            <v>0</v>
          </cell>
          <cell r="AJ353">
            <v>0</v>
          </cell>
          <cell r="AK353">
            <v>97.5</v>
          </cell>
          <cell r="AL353">
            <v>0</v>
          </cell>
          <cell r="AM353">
            <v>0</v>
          </cell>
          <cell r="AN353">
            <v>126.75</v>
          </cell>
          <cell r="AO353">
            <v>0</v>
          </cell>
          <cell r="AP353">
            <v>0</v>
          </cell>
          <cell r="AQ353">
            <v>9.75</v>
          </cell>
          <cell r="AR353">
            <v>0</v>
          </cell>
          <cell r="AS353">
            <v>0</v>
          </cell>
          <cell r="AT353">
            <v>150</v>
          </cell>
          <cell r="AU353">
            <v>0</v>
          </cell>
          <cell r="AV353">
            <v>0</v>
          </cell>
          <cell r="AW353">
            <v>195</v>
          </cell>
          <cell r="AX353">
            <v>0</v>
          </cell>
          <cell r="AY353">
            <v>0</v>
          </cell>
          <cell r="AZ353">
            <v>15</v>
          </cell>
          <cell r="BA353">
            <v>0</v>
          </cell>
          <cell r="BB353">
            <v>0</v>
          </cell>
          <cell r="BC353">
            <v>75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6862.5</v>
          </cell>
        </row>
        <row r="354">
          <cell r="C354">
            <v>13684</v>
          </cell>
          <cell r="D354" t="str">
            <v>Doronela, Jimuel Belason</v>
          </cell>
          <cell r="E354">
            <v>80</v>
          </cell>
          <cell r="F354">
            <v>10</v>
          </cell>
          <cell r="G354">
            <v>600</v>
          </cell>
          <cell r="H354">
            <v>6000</v>
          </cell>
          <cell r="I354">
            <v>0</v>
          </cell>
          <cell r="J354">
            <v>1.25</v>
          </cell>
          <cell r="K354">
            <v>0</v>
          </cell>
          <cell r="L354">
            <v>2</v>
          </cell>
          <cell r="M354">
            <v>93.75</v>
          </cell>
          <cell r="N354">
            <v>187.5</v>
          </cell>
          <cell r="O354">
            <v>24</v>
          </cell>
          <cell r="P354">
            <v>7.5</v>
          </cell>
          <cell r="Q354">
            <v>180</v>
          </cell>
          <cell r="R354">
            <v>0</v>
          </cell>
          <cell r="S354">
            <v>97.5</v>
          </cell>
          <cell r="T354">
            <v>0</v>
          </cell>
          <cell r="U354">
            <v>0</v>
          </cell>
          <cell r="V354">
            <v>126.75</v>
          </cell>
          <cell r="W354">
            <v>0</v>
          </cell>
          <cell r="X354">
            <v>0</v>
          </cell>
          <cell r="Y354">
            <v>9.75</v>
          </cell>
          <cell r="Z354">
            <v>0</v>
          </cell>
          <cell r="AA354">
            <v>0</v>
          </cell>
          <cell r="AB354">
            <v>112.5</v>
          </cell>
          <cell r="AC354">
            <v>0</v>
          </cell>
          <cell r="AD354">
            <v>0</v>
          </cell>
          <cell r="AE354">
            <v>146.25</v>
          </cell>
          <cell r="AF354">
            <v>0</v>
          </cell>
          <cell r="AG354">
            <v>0</v>
          </cell>
          <cell r="AH354">
            <v>11.25</v>
          </cell>
          <cell r="AI354">
            <v>0</v>
          </cell>
          <cell r="AJ354">
            <v>0</v>
          </cell>
          <cell r="AK354">
            <v>97.5</v>
          </cell>
          <cell r="AL354">
            <v>0</v>
          </cell>
          <cell r="AM354">
            <v>0</v>
          </cell>
          <cell r="AN354">
            <v>126.75</v>
          </cell>
          <cell r="AO354">
            <v>0</v>
          </cell>
          <cell r="AP354">
            <v>0</v>
          </cell>
          <cell r="AQ354">
            <v>9.75</v>
          </cell>
          <cell r="AR354">
            <v>0</v>
          </cell>
          <cell r="AS354">
            <v>0</v>
          </cell>
          <cell r="AT354">
            <v>150</v>
          </cell>
          <cell r="AU354">
            <v>0</v>
          </cell>
          <cell r="AV354">
            <v>0</v>
          </cell>
          <cell r="AW354">
            <v>195</v>
          </cell>
          <cell r="AX354">
            <v>0</v>
          </cell>
          <cell r="AY354">
            <v>0</v>
          </cell>
          <cell r="AZ354">
            <v>15</v>
          </cell>
          <cell r="BA354">
            <v>0</v>
          </cell>
          <cell r="BB354">
            <v>0</v>
          </cell>
          <cell r="BC354">
            <v>75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6367.5</v>
          </cell>
        </row>
        <row r="355">
          <cell r="C355">
            <v>13337</v>
          </cell>
          <cell r="D355" t="str">
            <v>Dueñas, Mannex Alvendia</v>
          </cell>
          <cell r="E355">
            <v>56</v>
          </cell>
          <cell r="F355">
            <v>7</v>
          </cell>
          <cell r="G355">
            <v>600</v>
          </cell>
          <cell r="H355">
            <v>4200</v>
          </cell>
          <cell r="I355">
            <v>0</v>
          </cell>
          <cell r="J355">
            <v>1.25</v>
          </cell>
          <cell r="K355">
            <v>0</v>
          </cell>
          <cell r="L355">
            <v>10</v>
          </cell>
          <cell r="M355">
            <v>93.75</v>
          </cell>
          <cell r="N355">
            <v>937.5</v>
          </cell>
          <cell r="O355">
            <v>30</v>
          </cell>
          <cell r="P355">
            <v>7.5</v>
          </cell>
          <cell r="Q355">
            <v>225</v>
          </cell>
          <cell r="R355">
            <v>0</v>
          </cell>
          <cell r="S355">
            <v>97.5</v>
          </cell>
          <cell r="T355">
            <v>0</v>
          </cell>
          <cell r="U355">
            <v>0</v>
          </cell>
          <cell r="V355">
            <v>126.75</v>
          </cell>
          <cell r="W355">
            <v>0</v>
          </cell>
          <cell r="X355">
            <v>0</v>
          </cell>
          <cell r="Y355">
            <v>9.75</v>
          </cell>
          <cell r="Z355">
            <v>0</v>
          </cell>
          <cell r="AA355">
            <v>0</v>
          </cell>
          <cell r="AB355">
            <v>112.5</v>
          </cell>
          <cell r="AC355">
            <v>0</v>
          </cell>
          <cell r="AD355">
            <v>0</v>
          </cell>
          <cell r="AE355">
            <v>146.25</v>
          </cell>
          <cell r="AF355">
            <v>0</v>
          </cell>
          <cell r="AG355">
            <v>0</v>
          </cell>
          <cell r="AH355">
            <v>11.25</v>
          </cell>
          <cell r="AI355">
            <v>0</v>
          </cell>
          <cell r="AJ355">
            <v>0</v>
          </cell>
          <cell r="AK355">
            <v>97.5</v>
          </cell>
          <cell r="AL355">
            <v>0</v>
          </cell>
          <cell r="AM355">
            <v>0</v>
          </cell>
          <cell r="AN355">
            <v>126.75</v>
          </cell>
          <cell r="AO355">
            <v>0</v>
          </cell>
          <cell r="AP355">
            <v>0</v>
          </cell>
          <cell r="AQ355">
            <v>9.75</v>
          </cell>
          <cell r="AR355">
            <v>0</v>
          </cell>
          <cell r="AS355">
            <v>0</v>
          </cell>
          <cell r="AT355">
            <v>150</v>
          </cell>
          <cell r="AU355">
            <v>0</v>
          </cell>
          <cell r="AV355">
            <v>0</v>
          </cell>
          <cell r="AW355">
            <v>195</v>
          </cell>
          <cell r="AX355">
            <v>0</v>
          </cell>
          <cell r="AY355">
            <v>0</v>
          </cell>
          <cell r="AZ355">
            <v>15</v>
          </cell>
          <cell r="BA355">
            <v>0</v>
          </cell>
          <cell r="BB355">
            <v>0</v>
          </cell>
          <cell r="BC355">
            <v>75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5362.5</v>
          </cell>
        </row>
        <row r="356">
          <cell r="C356">
            <v>7976</v>
          </cell>
          <cell r="D356" t="str">
            <v>Dulpina, Danibel Habulan</v>
          </cell>
          <cell r="E356">
            <v>88</v>
          </cell>
          <cell r="F356">
            <v>11</v>
          </cell>
          <cell r="G356">
            <v>600</v>
          </cell>
          <cell r="H356">
            <v>6600</v>
          </cell>
          <cell r="I356">
            <v>0</v>
          </cell>
          <cell r="J356">
            <v>1.25</v>
          </cell>
          <cell r="K356">
            <v>0</v>
          </cell>
          <cell r="L356">
            <v>12</v>
          </cell>
          <cell r="M356">
            <v>93.75</v>
          </cell>
          <cell r="N356">
            <v>1125</v>
          </cell>
          <cell r="O356">
            <v>48</v>
          </cell>
          <cell r="P356">
            <v>7.5</v>
          </cell>
          <cell r="Q356">
            <v>360</v>
          </cell>
          <cell r="R356">
            <v>0</v>
          </cell>
          <cell r="S356">
            <v>97.5</v>
          </cell>
          <cell r="T356">
            <v>0</v>
          </cell>
          <cell r="U356">
            <v>0</v>
          </cell>
          <cell r="V356">
            <v>126.75</v>
          </cell>
          <cell r="W356">
            <v>0</v>
          </cell>
          <cell r="X356">
            <v>0</v>
          </cell>
          <cell r="Y356">
            <v>9.75</v>
          </cell>
          <cell r="Z356">
            <v>0</v>
          </cell>
          <cell r="AA356">
            <v>0</v>
          </cell>
          <cell r="AB356">
            <v>112.5</v>
          </cell>
          <cell r="AC356">
            <v>0</v>
          </cell>
          <cell r="AD356">
            <v>0</v>
          </cell>
          <cell r="AE356">
            <v>146.25</v>
          </cell>
          <cell r="AF356">
            <v>0</v>
          </cell>
          <cell r="AG356">
            <v>0</v>
          </cell>
          <cell r="AH356">
            <v>11.25</v>
          </cell>
          <cell r="AI356">
            <v>0</v>
          </cell>
          <cell r="AJ356">
            <v>0</v>
          </cell>
          <cell r="AK356">
            <v>97.5</v>
          </cell>
          <cell r="AL356">
            <v>0</v>
          </cell>
          <cell r="AM356">
            <v>0</v>
          </cell>
          <cell r="AN356">
            <v>126.75</v>
          </cell>
          <cell r="AO356">
            <v>0</v>
          </cell>
          <cell r="AP356">
            <v>0</v>
          </cell>
          <cell r="AQ356">
            <v>9.75</v>
          </cell>
          <cell r="AR356">
            <v>0</v>
          </cell>
          <cell r="AS356">
            <v>0</v>
          </cell>
          <cell r="AT356">
            <v>150</v>
          </cell>
          <cell r="AU356">
            <v>0</v>
          </cell>
          <cell r="AV356">
            <v>0</v>
          </cell>
          <cell r="AW356">
            <v>195</v>
          </cell>
          <cell r="AX356">
            <v>0</v>
          </cell>
          <cell r="AY356">
            <v>0</v>
          </cell>
          <cell r="AZ356">
            <v>15</v>
          </cell>
          <cell r="BA356">
            <v>0</v>
          </cell>
          <cell r="BB356">
            <v>0</v>
          </cell>
          <cell r="BC356">
            <v>75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8085</v>
          </cell>
        </row>
        <row r="357">
          <cell r="C357">
            <v>3717</v>
          </cell>
          <cell r="D357" t="str">
            <v>Eguia, Jericho Deomampo</v>
          </cell>
          <cell r="E357">
            <v>80</v>
          </cell>
          <cell r="F357">
            <v>10</v>
          </cell>
          <cell r="G357">
            <v>600</v>
          </cell>
          <cell r="H357">
            <v>6000</v>
          </cell>
          <cell r="I357">
            <v>0</v>
          </cell>
          <cell r="J357">
            <v>1.25</v>
          </cell>
          <cell r="K357">
            <v>0</v>
          </cell>
          <cell r="L357">
            <v>12</v>
          </cell>
          <cell r="M357">
            <v>93.75</v>
          </cell>
          <cell r="N357">
            <v>1125</v>
          </cell>
          <cell r="O357">
            <v>0</v>
          </cell>
          <cell r="P357">
            <v>7.5</v>
          </cell>
          <cell r="Q357">
            <v>0</v>
          </cell>
          <cell r="R357">
            <v>0</v>
          </cell>
          <cell r="S357">
            <v>97.5</v>
          </cell>
          <cell r="T357">
            <v>0</v>
          </cell>
          <cell r="U357">
            <v>0</v>
          </cell>
          <cell r="V357">
            <v>126.75</v>
          </cell>
          <cell r="W357">
            <v>0</v>
          </cell>
          <cell r="X357">
            <v>0</v>
          </cell>
          <cell r="Y357">
            <v>9.75</v>
          </cell>
          <cell r="Z357">
            <v>0</v>
          </cell>
          <cell r="AA357">
            <v>0</v>
          </cell>
          <cell r="AB357">
            <v>112.5</v>
          </cell>
          <cell r="AC357">
            <v>0</v>
          </cell>
          <cell r="AD357">
            <v>0</v>
          </cell>
          <cell r="AE357">
            <v>146.25</v>
          </cell>
          <cell r="AF357">
            <v>0</v>
          </cell>
          <cell r="AG357">
            <v>0</v>
          </cell>
          <cell r="AH357">
            <v>11.25</v>
          </cell>
          <cell r="AI357">
            <v>0</v>
          </cell>
          <cell r="AJ357">
            <v>0</v>
          </cell>
          <cell r="AK357">
            <v>97.5</v>
          </cell>
          <cell r="AL357">
            <v>0</v>
          </cell>
          <cell r="AM357">
            <v>0</v>
          </cell>
          <cell r="AN357">
            <v>126.75</v>
          </cell>
          <cell r="AO357">
            <v>0</v>
          </cell>
          <cell r="AP357">
            <v>0</v>
          </cell>
          <cell r="AQ357">
            <v>9.75</v>
          </cell>
          <cell r="AR357">
            <v>0</v>
          </cell>
          <cell r="AS357">
            <v>0</v>
          </cell>
          <cell r="AT357">
            <v>150</v>
          </cell>
          <cell r="AU357">
            <v>0</v>
          </cell>
          <cell r="AV357">
            <v>0</v>
          </cell>
          <cell r="AW357">
            <v>195</v>
          </cell>
          <cell r="AX357">
            <v>0</v>
          </cell>
          <cell r="AY357">
            <v>0</v>
          </cell>
          <cell r="AZ357">
            <v>15</v>
          </cell>
          <cell r="BA357">
            <v>0</v>
          </cell>
          <cell r="BB357">
            <v>0</v>
          </cell>
          <cell r="BC357">
            <v>75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7125</v>
          </cell>
        </row>
        <row r="358">
          <cell r="C358">
            <v>30766</v>
          </cell>
          <cell r="D358" t="str">
            <v>Eguia, Mary Grace Deomampo</v>
          </cell>
          <cell r="E358">
            <v>80</v>
          </cell>
          <cell r="F358">
            <v>10</v>
          </cell>
          <cell r="G358">
            <v>600</v>
          </cell>
          <cell r="H358">
            <v>6000</v>
          </cell>
          <cell r="I358">
            <v>0</v>
          </cell>
          <cell r="J358">
            <v>1.25</v>
          </cell>
          <cell r="K358">
            <v>0</v>
          </cell>
          <cell r="L358">
            <v>10</v>
          </cell>
          <cell r="M358">
            <v>93.75</v>
          </cell>
          <cell r="N358">
            <v>937.5</v>
          </cell>
          <cell r="O358">
            <v>0</v>
          </cell>
          <cell r="P358">
            <v>7.5</v>
          </cell>
          <cell r="Q358">
            <v>0</v>
          </cell>
          <cell r="R358">
            <v>0</v>
          </cell>
          <cell r="S358">
            <v>97.5</v>
          </cell>
          <cell r="T358">
            <v>0</v>
          </cell>
          <cell r="U358">
            <v>0</v>
          </cell>
          <cell r="V358">
            <v>126.75</v>
          </cell>
          <cell r="W358">
            <v>0</v>
          </cell>
          <cell r="X358">
            <v>0</v>
          </cell>
          <cell r="Y358">
            <v>9.75</v>
          </cell>
          <cell r="Z358">
            <v>0</v>
          </cell>
          <cell r="AA358">
            <v>0</v>
          </cell>
          <cell r="AB358">
            <v>112.5</v>
          </cell>
          <cell r="AC358">
            <v>0</v>
          </cell>
          <cell r="AD358">
            <v>0</v>
          </cell>
          <cell r="AE358">
            <v>146.25</v>
          </cell>
          <cell r="AF358">
            <v>0</v>
          </cell>
          <cell r="AG358">
            <v>0</v>
          </cell>
          <cell r="AH358">
            <v>11.25</v>
          </cell>
          <cell r="AI358">
            <v>0</v>
          </cell>
          <cell r="AJ358">
            <v>0</v>
          </cell>
          <cell r="AK358">
            <v>97.5</v>
          </cell>
          <cell r="AL358">
            <v>0</v>
          </cell>
          <cell r="AM358">
            <v>0</v>
          </cell>
          <cell r="AN358">
            <v>126.75</v>
          </cell>
          <cell r="AO358">
            <v>0</v>
          </cell>
          <cell r="AP358">
            <v>0</v>
          </cell>
          <cell r="AQ358">
            <v>9.75</v>
          </cell>
          <cell r="AR358">
            <v>0</v>
          </cell>
          <cell r="AS358">
            <v>0</v>
          </cell>
          <cell r="AT358">
            <v>150</v>
          </cell>
          <cell r="AU358">
            <v>0</v>
          </cell>
          <cell r="AV358">
            <v>0</v>
          </cell>
          <cell r="AW358">
            <v>195</v>
          </cell>
          <cell r="AX358">
            <v>0</v>
          </cell>
          <cell r="AY358">
            <v>0</v>
          </cell>
          <cell r="AZ358">
            <v>15</v>
          </cell>
          <cell r="BA358">
            <v>0</v>
          </cell>
          <cell r="BB358">
            <v>0</v>
          </cell>
          <cell r="BC358">
            <v>75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6937.5</v>
          </cell>
        </row>
        <row r="359">
          <cell r="C359">
            <v>12975</v>
          </cell>
          <cell r="D359" t="str">
            <v>Enriquez, Elleziel Bertulfo</v>
          </cell>
          <cell r="E359">
            <v>88</v>
          </cell>
          <cell r="F359">
            <v>11</v>
          </cell>
          <cell r="G359">
            <v>600</v>
          </cell>
          <cell r="H359">
            <v>6600</v>
          </cell>
          <cell r="I359">
            <v>0</v>
          </cell>
          <cell r="J359">
            <v>1.25</v>
          </cell>
          <cell r="K359">
            <v>0</v>
          </cell>
          <cell r="L359">
            <v>19</v>
          </cell>
          <cell r="M359">
            <v>93.75</v>
          </cell>
          <cell r="N359">
            <v>1781.25</v>
          </cell>
          <cell r="O359">
            <v>54</v>
          </cell>
          <cell r="P359">
            <v>7.5</v>
          </cell>
          <cell r="Q359">
            <v>405</v>
          </cell>
          <cell r="R359">
            <v>0</v>
          </cell>
          <cell r="S359">
            <v>97.5</v>
          </cell>
          <cell r="T359">
            <v>0</v>
          </cell>
          <cell r="U359">
            <v>0</v>
          </cell>
          <cell r="V359">
            <v>126.75</v>
          </cell>
          <cell r="W359">
            <v>0</v>
          </cell>
          <cell r="X359">
            <v>0</v>
          </cell>
          <cell r="Y359">
            <v>9.75</v>
          </cell>
          <cell r="Z359">
            <v>0</v>
          </cell>
          <cell r="AA359">
            <v>0</v>
          </cell>
          <cell r="AB359">
            <v>112.5</v>
          </cell>
          <cell r="AC359">
            <v>0</v>
          </cell>
          <cell r="AD359">
            <v>0</v>
          </cell>
          <cell r="AE359">
            <v>146.25</v>
          </cell>
          <cell r="AF359">
            <v>0</v>
          </cell>
          <cell r="AG359">
            <v>0</v>
          </cell>
          <cell r="AH359">
            <v>11.25</v>
          </cell>
          <cell r="AI359">
            <v>0</v>
          </cell>
          <cell r="AJ359">
            <v>0</v>
          </cell>
          <cell r="AK359">
            <v>97.5</v>
          </cell>
          <cell r="AL359">
            <v>0</v>
          </cell>
          <cell r="AM359">
            <v>0</v>
          </cell>
          <cell r="AN359">
            <v>126.75</v>
          </cell>
          <cell r="AO359">
            <v>0</v>
          </cell>
          <cell r="AP359">
            <v>0</v>
          </cell>
          <cell r="AQ359">
            <v>9.75</v>
          </cell>
          <cell r="AR359">
            <v>0</v>
          </cell>
          <cell r="AS359">
            <v>0</v>
          </cell>
          <cell r="AT359">
            <v>150</v>
          </cell>
          <cell r="AU359">
            <v>0</v>
          </cell>
          <cell r="AV359">
            <v>0</v>
          </cell>
          <cell r="AW359">
            <v>195</v>
          </cell>
          <cell r="AX359">
            <v>0</v>
          </cell>
          <cell r="AY359">
            <v>0</v>
          </cell>
          <cell r="AZ359">
            <v>15</v>
          </cell>
          <cell r="BA359">
            <v>0</v>
          </cell>
          <cell r="BB359">
            <v>0</v>
          </cell>
          <cell r="BC359">
            <v>75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8786.25</v>
          </cell>
        </row>
        <row r="360">
          <cell r="C360">
            <v>8092</v>
          </cell>
          <cell r="D360" t="str">
            <v>Estopa, Mary Ann Pajo</v>
          </cell>
          <cell r="E360">
            <v>76</v>
          </cell>
          <cell r="F360">
            <v>9.5</v>
          </cell>
          <cell r="G360">
            <v>600</v>
          </cell>
          <cell r="H360">
            <v>5700</v>
          </cell>
          <cell r="I360">
            <v>7</v>
          </cell>
          <cell r="J360">
            <v>1.25</v>
          </cell>
          <cell r="K360">
            <v>-8.75</v>
          </cell>
          <cell r="L360">
            <v>18</v>
          </cell>
          <cell r="M360">
            <v>93.75</v>
          </cell>
          <cell r="N360">
            <v>1687.5</v>
          </cell>
          <cell r="O360">
            <v>0</v>
          </cell>
          <cell r="P360">
            <v>7.5</v>
          </cell>
          <cell r="Q360">
            <v>0</v>
          </cell>
          <cell r="R360">
            <v>0</v>
          </cell>
          <cell r="S360">
            <v>97.5</v>
          </cell>
          <cell r="T360">
            <v>0</v>
          </cell>
          <cell r="U360">
            <v>0</v>
          </cell>
          <cell r="V360">
            <v>126.75</v>
          </cell>
          <cell r="W360">
            <v>0</v>
          </cell>
          <cell r="X360">
            <v>0</v>
          </cell>
          <cell r="Y360">
            <v>9.75</v>
          </cell>
          <cell r="Z360">
            <v>0</v>
          </cell>
          <cell r="AA360">
            <v>0</v>
          </cell>
          <cell r="AB360">
            <v>112.5</v>
          </cell>
          <cell r="AC360">
            <v>0</v>
          </cell>
          <cell r="AD360">
            <v>0</v>
          </cell>
          <cell r="AE360">
            <v>146.25</v>
          </cell>
          <cell r="AF360">
            <v>0</v>
          </cell>
          <cell r="AG360">
            <v>0</v>
          </cell>
          <cell r="AH360">
            <v>11.25</v>
          </cell>
          <cell r="AI360">
            <v>0</v>
          </cell>
          <cell r="AJ360">
            <v>0</v>
          </cell>
          <cell r="AK360">
            <v>97.5</v>
          </cell>
          <cell r="AL360">
            <v>0</v>
          </cell>
          <cell r="AM360">
            <v>0</v>
          </cell>
          <cell r="AN360">
            <v>126.75</v>
          </cell>
          <cell r="AO360">
            <v>0</v>
          </cell>
          <cell r="AP360">
            <v>0</v>
          </cell>
          <cell r="AQ360">
            <v>9.75</v>
          </cell>
          <cell r="AR360">
            <v>0</v>
          </cell>
          <cell r="AS360">
            <v>0</v>
          </cell>
          <cell r="AT360">
            <v>150</v>
          </cell>
          <cell r="AU360">
            <v>0</v>
          </cell>
          <cell r="AV360">
            <v>0</v>
          </cell>
          <cell r="AW360">
            <v>195</v>
          </cell>
          <cell r="AX360">
            <v>0</v>
          </cell>
          <cell r="AY360">
            <v>0</v>
          </cell>
          <cell r="AZ360">
            <v>15</v>
          </cell>
          <cell r="BA360">
            <v>0</v>
          </cell>
          <cell r="BB360">
            <v>0</v>
          </cell>
          <cell r="BC360">
            <v>75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7378.75</v>
          </cell>
        </row>
        <row r="361">
          <cell r="C361">
            <v>7968</v>
          </cell>
          <cell r="D361" t="str">
            <v>Evaristo, Jesssa Mae Malazarte</v>
          </cell>
          <cell r="E361">
            <v>88</v>
          </cell>
          <cell r="F361">
            <v>11</v>
          </cell>
          <cell r="G361">
            <v>600</v>
          </cell>
          <cell r="H361">
            <v>6600</v>
          </cell>
          <cell r="I361">
            <v>19</v>
          </cell>
          <cell r="J361">
            <v>1.25</v>
          </cell>
          <cell r="K361">
            <v>-23.75</v>
          </cell>
          <cell r="L361">
            <v>18</v>
          </cell>
          <cell r="M361">
            <v>93.75</v>
          </cell>
          <cell r="N361">
            <v>1687.5</v>
          </cell>
          <cell r="O361">
            <v>52</v>
          </cell>
          <cell r="P361">
            <v>7.5</v>
          </cell>
          <cell r="Q361">
            <v>390</v>
          </cell>
          <cell r="R361">
            <v>0</v>
          </cell>
          <cell r="S361">
            <v>97.5</v>
          </cell>
          <cell r="T361">
            <v>0</v>
          </cell>
          <cell r="U361">
            <v>0</v>
          </cell>
          <cell r="V361">
            <v>126.75</v>
          </cell>
          <cell r="W361">
            <v>0</v>
          </cell>
          <cell r="X361">
            <v>0</v>
          </cell>
          <cell r="Y361">
            <v>9.75</v>
          </cell>
          <cell r="Z361">
            <v>0</v>
          </cell>
          <cell r="AA361">
            <v>0</v>
          </cell>
          <cell r="AB361">
            <v>112.5</v>
          </cell>
          <cell r="AC361">
            <v>0</v>
          </cell>
          <cell r="AD361">
            <v>0</v>
          </cell>
          <cell r="AE361">
            <v>146.25</v>
          </cell>
          <cell r="AF361">
            <v>0</v>
          </cell>
          <cell r="AG361">
            <v>0</v>
          </cell>
          <cell r="AH361">
            <v>11.25</v>
          </cell>
          <cell r="AI361">
            <v>0</v>
          </cell>
          <cell r="AJ361">
            <v>0</v>
          </cell>
          <cell r="AK361">
            <v>97.5</v>
          </cell>
          <cell r="AL361">
            <v>0</v>
          </cell>
          <cell r="AM361">
            <v>0</v>
          </cell>
          <cell r="AN361">
            <v>126.75</v>
          </cell>
          <cell r="AO361">
            <v>0</v>
          </cell>
          <cell r="AP361">
            <v>0</v>
          </cell>
          <cell r="AQ361">
            <v>9.75</v>
          </cell>
          <cell r="AR361">
            <v>0</v>
          </cell>
          <cell r="AS361">
            <v>0</v>
          </cell>
          <cell r="AT361">
            <v>150</v>
          </cell>
          <cell r="AU361">
            <v>0</v>
          </cell>
          <cell r="AV361">
            <v>0</v>
          </cell>
          <cell r="AW361">
            <v>195</v>
          </cell>
          <cell r="AX361">
            <v>0</v>
          </cell>
          <cell r="AY361">
            <v>0</v>
          </cell>
          <cell r="AZ361">
            <v>15</v>
          </cell>
          <cell r="BA361">
            <v>0</v>
          </cell>
          <cell r="BB361">
            <v>0</v>
          </cell>
          <cell r="BC361">
            <v>75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8653.75</v>
          </cell>
        </row>
        <row r="362">
          <cell r="C362">
            <v>7349</v>
          </cell>
          <cell r="D362" t="str">
            <v>Fabre, Anna Nicole Palmonis</v>
          </cell>
          <cell r="E362">
            <v>80</v>
          </cell>
          <cell r="F362">
            <v>10</v>
          </cell>
          <cell r="G362">
            <v>600</v>
          </cell>
          <cell r="H362">
            <v>6000</v>
          </cell>
          <cell r="I362">
            <v>0</v>
          </cell>
          <cell r="J362">
            <v>1.25</v>
          </cell>
          <cell r="K362">
            <v>0</v>
          </cell>
          <cell r="L362">
            <v>14</v>
          </cell>
          <cell r="M362">
            <v>93.75</v>
          </cell>
          <cell r="N362">
            <v>1312.5</v>
          </cell>
          <cell r="O362">
            <v>0</v>
          </cell>
          <cell r="P362">
            <v>7.5</v>
          </cell>
          <cell r="Q362">
            <v>0</v>
          </cell>
          <cell r="R362">
            <v>0</v>
          </cell>
          <cell r="S362">
            <v>97.5</v>
          </cell>
          <cell r="T362">
            <v>0</v>
          </cell>
          <cell r="U362">
            <v>0</v>
          </cell>
          <cell r="V362">
            <v>126.75</v>
          </cell>
          <cell r="W362">
            <v>0</v>
          </cell>
          <cell r="X362">
            <v>0</v>
          </cell>
          <cell r="Y362">
            <v>9.75</v>
          </cell>
          <cell r="Z362">
            <v>0</v>
          </cell>
          <cell r="AA362">
            <v>0</v>
          </cell>
          <cell r="AB362">
            <v>112.5</v>
          </cell>
          <cell r="AC362">
            <v>0</v>
          </cell>
          <cell r="AD362">
            <v>0</v>
          </cell>
          <cell r="AE362">
            <v>146.25</v>
          </cell>
          <cell r="AF362">
            <v>0</v>
          </cell>
          <cell r="AG362">
            <v>0</v>
          </cell>
          <cell r="AH362">
            <v>11.25</v>
          </cell>
          <cell r="AI362">
            <v>0</v>
          </cell>
          <cell r="AJ362">
            <v>0</v>
          </cell>
          <cell r="AK362">
            <v>97.5</v>
          </cell>
          <cell r="AL362">
            <v>0</v>
          </cell>
          <cell r="AM362">
            <v>0</v>
          </cell>
          <cell r="AN362">
            <v>126.75</v>
          </cell>
          <cell r="AO362">
            <v>0</v>
          </cell>
          <cell r="AP362">
            <v>0</v>
          </cell>
          <cell r="AQ362">
            <v>9.75</v>
          </cell>
          <cell r="AR362">
            <v>0</v>
          </cell>
          <cell r="AS362">
            <v>0</v>
          </cell>
          <cell r="AT362">
            <v>150</v>
          </cell>
          <cell r="AU362">
            <v>0</v>
          </cell>
          <cell r="AV362">
            <v>0</v>
          </cell>
          <cell r="AW362">
            <v>195</v>
          </cell>
          <cell r="AX362">
            <v>0</v>
          </cell>
          <cell r="AY362">
            <v>0</v>
          </cell>
          <cell r="AZ362">
            <v>15</v>
          </cell>
          <cell r="BA362">
            <v>0</v>
          </cell>
          <cell r="BB362">
            <v>0</v>
          </cell>
          <cell r="BC362">
            <v>75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7312.5</v>
          </cell>
        </row>
        <row r="363">
          <cell r="C363">
            <v>14121</v>
          </cell>
          <cell r="D363" t="str">
            <v>Fajilan, Renafe Faner</v>
          </cell>
          <cell r="E363">
            <v>80</v>
          </cell>
          <cell r="F363">
            <v>10</v>
          </cell>
          <cell r="G363">
            <v>600</v>
          </cell>
          <cell r="H363">
            <v>6000</v>
          </cell>
          <cell r="I363">
            <v>0</v>
          </cell>
          <cell r="J363">
            <v>1.25</v>
          </cell>
          <cell r="K363">
            <v>0</v>
          </cell>
          <cell r="L363">
            <v>20</v>
          </cell>
          <cell r="M363">
            <v>93.75</v>
          </cell>
          <cell r="N363">
            <v>1875</v>
          </cell>
          <cell r="O363">
            <v>0</v>
          </cell>
          <cell r="P363">
            <v>7.5</v>
          </cell>
          <cell r="Q363">
            <v>0</v>
          </cell>
          <cell r="R363">
            <v>0</v>
          </cell>
          <cell r="S363">
            <v>97.5</v>
          </cell>
          <cell r="T363">
            <v>0</v>
          </cell>
          <cell r="U363">
            <v>0</v>
          </cell>
          <cell r="V363">
            <v>126.75</v>
          </cell>
          <cell r="W363">
            <v>0</v>
          </cell>
          <cell r="X363">
            <v>0</v>
          </cell>
          <cell r="Y363">
            <v>9.75</v>
          </cell>
          <cell r="Z363">
            <v>0</v>
          </cell>
          <cell r="AA363">
            <v>0</v>
          </cell>
          <cell r="AB363">
            <v>112.5</v>
          </cell>
          <cell r="AC363">
            <v>0</v>
          </cell>
          <cell r="AD363">
            <v>0</v>
          </cell>
          <cell r="AE363">
            <v>146.25</v>
          </cell>
          <cell r="AF363">
            <v>0</v>
          </cell>
          <cell r="AG363">
            <v>0</v>
          </cell>
          <cell r="AH363">
            <v>11.25</v>
          </cell>
          <cell r="AI363">
            <v>0</v>
          </cell>
          <cell r="AJ363">
            <v>0</v>
          </cell>
          <cell r="AK363">
            <v>97.5</v>
          </cell>
          <cell r="AL363">
            <v>0</v>
          </cell>
          <cell r="AM363">
            <v>0</v>
          </cell>
          <cell r="AN363">
            <v>126.75</v>
          </cell>
          <cell r="AO363">
            <v>0</v>
          </cell>
          <cell r="AP363">
            <v>0</v>
          </cell>
          <cell r="AQ363">
            <v>9.75</v>
          </cell>
          <cell r="AR363">
            <v>0</v>
          </cell>
          <cell r="AS363">
            <v>0</v>
          </cell>
          <cell r="AT363">
            <v>150</v>
          </cell>
          <cell r="AU363">
            <v>0</v>
          </cell>
          <cell r="AV363">
            <v>0</v>
          </cell>
          <cell r="AW363">
            <v>195</v>
          </cell>
          <cell r="AX363">
            <v>0</v>
          </cell>
          <cell r="AY363">
            <v>0</v>
          </cell>
          <cell r="AZ363">
            <v>15</v>
          </cell>
          <cell r="BA363">
            <v>0</v>
          </cell>
          <cell r="BB363">
            <v>0</v>
          </cell>
          <cell r="BC363">
            <v>75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7875</v>
          </cell>
        </row>
        <row r="364">
          <cell r="C364">
            <v>6276</v>
          </cell>
          <cell r="D364" t="str">
            <v>Fernandez, Leonel Noble</v>
          </cell>
          <cell r="E364">
            <v>80</v>
          </cell>
          <cell r="F364">
            <v>10</v>
          </cell>
          <cell r="G364">
            <v>600</v>
          </cell>
          <cell r="H364">
            <v>6000</v>
          </cell>
          <cell r="I364">
            <v>0</v>
          </cell>
          <cell r="J364">
            <v>1.25</v>
          </cell>
          <cell r="K364">
            <v>0</v>
          </cell>
          <cell r="L364">
            <v>6</v>
          </cell>
          <cell r="M364">
            <v>93.75</v>
          </cell>
          <cell r="N364">
            <v>562.5</v>
          </cell>
          <cell r="O364">
            <v>24</v>
          </cell>
          <cell r="P364">
            <v>7.5</v>
          </cell>
          <cell r="Q364">
            <v>180</v>
          </cell>
          <cell r="R364">
            <v>0</v>
          </cell>
          <cell r="S364">
            <v>97.5</v>
          </cell>
          <cell r="T364">
            <v>0</v>
          </cell>
          <cell r="U364">
            <v>0</v>
          </cell>
          <cell r="V364">
            <v>126.75</v>
          </cell>
          <cell r="W364">
            <v>0</v>
          </cell>
          <cell r="X364">
            <v>0</v>
          </cell>
          <cell r="Y364">
            <v>9.75</v>
          </cell>
          <cell r="Z364">
            <v>0</v>
          </cell>
          <cell r="AA364">
            <v>0</v>
          </cell>
          <cell r="AB364">
            <v>112.5</v>
          </cell>
          <cell r="AC364">
            <v>0</v>
          </cell>
          <cell r="AD364">
            <v>0</v>
          </cell>
          <cell r="AE364">
            <v>146.25</v>
          </cell>
          <cell r="AF364">
            <v>0</v>
          </cell>
          <cell r="AG364">
            <v>0</v>
          </cell>
          <cell r="AH364">
            <v>11.25</v>
          </cell>
          <cell r="AI364">
            <v>0</v>
          </cell>
          <cell r="AJ364">
            <v>0</v>
          </cell>
          <cell r="AK364">
            <v>97.5</v>
          </cell>
          <cell r="AL364">
            <v>0</v>
          </cell>
          <cell r="AM364">
            <v>0</v>
          </cell>
          <cell r="AN364">
            <v>126.75</v>
          </cell>
          <cell r="AO364">
            <v>0</v>
          </cell>
          <cell r="AP364">
            <v>0</v>
          </cell>
          <cell r="AQ364">
            <v>9.75</v>
          </cell>
          <cell r="AR364">
            <v>0</v>
          </cell>
          <cell r="AS364">
            <v>0</v>
          </cell>
          <cell r="AT364">
            <v>150</v>
          </cell>
          <cell r="AU364">
            <v>0</v>
          </cell>
          <cell r="AV364">
            <v>0</v>
          </cell>
          <cell r="AW364">
            <v>195</v>
          </cell>
          <cell r="AX364">
            <v>0</v>
          </cell>
          <cell r="AY364">
            <v>0</v>
          </cell>
          <cell r="AZ364">
            <v>15</v>
          </cell>
          <cell r="BA364">
            <v>0</v>
          </cell>
          <cell r="BB364">
            <v>0</v>
          </cell>
          <cell r="BC364">
            <v>75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6742.5</v>
          </cell>
        </row>
        <row r="365">
          <cell r="C365">
            <v>12984</v>
          </cell>
          <cell r="D365" t="str">
            <v>Flaviano, Jessica Lacbay</v>
          </cell>
          <cell r="E365">
            <v>80</v>
          </cell>
          <cell r="F365">
            <v>10</v>
          </cell>
          <cell r="G365">
            <v>600</v>
          </cell>
          <cell r="H365">
            <v>6000</v>
          </cell>
          <cell r="I365">
            <v>0</v>
          </cell>
          <cell r="J365">
            <v>1.25</v>
          </cell>
          <cell r="K365">
            <v>0</v>
          </cell>
          <cell r="L365">
            <v>10</v>
          </cell>
          <cell r="M365">
            <v>93.75</v>
          </cell>
          <cell r="N365">
            <v>937.5</v>
          </cell>
          <cell r="O365">
            <v>26</v>
          </cell>
          <cell r="P365">
            <v>7.5</v>
          </cell>
          <cell r="Q365">
            <v>195</v>
          </cell>
          <cell r="R365">
            <v>0</v>
          </cell>
          <cell r="S365">
            <v>97.5</v>
          </cell>
          <cell r="T365">
            <v>0</v>
          </cell>
          <cell r="U365">
            <v>0</v>
          </cell>
          <cell r="V365">
            <v>126.75</v>
          </cell>
          <cell r="W365">
            <v>0</v>
          </cell>
          <cell r="X365">
            <v>0</v>
          </cell>
          <cell r="Y365">
            <v>9.75</v>
          </cell>
          <cell r="Z365">
            <v>0</v>
          </cell>
          <cell r="AA365">
            <v>0</v>
          </cell>
          <cell r="AB365">
            <v>112.5</v>
          </cell>
          <cell r="AC365">
            <v>0</v>
          </cell>
          <cell r="AD365">
            <v>0</v>
          </cell>
          <cell r="AE365">
            <v>146.25</v>
          </cell>
          <cell r="AF365">
            <v>0</v>
          </cell>
          <cell r="AG365">
            <v>0</v>
          </cell>
          <cell r="AH365">
            <v>11.25</v>
          </cell>
          <cell r="AI365">
            <v>0</v>
          </cell>
          <cell r="AJ365">
            <v>0</v>
          </cell>
          <cell r="AK365">
            <v>97.5</v>
          </cell>
          <cell r="AL365">
            <v>0</v>
          </cell>
          <cell r="AM365">
            <v>0</v>
          </cell>
          <cell r="AN365">
            <v>126.75</v>
          </cell>
          <cell r="AO365">
            <v>0</v>
          </cell>
          <cell r="AP365">
            <v>0</v>
          </cell>
          <cell r="AQ365">
            <v>9.75</v>
          </cell>
          <cell r="AR365">
            <v>0</v>
          </cell>
          <cell r="AS365">
            <v>0</v>
          </cell>
          <cell r="AT365">
            <v>150</v>
          </cell>
          <cell r="AU365">
            <v>0</v>
          </cell>
          <cell r="AV365">
            <v>0</v>
          </cell>
          <cell r="AW365">
            <v>195</v>
          </cell>
          <cell r="AX365">
            <v>0</v>
          </cell>
          <cell r="AY365">
            <v>0</v>
          </cell>
          <cell r="AZ365">
            <v>15</v>
          </cell>
          <cell r="BA365">
            <v>0</v>
          </cell>
          <cell r="BB365">
            <v>0</v>
          </cell>
          <cell r="BC365">
            <v>75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7132.5</v>
          </cell>
        </row>
        <row r="366">
          <cell r="C366">
            <v>12985</v>
          </cell>
          <cell r="D366" t="str">
            <v>Flores, Jayson Cañoneo</v>
          </cell>
          <cell r="E366">
            <v>80</v>
          </cell>
          <cell r="F366">
            <v>10</v>
          </cell>
          <cell r="G366">
            <v>600</v>
          </cell>
          <cell r="H366">
            <v>6000</v>
          </cell>
          <cell r="I366">
            <v>0</v>
          </cell>
          <cell r="J366">
            <v>1.25</v>
          </cell>
          <cell r="K366">
            <v>0</v>
          </cell>
          <cell r="L366">
            <v>4</v>
          </cell>
          <cell r="M366">
            <v>93.75</v>
          </cell>
          <cell r="N366">
            <v>375</v>
          </cell>
          <cell r="O366">
            <v>0</v>
          </cell>
          <cell r="P366">
            <v>7.5</v>
          </cell>
          <cell r="Q366">
            <v>0</v>
          </cell>
          <cell r="R366">
            <v>0</v>
          </cell>
          <cell r="S366">
            <v>97.5</v>
          </cell>
          <cell r="T366">
            <v>0</v>
          </cell>
          <cell r="U366">
            <v>0</v>
          </cell>
          <cell r="V366">
            <v>126.75</v>
          </cell>
          <cell r="W366">
            <v>0</v>
          </cell>
          <cell r="X366">
            <v>0</v>
          </cell>
          <cell r="Y366">
            <v>9.75</v>
          </cell>
          <cell r="Z366">
            <v>0</v>
          </cell>
          <cell r="AA366">
            <v>0</v>
          </cell>
          <cell r="AB366">
            <v>112.5</v>
          </cell>
          <cell r="AC366">
            <v>0</v>
          </cell>
          <cell r="AD366">
            <v>0</v>
          </cell>
          <cell r="AE366">
            <v>146.25</v>
          </cell>
          <cell r="AF366">
            <v>0</v>
          </cell>
          <cell r="AG366">
            <v>0</v>
          </cell>
          <cell r="AH366">
            <v>11.25</v>
          </cell>
          <cell r="AI366">
            <v>0</v>
          </cell>
          <cell r="AJ366">
            <v>0</v>
          </cell>
          <cell r="AK366">
            <v>97.5</v>
          </cell>
          <cell r="AL366">
            <v>0</v>
          </cell>
          <cell r="AM366">
            <v>0</v>
          </cell>
          <cell r="AN366">
            <v>126.75</v>
          </cell>
          <cell r="AO366">
            <v>0</v>
          </cell>
          <cell r="AP366">
            <v>0</v>
          </cell>
          <cell r="AQ366">
            <v>9.75</v>
          </cell>
          <cell r="AR366">
            <v>0</v>
          </cell>
          <cell r="AS366">
            <v>0</v>
          </cell>
          <cell r="AT366">
            <v>150</v>
          </cell>
          <cell r="AU366">
            <v>0</v>
          </cell>
          <cell r="AV366">
            <v>0</v>
          </cell>
          <cell r="AW366">
            <v>195</v>
          </cell>
          <cell r="AX366">
            <v>0</v>
          </cell>
          <cell r="AY366">
            <v>0</v>
          </cell>
          <cell r="AZ366">
            <v>15</v>
          </cell>
          <cell r="BA366">
            <v>0</v>
          </cell>
          <cell r="BB366">
            <v>0</v>
          </cell>
          <cell r="BC366">
            <v>75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6375</v>
          </cell>
        </row>
        <row r="367">
          <cell r="C367">
            <v>30254</v>
          </cell>
          <cell r="D367" t="str">
            <v>Flores, Joey Brasula</v>
          </cell>
          <cell r="E367">
            <v>80</v>
          </cell>
          <cell r="F367">
            <v>10</v>
          </cell>
          <cell r="G367">
            <v>600</v>
          </cell>
          <cell r="H367">
            <v>6000</v>
          </cell>
          <cell r="I367">
            <v>0</v>
          </cell>
          <cell r="J367">
            <v>1.25</v>
          </cell>
          <cell r="K367">
            <v>0</v>
          </cell>
          <cell r="L367">
            <v>4</v>
          </cell>
          <cell r="M367">
            <v>93.75</v>
          </cell>
          <cell r="N367">
            <v>375</v>
          </cell>
          <cell r="O367">
            <v>24</v>
          </cell>
          <cell r="P367">
            <v>7.5</v>
          </cell>
          <cell r="Q367">
            <v>180</v>
          </cell>
          <cell r="R367">
            <v>0</v>
          </cell>
          <cell r="S367">
            <v>97.5</v>
          </cell>
          <cell r="T367">
            <v>0</v>
          </cell>
          <cell r="U367">
            <v>0</v>
          </cell>
          <cell r="V367">
            <v>126.75</v>
          </cell>
          <cell r="W367">
            <v>0</v>
          </cell>
          <cell r="X367">
            <v>0</v>
          </cell>
          <cell r="Y367">
            <v>9.75</v>
          </cell>
          <cell r="Z367">
            <v>0</v>
          </cell>
          <cell r="AA367">
            <v>0</v>
          </cell>
          <cell r="AB367">
            <v>112.5</v>
          </cell>
          <cell r="AC367">
            <v>0</v>
          </cell>
          <cell r="AD367">
            <v>0</v>
          </cell>
          <cell r="AE367">
            <v>146.25</v>
          </cell>
          <cell r="AF367">
            <v>0</v>
          </cell>
          <cell r="AG367">
            <v>0</v>
          </cell>
          <cell r="AH367">
            <v>11.25</v>
          </cell>
          <cell r="AI367">
            <v>0</v>
          </cell>
          <cell r="AJ367">
            <v>0</v>
          </cell>
          <cell r="AK367">
            <v>97.5</v>
          </cell>
          <cell r="AL367">
            <v>0</v>
          </cell>
          <cell r="AM367">
            <v>0</v>
          </cell>
          <cell r="AN367">
            <v>126.75</v>
          </cell>
          <cell r="AO367">
            <v>0</v>
          </cell>
          <cell r="AP367">
            <v>0</v>
          </cell>
          <cell r="AQ367">
            <v>9.75</v>
          </cell>
          <cell r="AR367">
            <v>0</v>
          </cell>
          <cell r="AS367">
            <v>0</v>
          </cell>
          <cell r="AT367">
            <v>150</v>
          </cell>
          <cell r="AU367">
            <v>0</v>
          </cell>
          <cell r="AV367">
            <v>0</v>
          </cell>
          <cell r="AW367">
            <v>195</v>
          </cell>
          <cell r="AX367">
            <v>0</v>
          </cell>
          <cell r="AY367">
            <v>0</v>
          </cell>
          <cell r="AZ367">
            <v>15</v>
          </cell>
          <cell r="BA367">
            <v>0</v>
          </cell>
          <cell r="BB367">
            <v>0</v>
          </cell>
          <cell r="BC367">
            <v>75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6555</v>
          </cell>
        </row>
        <row r="368">
          <cell r="C368">
            <v>30753</v>
          </cell>
          <cell r="D368" t="str">
            <v>Floron, Joey Perpetua</v>
          </cell>
          <cell r="E368">
            <v>0</v>
          </cell>
          <cell r="F368">
            <v>0</v>
          </cell>
          <cell r="G368">
            <v>600</v>
          </cell>
          <cell r="H368">
            <v>0</v>
          </cell>
          <cell r="I368">
            <v>0</v>
          </cell>
          <cell r="J368">
            <v>1.25</v>
          </cell>
          <cell r="K368">
            <v>0</v>
          </cell>
          <cell r="L368">
            <v>0</v>
          </cell>
          <cell r="M368">
            <v>93.75</v>
          </cell>
          <cell r="N368">
            <v>0</v>
          </cell>
          <cell r="O368">
            <v>0</v>
          </cell>
          <cell r="P368">
            <v>7.5</v>
          </cell>
          <cell r="Q368">
            <v>0</v>
          </cell>
          <cell r="R368">
            <v>0</v>
          </cell>
          <cell r="S368">
            <v>97.5</v>
          </cell>
          <cell r="T368">
            <v>0</v>
          </cell>
          <cell r="U368">
            <v>0</v>
          </cell>
          <cell r="V368">
            <v>126.75</v>
          </cell>
          <cell r="W368">
            <v>0</v>
          </cell>
          <cell r="X368">
            <v>0</v>
          </cell>
          <cell r="Y368">
            <v>9.75</v>
          </cell>
          <cell r="Z368">
            <v>0</v>
          </cell>
          <cell r="AA368">
            <v>0</v>
          </cell>
          <cell r="AB368">
            <v>112.5</v>
          </cell>
          <cell r="AC368">
            <v>0</v>
          </cell>
          <cell r="AD368">
            <v>0</v>
          </cell>
          <cell r="AE368">
            <v>146.25</v>
          </cell>
          <cell r="AF368">
            <v>0</v>
          </cell>
          <cell r="AG368">
            <v>0</v>
          </cell>
          <cell r="AH368">
            <v>11.25</v>
          </cell>
          <cell r="AI368">
            <v>0</v>
          </cell>
          <cell r="AJ368">
            <v>0</v>
          </cell>
          <cell r="AK368">
            <v>97.5</v>
          </cell>
          <cell r="AL368">
            <v>0</v>
          </cell>
          <cell r="AM368">
            <v>0</v>
          </cell>
          <cell r="AN368">
            <v>126.75</v>
          </cell>
          <cell r="AO368">
            <v>0</v>
          </cell>
          <cell r="AP368">
            <v>0</v>
          </cell>
          <cell r="AQ368">
            <v>9.75</v>
          </cell>
          <cell r="AR368">
            <v>0</v>
          </cell>
          <cell r="AS368">
            <v>0</v>
          </cell>
          <cell r="AT368">
            <v>150</v>
          </cell>
          <cell r="AU368">
            <v>0</v>
          </cell>
          <cell r="AV368">
            <v>0</v>
          </cell>
          <cell r="AW368">
            <v>195</v>
          </cell>
          <cell r="AX368">
            <v>0</v>
          </cell>
          <cell r="AY368">
            <v>0</v>
          </cell>
          <cell r="AZ368">
            <v>15</v>
          </cell>
          <cell r="BA368">
            <v>0</v>
          </cell>
          <cell r="BB368">
            <v>0</v>
          </cell>
          <cell r="BC368">
            <v>75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</row>
        <row r="369">
          <cell r="C369">
            <v>6354</v>
          </cell>
          <cell r="D369" t="str">
            <v>Forte, Harlene Mae Frando</v>
          </cell>
          <cell r="E369">
            <v>80</v>
          </cell>
          <cell r="F369">
            <v>10</v>
          </cell>
          <cell r="G369">
            <v>600</v>
          </cell>
          <cell r="H369">
            <v>6000</v>
          </cell>
          <cell r="I369">
            <v>0</v>
          </cell>
          <cell r="J369">
            <v>1.25</v>
          </cell>
          <cell r="K369">
            <v>0</v>
          </cell>
          <cell r="L369">
            <v>10</v>
          </cell>
          <cell r="M369">
            <v>93.75</v>
          </cell>
          <cell r="N369">
            <v>937.5</v>
          </cell>
          <cell r="O369">
            <v>28</v>
          </cell>
          <cell r="P369">
            <v>7.5</v>
          </cell>
          <cell r="Q369">
            <v>210</v>
          </cell>
          <cell r="R369">
            <v>0</v>
          </cell>
          <cell r="S369">
            <v>97.5</v>
          </cell>
          <cell r="T369">
            <v>0</v>
          </cell>
          <cell r="U369">
            <v>0</v>
          </cell>
          <cell r="V369">
            <v>126.75</v>
          </cell>
          <cell r="W369">
            <v>0</v>
          </cell>
          <cell r="X369">
            <v>0</v>
          </cell>
          <cell r="Y369">
            <v>9.75</v>
          </cell>
          <cell r="Z369">
            <v>0</v>
          </cell>
          <cell r="AA369">
            <v>0</v>
          </cell>
          <cell r="AB369">
            <v>112.5</v>
          </cell>
          <cell r="AC369">
            <v>0</v>
          </cell>
          <cell r="AD369">
            <v>0</v>
          </cell>
          <cell r="AE369">
            <v>146.25</v>
          </cell>
          <cell r="AF369">
            <v>0</v>
          </cell>
          <cell r="AG369">
            <v>0</v>
          </cell>
          <cell r="AH369">
            <v>11.25</v>
          </cell>
          <cell r="AI369">
            <v>0</v>
          </cell>
          <cell r="AJ369">
            <v>0</v>
          </cell>
          <cell r="AK369">
            <v>97.5</v>
          </cell>
          <cell r="AL369">
            <v>0</v>
          </cell>
          <cell r="AM369">
            <v>0</v>
          </cell>
          <cell r="AN369">
            <v>126.75</v>
          </cell>
          <cell r="AO369">
            <v>0</v>
          </cell>
          <cell r="AP369">
            <v>0</v>
          </cell>
          <cell r="AQ369">
            <v>9.75</v>
          </cell>
          <cell r="AR369">
            <v>0</v>
          </cell>
          <cell r="AS369">
            <v>0</v>
          </cell>
          <cell r="AT369">
            <v>150</v>
          </cell>
          <cell r="AU369">
            <v>0</v>
          </cell>
          <cell r="AV369">
            <v>0</v>
          </cell>
          <cell r="AW369">
            <v>195</v>
          </cell>
          <cell r="AX369">
            <v>0</v>
          </cell>
          <cell r="AY369">
            <v>0</v>
          </cell>
          <cell r="AZ369">
            <v>15</v>
          </cell>
          <cell r="BA369">
            <v>0</v>
          </cell>
          <cell r="BB369">
            <v>0</v>
          </cell>
          <cell r="BC369">
            <v>75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7147.5</v>
          </cell>
        </row>
        <row r="370">
          <cell r="C370">
            <v>12990</v>
          </cell>
          <cell r="D370" t="str">
            <v>Fraga, Harly Cariao</v>
          </cell>
          <cell r="E370">
            <v>72</v>
          </cell>
          <cell r="F370">
            <v>9</v>
          </cell>
          <cell r="G370">
            <v>600</v>
          </cell>
          <cell r="H370">
            <v>5400</v>
          </cell>
          <cell r="I370">
            <v>0</v>
          </cell>
          <cell r="J370">
            <v>1.25</v>
          </cell>
          <cell r="K370">
            <v>0</v>
          </cell>
          <cell r="L370">
            <v>15</v>
          </cell>
          <cell r="M370">
            <v>93.75</v>
          </cell>
          <cell r="N370">
            <v>1406.25</v>
          </cell>
          <cell r="O370">
            <v>0</v>
          </cell>
          <cell r="P370">
            <v>7.5</v>
          </cell>
          <cell r="Q370">
            <v>0</v>
          </cell>
          <cell r="R370">
            <v>8</v>
          </cell>
          <cell r="S370">
            <v>97.5</v>
          </cell>
          <cell r="T370">
            <v>780</v>
          </cell>
          <cell r="U370">
            <v>0</v>
          </cell>
          <cell r="V370">
            <v>126.75</v>
          </cell>
          <cell r="W370">
            <v>0</v>
          </cell>
          <cell r="X370">
            <v>0</v>
          </cell>
          <cell r="Y370">
            <v>9.75</v>
          </cell>
          <cell r="Z370">
            <v>0</v>
          </cell>
          <cell r="AA370">
            <v>0</v>
          </cell>
          <cell r="AB370">
            <v>112.5</v>
          </cell>
          <cell r="AC370">
            <v>0</v>
          </cell>
          <cell r="AD370">
            <v>0</v>
          </cell>
          <cell r="AE370">
            <v>146.25</v>
          </cell>
          <cell r="AF370">
            <v>0</v>
          </cell>
          <cell r="AG370">
            <v>0</v>
          </cell>
          <cell r="AH370">
            <v>11.25</v>
          </cell>
          <cell r="AI370">
            <v>0</v>
          </cell>
          <cell r="AJ370">
            <v>0</v>
          </cell>
          <cell r="AK370">
            <v>97.5</v>
          </cell>
          <cell r="AL370">
            <v>0</v>
          </cell>
          <cell r="AM370">
            <v>0</v>
          </cell>
          <cell r="AN370">
            <v>126.75</v>
          </cell>
          <cell r="AO370">
            <v>0</v>
          </cell>
          <cell r="AP370">
            <v>0</v>
          </cell>
          <cell r="AQ370">
            <v>9.75</v>
          </cell>
          <cell r="AR370">
            <v>0</v>
          </cell>
          <cell r="AS370">
            <v>0</v>
          </cell>
          <cell r="AT370">
            <v>150</v>
          </cell>
          <cell r="AU370">
            <v>0</v>
          </cell>
          <cell r="AV370">
            <v>0</v>
          </cell>
          <cell r="AW370">
            <v>195</v>
          </cell>
          <cell r="AX370">
            <v>0</v>
          </cell>
          <cell r="AY370">
            <v>0</v>
          </cell>
          <cell r="AZ370">
            <v>15</v>
          </cell>
          <cell r="BA370">
            <v>0</v>
          </cell>
          <cell r="BB370">
            <v>0</v>
          </cell>
          <cell r="BC370">
            <v>75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7586.25</v>
          </cell>
        </row>
        <row r="371">
          <cell r="C371">
            <v>13646</v>
          </cell>
          <cell r="D371" t="str">
            <v>Gallego, Anna Jean Gallego</v>
          </cell>
          <cell r="E371">
            <v>80</v>
          </cell>
          <cell r="F371">
            <v>10</v>
          </cell>
          <cell r="G371">
            <v>600</v>
          </cell>
          <cell r="H371">
            <v>6000</v>
          </cell>
          <cell r="I371">
            <v>7</v>
          </cell>
          <cell r="J371">
            <v>1.25</v>
          </cell>
          <cell r="K371">
            <v>-8.75</v>
          </cell>
          <cell r="L371">
            <v>8</v>
          </cell>
          <cell r="M371">
            <v>93.75</v>
          </cell>
          <cell r="N371">
            <v>750</v>
          </cell>
          <cell r="O371">
            <v>0</v>
          </cell>
          <cell r="P371">
            <v>7.5</v>
          </cell>
          <cell r="Q371">
            <v>0</v>
          </cell>
          <cell r="R371">
            <v>0</v>
          </cell>
          <cell r="S371">
            <v>97.5</v>
          </cell>
          <cell r="T371">
            <v>0</v>
          </cell>
          <cell r="U371">
            <v>0</v>
          </cell>
          <cell r="V371">
            <v>126.75</v>
          </cell>
          <cell r="W371">
            <v>0</v>
          </cell>
          <cell r="X371">
            <v>0</v>
          </cell>
          <cell r="Y371">
            <v>9.75</v>
          </cell>
          <cell r="Z371">
            <v>0</v>
          </cell>
          <cell r="AA371">
            <v>0</v>
          </cell>
          <cell r="AB371">
            <v>112.5</v>
          </cell>
          <cell r="AC371">
            <v>0</v>
          </cell>
          <cell r="AD371">
            <v>0</v>
          </cell>
          <cell r="AE371">
            <v>146.25</v>
          </cell>
          <cell r="AF371">
            <v>0</v>
          </cell>
          <cell r="AG371">
            <v>0</v>
          </cell>
          <cell r="AH371">
            <v>11.25</v>
          </cell>
          <cell r="AI371">
            <v>0</v>
          </cell>
          <cell r="AJ371">
            <v>0</v>
          </cell>
          <cell r="AK371">
            <v>97.5</v>
          </cell>
          <cell r="AL371">
            <v>0</v>
          </cell>
          <cell r="AM371">
            <v>0</v>
          </cell>
          <cell r="AN371">
            <v>126.75</v>
          </cell>
          <cell r="AO371">
            <v>0</v>
          </cell>
          <cell r="AP371">
            <v>0</v>
          </cell>
          <cell r="AQ371">
            <v>9.75</v>
          </cell>
          <cell r="AR371">
            <v>0</v>
          </cell>
          <cell r="AS371">
            <v>0</v>
          </cell>
          <cell r="AT371">
            <v>150</v>
          </cell>
          <cell r="AU371">
            <v>0</v>
          </cell>
          <cell r="AV371">
            <v>0</v>
          </cell>
          <cell r="AW371">
            <v>195</v>
          </cell>
          <cell r="AX371">
            <v>0</v>
          </cell>
          <cell r="AY371">
            <v>0</v>
          </cell>
          <cell r="AZ371">
            <v>15</v>
          </cell>
          <cell r="BA371">
            <v>0</v>
          </cell>
          <cell r="BB371">
            <v>0</v>
          </cell>
          <cell r="BC371">
            <v>75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6741.25</v>
          </cell>
        </row>
        <row r="372">
          <cell r="C372">
            <v>14134</v>
          </cell>
          <cell r="D372" t="str">
            <v>Gamboa, Albert Yuson</v>
          </cell>
          <cell r="E372">
            <v>80</v>
          </cell>
          <cell r="F372">
            <v>10</v>
          </cell>
          <cell r="G372">
            <v>600</v>
          </cell>
          <cell r="H372">
            <v>6000</v>
          </cell>
          <cell r="I372">
            <v>0</v>
          </cell>
          <cell r="J372">
            <v>1.25</v>
          </cell>
          <cell r="K372">
            <v>0</v>
          </cell>
          <cell r="L372">
            <v>17</v>
          </cell>
          <cell r="M372">
            <v>93.75</v>
          </cell>
          <cell r="N372">
            <v>1593.75</v>
          </cell>
          <cell r="O372">
            <v>0</v>
          </cell>
          <cell r="P372">
            <v>7.5</v>
          </cell>
          <cell r="Q372">
            <v>0</v>
          </cell>
          <cell r="R372">
            <v>16</v>
          </cell>
          <cell r="S372">
            <v>97.5</v>
          </cell>
          <cell r="T372">
            <v>1560</v>
          </cell>
          <cell r="U372">
            <v>0</v>
          </cell>
          <cell r="V372">
            <v>126.75</v>
          </cell>
          <cell r="W372">
            <v>0</v>
          </cell>
          <cell r="X372">
            <v>0</v>
          </cell>
          <cell r="Y372">
            <v>9.75</v>
          </cell>
          <cell r="Z372">
            <v>0</v>
          </cell>
          <cell r="AA372">
            <v>0</v>
          </cell>
          <cell r="AB372">
            <v>112.5</v>
          </cell>
          <cell r="AC372">
            <v>0</v>
          </cell>
          <cell r="AD372">
            <v>0</v>
          </cell>
          <cell r="AE372">
            <v>146.25</v>
          </cell>
          <cell r="AF372">
            <v>0</v>
          </cell>
          <cell r="AG372">
            <v>0</v>
          </cell>
          <cell r="AH372">
            <v>11.25</v>
          </cell>
          <cell r="AI372">
            <v>0</v>
          </cell>
          <cell r="AJ372">
            <v>0</v>
          </cell>
          <cell r="AK372">
            <v>97.5</v>
          </cell>
          <cell r="AL372">
            <v>0</v>
          </cell>
          <cell r="AM372">
            <v>0</v>
          </cell>
          <cell r="AN372">
            <v>126.75</v>
          </cell>
          <cell r="AO372">
            <v>0</v>
          </cell>
          <cell r="AP372">
            <v>0</v>
          </cell>
          <cell r="AQ372">
            <v>9.75</v>
          </cell>
          <cell r="AR372">
            <v>0</v>
          </cell>
          <cell r="AS372">
            <v>0</v>
          </cell>
          <cell r="AT372">
            <v>150</v>
          </cell>
          <cell r="AU372">
            <v>0</v>
          </cell>
          <cell r="AV372">
            <v>0</v>
          </cell>
          <cell r="AW372">
            <v>195</v>
          </cell>
          <cell r="AX372">
            <v>0</v>
          </cell>
          <cell r="AY372">
            <v>0</v>
          </cell>
          <cell r="AZ372">
            <v>15</v>
          </cell>
          <cell r="BA372">
            <v>0</v>
          </cell>
          <cell r="BB372">
            <v>0</v>
          </cell>
          <cell r="BC372">
            <v>75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9153.75</v>
          </cell>
        </row>
        <row r="373">
          <cell r="C373">
            <v>12994</v>
          </cell>
          <cell r="D373" t="str">
            <v>Gamez, John Michael Abrenica</v>
          </cell>
          <cell r="E373">
            <v>80</v>
          </cell>
          <cell r="F373">
            <v>10</v>
          </cell>
          <cell r="G373">
            <v>600</v>
          </cell>
          <cell r="H373">
            <v>6000</v>
          </cell>
          <cell r="I373">
            <v>0</v>
          </cell>
          <cell r="J373">
            <v>1.25</v>
          </cell>
          <cell r="K373">
            <v>0</v>
          </cell>
          <cell r="L373">
            <v>14</v>
          </cell>
          <cell r="M373">
            <v>93.75</v>
          </cell>
          <cell r="N373">
            <v>1312.5</v>
          </cell>
          <cell r="O373">
            <v>0</v>
          </cell>
          <cell r="P373">
            <v>7.5</v>
          </cell>
          <cell r="Q373">
            <v>0</v>
          </cell>
          <cell r="R373">
            <v>0</v>
          </cell>
          <cell r="S373">
            <v>97.5</v>
          </cell>
          <cell r="T373">
            <v>0</v>
          </cell>
          <cell r="U373">
            <v>0</v>
          </cell>
          <cell r="V373">
            <v>126.75</v>
          </cell>
          <cell r="W373">
            <v>0</v>
          </cell>
          <cell r="X373">
            <v>0</v>
          </cell>
          <cell r="Y373">
            <v>9.75</v>
          </cell>
          <cell r="Z373">
            <v>0</v>
          </cell>
          <cell r="AA373">
            <v>0</v>
          </cell>
          <cell r="AB373">
            <v>112.5</v>
          </cell>
          <cell r="AC373">
            <v>0</v>
          </cell>
          <cell r="AD373">
            <v>0</v>
          </cell>
          <cell r="AE373">
            <v>146.25</v>
          </cell>
          <cell r="AF373">
            <v>0</v>
          </cell>
          <cell r="AG373">
            <v>0</v>
          </cell>
          <cell r="AH373">
            <v>11.25</v>
          </cell>
          <cell r="AI373">
            <v>0</v>
          </cell>
          <cell r="AJ373">
            <v>0</v>
          </cell>
          <cell r="AK373">
            <v>97.5</v>
          </cell>
          <cell r="AL373">
            <v>0</v>
          </cell>
          <cell r="AM373">
            <v>0</v>
          </cell>
          <cell r="AN373">
            <v>126.75</v>
          </cell>
          <cell r="AO373">
            <v>0</v>
          </cell>
          <cell r="AP373">
            <v>0</v>
          </cell>
          <cell r="AQ373">
            <v>9.75</v>
          </cell>
          <cell r="AR373">
            <v>0</v>
          </cell>
          <cell r="AS373">
            <v>0</v>
          </cell>
          <cell r="AT373">
            <v>150</v>
          </cell>
          <cell r="AU373">
            <v>0</v>
          </cell>
          <cell r="AV373">
            <v>0</v>
          </cell>
          <cell r="AW373">
            <v>195</v>
          </cell>
          <cell r="AX373">
            <v>0</v>
          </cell>
          <cell r="AY373">
            <v>0</v>
          </cell>
          <cell r="AZ373">
            <v>15</v>
          </cell>
          <cell r="BA373">
            <v>0</v>
          </cell>
          <cell r="BB373">
            <v>0</v>
          </cell>
          <cell r="BC373">
            <v>75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7312.5</v>
          </cell>
        </row>
        <row r="374">
          <cell r="C374">
            <v>11812</v>
          </cell>
          <cell r="D374" t="str">
            <v>Gamier, Richelle Catibog</v>
          </cell>
          <cell r="E374">
            <v>80</v>
          </cell>
          <cell r="F374">
            <v>10</v>
          </cell>
          <cell r="G374">
            <v>600</v>
          </cell>
          <cell r="H374">
            <v>6000</v>
          </cell>
          <cell r="I374">
            <v>0</v>
          </cell>
          <cell r="J374">
            <v>1.25</v>
          </cell>
          <cell r="K374">
            <v>0</v>
          </cell>
          <cell r="L374">
            <v>4</v>
          </cell>
          <cell r="M374">
            <v>93.75</v>
          </cell>
          <cell r="N374">
            <v>375</v>
          </cell>
          <cell r="O374">
            <v>0</v>
          </cell>
          <cell r="P374">
            <v>7.5</v>
          </cell>
          <cell r="Q374">
            <v>0</v>
          </cell>
          <cell r="R374">
            <v>0</v>
          </cell>
          <cell r="S374">
            <v>97.5</v>
          </cell>
          <cell r="T374">
            <v>0</v>
          </cell>
          <cell r="U374">
            <v>0</v>
          </cell>
          <cell r="V374">
            <v>126.75</v>
          </cell>
          <cell r="W374">
            <v>0</v>
          </cell>
          <cell r="X374">
            <v>0</v>
          </cell>
          <cell r="Y374">
            <v>9.75</v>
          </cell>
          <cell r="Z374">
            <v>0</v>
          </cell>
          <cell r="AA374">
            <v>0</v>
          </cell>
          <cell r="AB374">
            <v>112.5</v>
          </cell>
          <cell r="AC374">
            <v>0</v>
          </cell>
          <cell r="AD374">
            <v>0</v>
          </cell>
          <cell r="AE374">
            <v>146.25</v>
          </cell>
          <cell r="AF374">
            <v>0</v>
          </cell>
          <cell r="AG374">
            <v>0</v>
          </cell>
          <cell r="AH374">
            <v>11.25</v>
          </cell>
          <cell r="AI374">
            <v>0</v>
          </cell>
          <cell r="AJ374">
            <v>0</v>
          </cell>
          <cell r="AK374">
            <v>97.5</v>
          </cell>
          <cell r="AL374">
            <v>0</v>
          </cell>
          <cell r="AM374">
            <v>0</v>
          </cell>
          <cell r="AN374">
            <v>126.75</v>
          </cell>
          <cell r="AO374">
            <v>0</v>
          </cell>
          <cell r="AP374">
            <v>0</v>
          </cell>
          <cell r="AQ374">
            <v>9.75</v>
          </cell>
          <cell r="AR374">
            <v>0</v>
          </cell>
          <cell r="AS374">
            <v>0</v>
          </cell>
          <cell r="AT374">
            <v>150</v>
          </cell>
          <cell r="AU374">
            <v>0</v>
          </cell>
          <cell r="AV374">
            <v>0</v>
          </cell>
          <cell r="AW374">
            <v>195</v>
          </cell>
          <cell r="AX374">
            <v>0</v>
          </cell>
          <cell r="AY374">
            <v>0</v>
          </cell>
          <cell r="AZ374">
            <v>15</v>
          </cell>
          <cell r="BA374">
            <v>0</v>
          </cell>
          <cell r="BB374">
            <v>0</v>
          </cell>
          <cell r="BC374">
            <v>75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6375</v>
          </cell>
        </row>
        <row r="375">
          <cell r="C375">
            <v>14831</v>
          </cell>
          <cell r="D375" t="str">
            <v>Gamilla, Karen Niña Lazaro</v>
          </cell>
          <cell r="E375">
            <v>80</v>
          </cell>
          <cell r="F375">
            <v>10</v>
          </cell>
          <cell r="G375">
            <v>600</v>
          </cell>
          <cell r="H375">
            <v>6000</v>
          </cell>
          <cell r="I375">
            <v>0</v>
          </cell>
          <cell r="J375">
            <v>1.25</v>
          </cell>
          <cell r="K375">
            <v>0</v>
          </cell>
          <cell r="L375">
            <v>8</v>
          </cell>
          <cell r="M375">
            <v>93.75</v>
          </cell>
          <cell r="N375">
            <v>750</v>
          </cell>
          <cell r="O375">
            <v>42</v>
          </cell>
          <cell r="P375">
            <v>7.5</v>
          </cell>
          <cell r="Q375">
            <v>315</v>
          </cell>
          <cell r="R375">
            <v>0</v>
          </cell>
          <cell r="S375">
            <v>97.5</v>
          </cell>
          <cell r="T375">
            <v>0</v>
          </cell>
          <cell r="U375">
            <v>0</v>
          </cell>
          <cell r="V375">
            <v>126.75</v>
          </cell>
          <cell r="W375">
            <v>0</v>
          </cell>
          <cell r="X375">
            <v>0</v>
          </cell>
          <cell r="Y375">
            <v>9.75</v>
          </cell>
          <cell r="Z375">
            <v>0</v>
          </cell>
          <cell r="AA375">
            <v>0</v>
          </cell>
          <cell r="AB375">
            <v>112.5</v>
          </cell>
          <cell r="AC375">
            <v>0</v>
          </cell>
          <cell r="AD375">
            <v>0</v>
          </cell>
          <cell r="AE375">
            <v>146.25</v>
          </cell>
          <cell r="AF375">
            <v>0</v>
          </cell>
          <cell r="AG375">
            <v>0</v>
          </cell>
          <cell r="AH375">
            <v>11.25</v>
          </cell>
          <cell r="AI375">
            <v>0</v>
          </cell>
          <cell r="AJ375">
            <v>0</v>
          </cell>
          <cell r="AK375">
            <v>97.5</v>
          </cell>
          <cell r="AL375">
            <v>0</v>
          </cell>
          <cell r="AM375">
            <v>0</v>
          </cell>
          <cell r="AN375">
            <v>126.75</v>
          </cell>
          <cell r="AO375">
            <v>0</v>
          </cell>
          <cell r="AP375">
            <v>0</v>
          </cell>
          <cell r="AQ375">
            <v>9.75</v>
          </cell>
          <cell r="AR375">
            <v>0</v>
          </cell>
          <cell r="AS375">
            <v>0</v>
          </cell>
          <cell r="AT375">
            <v>150</v>
          </cell>
          <cell r="AU375">
            <v>0</v>
          </cell>
          <cell r="AV375">
            <v>0</v>
          </cell>
          <cell r="AW375">
            <v>195</v>
          </cell>
          <cell r="AX375">
            <v>0</v>
          </cell>
          <cell r="AY375">
            <v>0</v>
          </cell>
          <cell r="AZ375">
            <v>15</v>
          </cell>
          <cell r="BA375">
            <v>0</v>
          </cell>
          <cell r="BB375">
            <v>0</v>
          </cell>
          <cell r="BC375">
            <v>75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7065</v>
          </cell>
        </row>
        <row r="376">
          <cell r="C376">
            <v>7965</v>
          </cell>
          <cell r="D376" t="str">
            <v>Garcia, Fredelyn Mancera</v>
          </cell>
          <cell r="E376">
            <v>56</v>
          </cell>
          <cell r="F376">
            <v>7</v>
          </cell>
          <cell r="G376">
            <v>600</v>
          </cell>
          <cell r="H376">
            <v>4200</v>
          </cell>
          <cell r="I376">
            <v>3</v>
          </cell>
          <cell r="J376">
            <v>1.25</v>
          </cell>
          <cell r="K376">
            <v>-3.75</v>
          </cell>
          <cell r="L376">
            <v>7</v>
          </cell>
          <cell r="M376">
            <v>93.75</v>
          </cell>
          <cell r="N376">
            <v>656.25</v>
          </cell>
          <cell r="O376">
            <v>27</v>
          </cell>
          <cell r="P376">
            <v>7.5</v>
          </cell>
          <cell r="Q376">
            <v>202.5</v>
          </cell>
          <cell r="R376">
            <v>0</v>
          </cell>
          <cell r="S376">
            <v>97.5</v>
          </cell>
          <cell r="T376">
            <v>0</v>
          </cell>
          <cell r="U376">
            <v>0</v>
          </cell>
          <cell r="V376">
            <v>126.75</v>
          </cell>
          <cell r="W376">
            <v>0</v>
          </cell>
          <cell r="X376">
            <v>0</v>
          </cell>
          <cell r="Y376">
            <v>9.75</v>
          </cell>
          <cell r="Z376">
            <v>0</v>
          </cell>
          <cell r="AA376">
            <v>0</v>
          </cell>
          <cell r="AB376">
            <v>112.5</v>
          </cell>
          <cell r="AC376">
            <v>0</v>
          </cell>
          <cell r="AD376">
            <v>0</v>
          </cell>
          <cell r="AE376">
            <v>146.25</v>
          </cell>
          <cell r="AF376">
            <v>0</v>
          </cell>
          <cell r="AG376">
            <v>0</v>
          </cell>
          <cell r="AH376">
            <v>11.25</v>
          </cell>
          <cell r="AI376">
            <v>0</v>
          </cell>
          <cell r="AJ376">
            <v>0</v>
          </cell>
          <cell r="AK376">
            <v>97.5</v>
          </cell>
          <cell r="AL376">
            <v>0</v>
          </cell>
          <cell r="AM376">
            <v>0</v>
          </cell>
          <cell r="AN376">
            <v>126.75</v>
          </cell>
          <cell r="AO376">
            <v>0</v>
          </cell>
          <cell r="AP376">
            <v>0</v>
          </cell>
          <cell r="AQ376">
            <v>9.75</v>
          </cell>
          <cell r="AR376">
            <v>0</v>
          </cell>
          <cell r="AS376">
            <v>0</v>
          </cell>
          <cell r="AT376">
            <v>150</v>
          </cell>
          <cell r="AU376">
            <v>0</v>
          </cell>
          <cell r="AV376">
            <v>0</v>
          </cell>
          <cell r="AW376">
            <v>195</v>
          </cell>
          <cell r="AX376">
            <v>0</v>
          </cell>
          <cell r="AY376">
            <v>0</v>
          </cell>
          <cell r="AZ376">
            <v>15</v>
          </cell>
          <cell r="BA376">
            <v>0</v>
          </cell>
          <cell r="BB376">
            <v>0</v>
          </cell>
          <cell r="BC376">
            <v>75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5055</v>
          </cell>
        </row>
        <row r="377">
          <cell r="C377">
            <v>13000</v>
          </cell>
          <cell r="D377" t="str">
            <v>Garcia, Khimberly Marco</v>
          </cell>
          <cell r="E377">
            <v>80</v>
          </cell>
          <cell r="F377">
            <v>10</v>
          </cell>
          <cell r="G377">
            <v>600</v>
          </cell>
          <cell r="H377">
            <v>6000</v>
          </cell>
          <cell r="I377">
            <v>0</v>
          </cell>
          <cell r="J377">
            <v>1.25</v>
          </cell>
          <cell r="K377">
            <v>0</v>
          </cell>
          <cell r="L377">
            <v>17</v>
          </cell>
          <cell r="M377">
            <v>93.75</v>
          </cell>
          <cell r="N377">
            <v>1593.75</v>
          </cell>
          <cell r="O377">
            <v>28</v>
          </cell>
          <cell r="P377">
            <v>7.5</v>
          </cell>
          <cell r="Q377">
            <v>210</v>
          </cell>
          <cell r="R377">
            <v>0</v>
          </cell>
          <cell r="S377">
            <v>97.5</v>
          </cell>
          <cell r="T377">
            <v>0</v>
          </cell>
          <cell r="U377">
            <v>0</v>
          </cell>
          <cell r="V377">
            <v>126.75</v>
          </cell>
          <cell r="W377">
            <v>0</v>
          </cell>
          <cell r="X377">
            <v>0</v>
          </cell>
          <cell r="Y377">
            <v>9.75</v>
          </cell>
          <cell r="Z377">
            <v>0</v>
          </cell>
          <cell r="AA377">
            <v>0</v>
          </cell>
          <cell r="AB377">
            <v>112.5</v>
          </cell>
          <cell r="AC377">
            <v>0</v>
          </cell>
          <cell r="AD377">
            <v>0</v>
          </cell>
          <cell r="AE377">
            <v>146.25</v>
          </cell>
          <cell r="AF377">
            <v>0</v>
          </cell>
          <cell r="AG377">
            <v>0</v>
          </cell>
          <cell r="AH377">
            <v>11.25</v>
          </cell>
          <cell r="AI377">
            <v>0</v>
          </cell>
          <cell r="AJ377">
            <v>0</v>
          </cell>
          <cell r="AK377">
            <v>97.5</v>
          </cell>
          <cell r="AL377">
            <v>0</v>
          </cell>
          <cell r="AM377">
            <v>0</v>
          </cell>
          <cell r="AN377">
            <v>126.75</v>
          </cell>
          <cell r="AO377">
            <v>0</v>
          </cell>
          <cell r="AP377">
            <v>0</v>
          </cell>
          <cell r="AQ377">
            <v>9.75</v>
          </cell>
          <cell r="AR377">
            <v>0</v>
          </cell>
          <cell r="AS377">
            <v>0</v>
          </cell>
          <cell r="AT377">
            <v>150</v>
          </cell>
          <cell r="AU377">
            <v>0</v>
          </cell>
          <cell r="AV377">
            <v>0</v>
          </cell>
          <cell r="AW377">
            <v>195</v>
          </cell>
          <cell r="AX377">
            <v>0</v>
          </cell>
          <cell r="AY377">
            <v>0</v>
          </cell>
          <cell r="AZ377">
            <v>15</v>
          </cell>
          <cell r="BA377">
            <v>0</v>
          </cell>
          <cell r="BB377">
            <v>0</v>
          </cell>
          <cell r="BC377">
            <v>75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7803.75</v>
          </cell>
        </row>
        <row r="378">
          <cell r="C378">
            <v>7241</v>
          </cell>
          <cell r="D378" t="str">
            <v>Garcia, Mary Jane Gonzalvo</v>
          </cell>
          <cell r="E378">
            <v>88</v>
          </cell>
          <cell r="F378">
            <v>11</v>
          </cell>
          <cell r="G378">
            <v>600</v>
          </cell>
          <cell r="H378">
            <v>6600</v>
          </cell>
          <cell r="I378">
            <v>0</v>
          </cell>
          <cell r="J378">
            <v>1.25</v>
          </cell>
          <cell r="K378">
            <v>0</v>
          </cell>
          <cell r="L378">
            <v>16</v>
          </cell>
          <cell r="M378">
            <v>93.75</v>
          </cell>
          <cell r="N378">
            <v>1500</v>
          </cell>
          <cell r="O378">
            <v>54</v>
          </cell>
          <cell r="P378">
            <v>7.5</v>
          </cell>
          <cell r="Q378">
            <v>405</v>
          </cell>
          <cell r="R378">
            <v>0</v>
          </cell>
          <cell r="S378">
            <v>97.5</v>
          </cell>
          <cell r="T378">
            <v>0</v>
          </cell>
          <cell r="U378">
            <v>0</v>
          </cell>
          <cell r="V378">
            <v>126.75</v>
          </cell>
          <cell r="W378">
            <v>0</v>
          </cell>
          <cell r="X378">
            <v>0</v>
          </cell>
          <cell r="Y378">
            <v>9.75</v>
          </cell>
          <cell r="Z378">
            <v>0</v>
          </cell>
          <cell r="AA378">
            <v>0</v>
          </cell>
          <cell r="AB378">
            <v>112.5</v>
          </cell>
          <cell r="AC378">
            <v>0</v>
          </cell>
          <cell r="AD378">
            <v>0</v>
          </cell>
          <cell r="AE378">
            <v>146.25</v>
          </cell>
          <cell r="AF378">
            <v>0</v>
          </cell>
          <cell r="AG378">
            <v>0</v>
          </cell>
          <cell r="AH378">
            <v>11.25</v>
          </cell>
          <cell r="AI378">
            <v>0</v>
          </cell>
          <cell r="AJ378">
            <v>0</v>
          </cell>
          <cell r="AK378">
            <v>97.5</v>
          </cell>
          <cell r="AL378">
            <v>0</v>
          </cell>
          <cell r="AM378">
            <v>0</v>
          </cell>
          <cell r="AN378">
            <v>126.75</v>
          </cell>
          <cell r="AO378">
            <v>0</v>
          </cell>
          <cell r="AP378">
            <v>0</v>
          </cell>
          <cell r="AQ378">
            <v>9.75</v>
          </cell>
          <cell r="AR378">
            <v>0</v>
          </cell>
          <cell r="AS378">
            <v>0</v>
          </cell>
          <cell r="AT378">
            <v>150</v>
          </cell>
          <cell r="AU378">
            <v>0</v>
          </cell>
          <cell r="AV378">
            <v>0</v>
          </cell>
          <cell r="AW378">
            <v>195</v>
          </cell>
          <cell r="AX378">
            <v>0</v>
          </cell>
          <cell r="AY378">
            <v>0</v>
          </cell>
          <cell r="AZ378">
            <v>15</v>
          </cell>
          <cell r="BA378">
            <v>0</v>
          </cell>
          <cell r="BB378">
            <v>0</v>
          </cell>
          <cell r="BC378">
            <v>75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8505</v>
          </cell>
        </row>
        <row r="379">
          <cell r="C379">
            <v>14205</v>
          </cell>
          <cell r="D379" t="str">
            <v>Geronimo, Zuzeine</v>
          </cell>
          <cell r="E379">
            <v>80</v>
          </cell>
          <cell r="F379">
            <v>10</v>
          </cell>
          <cell r="G379">
            <v>600</v>
          </cell>
          <cell r="H379">
            <v>6000</v>
          </cell>
          <cell r="I379">
            <v>0</v>
          </cell>
          <cell r="J379">
            <v>1.25</v>
          </cell>
          <cell r="K379">
            <v>0</v>
          </cell>
          <cell r="L379">
            <v>6</v>
          </cell>
          <cell r="M379">
            <v>93.75</v>
          </cell>
          <cell r="N379">
            <v>562.5</v>
          </cell>
          <cell r="O379">
            <v>28</v>
          </cell>
          <cell r="P379">
            <v>7.5</v>
          </cell>
          <cell r="Q379">
            <v>210</v>
          </cell>
          <cell r="R379">
            <v>0</v>
          </cell>
          <cell r="S379">
            <v>97.5</v>
          </cell>
          <cell r="T379">
            <v>0</v>
          </cell>
          <cell r="U379">
            <v>0</v>
          </cell>
          <cell r="V379">
            <v>126.75</v>
          </cell>
          <cell r="W379">
            <v>0</v>
          </cell>
          <cell r="X379">
            <v>0</v>
          </cell>
          <cell r="Y379">
            <v>9.75</v>
          </cell>
          <cell r="Z379">
            <v>0</v>
          </cell>
          <cell r="AA379">
            <v>0</v>
          </cell>
          <cell r="AB379">
            <v>112.5</v>
          </cell>
          <cell r="AC379">
            <v>0</v>
          </cell>
          <cell r="AD379">
            <v>0</v>
          </cell>
          <cell r="AE379">
            <v>146.25</v>
          </cell>
          <cell r="AF379">
            <v>0</v>
          </cell>
          <cell r="AG379">
            <v>0</v>
          </cell>
          <cell r="AH379">
            <v>11.25</v>
          </cell>
          <cell r="AI379">
            <v>0</v>
          </cell>
          <cell r="AJ379">
            <v>0</v>
          </cell>
          <cell r="AK379">
            <v>97.5</v>
          </cell>
          <cell r="AL379">
            <v>0</v>
          </cell>
          <cell r="AM379">
            <v>0</v>
          </cell>
          <cell r="AN379">
            <v>126.75</v>
          </cell>
          <cell r="AO379">
            <v>0</v>
          </cell>
          <cell r="AP379">
            <v>0</v>
          </cell>
          <cell r="AQ379">
            <v>9.75</v>
          </cell>
          <cell r="AR379">
            <v>0</v>
          </cell>
          <cell r="AS379">
            <v>0</v>
          </cell>
          <cell r="AT379">
            <v>150</v>
          </cell>
          <cell r="AU379">
            <v>0</v>
          </cell>
          <cell r="AV379">
            <v>0</v>
          </cell>
          <cell r="AW379">
            <v>195</v>
          </cell>
          <cell r="AX379">
            <v>0</v>
          </cell>
          <cell r="AY379">
            <v>0</v>
          </cell>
          <cell r="AZ379">
            <v>15</v>
          </cell>
          <cell r="BA379">
            <v>0</v>
          </cell>
          <cell r="BB379">
            <v>0</v>
          </cell>
          <cell r="BC379">
            <v>75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6772.5</v>
          </cell>
        </row>
        <row r="380">
          <cell r="C380">
            <v>14541</v>
          </cell>
          <cell r="D380" t="str">
            <v>Gida, Christian Laurente</v>
          </cell>
          <cell r="E380">
            <v>80</v>
          </cell>
          <cell r="F380">
            <v>10</v>
          </cell>
          <cell r="G380">
            <v>600</v>
          </cell>
          <cell r="H380">
            <v>6000</v>
          </cell>
          <cell r="I380">
            <v>0</v>
          </cell>
          <cell r="J380">
            <v>1.25</v>
          </cell>
          <cell r="K380">
            <v>0</v>
          </cell>
          <cell r="L380">
            <v>11</v>
          </cell>
          <cell r="M380">
            <v>93.75</v>
          </cell>
          <cell r="N380">
            <v>1031.25</v>
          </cell>
          <cell r="O380">
            <v>28</v>
          </cell>
          <cell r="P380">
            <v>7.5</v>
          </cell>
          <cell r="Q380">
            <v>210</v>
          </cell>
          <cell r="R380">
            <v>0</v>
          </cell>
          <cell r="S380">
            <v>97.5</v>
          </cell>
          <cell r="T380">
            <v>0</v>
          </cell>
          <cell r="U380">
            <v>0</v>
          </cell>
          <cell r="V380">
            <v>126.75</v>
          </cell>
          <cell r="W380">
            <v>0</v>
          </cell>
          <cell r="X380">
            <v>0</v>
          </cell>
          <cell r="Y380">
            <v>9.75</v>
          </cell>
          <cell r="Z380">
            <v>0</v>
          </cell>
          <cell r="AA380">
            <v>0</v>
          </cell>
          <cell r="AB380">
            <v>112.5</v>
          </cell>
          <cell r="AC380">
            <v>0</v>
          </cell>
          <cell r="AD380">
            <v>0</v>
          </cell>
          <cell r="AE380">
            <v>146.25</v>
          </cell>
          <cell r="AF380">
            <v>0</v>
          </cell>
          <cell r="AG380">
            <v>0</v>
          </cell>
          <cell r="AH380">
            <v>11.25</v>
          </cell>
          <cell r="AI380">
            <v>0</v>
          </cell>
          <cell r="AJ380">
            <v>0</v>
          </cell>
          <cell r="AK380">
            <v>97.5</v>
          </cell>
          <cell r="AL380">
            <v>0</v>
          </cell>
          <cell r="AM380">
            <v>0</v>
          </cell>
          <cell r="AN380">
            <v>126.75</v>
          </cell>
          <cell r="AO380">
            <v>0</v>
          </cell>
          <cell r="AP380">
            <v>0</v>
          </cell>
          <cell r="AQ380">
            <v>9.75</v>
          </cell>
          <cell r="AR380">
            <v>0</v>
          </cell>
          <cell r="AS380">
            <v>0</v>
          </cell>
          <cell r="AT380">
            <v>150</v>
          </cell>
          <cell r="AU380">
            <v>0</v>
          </cell>
          <cell r="AV380">
            <v>0</v>
          </cell>
          <cell r="AW380">
            <v>195</v>
          </cell>
          <cell r="AX380">
            <v>0</v>
          </cell>
          <cell r="AY380">
            <v>0</v>
          </cell>
          <cell r="AZ380">
            <v>15</v>
          </cell>
          <cell r="BA380">
            <v>0</v>
          </cell>
          <cell r="BB380">
            <v>0</v>
          </cell>
          <cell r="BC380">
            <v>75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7241.25</v>
          </cell>
        </row>
        <row r="381">
          <cell r="C381">
            <v>14207</v>
          </cell>
          <cell r="D381" t="str">
            <v>Glor, Ron Ron Robles</v>
          </cell>
          <cell r="E381">
            <v>88</v>
          </cell>
          <cell r="F381">
            <v>11</v>
          </cell>
          <cell r="G381">
            <v>600</v>
          </cell>
          <cell r="H381">
            <v>6600</v>
          </cell>
          <cell r="I381">
            <v>0</v>
          </cell>
          <cell r="J381">
            <v>1.25</v>
          </cell>
          <cell r="K381">
            <v>0</v>
          </cell>
          <cell r="L381">
            <v>15</v>
          </cell>
          <cell r="M381">
            <v>93.75</v>
          </cell>
          <cell r="N381">
            <v>1406.25</v>
          </cell>
          <cell r="O381">
            <v>52</v>
          </cell>
          <cell r="P381">
            <v>7.5</v>
          </cell>
          <cell r="Q381">
            <v>390</v>
          </cell>
          <cell r="R381">
            <v>0</v>
          </cell>
          <cell r="S381">
            <v>97.5</v>
          </cell>
          <cell r="T381">
            <v>0</v>
          </cell>
          <cell r="U381">
            <v>0</v>
          </cell>
          <cell r="V381">
            <v>126.75</v>
          </cell>
          <cell r="W381">
            <v>0</v>
          </cell>
          <cell r="X381">
            <v>0</v>
          </cell>
          <cell r="Y381">
            <v>9.75</v>
          </cell>
          <cell r="Z381">
            <v>0</v>
          </cell>
          <cell r="AA381">
            <v>0</v>
          </cell>
          <cell r="AB381">
            <v>112.5</v>
          </cell>
          <cell r="AC381">
            <v>0</v>
          </cell>
          <cell r="AD381">
            <v>0</v>
          </cell>
          <cell r="AE381">
            <v>146.25</v>
          </cell>
          <cell r="AF381">
            <v>0</v>
          </cell>
          <cell r="AG381">
            <v>0</v>
          </cell>
          <cell r="AH381">
            <v>11.25</v>
          </cell>
          <cell r="AI381">
            <v>0</v>
          </cell>
          <cell r="AJ381">
            <v>0</v>
          </cell>
          <cell r="AK381">
            <v>97.5</v>
          </cell>
          <cell r="AL381">
            <v>0</v>
          </cell>
          <cell r="AM381">
            <v>0</v>
          </cell>
          <cell r="AN381">
            <v>126.75</v>
          </cell>
          <cell r="AO381">
            <v>0</v>
          </cell>
          <cell r="AP381">
            <v>0</v>
          </cell>
          <cell r="AQ381">
            <v>9.75</v>
          </cell>
          <cell r="AR381">
            <v>0</v>
          </cell>
          <cell r="AS381">
            <v>0</v>
          </cell>
          <cell r="AT381">
            <v>150</v>
          </cell>
          <cell r="AU381">
            <v>0</v>
          </cell>
          <cell r="AV381">
            <v>0</v>
          </cell>
          <cell r="AW381">
            <v>195</v>
          </cell>
          <cell r="AX381">
            <v>0</v>
          </cell>
          <cell r="AY381">
            <v>0</v>
          </cell>
          <cell r="AZ381">
            <v>15</v>
          </cell>
          <cell r="BA381">
            <v>0</v>
          </cell>
          <cell r="BB381">
            <v>0</v>
          </cell>
          <cell r="BC381">
            <v>75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8396.25</v>
          </cell>
        </row>
        <row r="382">
          <cell r="C382">
            <v>5582</v>
          </cell>
          <cell r="D382" t="str">
            <v>Gonzalvo, Jennelyn Hernandez</v>
          </cell>
          <cell r="E382">
            <v>88</v>
          </cell>
          <cell r="F382">
            <v>11</v>
          </cell>
          <cell r="G382">
            <v>600</v>
          </cell>
          <cell r="H382">
            <v>6600</v>
          </cell>
          <cell r="I382">
            <v>0</v>
          </cell>
          <cell r="J382">
            <v>1.25</v>
          </cell>
          <cell r="K382">
            <v>0</v>
          </cell>
          <cell r="L382">
            <v>14</v>
          </cell>
          <cell r="M382">
            <v>93.75</v>
          </cell>
          <cell r="N382">
            <v>1312.5</v>
          </cell>
          <cell r="O382">
            <v>52</v>
          </cell>
          <cell r="P382">
            <v>7.5</v>
          </cell>
          <cell r="Q382">
            <v>390</v>
          </cell>
          <cell r="R382">
            <v>0</v>
          </cell>
          <cell r="S382">
            <v>97.5</v>
          </cell>
          <cell r="T382">
            <v>0</v>
          </cell>
          <cell r="U382">
            <v>0</v>
          </cell>
          <cell r="V382">
            <v>126.75</v>
          </cell>
          <cell r="W382">
            <v>0</v>
          </cell>
          <cell r="X382">
            <v>0</v>
          </cell>
          <cell r="Y382">
            <v>9.75</v>
          </cell>
          <cell r="Z382">
            <v>0</v>
          </cell>
          <cell r="AA382">
            <v>0</v>
          </cell>
          <cell r="AB382">
            <v>112.5</v>
          </cell>
          <cell r="AC382">
            <v>0</v>
          </cell>
          <cell r="AD382">
            <v>0</v>
          </cell>
          <cell r="AE382">
            <v>146.25</v>
          </cell>
          <cell r="AF382">
            <v>0</v>
          </cell>
          <cell r="AG382">
            <v>0</v>
          </cell>
          <cell r="AH382">
            <v>11.25</v>
          </cell>
          <cell r="AI382">
            <v>0</v>
          </cell>
          <cell r="AJ382">
            <v>0</v>
          </cell>
          <cell r="AK382">
            <v>97.5</v>
          </cell>
          <cell r="AL382">
            <v>0</v>
          </cell>
          <cell r="AM382">
            <v>0</v>
          </cell>
          <cell r="AN382">
            <v>126.75</v>
          </cell>
          <cell r="AO382">
            <v>0</v>
          </cell>
          <cell r="AP382">
            <v>0</v>
          </cell>
          <cell r="AQ382">
            <v>9.75</v>
          </cell>
          <cell r="AR382">
            <v>0</v>
          </cell>
          <cell r="AS382">
            <v>0</v>
          </cell>
          <cell r="AT382">
            <v>150</v>
          </cell>
          <cell r="AU382">
            <v>0</v>
          </cell>
          <cell r="AV382">
            <v>0</v>
          </cell>
          <cell r="AW382">
            <v>195</v>
          </cell>
          <cell r="AX382">
            <v>0</v>
          </cell>
          <cell r="AY382">
            <v>0</v>
          </cell>
          <cell r="AZ382">
            <v>15</v>
          </cell>
          <cell r="BA382">
            <v>0</v>
          </cell>
          <cell r="BB382">
            <v>0</v>
          </cell>
          <cell r="BC382">
            <v>75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8302.5</v>
          </cell>
        </row>
        <row r="383">
          <cell r="C383">
            <v>5456</v>
          </cell>
          <cell r="D383" t="str">
            <v>Gonzalvo, Marivic Gonzalvo</v>
          </cell>
          <cell r="E383">
            <v>76</v>
          </cell>
          <cell r="F383">
            <v>9.5</v>
          </cell>
          <cell r="G383">
            <v>600</v>
          </cell>
          <cell r="H383">
            <v>5700</v>
          </cell>
          <cell r="I383">
            <v>0</v>
          </cell>
          <cell r="J383">
            <v>1.25</v>
          </cell>
          <cell r="K383">
            <v>0</v>
          </cell>
          <cell r="L383">
            <v>15</v>
          </cell>
          <cell r="M383">
            <v>93.75</v>
          </cell>
          <cell r="N383">
            <v>1406.25</v>
          </cell>
          <cell r="O383">
            <v>31</v>
          </cell>
          <cell r="P383">
            <v>7.5</v>
          </cell>
          <cell r="Q383">
            <v>232.5</v>
          </cell>
          <cell r="R383">
            <v>0</v>
          </cell>
          <cell r="S383">
            <v>97.5</v>
          </cell>
          <cell r="T383">
            <v>0</v>
          </cell>
          <cell r="U383">
            <v>0</v>
          </cell>
          <cell r="V383">
            <v>126.75</v>
          </cell>
          <cell r="W383">
            <v>0</v>
          </cell>
          <cell r="X383">
            <v>0</v>
          </cell>
          <cell r="Y383">
            <v>9.75</v>
          </cell>
          <cell r="Z383">
            <v>0</v>
          </cell>
          <cell r="AA383">
            <v>0</v>
          </cell>
          <cell r="AB383">
            <v>112.5</v>
          </cell>
          <cell r="AC383">
            <v>0</v>
          </cell>
          <cell r="AD383">
            <v>0</v>
          </cell>
          <cell r="AE383">
            <v>146.25</v>
          </cell>
          <cell r="AF383">
            <v>0</v>
          </cell>
          <cell r="AG383">
            <v>0</v>
          </cell>
          <cell r="AH383">
            <v>11.25</v>
          </cell>
          <cell r="AI383">
            <v>0</v>
          </cell>
          <cell r="AJ383">
            <v>0</v>
          </cell>
          <cell r="AK383">
            <v>97.5</v>
          </cell>
          <cell r="AL383">
            <v>0</v>
          </cell>
          <cell r="AM383">
            <v>0</v>
          </cell>
          <cell r="AN383">
            <v>126.75</v>
          </cell>
          <cell r="AO383">
            <v>0</v>
          </cell>
          <cell r="AP383">
            <v>0</v>
          </cell>
          <cell r="AQ383">
            <v>9.75</v>
          </cell>
          <cell r="AR383">
            <v>0</v>
          </cell>
          <cell r="AS383">
            <v>0</v>
          </cell>
          <cell r="AT383">
            <v>150</v>
          </cell>
          <cell r="AU383">
            <v>0</v>
          </cell>
          <cell r="AV383">
            <v>0</v>
          </cell>
          <cell r="AW383">
            <v>195</v>
          </cell>
          <cell r="AX383">
            <v>0</v>
          </cell>
          <cell r="AY383">
            <v>0</v>
          </cell>
          <cell r="AZ383">
            <v>15</v>
          </cell>
          <cell r="BA383">
            <v>0</v>
          </cell>
          <cell r="BB383">
            <v>0</v>
          </cell>
          <cell r="BC383">
            <v>75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7338.75</v>
          </cell>
        </row>
        <row r="384">
          <cell r="C384">
            <v>14211</v>
          </cell>
          <cell r="D384" t="str">
            <v>Gordo, Ma.Leona Tuscano</v>
          </cell>
          <cell r="E384">
            <v>80</v>
          </cell>
          <cell r="F384">
            <v>10</v>
          </cell>
          <cell r="G384">
            <v>600</v>
          </cell>
          <cell r="H384">
            <v>6000</v>
          </cell>
          <cell r="I384">
            <v>0</v>
          </cell>
          <cell r="J384">
            <v>1.25</v>
          </cell>
          <cell r="K384">
            <v>0</v>
          </cell>
          <cell r="L384">
            <v>2</v>
          </cell>
          <cell r="M384">
            <v>93.75</v>
          </cell>
          <cell r="N384">
            <v>187.5</v>
          </cell>
          <cell r="O384">
            <v>0</v>
          </cell>
          <cell r="P384">
            <v>7.5</v>
          </cell>
          <cell r="Q384">
            <v>0</v>
          </cell>
          <cell r="R384">
            <v>0</v>
          </cell>
          <cell r="S384">
            <v>97.5</v>
          </cell>
          <cell r="T384">
            <v>0</v>
          </cell>
          <cell r="U384">
            <v>0</v>
          </cell>
          <cell r="V384">
            <v>126.75</v>
          </cell>
          <cell r="W384">
            <v>0</v>
          </cell>
          <cell r="X384">
            <v>0</v>
          </cell>
          <cell r="Y384">
            <v>9.75</v>
          </cell>
          <cell r="Z384">
            <v>0</v>
          </cell>
          <cell r="AA384">
            <v>0</v>
          </cell>
          <cell r="AB384">
            <v>112.5</v>
          </cell>
          <cell r="AC384">
            <v>0</v>
          </cell>
          <cell r="AD384">
            <v>0</v>
          </cell>
          <cell r="AE384">
            <v>146.25</v>
          </cell>
          <cell r="AF384">
            <v>0</v>
          </cell>
          <cell r="AG384">
            <v>0</v>
          </cell>
          <cell r="AH384">
            <v>11.25</v>
          </cell>
          <cell r="AI384">
            <v>0</v>
          </cell>
          <cell r="AJ384">
            <v>0</v>
          </cell>
          <cell r="AK384">
            <v>97.5</v>
          </cell>
          <cell r="AL384">
            <v>0</v>
          </cell>
          <cell r="AM384">
            <v>0</v>
          </cell>
          <cell r="AN384">
            <v>126.75</v>
          </cell>
          <cell r="AO384">
            <v>0</v>
          </cell>
          <cell r="AP384">
            <v>0</v>
          </cell>
          <cell r="AQ384">
            <v>9.75</v>
          </cell>
          <cell r="AR384">
            <v>0</v>
          </cell>
          <cell r="AS384">
            <v>0</v>
          </cell>
          <cell r="AT384">
            <v>150</v>
          </cell>
          <cell r="AU384">
            <v>0</v>
          </cell>
          <cell r="AV384">
            <v>0</v>
          </cell>
          <cell r="AW384">
            <v>195</v>
          </cell>
          <cell r="AX384">
            <v>0</v>
          </cell>
          <cell r="AY384">
            <v>0</v>
          </cell>
          <cell r="AZ384">
            <v>15</v>
          </cell>
          <cell r="BA384">
            <v>0</v>
          </cell>
          <cell r="BB384">
            <v>0</v>
          </cell>
          <cell r="BC384">
            <v>75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6187.5</v>
          </cell>
        </row>
        <row r="385">
          <cell r="C385">
            <v>14215</v>
          </cell>
          <cell r="D385" t="str">
            <v>Gruta, Cristopher Ocqula</v>
          </cell>
          <cell r="E385">
            <v>48</v>
          </cell>
          <cell r="F385">
            <v>6</v>
          </cell>
          <cell r="G385">
            <v>600</v>
          </cell>
          <cell r="H385">
            <v>3600</v>
          </cell>
          <cell r="I385">
            <v>0</v>
          </cell>
          <cell r="J385">
            <v>1.25</v>
          </cell>
          <cell r="K385">
            <v>0</v>
          </cell>
          <cell r="L385">
            <v>4</v>
          </cell>
          <cell r="M385">
            <v>93.75</v>
          </cell>
          <cell r="N385">
            <v>375</v>
          </cell>
          <cell r="O385">
            <v>16</v>
          </cell>
          <cell r="P385">
            <v>7.5</v>
          </cell>
          <cell r="Q385">
            <v>120</v>
          </cell>
          <cell r="R385">
            <v>0</v>
          </cell>
          <cell r="S385">
            <v>97.5</v>
          </cell>
          <cell r="T385">
            <v>0</v>
          </cell>
          <cell r="U385">
            <v>0</v>
          </cell>
          <cell r="V385">
            <v>126.75</v>
          </cell>
          <cell r="W385">
            <v>0</v>
          </cell>
          <cell r="X385">
            <v>0</v>
          </cell>
          <cell r="Y385">
            <v>9.75</v>
          </cell>
          <cell r="Z385">
            <v>0</v>
          </cell>
          <cell r="AA385">
            <v>0</v>
          </cell>
          <cell r="AB385">
            <v>112.5</v>
          </cell>
          <cell r="AC385">
            <v>0</v>
          </cell>
          <cell r="AD385">
            <v>0</v>
          </cell>
          <cell r="AE385">
            <v>146.25</v>
          </cell>
          <cell r="AF385">
            <v>0</v>
          </cell>
          <cell r="AG385">
            <v>0</v>
          </cell>
          <cell r="AH385">
            <v>11.25</v>
          </cell>
          <cell r="AI385">
            <v>0</v>
          </cell>
          <cell r="AJ385">
            <v>0</v>
          </cell>
          <cell r="AK385">
            <v>97.5</v>
          </cell>
          <cell r="AL385">
            <v>0</v>
          </cell>
          <cell r="AM385">
            <v>0</v>
          </cell>
          <cell r="AN385">
            <v>126.75</v>
          </cell>
          <cell r="AO385">
            <v>0</v>
          </cell>
          <cell r="AP385">
            <v>0</v>
          </cell>
          <cell r="AQ385">
            <v>9.75</v>
          </cell>
          <cell r="AR385">
            <v>0</v>
          </cell>
          <cell r="AS385">
            <v>0</v>
          </cell>
          <cell r="AT385">
            <v>150</v>
          </cell>
          <cell r="AU385">
            <v>0</v>
          </cell>
          <cell r="AV385">
            <v>0</v>
          </cell>
          <cell r="AW385">
            <v>195</v>
          </cell>
          <cell r="AX385">
            <v>0</v>
          </cell>
          <cell r="AY385">
            <v>0</v>
          </cell>
          <cell r="AZ385">
            <v>15</v>
          </cell>
          <cell r="BA385">
            <v>0</v>
          </cell>
          <cell r="BB385">
            <v>0</v>
          </cell>
          <cell r="BC385">
            <v>75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4095</v>
          </cell>
        </row>
        <row r="386">
          <cell r="C386">
            <v>11564</v>
          </cell>
          <cell r="D386" t="str">
            <v>Guevara, Vince Jessie B.</v>
          </cell>
          <cell r="E386">
            <v>80</v>
          </cell>
          <cell r="F386">
            <v>10</v>
          </cell>
          <cell r="G386">
            <v>600</v>
          </cell>
          <cell r="H386">
            <v>6000</v>
          </cell>
          <cell r="I386">
            <v>0</v>
          </cell>
          <cell r="J386">
            <v>1.25</v>
          </cell>
          <cell r="K386">
            <v>0</v>
          </cell>
          <cell r="L386">
            <v>14</v>
          </cell>
          <cell r="M386">
            <v>93.75</v>
          </cell>
          <cell r="N386">
            <v>1312.5</v>
          </cell>
          <cell r="O386">
            <v>0</v>
          </cell>
          <cell r="P386">
            <v>7.5</v>
          </cell>
          <cell r="Q386">
            <v>0</v>
          </cell>
          <cell r="R386">
            <v>8</v>
          </cell>
          <cell r="S386">
            <v>97.5</v>
          </cell>
          <cell r="T386">
            <v>780</v>
          </cell>
          <cell r="U386">
            <v>0</v>
          </cell>
          <cell r="V386">
            <v>126.75</v>
          </cell>
          <cell r="W386">
            <v>0</v>
          </cell>
          <cell r="X386">
            <v>0</v>
          </cell>
          <cell r="Y386">
            <v>9.75</v>
          </cell>
          <cell r="Z386">
            <v>0</v>
          </cell>
          <cell r="AA386">
            <v>0</v>
          </cell>
          <cell r="AB386">
            <v>112.5</v>
          </cell>
          <cell r="AC386">
            <v>0</v>
          </cell>
          <cell r="AD386">
            <v>0</v>
          </cell>
          <cell r="AE386">
            <v>146.25</v>
          </cell>
          <cell r="AF386">
            <v>0</v>
          </cell>
          <cell r="AG386">
            <v>0</v>
          </cell>
          <cell r="AH386">
            <v>11.25</v>
          </cell>
          <cell r="AI386">
            <v>0</v>
          </cell>
          <cell r="AJ386">
            <v>0</v>
          </cell>
          <cell r="AK386">
            <v>97.5</v>
          </cell>
          <cell r="AL386">
            <v>0</v>
          </cell>
          <cell r="AM386">
            <v>0</v>
          </cell>
          <cell r="AN386">
            <v>126.75</v>
          </cell>
          <cell r="AO386">
            <v>0</v>
          </cell>
          <cell r="AP386">
            <v>0</v>
          </cell>
          <cell r="AQ386">
            <v>9.75</v>
          </cell>
          <cell r="AR386">
            <v>0</v>
          </cell>
          <cell r="AS386">
            <v>0</v>
          </cell>
          <cell r="AT386">
            <v>150</v>
          </cell>
          <cell r="AU386">
            <v>0</v>
          </cell>
          <cell r="AV386">
            <v>0</v>
          </cell>
          <cell r="AW386">
            <v>195</v>
          </cell>
          <cell r="AX386">
            <v>0</v>
          </cell>
          <cell r="AY386">
            <v>0</v>
          </cell>
          <cell r="AZ386">
            <v>15</v>
          </cell>
          <cell r="BA386">
            <v>0</v>
          </cell>
          <cell r="BB386">
            <v>0</v>
          </cell>
          <cell r="BC386">
            <v>75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8092.5</v>
          </cell>
        </row>
        <row r="387">
          <cell r="C387">
            <v>30020</v>
          </cell>
          <cell r="D387" t="str">
            <v>Gundayao, Cristy Garcia</v>
          </cell>
          <cell r="E387">
            <v>80</v>
          </cell>
          <cell r="F387">
            <v>10</v>
          </cell>
          <cell r="G387">
            <v>600</v>
          </cell>
          <cell r="H387">
            <v>6000</v>
          </cell>
          <cell r="I387">
            <v>110</v>
          </cell>
          <cell r="J387">
            <v>1.25</v>
          </cell>
          <cell r="K387">
            <v>-137.5</v>
          </cell>
          <cell r="L387">
            <v>10</v>
          </cell>
          <cell r="M387">
            <v>93.75</v>
          </cell>
          <cell r="N387">
            <v>937.5</v>
          </cell>
          <cell r="O387">
            <v>26</v>
          </cell>
          <cell r="P387">
            <v>7.5</v>
          </cell>
          <cell r="Q387">
            <v>195</v>
          </cell>
          <cell r="R387">
            <v>0</v>
          </cell>
          <cell r="S387">
            <v>97.5</v>
          </cell>
          <cell r="T387">
            <v>0</v>
          </cell>
          <cell r="U387">
            <v>0</v>
          </cell>
          <cell r="V387">
            <v>126.75</v>
          </cell>
          <cell r="W387">
            <v>0</v>
          </cell>
          <cell r="X387">
            <v>0</v>
          </cell>
          <cell r="Y387">
            <v>9.75</v>
          </cell>
          <cell r="Z387">
            <v>0</v>
          </cell>
          <cell r="AA387">
            <v>0</v>
          </cell>
          <cell r="AB387">
            <v>112.5</v>
          </cell>
          <cell r="AC387">
            <v>0</v>
          </cell>
          <cell r="AD387">
            <v>0</v>
          </cell>
          <cell r="AE387">
            <v>146.25</v>
          </cell>
          <cell r="AF387">
            <v>0</v>
          </cell>
          <cell r="AG387">
            <v>0</v>
          </cell>
          <cell r="AH387">
            <v>11.25</v>
          </cell>
          <cell r="AI387">
            <v>0</v>
          </cell>
          <cell r="AJ387">
            <v>0</v>
          </cell>
          <cell r="AK387">
            <v>97.5</v>
          </cell>
          <cell r="AL387">
            <v>0</v>
          </cell>
          <cell r="AM387">
            <v>0</v>
          </cell>
          <cell r="AN387">
            <v>126.75</v>
          </cell>
          <cell r="AO387">
            <v>0</v>
          </cell>
          <cell r="AP387">
            <v>0</v>
          </cell>
          <cell r="AQ387">
            <v>9.75</v>
          </cell>
          <cell r="AR387">
            <v>0</v>
          </cell>
          <cell r="AS387">
            <v>0</v>
          </cell>
          <cell r="AT387">
            <v>150</v>
          </cell>
          <cell r="AU387">
            <v>0</v>
          </cell>
          <cell r="AV387">
            <v>0</v>
          </cell>
          <cell r="AW387">
            <v>195</v>
          </cell>
          <cell r="AX387">
            <v>0</v>
          </cell>
          <cell r="AY387">
            <v>0</v>
          </cell>
          <cell r="AZ387">
            <v>15</v>
          </cell>
          <cell r="BA387">
            <v>0</v>
          </cell>
          <cell r="BB387">
            <v>0</v>
          </cell>
          <cell r="BC387">
            <v>75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6995</v>
          </cell>
        </row>
        <row r="388">
          <cell r="C388">
            <v>14224</v>
          </cell>
          <cell r="D388" t="str">
            <v>Herrera, Angelica Mae Regidor</v>
          </cell>
          <cell r="E388">
            <v>72</v>
          </cell>
          <cell r="F388">
            <v>9</v>
          </cell>
          <cell r="G388">
            <v>600</v>
          </cell>
          <cell r="H388">
            <v>5400</v>
          </cell>
          <cell r="I388">
            <v>0</v>
          </cell>
          <cell r="J388">
            <v>1.25</v>
          </cell>
          <cell r="K388">
            <v>0</v>
          </cell>
          <cell r="L388">
            <v>12</v>
          </cell>
          <cell r="M388">
            <v>93.75</v>
          </cell>
          <cell r="N388">
            <v>1125</v>
          </cell>
          <cell r="O388">
            <v>0</v>
          </cell>
          <cell r="P388">
            <v>7.5</v>
          </cell>
          <cell r="Q388">
            <v>0</v>
          </cell>
          <cell r="R388">
            <v>0</v>
          </cell>
          <cell r="S388">
            <v>97.5</v>
          </cell>
          <cell r="T388">
            <v>0</v>
          </cell>
          <cell r="U388">
            <v>0</v>
          </cell>
          <cell r="V388">
            <v>126.75</v>
          </cell>
          <cell r="W388">
            <v>0</v>
          </cell>
          <cell r="X388">
            <v>0</v>
          </cell>
          <cell r="Y388">
            <v>9.75</v>
          </cell>
          <cell r="Z388">
            <v>0</v>
          </cell>
          <cell r="AA388">
            <v>0</v>
          </cell>
          <cell r="AB388">
            <v>112.5</v>
          </cell>
          <cell r="AC388">
            <v>0</v>
          </cell>
          <cell r="AD388">
            <v>0</v>
          </cell>
          <cell r="AE388">
            <v>146.25</v>
          </cell>
          <cell r="AF388">
            <v>0</v>
          </cell>
          <cell r="AG388">
            <v>0</v>
          </cell>
          <cell r="AH388">
            <v>11.25</v>
          </cell>
          <cell r="AI388">
            <v>0</v>
          </cell>
          <cell r="AJ388">
            <v>0</v>
          </cell>
          <cell r="AK388">
            <v>97.5</v>
          </cell>
          <cell r="AL388">
            <v>0</v>
          </cell>
          <cell r="AM388">
            <v>0</v>
          </cell>
          <cell r="AN388">
            <v>126.75</v>
          </cell>
          <cell r="AO388">
            <v>0</v>
          </cell>
          <cell r="AP388">
            <v>0</v>
          </cell>
          <cell r="AQ388">
            <v>9.75</v>
          </cell>
          <cell r="AR388">
            <v>0</v>
          </cell>
          <cell r="AS388">
            <v>0</v>
          </cell>
          <cell r="AT388">
            <v>150</v>
          </cell>
          <cell r="AU388">
            <v>0</v>
          </cell>
          <cell r="AV388">
            <v>0</v>
          </cell>
          <cell r="AW388">
            <v>195</v>
          </cell>
          <cell r="AX388">
            <v>0</v>
          </cell>
          <cell r="AY388">
            <v>0</v>
          </cell>
          <cell r="AZ388">
            <v>15</v>
          </cell>
          <cell r="BA388">
            <v>0</v>
          </cell>
          <cell r="BB388">
            <v>0</v>
          </cell>
          <cell r="BC388">
            <v>75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6525</v>
          </cell>
        </row>
        <row r="389">
          <cell r="C389">
            <v>14917</v>
          </cell>
          <cell r="D389" t="str">
            <v>Herrera, Lhyra Muros</v>
          </cell>
          <cell r="E389">
            <v>72</v>
          </cell>
          <cell r="F389">
            <v>9</v>
          </cell>
          <cell r="G389">
            <v>600</v>
          </cell>
          <cell r="H389">
            <v>5400</v>
          </cell>
          <cell r="I389">
            <v>0</v>
          </cell>
          <cell r="J389">
            <v>1.25</v>
          </cell>
          <cell r="K389">
            <v>0</v>
          </cell>
          <cell r="L389">
            <v>4</v>
          </cell>
          <cell r="M389">
            <v>93.75</v>
          </cell>
          <cell r="N389">
            <v>375</v>
          </cell>
          <cell r="O389">
            <v>26</v>
          </cell>
          <cell r="P389">
            <v>7.5</v>
          </cell>
          <cell r="Q389">
            <v>195</v>
          </cell>
          <cell r="R389">
            <v>0</v>
          </cell>
          <cell r="S389">
            <v>97.5</v>
          </cell>
          <cell r="T389">
            <v>0</v>
          </cell>
          <cell r="U389">
            <v>0</v>
          </cell>
          <cell r="V389">
            <v>126.75</v>
          </cell>
          <cell r="W389">
            <v>0</v>
          </cell>
          <cell r="X389">
            <v>0</v>
          </cell>
          <cell r="Y389">
            <v>9.75</v>
          </cell>
          <cell r="Z389">
            <v>0</v>
          </cell>
          <cell r="AA389">
            <v>0</v>
          </cell>
          <cell r="AB389">
            <v>112.5</v>
          </cell>
          <cell r="AC389">
            <v>0</v>
          </cell>
          <cell r="AD389">
            <v>0</v>
          </cell>
          <cell r="AE389">
            <v>146.25</v>
          </cell>
          <cell r="AF389">
            <v>0</v>
          </cell>
          <cell r="AG389">
            <v>0</v>
          </cell>
          <cell r="AH389">
            <v>11.25</v>
          </cell>
          <cell r="AI389">
            <v>0</v>
          </cell>
          <cell r="AJ389">
            <v>0</v>
          </cell>
          <cell r="AK389">
            <v>97.5</v>
          </cell>
          <cell r="AL389">
            <v>0</v>
          </cell>
          <cell r="AM389">
            <v>0</v>
          </cell>
          <cell r="AN389">
            <v>126.75</v>
          </cell>
          <cell r="AO389">
            <v>0</v>
          </cell>
          <cell r="AP389">
            <v>0</v>
          </cell>
          <cell r="AQ389">
            <v>9.75</v>
          </cell>
          <cell r="AR389">
            <v>0</v>
          </cell>
          <cell r="AS389">
            <v>0</v>
          </cell>
          <cell r="AT389">
            <v>150</v>
          </cell>
          <cell r="AU389">
            <v>0</v>
          </cell>
          <cell r="AV389">
            <v>0</v>
          </cell>
          <cell r="AW389">
            <v>195</v>
          </cell>
          <cell r="AX389">
            <v>0</v>
          </cell>
          <cell r="AY389">
            <v>0</v>
          </cell>
          <cell r="AZ389">
            <v>15</v>
          </cell>
          <cell r="BA389">
            <v>0</v>
          </cell>
          <cell r="BB389">
            <v>0</v>
          </cell>
          <cell r="BC389">
            <v>75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5970</v>
          </cell>
        </row>
        <row r="390">
          <cell r="C390">
            <v>11775</v>
          </cell>
          <cell r="D390" t="str">
            <v>Herrera, Marcela Bramidas</v>
          </cell>
          <cell r="E390">
            <v>80</v>
          </cell>
          <cell r="F390">
            <v>10</v>
          </cell>
          <cell r="G390">
            <v>600</v>
          </cell>
          <cell r="H390">
            <v>6000</v>
          </cell>
          <cell r="I390">
            <v>0</v>
          </cell>
          <cell r="J390">
            <v>1.25</v>
          </cell>
          <cell r="K390">
            <v>0</v>
          </cell>
          <cell r="L390">
            <v>15</v>
          </cell>
          <cell r="M390">
            <v>93.75</v>
          </cell>
          <cell r="N390">
            <v>1406.25</v>
          </cell>
          <cell r="O390">
            <v>0</v>
          </cell>
          <cell r="P390">
            <v>7.5</v>
          </cell>
          <cell r="Q390">
            <v>0</v>
          </cell>
          <cell r="R390">
            <v>0</v>
          </cell>
          <cell r="S390">
            <v>97.5</v>
          </cell>
          <cell r="T390">
            <v>0</v>
          </cell>
          <cell r="U390">
            <v>0</v>
          </cell>
          <cell r="V390">
            <v>126.75</v>
          </cell>
          <cell r="W390">
            <v>0</v>
          </cell>
          <cell r="X390">
            <v>0</v>
          </cell>
          <cell r="Y390">
            <v>9.75</v>
          </cell>
          <cell r="Z390">
            <v>0</v>
          </cell>
          <cell r="AA390">
            <v>0</v>
          </cell>
          <cell r="AB390">
            <v>112.5</v>
          </cell>
          <cell r="AC390">
            <v>0</v>
          </cell>
          <cell r="AD390">
            <v>0</v>
          </cell>
          <cell r="AE390">
            <v>146.25</v>
          </cell>
          <cell r="AF390">
            <v>0</v>
          </cell>
          <cell r="AG390">
            <v>0</v>
          </cell>
          <cell r="AH390">
            <v>11.25</v>
          </cell>
          <cell r="AI390">
            <v>0</v>
          </cell>
          <cell r="AJ390">
            <v>0</v>
          </cell>
          <cell r="AK390">
            <v>97.5</v>
          </cell>
          <cell r="AL390">
            <v>0</v>
          </cell>
          <cell r="AM390">
            <v>0</v>
          </cell>
          <cell r="AN390">
            <v>126.75</v>
          </cell>
          <cell r="AO390">
            <v>0</v>
          </cell>
          <cell r="AP390">
            <v>0</v>
          </cell>
          <cell r="AQ390">
            <v>9.75</v>
          </cell>
          <cell r="AR390">
            <v>0</v>
          </cell>
          <cell r="AS390">
            <v>0</v>
          </cell>
          <cell r="AT390">
            <v>150</v>
          </cell>
          <cell r="AU390">
            <v>0</v>
          </cell>
          <cell r="AV390">
            <v>0</v>
          </cell>
          <cell r="AW390">
            <v>195</v>
          </cell>
          <cell r="AX390">
            <v>0</v>
          </cell>
          <cell r="AY390">
            <v>0</v>
          </cell>
          <cell r="AZ390">
            <v>15</v>
          </cell>
          <cell r="BA390">
            <v>0</v>
          </cell>
          <cell r="BB390">
            <v>0</v>
          </cell>
          <cell r="BC390">
            <v>75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7406.25</v>
          </cell>
        </row>
        <row r="391">
          <cell r="C391">
            <v>11872</v>
          </cell>
          <cell r="D391" t="str">
            <v>Hugo, Ma. Elizabeth Llaga</v>
          </cell>
          <cell r="E391">
            <v>80</v>
          </cell>
          <cell r="F391">
            <v>10</v>
          </cell>
          <cell r="G391">
            <v>600</v>
          </cell>
          <cell r="H391">
            <v>6000</v>
          </cell>
          <cell r="I391">
            <v>0</v>
          </cell>
          <cell r="J391">
            <v>1.25</v>
          </cell>
          <cell r="K391">
            <v>0</v>
          </cell>
          <cell r="L391">
            <v>16</v>
          </cell>
          <cell r="M391">
            <v>93.75</v>
          </cell>
          <cell r="N391">
            <v>1500</v>
          </cell>
          <cell r="O391">
            <v>0</v>
          </cell>
          <cell r="P391">
            <v>7.5</v>
          </cell>
          <cell r="Q391">
            <v>0</v>
          </cell>
          <cell r="R391">
            <v>0</v>
          </cell>
          <cell r="S391">
            <v>97.5</v>
          </cell>
          <cell r="T391">
            <v>0</v>
          </cell>
          <cell r="U391">
            <v>0</v>
          </cell>
          <cell r="V391">
            <v>126.75</v>
          </cell>
          <cell r="W391">
            <v>0</v>
          </cell>
          <cell r="X391">
            <v>0</v>
          </cell>
          <cell r="Y391">
            <v>9.75</v>
          </cell>
          <cell r="Z391">
            <v>0</v>
          </cell>
          <cell r="AA391">
            <v>0</v>
          </cell>
          <cell r="AB391">
            <v>112.5</v>
          </cell>
          <cell r="AC391">
            <v>0</v>
          </cell>
          <cell r="AD391">
            <v>0</v>
          </cell>
          <cell r="AE391">
            <v>146.25</v>
          </cell>
          <cell r="AF391">
            <v>0</v>
          </cell>
          <cell r="AG391">
            <v>0</v>
          </cell>
          <cell r="AH391">
            <v>11.25</v>
          </cell>
          <cell r="AI391">
            <v>0</v>
          </cell>
          <cell r="AJ391">
            <v>0</v>
          </cell>
          <cell r="AK391">
            <v>97.5</v>
          </cell>
          <cell r="AL391">
            <v>0</v>
          </cell>
          <cell r="AM391">
            <v>0</v>
          </cell>
          <cell r="AN391">
            <v>126.75</v>
          </cell>
          <cell r="AO391">
            <v>0</v>
          </cell>
          <cell r="AP391">
            <v>0</v>
          </cell>
          <cell r="AQ391">
            <v>9.75</v>
          </cell>
          <cell r="AR391">
            <v>0</v>
          </cell>
          <cell r="AS391">
            <v>0</v>
          </cell>
          <cell r="AT391">
            <v>150</v>
          </cell>
          <cell r="AU391">
            <v>0</v>
          </cell>
          <cell r="AV391">
            <v>0</v>
          </cell>
          <cell r="AW391">
            <v>195</v>
          </cell>
          <cell r="AX391">
            <v>0</v>
          </cell>
          <cell r="AY391">
            <v>0</v>
          </cell>
          <cell r="AZ391">
            <v>15</v>
          </cell>
          <cell r="BA391">
            <v>0</v>
          </cell>
          <cell r="BB391">
            <v>0</v>
          </cell>
          <cell r="BC391">
            <v>75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7500</v>
          </cell>
        </row>
        <row r="392">
          <cell r="C392">
            <v>30245</v>
          </cell>
          <cell r="D392" t="str">
            <v>Ilagan, Charles Darwin De Guzman</v>
          </cell>
          <cell r="E392">
            <v>16</v>
          </cell>
          <cell r="F392">
            <v>2</v>
          </cell>
          <cell r="G392">
            <v>600</v>
          </cell>
          <cell r="H392">
            <v>1200</v>
          </cell>
          <cell r="I392">
            <v>0</v>
          </cell>
          <cell r="J392">
            <v>1.25</v>
          </cell>
          <cell r="K392">
            <v>0</v>
          </cell>
          <cell r="L392">
            <v>2</v>
          </cell>
          <cell r="M392">
            <v>93.75</v>
          </cell>
          <cell r="N392">
            <v>187.5</v>
          </cell>
          <cell r="O392">
            <v>0</v>
          </cell>
          <cell r="P392">
            <v>7.5</v>
          </cell>
          <cell r="Q392">
            <v>0</v>
          </cell>
          <cell r="R392">
            <v>0</v>
          </cell>
          <cell r="S392">
            <v>97.5</v>
          </cell>
          <cell r="T392">
            <v>0</v>
          </cell>
          <cell r="U392">
            <v>0</v>
          </cell>
          <cell r="V392">
            <v>126.75</v>
          </cell>
          <cell r="W392">
            <v>0</v>
          </cell>
          <cell r="X392">
            <v>0</v>
          </cell>
          <cell r="Y392">
            <v>9.75</v>
          </cell>
          <cell r="Z392">
            <v>0</v>
          </cell>
          <cell r="AA392">
            <v>0</v>
          </cell>
          <cell r="AB392">
            <v>112.5</v>
          </cell>
          <cell r="AC392">
            <v>0</v>
          </cell>
          <cell r="AD392">
            <v>0</v>
          </cell>
          <cell r="AE392">
            <v>146.25</v>
          </cell>
          <cell r="AF392">
            <v>0</v>
          </cell>
          <cell r="AG392">
            <v>0</v>
          </cell>
          <cell r="AH392">
            <v>11.25</v>
          </cell>
          <cell r="AI392">
            <v>0</v>
          </cell>
          <cell r="AJ392">
            <v>0</v>
          </cell>
          <cell r="AK392">
            <v>97.5</v>
          </cell>
          <cell r="AL392">
            <v>0</v>
          </cell>
          <cell r="AM392">
            <v>0</v>
          </cell>
          <cell r="AN392">
            <v>126.75</v>
          </cell>
          <cell r="AO392">
            <v>0</v>
          </cell>
          <cell r="AP392">
            <v>0</v>
          </cell>
          <cell r="AQ392">
            <v>9.75</v>
          </cell>
          <cell r="AR392">
            <v>0</v>
          </cell>
          <cell r="AS392">
            <v>0</v>
          </cell>
          <cell r="AT392">
            <v>150</v>
          </cell>
          <cell r="AU392">
            <v>0</v>
          </cell>
          <cell r="AV392">
            <v>0</v>
          </cell>
          <cell r="AW392">
            <v>195</v>
          </cell>
          <cell r="AX392">
            <v>0</v>
          </cell>
          <cell r="AY392">
            <v>0</v>
          </cell>
          <cell r="AZ392">
            <v>15</v>
          </cell>
          <cell r="BA392">
            <v>0</v>
          </cell>
          <cell r="BB392">
            <v>0</v>
          </cell>
          <cell r="BC392">
            <v>75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1387.5</v>
          </cell>
        </row>
        <row r="393">
          <cell r="C393">
            <v>14558</v>
          </cell>
          <cell r="D393" t="str">
            <v>Ilagan, Juther Arellano</v>
          </cell>
          <cell r="E393">
            <v>80</v>
          </cell>
          <cell r="F393">
            <v>10</v>
          </cell>
          <cell r="G393">
            <v>600</v>
          </cell>
          <cell r="H393">
            <v>6000</v>
          </cell>
          <cell r="I393">
            <v>0</v>
          </cell>
          <cell r="J393">
            <v>1.25</v>
          </cell>
          <cell r="K393">
            <v>0</v>
          </cell>
          <cell r="L393">
            <v>12</v>
          </cell>
          <cell r="M393">
            <v>93.75</v>
          </cell>
          <cell r="N393">
            <v>1125</v>
          </cell>
          <cell r="O393">
            <v>30</v>
          </cell>
          <cell r="P393">
            <v>7.5</v>
          </cell>
          <cell r="Q393">
            <v>225</v>
          </cell>
          <cell r="R393">
            <v>0</v>
          </cell>
          <cell r="S393">
            <v>97.5</v>
          </cell>
          <cell r="T393">
            <v>0</v>
          </cell>
          <cell r="U393">
            <v>0</v>
          </cell>
          <cell r="V393">
            <v>126.75</v>
          </cell>
          <cell r="W393">
            <v>0</v>
          </cell>
          <cell r="X393">
            <v>0</v>
          </cell>
          <cell r="Y393">
            <v>9.75</v>
          </cell>
          <cell r="Z393">
            <v>0</v>
          </cell>
          <cell r="AA393">
            <v>0</v>
          </cell>
          <cell r="AB393">
            <v>112.5</v>
          </cell>
          <cell r="AC393">
            <v>0</v>
          </cell>
          <cell r="AD393">
            <v>0</v>
          </cell>
          <cell r="AE393">
            <v>146.25</v>
          </cell>
          <cell r="AF393">
            <v>0</v>
          </cell>
          <cell r="AG393">
            <v>0</v>
          </cell>
          <cell r="AH393">
            <v>11.25</v>
          </cell>
          <cell r="AI393">
            <v>0</v>
          </cell>
          <cell r="AJ393">
            <v>0</v>
          </cell>
          <cell r="AK393">
            <v>97.5</v>
          </cell>
          <cell r="AL393">
            <v>0</v>
          </cell>
          <cell r="AM393">
            <v>0</v>
          </cell>
          <cell r="AN393">
            <v>126.75</v>
          </cell>
          <cell r="AO393">
            <v>0</v>
          </cell>
          <cell r="AP393">
            <v>0</v>
          </cell>
          <cell r="AQ393">
            <v>9.75</v>
          </cell>
          <cell r="AR393">
            <v>0</v>
          </cell>
          <cell r="AS393">
            <v>0</v>
          </cell>
          <cell r="AT393">
            <v>150</v>
          </cell>
          <cell r="AU393">
            <v>0</v>
          </cell>
          <cell r="AV393">
            <v>0</v>
          </cell>
          <cell r="AW393">
            <v>195</v>
          </cell>
          <cell r="AX393">
            <v>0</v>
          </cell>
          <cell r="AY393">
            <v>0</v>
          </cell>
          <cell r="AZ393">
            <v>15</v>
          </cell>
          <cell r="BA393">
            <v>0</v>
          </cell>
          <cell r="BB393">
            <v>0</v>
          </cell>
          <cell r="BC393">
            <v>75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7350</v>
          </cell>
        </row>
        <row r="394">
          <cell r="C394">
            <v>14227</v>
          </cell>
          <cell r="D394" t="str">
            <v>Jariño, Hayzel Gamao</v>
          </cell>
          <cell r="E394">
            <v>0</v>
          </cell>
          <cell r="F394">
            <v>0</v>
          </cell>
          <cell r="G394">
            <v>600</v>
          </cell>
          <cell r="H394">
            <v>0</v>
          </cell>
          <cell r="I394">
            <v>0</v>
          </cell>
          <cell r="J394">
            <v>1.25</v>
          </cell>
          <cell r="K394">
            <v>0</v>
          </cell>
          <cell r="L394">
            <v>0</v>
          </cell>
          <cell r="M394">
            <v>93.75</v>
          </cell>
          <cell r="N394">
            <v>0</v>
          </cell>
          <cell r="O394">
            <v>0</v>
          </cell>
          <cell r="P394">
            <v>7.5</v>
          </cell>
          <cell r="Q394">
            <v>0</v>
          </cell>
          <cell r="R394">
            <v>0</v>
          </cell>
          <cell r="S394">
            <v>97.5</v>
          </cell>
          <cell r="T394">
            <v>0</v>
          </cell>
          <cell r="U394">
            <v>0</v>
          </cell>
          <cell r="V394">
            <v>126.75</v>
          </cell>
          <cell r="W394">
            <v>0</v>
          </cell>
          <cell r="X394">
            <v>0</v>
          </cell>
          <cell r="Y394">
            <v>9.75</v>
          </cell>
          <cell r="Z394">
            <v>0</v>
          </cell>
          <cell r="AA394">
            <v>0</v>
          </cell>
          <cell r="AB394">
            <v>112.5</v>
          </cell>
          <cell r="AC394">
            <v>0</v>
          </cell>
          <cell r="AD394">
            <v>0</v>
          </cell>
          <cell r="AE394">
            <v>146.25</v>
          </cell>
          <cell r="AF394">
            <v>0</v>
          </cell>
          <cell r="AG394">
            <v>0</v>
          </cell>
          <cell r="AH394">
            <v>11.25</v>
          </cell>
          <cell r="AI394">
            <v>0</v>
          </cell>
          <cell r="AJ394">
            <v>0</v>
          </cell>
          <cell r="AK394">
            <v>97.5</v>
          </cell>
          <cell r="AL394">
            <v>0</v>
          </cell>
          <cell r="AM394">
            <v>0</v>
          </cell>
          <cell r="AN394">
            <v>126.75</v>
          </cell>
          <cell r="AO394">
            <v>0</v>
          </cell>
          <cell r="AP394">
            <v>0</v>
          </cell>
          <cell r="AQ394">
            <v>9.75</v>
          </cell>
          <cell r="AR394">
            <v>0</v>
          </cell>
          <cell r="AS394">
            <v>0</v>
          </cell>
          <cell r="AT394">
            <v>150</v>
          </cell>
          <cell r="AU394">
            <v>0</v>
          </cell>
          <cell r="AV394">
            <v>0</v>
          </cell>
          <cell r="AW394">
            <v>195</v>
          </cell>
          <cell r="AX394">
            <v>0</v>
          </cell>
          <cell r="AY394">
            <v>0</v>
          </cell>
          <cell r="AZ394">
            <v>15</v>
          </cell>
          <cell r="BA394">
            <v>0</v>
          </cell>
          <cell r="BB394">
            <v>0</v>
          </cell>
          <cell r="BC394">
            <v>75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</row>
        <row r="395">
          <cell r="C395">
            <v>13376</v>
          </cell>
          <cell r="D395" t="str">
            <v>Jarino, Jomar Gamao</v>
          </cell>
          <cell r="E395">
            <v>78</v>
          </cell>
          <cell r="F395">
            <v>9.75</v>
          </cell>
          <cell r="G395">
            <v>600</v>
          </cell>
          <cell r="H395">
            <v>5850</v>
          </cell>
          <cell r="I395">
            <v>8</v>
          </cell>
          <cell r="J395">
            <v>1.25</v>
          </cell>
          <cell r="K395">
            <v>-10</v>
          </cell>
          <cell r="L395">
            <v>14</v>
          </cell>
          <cell r="M395">
            <v>93.75</v>
          </cell>
          <cell r="N395">
            <v>1312.5</v>
          </cell>
          <cell r="O395">
            <v>30</v>
          </cell>
          <cell r="P395">
            <v>7.5</v>
          </cell>
          <cell r="Q395">
            <v>225</v>
          </cell>
          <cell r="R395">
            <v>0</v>
          </cell>
          <cell r="S395">
            <v>97.5</v>
          </cell>
          <cell r="T395">
            <v>0</v>
          </cell>
          <cell r="U395">
            <v>0</v>
          </cell>
          <cell r="V395">
            <v>126.75</v>
          </cell>
          <cell r="W395">
            <v>0</v>
          </cell>
          <cell r="X395">
            <v>0</v>
          </cell>
          <cell r="Y395">
            <v>9.75</v>
          </cell>
          <cell r="Z395">
            <v>0</v>
          </cell>
          <cell r="AA395">
            <v>0</v>
          </cell>
          <cell r="AB395">
            <v>112.5</v>
          </cell>
          <cell r="AC395">
            <v>0</v>
          </cell>
          <cell r="AD395">
            <v>0</v>
          </cell>
          <cell r="AE395">
            <v>146.25</v>
          </cell>
          <cell r="AF395">
            <v>0</v>
          </cell>
          <cell r="AG395">
            <v>0</v>
          </cell>
          <cell r="AH395">
            <v>11.25</v>
          </cell>
          <cell r="AI395">
            <v>0</v>
          </cell>
          <cell r="AJ395">
            <v>0</v>
          </cell>
          <cell r="AK395">
            <v>97.5</v>
          </cell>
          <cell r="AL395">
            <v>0</v>
          </cell>
          <cell r="AM395">
            <v>0</v>
          </cell>
          <cell r="AN395">
            <v>126.75</v>
          </cell>
          <cell r="AO395">
            <v>0</v>
          </cell>
          <cell r="AP395">
            <v>0</v>
          </cell>
          <cell r="AQ395">
            <v>9.75</v>
          </cell>
          <cell r="AR395">
            <v>0</v>
          </cell>
          <cell r="AS395">
            <v>0</v>
          </cell>
          <cell r="AT395">
            <v>150</v>
          </cell>
          <cell r="AU395">
            <v>0</v>
          </cell>
          <cell r="AV395">
            <v>0</v>
          </cell>
          <cell r="AW395">
            <v>195</v>
          </cell>
          <cell r="AX395">
            <v>0</v>
          </cell>
          <cell r="AY395">
            <v>0</v>
          </cell>
          <cell r="AZ395">
            <v>15</v>
          </cell>
          <cell r="BA395">
            <v>0</v>
          </cell>
          <cell r="BB395">
            <v>0</v>
          </cell>
          <cell r="BC395">
            <v>75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7377.5</v>
          </cell>
        </row>
        <row r="396">
          <cell r="C396">
            <v>14229</v>
          </cell>
          <cell r="D396" t="str">
            <v>Javier, Brix John Espinosa</v>
          </cell>
          <cell r="E396">
            <v>80</v>
          </cell>
          <cell r="F396">
            <v>10</v>
          </cell>
          <cell r="G396">
            <v>600</v>
          </cell>
          <cell r="H396">
            <v>6000</v>
          </cell>
          <cell r="I396">
            <v>0</v>
          </cell>
          <cell r="J396">
            <v>1.25</v>
          </cell>
          <cell r="K396">
            <v>0</v>
          </cell>
          <cell r="L396">
            <v>12</v>
          </cell>
          <cell r="M396">
            <v>93.75</v>
          </cell>
          <cell r="N396">
            <v>1125</v>
          </cell>
          <cell r="O396">
            <v>0</v>
          </cell>
          <cell r="P396">
            <v>7.5</v>
          </cell>
          <cell r="Q396">
            <v>0</v>
          </cell>
          <cell r="R396">
            <v>0</v>
          </cell>
          <cell r="S396">
            <v>97.5</v>
          </cell>
          <cell r="T396">
            <v>0</v>
          </cell>
          <cell r="U396">
            <v>0</v>
          </cell>
          <cell r="V396">
            <v>126.75</v>
          </cell>
          <cell r="W396">
            <v>0</v>
          </cell>
          <cell r="X396">
            <v>0</v>
          </cell>
          <cell r="Y396">
            <v>9.75</v>
          </cell>
          <cell r="Z396">
            <v>0</v>
          </cell>
          <cell r="AA396">
            <v>0</v>
          </cell>
          <cell r="AB396">
            <v>112.5</v>
          </cell>
          <cell r="AC396">
            <v>0</v>
          </cell>
          <cell r="AD396">
            <v>0</v>
          </cell>
          <cell r="AE396">
            <v>146.25</v>
          </cell>
          <cell r="AF396">
            <v>0</v>
          </cell>
          <cell r="AG396">
            <v>0</v>
          </cell>
          <cell r="AH396">
            <v>11.25</v>
          </cell>
          <cell r="AI396">
            <v>0</v>
          </cell>
          <cell r="AJ396">
            <v>0</v>
          </cell>
          <cell r="AK396">
            <v>97.5</v>
          </cell>
          <cell r="AL396">
            <v>0</v>
          </cell>
          <cell r="AM396">
            <v>0</v>
          </cell>
          <cell r="AN396">
            <v>126.75</v>
          </cell>
          <cell r="AO396">
            <v>0</v>
          </cell>
          <cell r="AP396">
            <v>0</v>
          </cell>
          <cell r="AQ396">
            <v>9.75</v>
          </cell>
          <cell r="AR396">
            <v>0</v>
          </cell>
          <cell r="AS396">
            <v>0</v>
          </cell>
          <cell r="AT396">
            <v>150</v>
          </cell>
          <cell r="AU396">
            <v>0</v>
          </cell>
          <cell r="AV396">
            <v>0</v>
          </cell>
          <cell r="AW396">
            <v>195</v>
          </cell>
          <cell r="AX396">
            <v>0</v>
          </cell>
          <cell r="AY396">
            <v>0</v>
          </cell>
          <cell r="AZ396">
            <v>15</v>
          </cell>
          <cell r="BA396">
            <v>0</v>
          </cell>
          <cell r="BB396">
            <v>0</v>
          </cell>
          <cell r="BC396">
            <v>75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7125</v>
          </cell>
        </row>
        <row r="397">
          <cell r="C397">
            <v>4085</v>
          </cell>
          <cell r="D397" t="str">
            <v>Javin, Rolex John Cabuyao</v>
          </cell>
          <cell r="E397">
            <v>80</v>
          </cell>
          <cell r="F397">
            <v>10</v>
          </cell>
          <cell r="G397">
            <v>600</v>
          </cell>
          <cell r="H397">
            <v>6000</v>
          </cell>
          <cell r="I397">
            <v>0</v>
          </cell>
          <cell r="J397">
            <v>1.25</v>
          </cell>
          <cell r="K397">
            <v>0</v>
          </cell>
          <cell r="L397">
            <v>0</v>
          </cell>
          <cell r="M397">
            <v>93.75</v>
          </cell>
          <cell r="N397">
            <v>0</v>
          </cell>
          <cell r="O397">
            <v>36</v>
          </cell>
          <cell r="P397">
            <v>7.5</v>
          </cell>
          <cell r="Q397">
            <v>270</v>
          </cell>
          <cell r="R397">
            <v>0</v>
          </cell>
          <cell r="S397">
            <v>97.5</v>
          </cell>
          <cell r="T397">
            <v>0</v>
          </cell>
          <cell r="U397">
            <v>0</v>
          </cell>
          <cell r="V397">
            <v>126.75</v>
          </cell>
          <cell r="W397">
            <v>0</v>
          </cell>
          <cell r="X397">
            <v>0</v>
          </cell>
          <cell r="Y397">
            <v>9.75</v>
          </cell>
          <cell r="Z397">
            <v>0</v>
          </cell>
          <cell r="AA397">
            <v>0</v>
          </cell>
          <cell r="AB397">
            <v>112.5</v>
          </cell>
          <cell r="AC397">
            <v>0</v>
          </cell>
          <cell r="AD397">
            <v>0</v>
          </cell>
          <cell r="AE397">
            <v>146.25</v>
          </cell>
          <cell r="AF397">
            <v>0</v>
          </cell>
          <cell r="AG397">
            <v>0</v>
          </cell>
          <cell r="AH397">
            <v>11.25</v>
          </cell>
          <cell r="AI397">
            <v>0</v>
          </cell>
          <cell r="AJ397">
            <v>0</v>
          </cell>
          <cell r="AK397">
            <v>97.5</v>
          </cell>
          <cell r="AL397">
            <v>0</v>
          </cell>
          <cell r="AM397">
            <v>0</v>
          </cell>
          <cell r="AN397">
            <v>126.75</v>
          </cell>
          <cell r="AO397">
            <v>0</v>
          </cell>
          <cell r="AP397">
            <v>0</v>
          </cell>
          <cell r="AQ397">
            <v>9.75</v>
          </cell>
          <cell r="AR397">
            <v>0</v>
          </cell>
          <cell r="AS397">
            <v>0</v>
          </cell>
          <cell r="AT397">
            <v>150</v>
          </cell>
          <cell r="AU397">
            <v>0</v>
          </cell>
          <cell r="AV397">
            <v>0</v>
          </cell>
          <cell r="AW397">
            <v>195</v>
          </cell>
          <cell r="AX397">
            <v>0</v>
          </cell>
          <cell r="AY397">
            <v>0</v>
          </cell>
          <cell r="AZ397">
            <v>15</v>
          </cell>
          <cell r="BA397">
            <v>0</v>
          </cell>
          <cell r="BB397">
            <v>0</v>
          </cell>
          <cell r="BC397">
            <v>75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6270</v>
          </cell>
        </row>
        <row r="398">
          <cell r="C398">
            <v>6317</v>
          </cell>
          <cell r="D398" t="str">
            <v>Jaway, Joshua Sangalang</v>
          </cell>
          <cell r="E398">
            <v>80</v>
          </cell>
          <cell r="F398">
            <v>10</v>
          </cell>
          <cell r="G398">
            <v>600</v>
          </cell>
          <cell r="H398">
            <v>6000</v>
          </cell>
          <cell r="I398">
            <v>0</v>
          </cell>
          <cell r="J398">
            <v>1.25</v>
          </cell>
          <cell r="K398">
            <v>0</v>
          </cell>
          <cell r="L398">
            <v>4</v>
          </cell>
          <cell r="M398">
            <v>93.75</v>
          </cell>
          <cell r="N398">
            <v>375</v>
          </cell>
          <cell r="O398">
            <v>24</v>
          </cell>
          <cell r="P398">
            <v>7.5</v>
          </cell>
          <cell r="Q398">
            <v>180</v>
          </cell>
          <cell r="R398">
            <v>0</v>
          </cell>
          <cell r="S398">
            <v>97.5</v>
          </cell>
          <cell r="T398">
            <v>0</v>
          </cell>
          <cell r="U398">
            <v>0</v>
          </cell>
          <cell r="V398">
            <v>126.75</v>
          </cell>
          <cell r="W398">
            <v>0</v>
          </cell>
          <cell r="X398">
            <v>0</v>
          </cell>
          <cell r="Y398">
            <v>9.75</v>
          </cell>
          <cell r="Z398">
            <v>0</v>
          </cell>
          <cell r="AA398">
            <v>0</v>
          </cell>
          <cell r="AB398">
            <v>112.5</v>
          </cell>
          <cell r="AC398">
            <v>0</v>
          </cell>
          <cell r="AD398">
            <v>0</v>
          </cell>
          <cell r="AE398">
            <v>146.25</v>
          </cell>
          <cell r="AF398">
            <v>0</v>
          </cell>
          <cell r="AG398">
            <v>0</v>
          </cell>
          <cell r="AH398">
            <v>11.25</v>
          </cell>
          <cell r="AI398">
            <v>0</v>
          </cell>
          <cell r="AJ398">
            <v>0</v>
          </cell>
          <cell r="AK398">
            <v>97.5</v>
          </cell>
          <cell r="AL398">
            <v>0</v>
          </cell>
          <cell r="AM398">
            <v>0</v>
          </cell>
          <cell r="AN398">
            <v>126.75</v>
          </cell>
          <cell r="AO398">
            <v>0</v>
          </cell>
          <cell r="AP398">
            <v>0</v>
          </cell>
          <cell r="AQ398">
            <v>9.75</v>
          </cell>
          <cell r="AR398">
            <v>0</v>
          </cell>
          <cell r="AS398">
            <v>0</v>
          </cell>
          <cell r="AT398">
            <v>150</v>
          </cell>
          <cell r="AU398">
            <v>0</v>
          </cell>
          <cell r="AV398">
            <v>0</v>
          </cell>
          <cell r="AW398">
            <v>195</v>
          </cell>
          <cell r="AX398">
            <v>0</v>
          </cell>
          <cell r="AY398">
            <v>0</v>
          </cell>
          <cell r="AZ398">
            <v>15</v>
          </cell>
          <cell r="BA398">
            <v>0</v>
          </cell>
          <cell r="BB398">
            <v>0</v>
          </cell>
          <cell r="BC398">
            <v>75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6555</v>
          </cell>
        </row>
        <row r="399">
          <cell r="C399">
            <v>14233</v>
          </cell>
          <cell r="D399" t="str">
            <v>Jazmin, Geralyn Bermas</v>
          </cell>
          <cell r="E399">
            <v>88</v>
          </cell>
          <cell r="F399">
            <v>11</v>
          </cell>
          <cell r="G399">
            <v>600</v>
          </cell>
          <cell r="H399">
            <v>6600</v>
          </cell>
          <cell r="I399">
            <v>0</v>
          </cell>
          <cell r="J399">
            <v>1.25</v>
          </cell>
          <cell r="K399">
            <v>0</v>
          </cell>
          <cell r="L399">
            <v>6</v>
          </cell>
          <cell r="M399">
            <v>93.75</v>
          </cell>
          <cell r="N399">
            <v>562.5</v>
          </cell>
          <cell r="O399">
            <v>48</v>
          </cell>
          <cell r="P399">
            <v>7.5</v>
          </cell>
          <cell r="Q399">
            <v>360</v>
          </cell>
          <cell r="R399">
            <v>0</v>
          </cell>
          <cell r="S399">
            <v>97.5</v>
          </cell>
          <cell r="T399">
            <v>0</v>
          </cell>
          <cell r="U399">
            <v>0</v>
          </cell>
          <cell r="V399">
            <v>126.75</v>
          </cell>
          <cell r="W399">
            <v>0</v>
          </cell>
          <cell r="X399">
            <v>0</v>
          </cell>
          <cell r="Y399">
            <v>9.75</v>
          </cell>
          <cell r="Z399">
            <v>0</v>
          </cell>
          <cell r="AA399">
            <v>0</v>
          </cell>
          <cell r="AB399">
            <v>112.5</v>
          </cell>
          <cell r="AC399">
            <v>0</v>
          </cell>
          <cell r="AD399">
            <v>0</v>
          </cell>
          <cell r="AE399">
            <v>146.25</v>
          </cell>
          <cell r="AF399">
            <v>0</v>
          </cell>
          <cell r="AG399">
            <v>0</v>
          </cell>
          <cell r="AH399">
            <v>11.25</v>
          </cell>
          <cell r="AI399">
            <v>0</v>
          </cell>
          <cell r="AJ399">
            <v>0</v>
          </cell>
          <cell r="AK399">
            <v>97.5</v>
          </cell>
          <cell r="AL399">
            <v>0</v>
          </cell>
          <cell r="AM399">
            <v>0</v>
          </cell>
          <cell r="AN399">
            <v>126.75</v>
          </cell>
          <cell r="AO399">
            <v>0</v>
          </cell>
          <cell r="AP399">
            <v>0</v>
          </cell>
          <cell r="AQ399">
            <v>9.75</v>
          </cell>
          <cell r="AR399">
            <v>0</v>
          </cell>
          <cell r="AS399">
            <v>0</v>
          </cell>
          <cell r="AT399">
            <v>150</v>
          </cell>
          <cell r="AU399">
            <v>0</v>
          </cell>
          <cell r="AV399">
            <v>0</v>
          </cell>
          <cell r="AW399">
            <v>195</v>
          </cell>
          <cell r="AX399">
            <v>0</v>
          </cell>
          <cell r="AY399">
            <v>0</v>
          </cell>
          <cell r="AZ399">
            <v>15</v>
          </cell>
          <cell r="BA399">
            <v>0</v>
          </cell>
          <cell r="BB399">
            <v>0</v>
          </cell>
          <cell r="BC399">
            <v>75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7522.5</v>
          </cell>
        </row>
        <row r="400">
          <cell r="C400">
            <v>11842</v>
          </cell>
          <cell r="D400" t="str">
            <v>Junio, Jenessa Miras</v>
          </cell>
          <cell r="E400">
            <v>80</v>
          </cell>
          <cell r="F400">
            <v>10</v>
          </cell>
          <cell r="G400">
            <v>600</v>
          </cell>
          <cell r="H400">
            <v>6000</v>
          </cell>
          <cell r="I400">
            <v>0</v>
          </cell>
          <cell r="J400">
            <v>1.25</v>
          </cell>
          <cell r="K400">
            <v>0</v>
          </cell>
          <cell r="L400">
            <v>13</v>
          </cell>
          <cell r="M400">
            <v>93.75</v>
          </cell>
          <cell r="N400">
            <v>1218.75</v>
          </cell>
          <cell r="O400">
            <v>0</v>
          </cell>
          <cell r="P400">
            <v>7.5</v>
          </cell>
          <cell r="Q400">
            <v>0</v>
          </cell>
          <cell r="R400">
            <v>8</v>
          </cell>
          <cell r="S400">
            <v>97.5</v>
          </cell>
          <cell r="T400">
            <v>780</v>
          </cell>
          <cell r="U400">
            <v>0</v>
          </cell>
          <cell r="V400">
            <v>126.75</v>
          </cell>
          <cell r="W400">
            <v>0</v>
          </cell>
          <cell r="X400">
            <v>0</v>
          </cell>
          <cell r="Y400">
            <v>9.75</v>
          </cell>
          <cell r="Z400">
            <v>0</v>
          </cell>
          <cell r="AA400">
            <v>0</v>
          </cell>
          <cell r="AB400">
            <v>112.5</v>
          </cell>
          <cell r="AC400">
            <v>0</v>
          </cell>
          <cell r="AD400">
            <v>0</v>
          </cell>
          <cell r="AE400">
            <v>146.25</v>
          </cell>
          <cell r="AF400">
            <v>0</v>
          </cell>
          <cell r="AG400">
            <v>0</v>
          </cell>
          <cell r="AH400">
            <v>11.25</v>
          </cell>
          <cell r="AI400">
            <v>0</v>
          </cell>
          <cell r="AJ400">
            <v>0</v>
          </cell>
          <cell r="AK400">
            <v>97.5</v>
          </cell>
          <cell r="AL400">
            <v>0</v>
          </cell>
          <cell r="AM400">
            <v>0</v>
          </cell>
          <cell r="AN400">
            <v>126.75</v>
          </cell>
          <cell r="AO400">
            <v>0</v>
          </cell>
          <cell r="AP400">
            <v>0</v>
          </cell>
          <cell r="AQ400">
            <v>9.75</v>
          </cell>
          <cell r="AR400">
            <v>0</v>
          </cell>
          <cell r="AS400">
            <v>0</v>
          </cell>
          <cell r="AT400">
            <v>150</v>
          </cell>
          <cell r="AU400">
            <v>0</v>
          </cell>
          <cell r="AV400">
            <v>0</v>
          </cell>
          <cell r="AW400">
            <v>195</v>
          </cell>
          <cell r="AX400">
            <v>0</v>
          </cell>
          <cell r="AY400">
            <v>0</v>
          </cell>
          <cell r="AZ400">
            <v>15</v>
          </cell>
          <cell r="BA400">
            <v>0</v>
          </cell>
          <cell r="BB400">
            <v>0</v>
          </cell>
          <cell r="BC400">
            <v>75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7998.75</v>
          </cell>
        </row>
        <row r="401">
          <cell r="C401">
            <v>3904</v>
          </cell>
          <cell r="D401" t="str">
            <v>Ladia, John Carlo Albaneza</v>
          </cell>
          <cell r="E401">
            <v>80</v>
          </cell>
          <cell r="F401">
            <v>10</v>
          </cell>
          <cell r="G401">
            <v>600</v>
          </cell>
          <cell r="H401">
            <v>6000</v>
          </cell>
          <cell r="I401">
            <v>5</v>
          </cell>
          <cell r="J401">
            <v>1.25</v>
          </cell>
          <cell r="K401">
            <v>-6.25</v>
          </cell>
          <cell r="L401">
            <v>10</v>
          </cell>
          <cell r="M401">
            <v>93.75</v>
          </cell>
          <cell r="N401">
            <v>937.5</v>
          </cell>
          <cell r="O401">
            <v>0</v>
          </cell>
          <cell r="P401">
            <v>7.5</v>
          </cell>
          <cell r="Q401">
            <v>0</v>
          </cell>
          <cell r="R401">
            <v>0</v>
          </cell>
          <cell r="S401">
            <v>97.5</v>
          </cell>
          <cell r="T401">
            <v>0</v>
          </cell>
          <cell r="U401">
            <v>0</v>
          </cell>
          <cell r="V401">
            <v>126.75</v>
          </cell>
          <cell r="W401">
            <v>0</v>
          </cell>
          <cell r="X401">
            <v>0</v>
          </cell>
          <cell r="Y401">
            <v>9.75</v>
          </cell>
          <cell r="Z401">
            <v>0</v>
          </cell>
          <cell r="AA401">
            <v>0</v>
          </cell>
          <cell r="AB401">
            <v>112.5</v>
          </cell>
          <cell r="AC401">
            <v>0</v>
          </cell>
          <cell r="AD401">
            <v>0</v>
          </cell>
          <cell r="AE401">
            <v>146.25</v>
          </cell>
          <cell r="AF401">
            <v>0</v>
          </cell>
          <cell r="AG401">
            <v>0</v>
          </cell>
          <cell r="AH401">
            <v>11.25</v>
          </cell>
          <cell r="AI401">
            <v>0</v>
          </cell>
          <cell r="AJ401">
            <v>0</v>
          </cell>
          <cell r="AK401">
            <v>97.5</v>
          </cell>
          <cell r="AL401">
            <v>0</v>
          </cell>
          <cell r="AM401">
            <v>0</v>
          </cell>
          <cell r="AN401">
            <v>126.75</v>
          </cell>
          <cell r="AO401">
            <v>0</v>
          </cell>
          <cell r="AP401">
            <v>0</v>
          </cell>
          <cell r="AQ401">
            <v>9.75</v>
          </cell>
          <cell r="AR401">
            <v>0</v>
          </cell>
          <cell r="AS401">
            <v>0</v>
          </cell>
          <cell r="AT401">
            <v>150</v>
          </cell>
          <cell r="AU401">
            <v>0</v>
          </cell>
          <cell r="AV401">
            <v>0</v>
          </cell>
          <cell r="AW401">
            <v>195</v>
          </cell>
          <cell r="AX401">
            <v>0</v>
          </cell>
          <cell r="AY401">
            <v>0</v>
          </cell>
          <cell r="AZ401">
            <v>15</v>
          </cell>
          <cell r="BA401">
            <v>0</v>
          </cell>
          <cell r="BB401">
            <v>0</v>
          </cell>
          <cell r="BC401">
            <v>75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6931.25</v>
          </cell>
        </row>
        <row r="402">
          <cell r="C402">
            <v>30580</v>
          </cell>
          <cell r="D402" t="str">
            <v>Ladores, Cedrick H.</v>
          </cell>
          <cell r="E402">
            <v>80</v>
          </cell>
          <cell r="F402">
            <v>10</v>
          </cell>
          <cell r="G402">
            <v>600</v>
          </cell>
          <cell r="H402">
            <v>6000</v>
          </cell>
          <cell r="I402">
            <v>0</v>
          </cell>
          <cell r="J402">
            <v>1.25</v>
          </cell>
          <cell r="K402">
            <v>0</v>
          </cell>
          <cell r="L402">
            <v>6</v>
          </cell>
          <cell r="M402">
            <v>93.75</v>
          </cell>
          <cell r="N402">
            <v>562.5</v>
          </cell>
          <cell r="O402">
            <v>0</v>
          </cell>
          <cell r="P402">
            <v>7.5</v>
          </cell>
          <cell r="Q402">
            <v>0</v>
          </cell>
          <cell r="R402">
            <v>0</v>
          </cell>
          <cell r="S402">
            <v>97.5</v>
          </cell>
          <cell r="T402">
            <v>0</v>
          </cell>
          <cell r="U402">
            <v>0</v>
          </cell>
          <cell r="V402">
            <v>126.75</v>
          </cell>
          <cell r="W402">
            <v>0</v>
          </cell>
          <cell r="X402">
            <v>0</v>
          </cell>
          <cell r="Y402">
            <v>9.75</v>
          </cell>
          <cell r="Z402">
            <v>0</v>
          </cell>
          <cell r="AA402">
            <v>0</v>
          </cell>
          <cell r="AB402">
            <v>112.5</v>
          </cell>
          <cell r="AC402">
            <v>0</v>
          </cell>
          <cell r="AD402">
            <v>0</v>
          </cell>
          <cell r="AE402">
            <v>146.25</v>
          </cell>
          <cell r="AF402">
            <v>0</v>
          </cell>
          <cell r="AG402">
            <v>0</v>
          </cell>
          <cell r="AH402">
            <v>11.25</v>
          </cell>
          <cell r="AI402">
            <v>0</v>
          </cell>
          <cell r="AJ402">
            <v>0</v>
          </cell>
          <cell r="AK402">
            <v>97.5</v>
          </cell>
          <cell r="AL402">
            <v>0</v>
          </cell>
          <cell r="AM402">
            <v>0</v>
          </cell>
          <cell r="AN402">
            <v>126.75</v>
          </cell>
          <cell r="AO402">
            <v>0</v>
          </cell>
          <cell r="AP402">
            <v>0</v>
          </cell>
          <cell r="AQ402">
            <v>9.75</v>
          </cell>
          <cell r="AR402">
            <v>0</v>
          </cell>
          <cell r="AS402">
            <v>0</v>
          </cell>
          <cell r="AT402">
            <v>150</v>
          </cell>
          <cell r="AU402">
            <v>0</v>
          </cell>
          <cell r="AV402">
            <v>0</v>
          </cell>
          <cell r="AW402">
            <v>195</v>
          </cell>
          <cell r="AX402">
            <v>0</v>
          </cell>
          <cell r="AY402">
            <v>0</v>
          </cell>
          <cell r="AZ402">
            <v>15</v>
          </cell>
          <cell r="BA402">
            <v>0</v>
          </cell>
          <cell r="BB402">
            <v>0</v>
          </cell>
          <cell r="BC402">
            <v>75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6562.5</v>
          </cell>
        </row>
        <row r="403">
          <cell r="C403">
            <v>14241</v>
          </cell>
          <cell r="D403" t="str">
            <v>Laid, John Edward Diatore</v>
          </cell>
          <cell r="E403">
            <v>80</v>
          </cell>
          <cell r="F403">
            <v>10</v>
          </cell>
          <cell r="G403">
            <v>600</v>
          </cell>
          <cell r="H403">
            <v>6000</v>
          </cell>
          <cell r="I403">
            <v>0</v>
          </cell>
          <cell r="J403">
            <v>1.25</v>
          </cell>
          <cell r="K403">
            <v>0</v>
          </cell>
          <cell r="L403">
            <v>2</v>
          </cell>
          <cell r="M403">
            <v>93.75</v>
          </cell>
          <cell r="N403">
            <v>187.5</v>
          </cell>
          <cell r="O403">
            <v>26</v>
          </cell>
          <cell r="P403">
            <v>7.5</v>
          </cell>
          <cell r="Q403">
            <v>195</v>
          </cell>
          <cell r="R403">
            <v>0</v>
          </cell>
          <cell r="S403">
            <v>97.5</v>
          </cell>
          <cell r="T403">
            <v>0</v>
          </cell>
          <cell r="U403">
            <v>0</v>
          </cell>
          <cell r="V403">
            <v>126.75</v>
          </cell>
          <cell r="W403">
            <v>0</v>
          </cell>
          <cell r="X403">
            <v>0</v>
          </cell>
          <cell r="Y403">
            <v>9.75</v>
          </cell>
          <cell r="Z403">
            <v>0</v>
          </cell>
          <cell r="AA403">
            <v>0</v>
          </cell>
          <cell r="AB403">
            <v>112.5</v>
          </cell>
          <cell r="AC403">
            <v>0</v>
          </cell>
          <cell r="AD403">
            <v>0</v>
          </cell>
          <cell r="AE403">
            <v>146.25</v>
          </cell>
          <cell r="AF403">
            <v>0</v>
          </cell>
          <cell r="AG403">
            <v>0</v>
          </cell>
          <cell r="AH403">
            <v>11.25</v>
          </cell>
          <cell r="AI403">
            <v>0</v>
          </cell>
          <cell r="AJ403">
            <v>0</v>
          </cell>
          <cell r="AK403">
            <v>97.5</v>
          </cell>
          <cell r="AL403">
            <v>0</v>
          </cell>
          <cell r="AM403">
            <v>0</v>
          </cell>
          <cell r="AN403">
            <v>126.75</v>
          </cell>
          <cell r="AO403">
            <v>0</v>
          </cell>
          <cell r="AP403">
            <v>0</v>
          </cell>
          <cell r="AQ403">
            <v>9.75</v>
          </cell>
          <cell r="AR403">
            <v>0</v>
          </cell>
          <cell r="AS403">
            <v>0</v>
          </cell>
          <cell r="AT403">
            <v>150</v>
          </cell>
          <cell r="AU403">
            <v>0</v>
          </cell>
          <cell r="AV403">
            <v>0</v>
          </cell>
          <cell r="AW403">
            <v>195</v>
          </cell>
          <cell r="AX403">
            <v>0</v>
          </cell>
          <cell r="AY403">
            <v>0</v>
          </cell>
          <cell r="AZ403">
            <v>15</v>
          </cell>
          <cell r="BA403">
            <v>0</v>
          </cell>
          <cell r="BB403">
            <v>0</v>
          </cell>
          <cell r="BC403">
            <v>75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6382.5</v>
          </cell>
        </row>
        <row r="404">
          <cell r="C404">
            <v>12164</v>
          </cell>
          <cell r="D404" t="str">
            <v>Lanzaderas, Crisanto Villagracia</v>
          </cell>
          <cell r="E404">
            <v>88</v>
          </cell>
          <cell r="F404">
            <v>11</v>
          </cell>
          <cell r="G404">
            <v>600</v>
          </cell>
          <cell r="H404">
            <v>6600</v>
          </cell>
          <cell r="I404">
            <v>0</v>
          </cell>
          <cell r="J404">
            <v>1.25</v>
          </cell>
          <cell r="K404">
            <v>0</v>
          </cell>
          <cell r="L404">
            <v>6</v>
          </cell>
          <cell r="M404">
            <v>93.75</v>
          </cell>
          <cell r="N404">
            <v>562.5</v>
          </cell>
          <cell r="O404">
            <v>48</v>
          </cell>
          <cell r="P404">
            <v>7.5</v>
          </cell>
          <cell r="Q404">
            <v>360</v>
          </cell>
          <cell r="R404">
            <v>0</v>
          </cell>
          <cell r="S404">
            <v>97.5</v>
          </cell>
          <cell r="T404">
            <v>0</v>
          </cell>
          <cell r="U404">
            <v>0</v>
          </cell>
          <cell r="V404">
            <v>126.75</v>
          </cell>
          <cell r="W404">
            <v>0</v>
          </cell>
          <cell r="X404">
            <v>0</v>
          </cell>
          <cell r="Y404">
            <v>9.75</v>
          </cell>
          <cell r="Z404">
            <v>0</v>
          </cell>
          <cell r="AA404">
            <v>0</v>
          </cell>
          <cell r="AB404">
            <v>112.5</v>
          </cell>
          <cell r="AC404">
            <v>0</v>
          </cell>
          <cell r="AD404">
            <v>0</v>
          </cell>
          <cell r="AE404">
            <v>146.25</v>
          </cell>
          <cell r="AF404">
            <v>0</v>
          </cell>
          <cell r="AG404">
            <v>0</v>
          </cell>
          <cell r="AH404">
            <v>11.25</v>
          </cell>
          <cell r="AI404">
            <v>0</v>
          </cell>
          <cell r="AJ404">
            <v>0</v>
          </cell>
          <cell r="AK404">
            <v>97.5</v>
          </cell>
          <cell r="AL404">
            <v>0</v>
          </cell>
          <cell r="AM404">
            <v>0</v>
          </cell>
          <cell r="AN404">
            <v>126.75</v>
          </cell>
          <cell r="AO404">
            <v>0</v>
          </cell>
          <cell r="AP404">
            <v>0</v>
          </cell>
          <cell r="AQ404">
            <v>9.75</v>
          </cell>
          <cell r="AR404">
            <v>0</v>
          </cell>
          <cell r="AS404">
            <v>0</v>
          </cell>
          <cell r="AT404">
            <v>150</v>
          </cell>
          <cell r="AU404">
            <v>0</v>
          </cell>
          <cell r="AV404">
            <v>0</v>
          </cell>
          <cell r="AW404">
            <v>195</v>
          </cell>
          <cell r="AX404">
            <v>0</v>
          </cell>
          <cell r="AY404">
            <v>0</v>
          </cell>
          <cell r="AZ404">
            <v>15</v>
          </cell>
          <cell r="BA404">
            <v>0</v>
          </cell>
          <cell r="BB404">
            <v>0</v>
          </cell>
          <cell r="BC404">
            <v>75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7522.5</v>
          </cell>
        </row>
        <row r="405">
          <cell r="C405">
            <v>6265</v>
          </cell>
          <cell r="D405" t="str">
            <v>Legaspi, Jona Maicah Tolentino</v>
          </cell>
          <cell r="E405">
            <v>64</v>
          </cell>
          <cell r="F405">
            <v>8</v>
          </cell>
          <cell r="G405">
            <v>600</v>
          </cell>
          <cell r="H405">
            <v>4800</v>
          </cell>
          <cell r="I405">
            <v>0</v>
          </cell>
          <cell r="J405">
            <v>1.25</v>
          </cell>
          <cell r="K405">
            <v>0</v>
          </cell>
          <cell r="L405">
            <v>5</v>
          </cell>
          <cell r="M405">
            <v>93.75</v>
          </cell>
          <cell r="N405">
            <v>468.75</v>
          </cell>
          <cell r="O405">
            <v>27</v>
          </cell>
          <cell r="P405">
            <v>7.5</v>
          </cell>
          <cell r="Q405">
            <v>202.5</v>
          </cell>
          <cell r="R405">
            <v>0</v>
          </cell>
          <cell r="S405">
            <v>97.5</v>
          </cell>
          <cell r="T405">
            <v>0</v>
          </cell>
          <cell r="U405">
            <v>0</v>
          </cell>
          <cell r="V405">
            <v>126.75</v>
          </cell>
          <cell r="W405">
            <v>0</v>
          </cell>
          <cell r="X405">
            <v>0</v>
          </cell>
          <cell r="Y405">
            <v>9.75</v>
          </cell>
          <cell r="Z405">
            <v>0</v>
          </cell>
          <cell r="AA405">
            <v>0</v>
          </cell>
          <cell r="AB405">
            <v>112.5</v>
          </cell>
          <cell r="AC405">
            <v>0</v>
          </cell>
          <cell r="AD405">
            <v>0</v>
          </cell>
          <cell r="AE405">
            <v>146.25</v>
          </cell>
          <cell r="AF405">
            <v>0</v>
          </cell>
          <cell r="AG405">
            <v>0</v>
          </cell>
          <cell r="AH405">
            <v>11.25</v>
          </cell>
          <cell r="AI405">
            <v>0</v>
          </cell>
          <cell r="AJ405">
            <v>0</v>
          </cell>
          <cell r="AK405">
            <v>97.5</v>
          </cell>
          <cell r="AL405">
            <v>0</v>
          </cell>
          <cell r="AM405">
            <v>0</v>
          </cell>
          <cell r="AN405">
            <v>126.75</v>
          </cell>
          <cell r="AO405">
            <v>0</v>
          </cell>
          <cell r="AP405">
            <v>0</v>
          </cell>
          <cell r="AQ405">
            <v>9.75</v>
          </cell>
          <cell r="AR405">
            <v>0</v>
          </cell>
          <cell r="AS405">
            <v>0</v>
          </cell>
          <cell r="AT405">
            <v>150</v>
          </cell>
          <cell r="AU405">
            <v>0</v>
          </cell>
          <cell r="AV405">
            <v>0</v>
          </cell>
          <cell r="AW405">
            <v>195</v>
          </cell>
          <cell r="AX405">
            <v>0</v>
          </cell>
          <cell r="AY405">
            <v>0</v>
          </cell>
          <cell r="AZ405">
            <v>15</v>
          </cell>
          <cell r="BA405">
            <v>0</v>
          </cell>
          <cell r="BB405">
            <v>0</v>
          </cell>
          <cell r="BC405">
            <v>75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5471.25</v>
          </cell>
        </row>
        <row r="406">
          <cell r="C406">
            <v>14251</v>
          </cell>
          <cell r="D406" t="str">
            <v>Legaspi, Kristine Joy Alhambra</v>
          </cell>
          <cell r="E406">
            <v>72</v>
          </cell>
          <cell r="F406">
            <v>9</v>
          </cell>
          <cell r="G406">
            <v>600</v>
          </cell>
          <cell r="H406">
            <v>5400</v>
          </cell>
          <cell r="I406">
            <v>0</v>
          </cell>
          <cell r="J406">
            <v>1.25</v>
          </cell>
          <cell r="K406">
            <v>0</v>
          </cell>
          <cell r="L406">
            <v>8</v>
          </cell>
          <cell r="M406">
            <v>93.75</v>
          </cell>
          <cell r="N406">
            <v>750</v>
          </cell>
          <cell r="O406">
            <v>26</v>
          </cell>
          <cell r="P406">
            <v>7.5</v>
          </cell>
          <cell r="Q406">
            <v>195</v>
          </cell>
          <cell r="R406">
            <v>0</v>
          </cell>
          <cell r="S406">
            <v>97.5</v>
          </cell>
          <cell r="T406">
            <v>0</v>
          </cell>
          <cell r="U406">
            <v>0</v>
          </cell>
          <cell r="V406">
            <v>126.75</v>
          </cell>
          <cell r="W406">
            <v>0</v>
          </cell>
          <cell r="X406">
            <v>0</v>
          </cell>
          <cell r="Y406">
            <v>9.75</v>
          </cell>
          <cell r="Z406">
            <v>0</v>
          </cell>
          <cell r="AA406">
            <v>0</v>
          </cell>
          <cell r="AB406">
            <v>112.5</v>
          </cell>
          <cell r="AC406">
            <v>0</v>
          </cell>
          <cell r="AD406">
            <v>0</v>
          </cell>
          <cell r="AE406">
            <v>146.25</v>
          </cell>
          <cell r="AF406">
            <v>0</v>
          </cell>
          <cell r="AG406">
            <v>0</v>
          </cell>
          <cell r="AH406">
            <v>11.25</v>
          </cell>
          <cell r="AI406">
            <v>0</v>
          </cell>
          <cell r="AJ406">
            <v>0</v>
          </cell>
          <cell r="AK406">
            <v>97.5</v>
          </cell>
          <cell r="AL406">
            <v>0</v>
          </cell>
          <cell r="AM406">
            <v>0</v>
          </cell>
          <cell r="AN406">
            <v>126.75</v>
          </cell>
          <cell r="AO406">
            <v>0</v>
          </cell>
          <cell r="AP406">
            <v>0</v>
          </cell>
          <cell r="AQ406">
            <v>9.75</v>
          </cell>
          <cell r="AR406">
            <v>0</v>
          </cell>
          <cell r="AS406">
            <v>0</v>
          </cell>
          <cell r="AT406">
            <v>150</v>
          </cell>
          <cell r="AU406">
            <v>0</v>
          </cell>
          <cell r="AV406">
            <v>0</v>
          </cell>
          <cell r="AW406">
            <v>195</v>
          </cell>
          <cell r="AX406">
            <v>0</v>
          </cell>
          <cell r="AY406">
            <v>0</v>
          </cell>
          <cell r="AZ406">
            <v>15</v>
          </cell>
          <cell r="BA406">
            <v>0</v>
          </cell>
          <cell r="BB406">
            <v>0</v>
          </cell>
          <cell r="BC406">
            <v>75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6345</v>
          </cell>
        </row>
        <row r="407">
          <cell r="C407">
            <v>30757</v>
          </cell>
          <cell r="D407" t="str">
            <v>Ligaria, Aldrine James Binarao</v>
          </cell>
          <cell r="E407">
            <v>80</v>
          </cell>
          <cell r="F407">
            <v>10</v>
          </cell>
          <cell r="G407">
            <v>600</v>
          </cell>
          <cell r="H407">
            <v>6000</v>
          </cell>
          <cell r="I407">
            <v>19</v>
          </cell>
          <cell r="J407">
            <v>1.25</v>
          </cell>
          <cell r="K407">
            <v>-23.75</v>
          </cell>
          <cell r="L407">
            <v>16</v>
          </cell>
          <cell r="M407">
            <v>93.75</v>
          </cell>
          <cell r="N407">
            <v>1500</v>
          </cell>
          <cell r="O407">
            <v>46</v>
          </cell>
          <cell r="P407">
            <v>7.5</v>
          </cell>
          <cell r="Q407">
            <v>345</v>
          </cell>
          <cell r="R407">
            <v>0</v>
          </cell>
          <cell r="S407">
            <v>97.5</v>
          </cell>
          <cell r="T407">
            <v>0</v>
          </cell>
          <cell r="U407">
            <v>0</v>
          </cell>
          <cell r="V407">
            <v>126.75</v>
          </cell>
          <cell r="W407">
            <v>0</v>
          </cell>
          <cell r="X407">
            <v>0</v>
          </cell>
          <cell r="Y407">
            <v>9.75</v>
          </cell>
          <cell r="Z407">
            <v>0</v>
          </cell>
          <cell r="AA407">
            <v>0</v>
          </cell>
          <cell r="AB407">
            <v>112.5</v>
          </cell>
          <cell r="AC407">
            <v>0</v>
          </cell>
          <cell r="AD407">
            <v>0</v>
          </cell>
          <cell r="AE407">
            <v>146.25</v>
          </cell>
          <cell r="AF407">
            <v>0</v>
          </cell>
          <cell r="AG407">
            <v>0</v>
          </cell>
          <cell r="AH407">
            <v>11.25</v>
          </cell>
          <cell r="AI407">
            <v>0</v>
          </cell>
          <cell r="AJ407">
            <v>0</v>
          </cell>
          <cell r="AK407">
            <v>97.5</v>
          </cell>
          <cell r="AL407">
            <v>0</v>
          </cell>
          <cell r="AM407">
            <v>0</v>
          </cell>
          <cell r="AN407">
            <v>126.75</v>
          </cell>
          <cell r="AO407">
            <v>0</v>
          </cell>
          <cell r="AP407">
            <v>0</v>
          </cell>
          <cell r="AQ407">
            <v>9.75</v>
          </cell>
          <cell r="AR407">
            <v>0</v>
          </cell>
          <cell r="AS407">
            <v>0</v>
          </cell>
          <cell r="AT407">
            <v>150</v>
          </cell>
          <cell r="AU407">
            <v>0</v>
          </cell>
          <cell r="AV407">
            <v>0</v>
          </cell>
          <cell r="AW407">
            <v>195</v>
          </cell>
          <cell r="AX407">
            <v>0</v>
          </cell>
          <cell r="AY407">
            <v>0</v>
          </cell>
          <cell r="AZ407">
            <v>15</v>
          </cell>
          <cell r="BA407">
            <v>0</v>
          </cell>
          <cell r="BB407">
            <v>0</v>
          </cell>
          <cell r="BC407">
            <v>75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7821.25</v>
          </cell>
        </row>
        <row r="408">
          <cell r="C408">
            <v>30321</v>
          </cell>
          <cell r="D408" t="str">
            <v>Llamera, Jerick S</v>
          </cell>
          <cell r="E408">
            <v>72</v>
          </cell>
          <cell r="F408">
            <v>9</v>
          </cell>
          <cell r="G408">
            <v>600</v>
          </cell>
          <cell r="H408">
            <v>5400</v>
          </cell>
          <cell r="I408">
            <v>79</v>
          </cell>
          <cell r="J408">
            <v>1.25</v>
          </cell>
          <cell r="K408">
            <v>-98.75</v>
          </cell>
          <cell r="L408">
            <v>4</v>
          </cell>
          <cell r="M408">
            <v>93.75</v>
          </cell>
          <cell r="N408">
            <v>375</v>
          </cell>
          <cell r="O408">
            <v>26</v>
          </cell>
          <cell r="P408">
            <v>7.5</v>
          </cell>
          <cell r="Q408">
            <v>195</v>
          </cell>
          <cell r="R408">
            <v>0</v>
          </cell>
          <cell r="S408">
            <v>97.5</v>
          </cell>
          <cell r="T408">
            <v>0</v>
          </cell>
          <cell r="U408">
            <v>0</v>
          </cell>
          <cell r="V408">
            <v>126.75</v>
          </cell>
          <cell r="W408">
            <v>0</v>
          </cell>
          <cell r="X408">
            <v>0</v>
          </cell>
          <cell r="Y408">
            <v>9.75</v>
          </cell>
          <cell r="Z408">
            <v>0</v>
          </cell>
          <cell r="AA408">
            <v>0</v>
          </cell>
          <cell r="AB408">
            <v>112.5</v>
          </cell>
          <cell r="AC408">
            <v>0</v>
          </cell>
          <cell r="AD408">
            <v>0</v>
          </cell>
          <cell r="AE408">
            <v>146.25</v>
          </cell>
          <cell r="AF408">
            <v>0</v>
          </cell>
          <cell r="AG408">
            <v>0</v>
          </cell>
          <cell r="AH408">
            <v>11.25</v>
          </cell>
          <cell r="AI408">
            <v>0</v>
          </cell>
          <cell r="AJ408">
            <v>0</v>
          </cell>
          <cell r="AK408">
            <v>97.5</v>
          </cell>
          <cell r="AL408">
            <v>0</v>
          </cell>
          <cell r="AM408">
            <v>0</v>
          </cell>
          <cell r="AN408">
            <v>126.75</v>
          </cell>
          <cell r="AO408">
            <v>0</v>
          </cell>
          <cell r="AP408">
            <v>0</v>
          </cell>
          <cell r="AQ408">
            <v>9.75</v>
          </cell>
          <cell r="AR408">
            <v>0</v>
          </cell>
          <cell r="AS408">
            <v>0</v>
          </cell>
          <cell r="AT408">
            <v>150</v>
          </cell>
          <cell r="AU408">
            <v>0</v>
          </cell>
          <cell r="AV408">
            <v>0</v>
          </cell>
          <cell r="AW408">
            <v>195</v>
          </cell>
          <cell r="AX408">
            <v>0</v>
          </cell>
          <cell r="AY408">
            <v>0</v>
          </cell>
          <cell r="AZ408">
            <v>15</v>
          </cell>
          <cell r="BA408">
            <v>0</v>
          </cell>
          <cell r="BB408">
            <v>0</v>
          </cell>
          <cell r="BC408">
            <v>75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5871.25</v>
          </cell>
        </row>
        <row r="409">
          <cell r="C409">
            <v>5073</v>
          </cell>
          <cell r="D409" t="str">
            <v>Llandilar, Melvin Fullante</v>
          </cell>
          <cell r="E409">
            <v>72</v>
          </cell>
          <cell r="F409">
            <v>9</v>
          </cell>
          <cell r="G409">
            <v>600</v>
          </cell>
          <cell r="H409">
            <v>5400</v>
          </cell>
          <cell r="I409">
            <v>0</v>
          </cell>
          <cell r="J409">
            <v>1.25</v>
          </cell>
          <cell r="K409">
            <v>0</v>
          </cell>
          <cell r="L409">
            <v>2</v>
          </cell>
          <cell r="M409">
            <v>93.75</v>
          </cell>
          <cell r="N409">
            <v>187.5</v>
          </cell>
          <cell r="O409">
            <v>26</v>
          </cell>
          <cell r="P409">
            <v>7.5</v>
          </cell>
          <cell r="Q409">
            <v>195</v>
          </cell>
          <cell r="R409">
            <v>0</v>
          </cell>
          <cell r="S409">
            <v>97.5</v>
          </cell>
          <cell r="T409">
            <v>0</v>
          </cell>
          <cell r="U409">
            <v>0</v>
          </cell>
          <cell r="V409">
            <v>126.75</v>
          </cell>
          <cell r="W409">
            <v>0</v>
          </cell>
          <cell r="X409">
            <v>0</v>
          </cell>
          <cell r="Y409">
            <v>9.75</v>
          </cell>
          <cell r="Z409">
            <v>0</v>
          </cell>
          <cell r="AA409">
            <v>0</v>
          </cell>
          <cell r="AB409">
            <v>112.5</v>
          </cell>
          <cell r="AC409">
            <v>0</v>
          </cell>
          <cell r="AD409">
            <v>0</v>
          </cell>
          <cell r="AE409">
            <v>146.25</v>
          </cell>
          <cell r="AF409">
            <v>0</v>
          </cell>
          <cell r="AG409">
            <v>0</v>
          </cell>
          <cell r="AH409">
            <v>11.25</v>
          </cell>
          <cell r="AI409">
            <v>0</v>
          </cell>
          <cell r="AJ409">
            <v>0</v>
          </cell>
          <cell r="AK409">
            <v>97.5</v>
          </cell>
          <cell r="AL409">
            <v>0</v>
          </cell>
          <cell r="AM409">
            <v>0</v>
          </cell>
          <cell r="AN409">
            <v>126.75</v>
          </cell>
          <cell r="AO409">
            <v>0</v>
          </cell>
          <cell r="AP409">
            <v>0</v>
          </cell>
          <cell r="AQ409">
            <v>9.75</v>
          </cell>
          <cell r="AR409">
            <v>0</v>
          </cell>
          <cell r="AS409">
            <v>0</v>
          </cell>
          <cell r="AT409">
            <v>150</v>
          </cell>
          <cell r="AU409">
            <v>0</v>
          </cell>
          <cell r="AV409">
            <v>0</v>
          </cell>
          <cell r="AW409">
            <v>195</v>
          </cell>
          <cell r="AX409">
            <v>0</v>
          </cell>
          <cell r="AY409">
            <v>0</v>
          </cell>
          <cell r="AZ409">
            <v>15</v>
          </cell>
          <cell r="BA409">
            <v>0</v>
          </cell>
          <cell r="BB409">
            <v>0</v>
          </cell>
          <cell r="BC409">
            <v>75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5782.5</v>
          </cell>
        </row>
        <row r="410">
          <cell r="C410">
            <v>14997</v>
          </cell>
          <cell r="D410" t="str">
            <v>Llanera, Sharena Sabalboro</v>
          </cell>
          <cell r="E410">
            <v>88</v>
          </cell>
          <cell r="F410">
            <v>11</v>
          </cell>
          <cell r="G410">
            <v>600</v>
          </cell>
          <cell r="H410">
            <v>6600</v>
          </cell>
          <cell r="I410">
            <v>0</v>
          </cell>
          <cell r="J410">
            <v>1.25</v>
          </cell>
          <cell r="K410">
            <v>0</v>
          </cell>
          <cell r="L410">
            <v>16</v>
          </cell>
          <cell r="M410">
            <v>93.75</v>
          </cell>
          <cell r="N410">
            <v>1500</v>
          </cell>
          <cell r="O410">
            <v>54</v>
          </cell>
          <cell r="P410">
            <v>7.5</v>
          </cell>
          <cell r="Q410">
            <v>405</v>
          </cell>
          <cell r="R410">
            <v>0</v>
          </cell>
          <cell r="S410">
            <v>97.5</v>
          </cell>
          <cell r="T410">
            <v>0</v>
          </cell>
          <cell r="U410">
            <v>0</v>
          </cell>
          <cell r="V410">
            <v>126.75</v>
          </cell>
          <cell r="W410">
            <v>0</v>
          </cell>
          <cell r="X410">
            <v>0</v>
          </cell>
          <cell r="Y410">
            <v>9.75</v>
          </cell>
          <cell r="Z410">
            <v>0</v>
          </cell>
          <cell r="AA410">
            <v>0</v>
          </cell>
          <cell r="AB410">
            <v>112.5</v>
          </cell>
          <cell r="AC410">
            <v>0</v>
          </cell>
          <cell r="AD410">
            <v>0</v>
          </cell>
          <cell r="AE410">
            <v>146.25</v>
          </cell>
          <cell r="AF410">
            <v>0</v>
          </cell>
          <cell r="AG410">
            <v>0</v>
          </cell>
          <cell r="AH410">
            <v>11.25</v>
          </cell>
          <cell r="AI410">
            <v>0</v>
          </cell>
          <cell r="AJ410">
            <v>0</v>
          </cell>
          <cell r="AK410">
            <v>97.5</v>
          </cell>
          <cell r="AL410">
            <v>0</v>
          </cell>
          <cell r="AM410">
            <v>0</v>
          </cell>
          <cell r="AN410">
            <v>126.75</v>
          </cell>
          <cell r="AO410">
            <v>0</v>
          </cell>
          <cell r="AP410">
            <v>0</v>
          </cell>
          <cell r="AQ410">
            <v>9.75</v>
          </cell>
          <cell r="AR410">
            <v>0</v>
          </cell>
          <cell r="AS410">
            <v>0</v>
          </cell>
          <cell r="AT410">
            <v>150</v>
          </cell>
          <cell r="AU410">
            <v>0</v>
          </cell>
          <cell r="AV410">
            <v>0</v>
          </cell>
          <cell r="AW410">
            <v>195</v>
          </cell>
          <cell r="AX410">
            <v>0</v>
          </cell>
          <cell r="AY410">
            <v>0</v>
          </cell>
          <cell r="AZ410">
            <v>15</v>
          </cell>
          <cell r="BA410">
            <v>0</v>
          </cell>
          <cell r="BB410">
            <v>0</v>
          </cell>
          <cell r="BC410">
            <v>75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8505</v>
          </cell>
        </row>
        <row r="411">
          <cell r="C411">
            <v>14267</v>
          </cell>
          <cell r="D411" t="str">
            <v>Lucing, Analiza Aguilar</v>
          </cell>
          <cell r="E411">
            <v>76</v>
          </cell>
          <cell r="F411">
            <v>9.5</v>
          </cell>
          <cell r="G411">
            <v>600</v>
          </cell>
          <cell r="H411">
            <v>5700</v>
          </cell>
          <cell r="I411">
            <v>0</v>
          </cell>
          <cell r="J411">
            <v>1.25</v>
          </cell>
          <cell r="K411">
            <v>0</v>
          </cell>
          <cell r="L411">
            <v>2</v>
          </cell>
          <cell r="M411">
            <v>93.75</v>
          </cell>
          <cell r="N411">
            <v>187.5</v>
          </cell>
          <cell r="O411">
            <v>0</v>
          </cell>
          <cell r="P411">
            <v>7.5</v>
          </cell>
          <cell r="Q411">
            <v>0</v>
          </cell>
          <cell r="R411">
            <v>0</v>
          </cell>
          <cell r="S411">
            <v>97.5</v>
          </cell>
          <cell r="T411">
            <v>0</v>
          </cell>
          <cell r="U411">
            <v>0</v>
          </cell>
          <cell r="V411">
            <v>126.75</v>
          </cell>
          <cell r="W411">
            <v>0</v>
          </cell>
          <cell r="X411">
            <v>0</v>
          </cell>
          <cell r="Y411">
            <v>9.75</v>
          </cell>
          <cell r="Z411">
            <v>0</v>
          </cell>
          <cell r="AA411">
            <v>0</v>
          </cell>
          <cell r="AB411">
            <v>112.5</v>
          </cell>
          <cell r="AC411">
            <v>0</v>
          </cell>
          <cell r="AD411">
            <v>0</v>
          </cell>
          <cell r="AE411">
            <v>146.25</v>
          </cell>
          <cell r="AF411">
            <v>0</v>
          </cell>
          <cell r="AG411">
            <v>0</v>
          </cell>
          <cell r="AH411">
            <v>11.25</v>
          </cell>
          <cell r="AI411">
            <v>0</v>
          </cell>
          <cell r="AJ411">
            <v>0</v>
          </cell>
          <cell r="AK411">
            <v>97.5</v>
          </cell>
          <cell r="AL411">
            <v>0</v>
          </cell>
          <cell r="AM411">
            <v>0</v>
          </cell>
          <cell r="AN411">
            <v>126.75</v>
          </cell>
          <cell r="AO411">
            <v>0</v>
          </cell>
          <cell r="AP411">
            <v>0</v>
          </cell>
          <cell r="AQ411">
            <v>9.75</v>
          </cell>
          <cell r="AR411">
            <v>0</v>
          </cell>
          <cell r="AS411">
            <v>0</v>
          </cell>
          <cell r="AT411">
            <v>150</v>
          </cell>
          <cell r="AU411">
            <v>0</v>
          </cell>
          <cell r="AV411">
            <v>0</v>
          </cell>
          <cell r="AW411">
            <v>195</v>
          </cell>
          <cell r="AX411">
            <v>0</v>
          </cell>
          <cell r="AY411">
            <v>0</v>
          </cell>
          <cell r="AZ411">
            <v>15</v>
          </cell>
          <cell r="BA411">
            <v>0</v>
          </cell>
          <cell r="BB411">
            <v>0</v>
          </cell>
          <cell r="BC411">
            <v>75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5887.5</v>
          </cell>
        </row>
        <row r="412">
          <cell r="C412">
            <v>14268</v>
          </cell>
          <cell r="D412" t="str">
            <v>Lunar, Ronel Ramilo</v>
          </cell>
          <cell r="E412">
            <v>72</v>
          </cell>
          <cell r="F412">
            <v>9</v>
          </cell>
          <cell r="G412">
            <v>600</v>
          </cell>
          <cell r="H412">
            <v>5400</v>
          </cell>
          <cell r="I412">
            <v>9</v>
          </cell>
          <cell r="J412">
            <v>1.25</v>
          </cell>
          <cell r="K412">
            <v>-11.25</v>
          </cell>
          <cell r="L412">
            <v>2</v>
          </cell>
          <cell r="M412">
            <v>93.75</v>
          </cell>
          <cell r="N412">
            <v>187.5</v>
          </cell>
          <cell r="O412">
            <v>26</v>
          </cell>
          <cell r="P412">
            <v>7.5</v>
          </cell>
          <cell r="Q412">
            <v>195</v>
          </cell>
          <cell r="R412">
            <v>0</v>
          </cell>
          <cell r="S412">
            <v>97.5</v>
          </cell>
          <cell r="T412">
            <v>0</v>
          </cell>
          <cell r="U412">
            <v>0</v>
          </cell>
          <cell r="V412">
            <v>126.75</v>
          </cell>
          <cell r="W412">
            <v>0</v>
          </cell>
          <cell r="X412">
            <v>0</v>
          </cell>
          <cell r="Y412">
            <v>9.75</v>
          </cell>
          <cell r="Z412">
            <v>0</v>
          </cell>
          <cell r="AA412">
            <v>0</v>
          </cell>
          <cell r="AB412">
            <v>112.5</v>
          </cell>
          <cell r="AC412">
            <v>0</v>
          </cell>
          <cell r="AD412">
            <v>0</v>
          </cell>
          <cell r="AE412">
            <v>146.25</v>
          </cell>
          <cell r="AF412">
            <v>0</v>
          </cell>
          <cell r="AG412">
            <v>0</v>
          </cell>
          <cell r="AH412">
            <v>11.25</v>
          </cell>
          <cell r="AI412">
            <v>0</v>
          </cell>
          <cell r="AJ412">
            <v>0</v>
          </cell>
          <cell r="AK412">
            <v>97.5</v>
          </cell>
          <cell r="AL412">
            <v>0</v>
          </cell>
          <cell r="AM412">
            <v>0</v>
          </cell>
          <cell r="AN412">
            <v>126.75</v>
          </cell>
          <cell r="AO412">
            <v>0</v>
          </cell>
          <cell r="AP412">
            <v>0</v>
          </cell>
          <cell r="AQ412">
            <v>9.75</v>
          </cell>
          <cell r="AR412">
            <v>0</v>
          </cell>
          <cell r="AS412">
            <v>0</v>
          </cell>
          <cell r="AT412">
            <v>150</v>
          </cell>
          <cell r="AU412">
            <v>0</v>
          </cell>
          <cell r="AV412">
            <v>0</v>
          </cell>
          <cell r="AW412">
            <v>195</v>
          </cell>
          <cell r="AX412">
            <v>0</v>
          </cell>
          <cell r="AY412">
            <v>0</v>
          </cell>
          <cell r="AZ412">
            <v>15</v>
          </cell>
          <cell r="BA412">
            <v>0</v>
          </cell>
          <cell r="BB412">
            <v>0</v>
          </cell>
          <cell r="BC412">
            <v>75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5771.25</v>
          </cell>
        </row>
        <row r="413">
          <cell r="C413">
            <v>8158</v>
          </cell>
          <cell r="D413" t="str">
            <v>Macalalad, Mary Joy Ferrer</v>
          </cell>
          <cell r="E413">
            <v>88</v>
          </cell>
          <cell r="F413">
            <v>11</v>
          </cell>
          <cell r="G413">
            <v>600</v>
          </cell>
          <cell r="H413">
            <v>6600</v>
          </cell>
          <cell r="I413">
            <v>0</v>
          </cell>
          <cell r="J413">
            <v>1.25</v>
          </cell>
          <cell r="K413">
            <v>0</v>
          </cell>
          <cell r="L413">
            <v>18</v>
          </cell>
          <cell r="M413">
            <v>93.75</v>
          </cell>
          <cell r="N413">
            <v>1687.5</v>
          </cell>
          <cell r="O413">
            <v>56</v>
          </cell>
          <cell r="P413">
            <v>7.5</v>
          </cell>
          <cell r="Q413">
            <v>420</v>
          </cell>
          <cell r="R413">
            <v>0</v>
          </cell>
          <cell r="S413">
            <v>97.5</v>
          </cell>
          <cell r="T413">
            <v>0</v>
          </cell>
          <cell r="U413">
            <v>0</v>
          </cell>
          <cell r="V413">
            <v>126.75</v>
          </cell>
          <cell r="W413">
            <v>0</v>
          </cell>
          <cell r="X413">
            <v>0</v>
          </cell>
          <cell r="Y413">
            <v>9.75</v>
          </cell>
          <cell r="Z413">
            <v>0</v>
          </cell>
          <cell r="AA413">
            <v>0</v>
          </cell>
          <cell r="AB413">
            <v>112.5</v>
          </cell>
          <cell r="AC413">
            <v>0</v>
          </cell>
          <cell r="AD413">
            <v>0</v>
          </cell>
          <cell r="AE413">
            <v>146.25</v>
          </cell>
          <cell r="AF413">
            <v>0</v>
          </cell>
          <cell r="AG413">
            <v>0</v>
          </cell>
          <cell r="AH413">
            <v>11.25</v>
          </cell>
          <cell r="AI413">
            <v>0</v>
          </cell>
          <cell r="AJ413">
            <v>0</v>
          </cell>
          <cell r="AK413">
            <v>97.5</v>
          </cell>
          <cell r="AL413">
            <v>0</v>
          </cell>
          <cell r="AM413">
            <v>0</v>
          </cell>
          <cell r="AN413">
            <v>126.75</v>
          </cell>
          <cell r="AO413">
            <v>0</v>
          </cell>
          <cell r="AP413">
            <v>0</v>
          </cell>
          <cell r="AQ413">
            <v>9.75</v>
          </cell>
          <cell r="AR413">
            <v>0</v>
          </cell>
          <cell r="AS413">
            <v>0</v>
          </cell>
          <cell r="AT413">
            <v>150</v>
          </cell>
          <cell r="AU413">
            <v>0</v>
          </cell>
          <cell r="AV413">
            <v>0</v>
          </cell>
          <cell r="AW413">
            <v>195</v>
          </cell>
          <cell r="AX413">
            <v>0</v>
          </cell>
          <cell r="AY413">
            <v>0</v>
          </cell>
          <cell r="AZ413">
            <v>15</v>
          </cell>
          <cell r="BA413">
            <v>0</v>
          </cell>
          <cell r="BB413">
            <v>0</v>
          </cell>
          <cell r="BC413">
            <v>75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8707.5</v>
          </cell>
        </row>
        <row r="414">
          <cell r="C414">
            <v>14270</v>
          </cell>
          <cell r="D414" t="str">
            <v>Macatangay, Honey Jane Cahayon</v>
          </cell>
          <cell r="E414">
            <v>64</v>
          </cell>
          <cell r="F414">
            <v>8</v>
          </cell>
          <cell r="G414">
            <v>600</v>
          </cell>
          <cell r="H414">
            <v>4800</v>
          </cell>
          <cell r="I414">
            <v>0</v>
          </cell>
          <cell r="J414">
            <v>1.25</v>
          </cell>
          <cell r="K414">
            <v>0</v>
          </cell>
          <cell r="L414">
            <v>12</v>
          </cell>
          <cell r="M414">
            <v>93.75</v>
          </cell>
          <cell r="N414">
            <v>1125</v>
          </cell>
          <cell r="O414">
            <v>30</v>
          </cell>
          <cell r="P414">
            <v>7.5</v>
          </cell>
          <cell r="Q414">
            <v>225</v>
          </cell>
          <cell r="R414">
            <v>0</v>
          </cell>
          <cell r="S414">
            <v>97.5</v>
          </cell>
          <cell r="T414">
            <v>0</v>
          </cell>
          <cell r="U414">
            <v>0</v>
          </cell>
          <cell r="V414">
            <v>126.75</v>
          </cell>
          <cell r="W414">
            <v>0</v>
          </cell>
          <cell r="X414">
            <v>0</v>
          </cell>
          <cell r="Y414">
            <v>9.75</v>
          </cell>
          <cell r="Z414">
            <v>0</v>
          </cell>
          <cell r="AA414">
            <v>0</v>
          </cell>
          <cell r="AB414">
            <v>112.5</v>
          </cell>
          <cell r="AC414">
            <v>0</v>
          </cell>
          <cell r="AD414">
            <v>0</v>
          </cell>
          <cell r="AE414">
            <v>146.25</v>
          </cell>
          <cell r="AF414">
            <v>0</v>
          </cell>
          <cell r="AG414">
            <v>0</v>
          </cell>
          <cell r="AH414">
            <v>11.25</v>
          </cell>
          <cell r="AI414">
            <v>0</v>
          </cell>
          <cell r="AJ414">
            <v>0</v>
          </cell>
          <cell r="AK414">
            <v>97.5</v>
          </cell>
          <cell r="AL414">
            <v>0</v>
          </cell>
          <cell r="AM414">
            <v>0</v>
          </cell>
          <cell r="AN414">
            <v>126.75</v>
          </cell>
          <cell r="AO414">
            <v>0</v>
          </cell>
          <cell r="AP414">
            <v>0</v>
          </cell>
          <cell r="AQ414">
            <v>9.75</v>
          </cell>
          <cell r="AR414">
            <v>0</v>
          </cell>
          <cell r="AS414">
            <v>0</v>
          </cell>
          <cell r="AT414">
            <v>150</v>
          </cell>
          <cell r="AU414">
            <v>0</v>
          </cell>
          <cell r="AV414">
            <v>0</v>
          </cell>
          <cell r="AW414">
            <v>195</v>
          </cell>
          <cell r="AX414">
            <v>0</v>
          </cell>
          <cell r="AY414">
            <v>0</v>
          </cell>
          <cell r="AZ414">
            <v>15</v>
          </cell>
          <cell r="BA414">
            <v>0</v>
          </cell>
          <cell r="BB414">
            <v>0</v>
          </cell>
          <cell r="BC414">
            <v>75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6150</v>
          </cell>
        </row>
        <row r="415">
          <cell r="C415">
            <v>30246</v>
          </cell>
          <cell r="D415" t="str">
            <v>Magalona, Jun-Rose Paran</v>
          </cell>
          <cell r="E415">
            <v>80</v>
          </cell>
          <cell r="F415">
            <v>10</v>
          </cell>
          <cell r="G415">
            <v>600</v>
          </cell>
          <cell r="H415">
            <v>6000</v>
          </cell>
          <cell r="I415">
            <v>0</v>
          </cell>
          <cell r="J415">
            <v>1.25</v>
          </cell>
          <cell r="K415">
            <v>0</v>
          </cell>
          <cell r="L415">
            <v>9</v>
          </cell>
          <cell r="M415">
            <v>93.75</v>
          </cell>
          <cell r="N415">
            <v>843.75</v>
          </cell>
          <cell r="O415">
            <v>0</v>
          </cell>
          <cell r="P415">
            <v>7.5</v>
          </cell>
          <cell r="Q415">
            <v>0</v>
          </cell>
          <cell r="R415">
            <v>0</v>
          </cell>
          <cell r="S415">
            <v>97.5</v>
          </cell>
          <cell r="T415">
            <v>0</v>
          </cell>
          <cell r="U415">
            <v>0</v>
          </cell>
          <cell r="V415">
            <v>126.75</v>
          </cell>
          <cell r="W415">
            <v>0</v>
          </cell>
          <cell r="X415">
            <v>0</v>
          </cell>
          <cell r="Y415">
            <v>9.75</v>
          </cell>
          <cell r="Z415">
            <v>0</v>
          </cell>
          <cell r="AA415">
            <v>0</v>
          </cell>
          <cell r="AB415">
            <v>112.5</v>
          </cell>
          <cell r="AC415">
            <v>0</v>
          </cell>
          <cell r="AD415">
            <v>0</v>
          </cell>
          <cell r="AE415">
            <v>146.25</v>
          </cell>
          <cell r="AF415">
            <v>0</v>
          </cell>
          <cell r="AG415">
            <v>0</v>
          </cell>
          <cell r="AH415">
            <v>11.25</v>
          </cell>
          <cell r="AI415">
            <v>0</v>
          </cell>
          <cell r="AJ415">
            <v>0</v>
          </cell>
          <cell r="AK415">
            <v>97.5</v>
          </cell>
          <cell r="AL415">
            <v>0</v>
          </cell>
          <cell r="AM415">
            <v>0</v>
          </cell>
          <cell r="AN415">
            <v>126.75</v>
          </cell>
          <cell r="AO415">
            <v>0</v>
          </cell>
          <cell r="AP415">
            <v>0</v>
          </cell>
          <cell r="AQ415">
            <v>9.75</v>
          </cell>
          <cell r="AR415">
            <v>0</v>
          </cell>
          <cell r="AS415">
            <v>0</v>
          </cell>
          <cell r="AT415">
            <v>150</v>
          </cell>
          <cell r="AU415">
            <v>0</v>
          </cell>
          <cell r="AV415">
            <v>0</v>
          </cell>
          <cell r="AW415">
            <v>195</v>
          </cell>
          <cell r="AX415">
            <v>0</v>
          </cell>
          <cell r="AY415">
            <v>0</v>
          </cell>
          <cell r="AZ415">
            <v>15</v>
          </cell>
          <cell r="BA415">
            <v>0</v>
          </cell>
          <cell r="BB415">
            <v>0</v>
          </cell>
          <cell r="BC415">
            <v>75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6843.75</v>
          </cell>
        </row>
        <row r="416">
          <cell r="C416">
            <v>14273</v>
          </cell>
          <cell r="D416" t="str">
            <v>Magpantay, Mydelyn Pasia</v>
          </cell>
          <cell r="E416">
            <v>88</v>
          </cell>
          <cell r="F416">
            <v>11</v>
          </cell>
          <cell r="G416">
            <v>600</v>
          </cell>
          <cell r="H416">
            <v>6600</v>
          </cell>
          <cell r="I416">
            <v>0</v>
          </cell>
          <cell r="J416">
            <v>1.25</v>
          </cell>
          <cell r="K416">
            <v>0</v>
          </cell>
          <cell r="L416">
            <v>16</v>
          </cell>
          <cell r="M416">
            <v>93.75</v>
          </cell>
          <cell r="N416">
            <v>1500</v>
          </cell>
          <cell r="O416">
            <v>54</v>
          </cell>
          <cell r="P416">
            <v>7.5</v>
          </cell>
          <cell r="Q416">
            <v>405</v>
          </cell>
          <cell r="R416">
            <v>0</v>
          </cell>
          <cell r="S416">
            <v>97.5</v>
          </cell>
          <cell r="T416">
            <v>0</v>
          </cell>
          <cell r="U416">
            <v>0</v>
          </cell>
          <cell r="V416">
            <v>126.75</v>
          </cell>
          <cell r="W416">
            <v>0</v>
          </cell>
          <cell r="X416">
            <v>0</v>
          </cell>
          <cell r="Y416">
            <v>9.75</v>
          </cell>
          <cell r="Z416">
            <v>0</v>
          </cell>
          <cell r="AA416">
            <v>0</v>
          </cell>
          <cell r="AB416">
            <v>112.5</v>
          </cell>
          <cell r="AC416">
            <v>0</v>
          </cell>
          <cell r="AD416">
            <v>0</v>
          </cell>
          <cell r="AE416">
            <v>146.25</v>
          </cell>
          <cell r="AF416">
            <v>0</v>
          </cell>
          <cell r="AG416">
            <v>0</v>
          </cell>
          <cell r="AH416">
            <v>11.25</v>
          </cell>
          <cell r="AI416">
            <v>0</v>
          </cell>
          <cell r="AJ416">
            <v>0</v>
          </cell>
          <cell r="AK416">
            <v>97.5</v>
          </cell>
          <cell r="AL416">
            <v>0</v>
          </cell>
          <cell r="AM416">
            <v>0</v>
          </cell>
          <cell r="AN416">
            <v>126.75</v>
          </cell>
          <cell r="AO416">
            <v>0</v>
          </cell>
          <cell r="AP416">
            <v>0</v>
          </cell>
          <cell r="AQ416">
            <v>9.75</v>
          </cell>
          <cell r="AR416">
            <v>0</v>
          </cell>
          <cell r="AS416">
            <v>0</v>
          </cell>
          <cell r="AT416">
            <v>150</v>
          </cell>
          <cell r="AU416">
            <v>0</v>
          </cell>
          <cell r="AV416">
            <v>0</v>
          </cell>
          <cell r="AW416">
            <v>195</v>
          </cell>
          <cell r="AX416">
            <v>0</v>
          </cell>
          <cell r="AY416">
            <v>0</v>
          </cell>
          <cell r="AZ416">
            <v>15</v>
          </cell>
          <cell r="BA416">
            <v>0</v>
          </cell>
          <cell r="BB416">
            <v>0</v>
          </cell>
          <cell r="BC416">
            <v>75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8505</v>
          </cell>
        </row>
        <row r="417">
          <cell r="C417">
            <v>14275</v>
          </cell>
          <cell r="D417" t="str">
            <v>Magpao, Joven Dinolan</v>
          </cell>
          <cell r="E417">
            <v>80</v>
          </cell>
          <cell r="F417">
            <v>10</v>
          </cell>
          <cell r="G417">
            <v>600</v>
          </cell>
          <cell r="H417">
            <v>6000</v>
          </cell>
          <cell r="I417">
            <v>0</v>
          </cell>
          <cell r="J417">
            <v>1.25</v>
          </cell>
          <cell r="K417">
            <v>0</v>
          </cell>
          <cell r="L417">
            <v>2</v>
          </cell>
          <cell r="M417">
            <v>93.75</v>
          </cell>
          <cell r="N417">
            <v>187.5</v>
          </cell>
          <cell r="O417">
            <v>24</v>
          </cell>
          <cell r="P417">
            <v>7.5</v>
          </cell>
          <cell r="Q417">
            <v>180</v>
          </cell>
          <cell r="R417">
            <v>0</v>
          </cell>
          <cell r="S417">
            <v>97.5</v>
          </cell>
          <cell r="T417">
            <v>0</v>
          </cell>
          <cell r="U417">
            <v>0</v>
          </cell>
          <cell r="V417">
            <v>126.75</v>
          </cell>
          <cell r="W417">
            <v>0</v>
          </cell>
          <cell r="X417">
            <v>0</v>
          </cell>
          <cell r="Y417">
            <v>9.75</v>
          </cell>
          <cell r="Z417">
            <v>0</v>
          </cell>
          <cell r="AA417">
            <v>0</v>
          </cell>
          <cell r="AB417">
            <v>112.5</v>
          </cell>
          <cell r="AC417">
            <v>0</v>
          </cell>
          <cell r="AD417">
            <v>0</v>
          </cell>
          <cell r="AE417">
            <v>146.25</v>
          </cell>
          <cell r="AF417">
            <v>0</v>
          </cell>
          <cell r="AG417">
            <v>0</v>
          </cell>
          <cell r="AH417">
            <v>11.25</v>
          </cell>
          <cell r="AI417">
            <v>0</v>
          </cell>
          <cell r="AJ417">
            <v>0</v>
          </cell>
          <cell r="AK417">
            <v>97.5</v>
          </cell>
          <cell r="AL417">
            <v>0</v>
          </cell>
          <cell r="AM417">
            <v>0</v>
          </cell>
          <cell r="AN417">
            <v>126.75</v>
          </cell>
          <cell r="AO417">
            <v>0</v>
          </cell>
          <cell r="AP417">
            <v>0</v>
          </cell>
          <cell r="AQ417">
            <v>9.75</v>
          </cell>
          <cell r="AR417">
            <v>0</v>
          </cell>
          <cell r="AS417">
            <v>0</v>
          </cell>
          <cell r="AT417">
            <v>150</v>
          </cell>
          <cell r="AU417">
            <v>0</v>
          </cell>
          <cell r="AV417">
            <v>0</v>
          </cell>
          <cell r="AW417">
            <v>195</v>
          </cell>
          <cell r="AX417">
            <v>0</v>
          </cell>
          <cell r="AY417">
            <v>0</v>
          </cell>
          <cell r="AZ417">
            <v>15</v>
          </cell>
          <cell r="BA417">
            <v>0</v>
          </cell>
          <cell r="BB417">
            <v>0</v>
          </cell>
          <cell r="BC417">
            <v>75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6367.5</v>
          </cell>
        </row>
        <row r="418">
          <cell r="C418">
            <v>14276</v>
          </cell>
          <cell r="D418" t="str">
            <v>Magsino, Ailen Calubayan</v>
          </cell>
          <cell r="E418">
            <v>80</v>
          </cell>
          <cell r="F418">
            <v>10</v>
          </cell>
          <cell r="G418">
            <v>600</v>
          </cell>
          <cell r="H418">
            <v>6000</v>
          </cell>
          <cell r="I418">
            <v>0</v>
          </cell>
          <cell r="J418">
            <v>1.25</v>
          </cell>
          <cell r="K418">
            <v>0</v>
          </cell>
          <cell r="L418">
            <v>16</v>
          </cell>
          <cell r="M418">
            <v>93.75</v>
          </cell>
          <cell r="N418">
            <v>1500</v>
          </cell>
          <cell r="O418">
            <v>30</v>
          </cell>
          <cell r="P418">
            <v>7.5</v>
          </cell>
          <cell r="Q418">
            <v>225</v>
          </cell>
          <cell r="R418">
            <v>0</v>
          </cell>
          <cell r="S418">
            <v>97.5</v>
          </cell>
          <cell r="T418">
            <v>0</v>
          </cell>
          <cell r="U418">
            <v>0</v>
          </cell>
          <cell r="V418">
            <v>126.75</v>
          </cell>
          <cell r="W418">
            <v>0</v>
          </cell>
          <cell r="X418">
            <v>0</v>
          </cell>
          <cell r="Y418">
            <v>9.75</v>
          </cell>
          <cell r="Z418">
            <v>0</v>
          </cell>
          <cell r="AA418">
            <v>0</v>
          </cell>
          <cell r="AB418">
            <v>112.5</v>
          </cell>
          <cell r="AC418">
            <v>0</v>
          </cell>
          <cell r="AD418">
            <v>0</v>
          </cell>
          <cell r="AE418">
            <v>146.25</v>
          </cell>
          <cell r="AF418">
            <v>0</v>
          </cell>
          <cell r="AG418">
            <v>0</v>
          </cell>
          <cell r="AH418">
            <v>11.25</v>
          </cell>
          <cell r="AI418">
            <v>0</v>
          </cell>
          <cell r="AJ418">
            <v>0</v>
          </cell>
          <cell r="AK418">
            <v>97.5</v>
          </cell>
          <cell r="AL418">
            <v>0</v>
          </cell>
          <cell r="AM418">
            <v>0</v>
          </cell>
          <cell r="AN418">
            <v>126.75</v>
          </cell>
          <cell r="AO418">
            <v>0</v>
          </cell>
          <cell r="AP418">
            <v>0</v>
          </cell>
          <cell r="AQ418">
            <v>9.75</v>
          </cell>
          <cell r="AR418">
            <v>0</v>
          </cell>
          <cell r="AS418">
            <v>0</v>
          </cell>
          <cell r="AT418">
            <v>150</v>
          </cell>
          <cell r="AU418">
            <v>0</v>
          </cell>
          <cell r="AV418">
            <v>0</v>
          </cell>
          <cell r="AW418">
            <v>195</v>
          </cell>
          <cell r="AX418">
            <v>0</v>
          </cell>
          <cell r="AY418">
            <v>0</v>
          </cell>
          <cell r="AZ418">
            <v>15</v>
          </cell>
          <cell r="BA418">
            <v>0</v>
          </cell>
          <cell r="BB418">
            <v>0</v>
          </cell>
          <cell r="BC418">
            <v>75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7725</v>
          </cell>
        </row>
        <row r="419">
          <cell r="C419">
            <v>30660</v>
          </cell>
          <cell r="D419" t="str">
            <v>Malto, Russel Mark Guray</v>
          </cell>
          <cell r="E419">
            <v>0</v>
          </cell>
          <cell r="F419">
            <v>0</v>
          </cell>
          <cell r="G419">
            <v>600</v>
          </cell>
          <cell r="H419">
            <v>0</v>
          </cell>
          <cell r="I419">
            <v>0</v>
          </cell>
          <cell r="J419">
            <v>1.25</v>
          </cell>
          <cell r="K419">
            <v>0</v>
          </cell>
          <cell r="L419">
            <v>0</v>
          </cell>
          <cell r="M419">
            <v>93.75</v>
          </cell>
          <cell r="N419">
            <v>0</v>
          </cell>
          <cell r="O419">
            <v>0</v>
          </cell>
          <cell r="P419">
            <v>7.5</v>
          </cell>
          <cell r="Q419">
            <v>0</v>
          </cell>
          <cell r="R419">
            <v>0</v>
          </cell>
          <cell r="S419">
            <v>97.5</v>
          </cell>
          <cell r="T419">
            <v>0</v>
          </cell>
          <cell r="U419">
            <v>0</v>
          </cell>
          <cell r="V419">
            <v>126.75</v>
          </cell>
          <cell r="W419">
            <v>0</v>
          </cell>
          <cell r="X419">
            <v>0</v>
          </cell>
          <cell r="Y419">
            <v>9.75</v>
          </cell>
          <cell r="Z419">
            <v>0</v>
          </cell>
          <cell r="AA419">
            <v>0</v>
          </cell>
          <cell r="AB419">
            <v>112.5</v>
          </cell>
          <cell r="AC419">
            <v>0</v>
          </cell>
          <cell r="AD419">
            <v>0</v>
          </cell>
          <cell r="AE419">
            <v>146.25</v>
          </cell>
          <cell r="AF419">
            <v>0</v>
          </cell>
          <cell r="AG419">
            <v>0</v>
          </cell>
          <cell r="AH419">
            <v>11.25</v>
          </cell>
          <cell r="AI419">
            <v>0</v>
          </cell>
          <cell r="AJ419">
            <v>0</v>
          </cell>
          <cell r="AK419">
            <v>97.5</v>
          </cell>
          <cell r="AL419">
            <v>0</v>
          </cell>
          <cell r="AM419">
            <v>0</v>
          </cell>
          <cell r="AN419">
            <v>126.75</v>
          </cell>
          <cell r="AO419">
            <v>0</v>
          </cell>
          <cell r="AP419">
            <v>0</v>
          </cell>
          <cell r="AQ419">
            <v>9.75</v>
          </cell>
          <cell r="AR419">
            <v>0</v>
          </cell>
          <cell r="AS419">
            <v>0</v>
          </cell>
          <cell r="AT419">
            <v>150</v>
          </cell>
          <cell r="AU419">
            <v>0</v>
          </cell>
          <cell r="AV419">
            <v>0</v>
          </cell>
          <cell r="AW419">
            <v>195</v>
          </cell>
          <cell r="AX419">
            <v>0</v>
          </cell>
          <cell r="AY419">
            <v>0</v>
          </cell>
          <cell r="AZ419">
            <v>15</v>
          </cell>
          <cell r="BA419">
            <v>0</v>
          </cell>
          <cell r="BB419">
            <v>0</v>
          </cell>
          <cell r="BC419">
            <v>75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</row>
        <row r="420">
          <cell r="C420">
            <v>14281</v>
          </cell>
          <cell r="D420" t="str">
            <v>Malveda, Mark Cedrick Nota</v>
          </cell>
          <cell r="E420">
            <v>80</v>
          </cell>
          <cell r="F420">
            <v>10</v>
          </cell>
          <cell r="G420">
            <v>600</v>
          </cell>
          <cell r="H420">
            <v>6000</v>
          </cell>
          <cell r="I420">
            <v>0</v>
          </cell>
          <cell r="J420">
            <v>1.25</v>
          </cell>
          <cell r="K420">
            <v>0</v>
          </cell>
          <cell r="L420">
            <v>5</v>
          </cell>
          <cell r="M420">
            <v>93.75</v>
          </cell>
          <cell r="N420">
            <v>468.75</v>
          </cell>
          <cell r="O420">
            <v>37</v>
          </cell>
          <cell r="P420">
            <v>7.5</v>
          </cell>
          <cell r="Q420">
            <v>277.5</v>
          </cell>
          <cell r="R420">
            <v>0</v>
          </cell>
          <cell r="S420">
            <v>97.5</v>
          </cell>
          <cell r="T420">
            <v>0</v>
          </cell>
          <cell r="U420">
            <v>0</v>
          </cell>
          <cell r="V420">
            <v>126.75</v>
          </cell>
          <cell r="W420">
            <v>0</v>
          </cell>
          <cell r="X420">
            <v>0</v>
          </cell>
          <cell r="Y420">
            <v>9.75</v>
          </cell>
          <cell r="Z420">
            <v>0</v>
          </cell>
          <cell r="AA420">
            <v>0</v>
          </cell>
          <cell r="AB420">
            <v>112.5</v>
          </cell>
          <cell r="AC420">
            <v>0</v>
          </cell>
          <cell r="AD420">
            <v>0</v>
          </cell>
          <cell r="AE420">
            <v>146.25</v>
          </cell>
          <cell r="AF420">
            <v>0</v>
          </cell>
          <cell r="AG420">
            <v>0</v>
          </cell>
          <cell r="AH420">
            <v>11.25</v>
          </cell>
          <cell r="AI420">
            <v>0</v>
          </cell>
          <cell r="AJ420">
            <v>0</v>
          </cell>
          <cell r="AK420">
            <v>97.5</v>
          </cell>
          <cell r="AL420">
            <v>0</v>
          </cell>
          <cell r="AM420">
            <v>0</v>
          </cell>
          <cell r="AN420">
            <v>126.75</v>
          </cell>
          <cell r="AO420">
            <v>0</v>
          </cell>
          <cell r="AP420">
            <v>0</v>
          </cell>
          <cell r="AQ420">
            <v>9.75</v>
          </cell>
          <cell r="AR420">
            <v>0</v>
          </cell>
          <cell r="AS420">
            <v>0</v>
          </cell>
          <cell r="AT420">
            <v>150</v>
          </cell>
          <cell r="AU420">
            <v>0</v>
          </cell>
          <cell r="AV420">
            <v>0</v>
          </cell>
          <cell r="AW420">
            <v>195</v>
          </cell>
          <cell r="AX420">
            <v>0</v>
          </cell>
          <cell r="AY420">
            <v>0</v>
          </cell>
          <cell r="AZ420">
            <v>15</v>
          </cell>
          <cell r="BA420">
            <v>0</v>
          </cell>
          <cell r="BB420">
            <v>0</v>
          </cell>
          <cell r="BC420">
            <v>75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6746.25</v>
          </cell>
        </row>
        <row r="421">
          <cell r="C421">
            <v>14283</v>
          </cell>
          <cell r="D421" t="str">
            <v>Manalo, Charryvell Madronio</v>
          </cell>
          <cell r="E421">
            <v>56</v>
          </cell>
          <cell r="F421">
            <v>7</v>
          </cell>
          <cell r="G421">
            <v>600</v>
          </cell>
          <cell r="H421">
            <v>4200</v>
          </cell>
          <cell r="I421">
            <v>0</v>
          </cell>
          <cell r="J421">
            <v>1.25</v>
          </cell>
          <cell r="K421">
            <v>0</v>
          </cell>
          <cell r="L421">
            <v>9</v>
          </cell>
          <cell r="M421">
            <v>93.75</v>
          </cell>
          <cell r="N421">
            <v>843.75</v>
          </cell>
          <cell r="O421">
            <v>28</v>
          </cell>
          <cell r="P421">
            <v>7.5</v>
          </cell>
          <cell r="Q421">
            <v>210</v>
          </cell>
          <cell r="R421">
            <v>0</v>
          </cell>
          <cell r="S421">
            <v>97.5</v>
          </cell>
          <cell r="T421">
            <v>0</v>
          </cell>
          <cell r="U421">
            <v>0</v>
          </cell>
          <cell r="V421">
            <v>126.75</v>
          </cell>
          <cell r="W421">
            <v>0</v>
          </cell>
          <cell r="X421">
            <v>0</v>
          </cell>
          <cell r="Y421">
            <v>9.75</v>
          </cell>
          <cell r="Z421">
            <v>0</v>
          </cell>
          <cell r="AA421">
            <v>0</v>
          </cell>
          <cell r="AB421">
            <v>112.5</v>
          </cell>
          <cell r="AC421">
            <v>0</v>
          </cell>
          <cell r="AD421">
            <v>0</v>
          </cell>
          <cell r="AE421">
            <v>146.25</v>
          </cell>
          <cell r="AF421">
            <v>0</v>
          </cell>
          <cell r="AG421">
            <v>0</v>
          </cell>
          <cell r="AH421">
            <v>11.25</v>
          </cell>
          <cell r="AI421">
            <v>0</v>
          </cell>
          <cell r="AJ421">
            <v>0</v>
          </cell>
          <cell r="AK421">
            <v>97.5</v>
          </cell>
          <cell r="AL421">
            <v>0</v>
          </cell>
          <cell r="AM421">
            <v>0</v>
          </cell>
          <cell r="AN421">
            <v>126.75</v>
          </cell>
          <cell r="AO421">
            <v>0</v>
          </cell>
          <cell r="AP421">
            <v>0</v>
          </cell>
          <cell r="AQ421">
            <v>9.75</v>
          </cell>
          <cell r="AR421">
            <v>0</v>
          </cell>
          <cell r="AS421">
            <v>0</v>
          </cell>
          <cell r="AT421">
            <v>150</v>
          </cell>
          <cell r="AU421">
            <v>0</v>
          </cell>
          <cell r="AV421">
            <v>0</v>
          </cell>
          <cell r="AW421">
            <v>195</v>
          </cell>
          <cell r="AX421">
            <v>0</v>
          </cell>
          <cell r="AY421">
            <v>0</v>
          </cell>
          <cell r="AZ421">
            <v>15</v>
          </cell>
          <cell r="BA421">
            <v>0</v>
          </cell>
          <cell r="BB421">
            <v>0</v>
          </cell>
          <cell r="BC421">
            <v>75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5253.75</v>
          </cell>
        </row>
        <row r="422">
          <cell r="C422">
            <v>14284</v>
          </cell>
          <cell r="D422" t="str">
            <v>Manalo, Jackquiline Camo</v>
          </cell>
          <cell r="E422">
            <v>64</v>
          </cell>
          <cell r="F422">
            <v>8</v>
          </cell>
          <cell r="G422">
            <v>600</v>
          </cell>
          <cell r="H422">
            <v>4800</v>
          </cell>
          <cell r="I422">
            <v>0</v>
          </cell>
          <cell r="J422">
            <v>1.25</v>
          </cell>
          <cell r="K422">
            <v>0</v>
          </cell>
          <cell r="L422">
            <v>13</v>
          </cell>
          <cell r="M422">
            <v>93.75</v>
          </cell>
          <cell r="N422">
            <v>1218.75</v>
          </cell>
          <cell r="O422">
            <v>31</v>
          </cell>
          <cell r="P422">
            <v>7.5</v>
          </cell>
          <cell r="Q422">
            <v>232.5</v>
          </cell>
          <cell r="R422">
            <v>0</v>
          </cell>
          <cell r="S422">
            <v>97.5</v>
          </cell>
          <cell r="T422">
            <v>0</v>
          </cell>
          <cell r="U422">
            <v>0</v>
          </cell>
          <cell r="V422">
            <v>126.75</v>
          </cell>
          <cell r="W422">
            <v>0</v>
          </cell>
          <cell r="X422">
            <v>0</v>
          </cell>
          <cell r="Y422">
            <v>9.75</v>
          </cell>
          <cell r="Z422">
            <v>0</v>
          </cell>
          <cell r="AA422">
            <v>0</v>
          </cell>
          <cell r="AB422">
            <v>112.5</v>
          </cell>
          <cell r="AC422">
            <v>0</v>
          </cell>
          <cell r="AD422">
            <v>0</v>
          </cell>
          <cell r="AE422">
            <v>146.25</v>
          </cell>
          <cell r="AF422">
            <v>0</v>
          </cell>
          <cell r="AG422">
            <v>0</v>
          </cell>
          <cell r="AH422">
            <v>11.25</v>
          </cell>
          <cell r="AI422">
            <v>0</v>
          </cell>
          <cell r="AJ422">
            <v>0</v>
          </cell>
          <cell r="AK422">
            <v>97.5</v>
          </cell>
          <cell r="AL422">
            <v>0</v>
          </cell>
          <cell r="AM422">
            <v>0</v>
          </cell>
          <cell r="AN422">
            <v>126.75</v>
          </cell>
          <cell r="AO422">
            <v>0</v>
          </cell>
          <cell r="AP422">
            <v>0</v>
          </cell>
          <cell r="AQ422">
            <v>9.75</v>
          </cell>
          <cell r="AR422">
            <v>0</v>
          </cell>
          <cell r="AS422">
            <v>0</v>
          </cell>
          <cell r="AT422">
            <v>150</v>
          </cell>
          <cell r="AU422">
            <v>0</v>
          </cell>
          <cell r="AV422">
            <v>0</v>
          </cell>
          <cell r="AW422">
            <v>195</v>
          </cell>
          <cell r="AX422">
            <v>0</v>
          </cell>
          <cell r="AY422">
            <v>0</v>
          </cell>
          <cell r="AZ422">
            <v>15</v>
          </cell>
          <cell r="BA422">
            <v>0</v>
          </cell>
          <cell r="BB422">
            <v>0</v>
          </cell>
          <cell r="BC422">
            <v>75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6251.25</v>
          </cell>
        </row>
        <row r="423">
          <cell r="C423">
            <v>14285</v>
          </cell>
          <cell r="D423" t="str">
            <v>Manalo, John Lester Romero</v>
          </cell>
          <cell r="E423">
            <v>80</v>
          </cell>
          <cell r="F423">
            <v>10</v>
          </cell>
          <cell r="G423">
            <v>600</v>
          </cell>
          <cell r="H423">
            <v>6000</v>
          </cell>
          <cell r="I423">
            <v>0</v>
          </cell>
          <cell r="J423">
            <v>1.25</v>
          </cell>
          <cell r="K423">
            <v>0</v>
          </cell>
          <cell r="L423">
            <v>2</v>
          </cell>
          <cell r="M423">
            <v>93.75</v>
          </cell>
          <cell r="N423">
            <v>187.5</v>
          </cell>
          <cell r="O423">
            <v>26</v>
          </cell>
          <cell r="P423">
            <v>7.5</v>
          </cell>
          <cell r="Q423">
            <v>195</v>
          </cell>
          <cell r="R423">
            <v>0</v>
          </cell>
          <cell r="S423">
            <v>97.5</v>
          </cell>
          <cell r="T423">
            <v>0</v>
          </cell>
          <cell r="U423">
            <v>0</v>
          </cell>
          <cell r="V423">
            <v>126.75</v>
          </cell>
          <cell r="W423">
            <v>0</v>
          </cell>
          <cell r="X423">
            <v>0</v>
          </cell>
          <cell r="Y423">
            <v>9.75</v>
          </cell>
          <cell r="Z423">
            <v>0</v>
          </cell>
          <cell r="AA423">
            <v>0</v>
          </cell>
          <cell r="AB423">
            <v>112.5</v>
          </cell>
          <cell r="AC423">
            <v>0</v>
          </cell>
          <cell r="AD423">
            <v>0</v>
          </cell>
          <cell r="AE423">
            <v>146.25</v>
          </cell>
          <cell r="AF423">
            <v>0</v>
          </cell>
          <cell r="AG423">
            <v>0</v>
          </cell>
          <cell r="AH423">
            <v>11.25</v>
          </cell>
          <cell r="AI423">
            <v>0</v>
          </cell>
          <cell r="AJ423">
            <v>0</v>
          </cell>
          <cell r="AK423">
            <v>97.5</v>
          </cell>
          <cell r="AL423">
            <v>0</v>
          </cell>
          <cell r="AM423">
            <v>0</v>
          </cell>
          <cell r="AN423">
            <v>126.75</v>
          </cell>
          <cell r="AO423">
            <v>0</v>
          </cell>
          <cell r="AP423">
            <v>0</v>
          </cell>
          <cell r="AQ423">
            <v>9.75</v>
          </cell>
          <cell r="AR423">
            <v>0</v>
          </cell>
          <cell r="AS423">
            <v>0</v>
          </cell>
          <cell r="AT423">
            <v>150</v>
          </cell>
          <cell r="AU423">
            <v>0</v>
          </cell>
          <cell r="AV423">
            <v>0</v>
          </cell>
          <cell r="AW423">
            <v>195</v>
          </cell>
          <cell r="AX423">
            <v>0</v>
          </cell>
          <cell r="AY423">
            <v>0</v>
          </cell>
          <cell r="AZ423">
            <v>15</v>
          </cell>
          <cell r="BA423">
            <v>0</v>
          </cell>
          <cell r="BB423">
            <v>0</v>
          </cell>
          <cell r="BC423">
            <v>75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6382.5</v>
          </cell>
        </row>
        <row r="424">
          <cell r="C424">
            <v>11806</v>
          </cell>
          <cell r="D424" t="str">
            <v>Mancilla, John Rafael Tonga</v>
          </cell>
          <cell r="E424">
            <v>72</v>
          </cell>
          <cell r="F424">
            <v>9</v>
          </cell>
          <cell r="G424">
            <v>600</v>
          </cell>
          <cell r="H424">
            <v>5400</v>
          </cell>
          <cell r="I424">
            <v>0</v>
          </cell>
          <cell r="J424">
            <v>1.25</v>
          </cell>
          <cell r="K424">
            <v>0</v>
          </cell>
          <cell r="L424">
            <v>8</v>
          </cell>
          <cell r="M424">
            <v>93.75</v>
          </cell>
          <cell r="N424">
            <v>750</v>
          </cell>
          <cell r="O424">
            <v>18</v>
          </cell>
          <cell r="P424">
            <v>7.5</v>
          </cell>
          <cell r="Q424">
            <v>135</v>
          </cell>
          <cell r="R424">
            <v>0</v>
          </cell>
          <cell r="S424">
            <v>97.5</v>
          </cell>
          <cell r="T424">
            <v>0</v>
          </cell>
          <cell r="U424">
            <v>0</v>
          </cell>
          <cell r="V424">
            <v>126.75</v>
          </cell>
          <cell r="W424">
            <v>0</v>
          </cell>
          <cell r="X424">
            <v>0</v>
          </cell>
          <cell r="Y424">
            <v>9.75</v>
          </cell>
          <cell r="Z424">
            <v>0</v>
          </cell>
          <cell r="AA424">
            <v>0</v>
          </cell>
          <cell r="AB424">
            <v>112.5</v>
          </cell>
          <cell r="AC424">
            <v>0</v>
          </cell>
          <cell r="AD424">
            <v>0</v>
          </cell>
          <cell r="AE424">
            <v>146.25</v>
          </cell>
          <cell r="AF424">
            <v>0</v>
          </cell>
          <cell r="AG424">
            <v>0</v>
          </cell>
          <cell r="AH424">
            <v>11.25</v>
          </cell>
          <cell r="AI424">
            <v>0</v>
          </cell>
          <cell r="AJ424">
            <v>0</v>
          </cell>
          <cell r="AK424">
            <v>97.5</v>
          </cell>
          <cell r="AL424">
            <v>0</v>
          </cell>
          <cell r="AM424">
            <v>0</v>
          </cell>
          <cell r="AN424">
            <v>126.75</v>
          </cell>
          <cell r="AO424">
            <v>0</v>
          </cell>
          <cell r="AP424">
            <v>0</v>
          </cell>
          <cell r="AQ424">
            <v>9.75</v>
          </cell>
          <cell r="AR424">
            <v>0</v>
          </cell>
          <cell r="AS424">
            <v>0</v>
          </cell>
          <cell r="AT424">
            <v>150</v>
          </cell>
          <cell r="AU424">
            <v>0</v>
          </cell>
          <cell r="AV424">
            <v>0</v>
          </cell>
          <cell r="AW424">
            <v>195</v>
          </cell>
          <cell r="AX424">
            <v>0</v>
          </cell>
          <cell r="AY424">
            <v>0</v>
          </cell>
          <cell r="AZ424">
            <v>15</v>
          </cell>
          <cell r="BA424">
            <v>0</v>
          </cell>
          <cell r="BB424">
            <v>0</v>
          </cell>
          <cell r="BC424">
            <v>75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6285</v>
          </cell>
        </row>
        <row r="425">
          <cell r="C425">
            <v>7634</v>
          </cell>
          <cell r="D425" t="str">
            <v>Mangco, Marie Leony</v>
          </cell>
          <cell r="E425">
            <v>88</v>
          </cell>
          <cell r="F425">
            <v>11</v>
          </cell>
          <cell r="G425">
            <v>600</v>
          </cell>
          <cell r="H425">
            <v>6600</v>
          </cell>
          <cell r="I425">
            <v>0</v>
          </cell>
          <cell r="J425">
            <v>1.25</v>
          </cell>
          <cell r="K425">
            <v>0</v>
          </cell>
          <cell r="L425">
            <v>16</v>
          </cell>
          <cell r="M425">
            <v>93.75</v>
          </cell>
          <cell r="N425">
            <v>1500</v>
          </cell>
          <cell r="O425">
            <v>54</v>
          </cell>
          <cell r="P425">
            <v>7.5</v>
          </cell>
          <cell r="Q425">
            <v>405</v>
          </cell>
          <cell r="R425">
            <v>0</v>
          </cell>
          <cell r="S425">
            <v>97.5</v>
          </cell>
          <cell r="T425">
            <v>0</v>
          </cell>
          <cell r="U425">
            <v>0</v>
          </cell>
          <cell r="V425">
            <v>126.75</v>
          </cell>
          <cell r="W425">
            <v>0</v>
          </cell>
          <cell r="X425">
            <v>0</v>
          </cell>
          <cell r="Y425">
            <v>9.75</v>
          </cell>
          <cell r="Z425">
            <v>0</v>
          </cell>
          <cell r="AA425">
            <v>0</v>
          </cell>
          <cell r="AB425">
            <v>112.5</v>
          </cell>
          <cell r="AC425">
            <v>0</v>
          </cell>
          <cell r="AD425">
            <v>0</v>
          </cell>
          <cell r="AE425">
            <v>146.25</v>
          </cell>
          <cell r="AF425">
            <v>0</v>
          </cell>
          <cell r="AG425">
            <v>0</v>
          </cell>
          <cell r="AH425">
            <v>11.25</v>
          </cell>
          <cell r="AI425">
            <v>0</v>
          </cell>
          <cell r="AJ425">
            <v>0</v>
          </cell>
          <cell r="AK425">
            <v>97.5</v>
          </cell>
          <cell r="AL425">
            <v>0</v>
          </cell>
          <cell r="AM425">
            <v>0</v>
          </cell>
          <cell r="AN425">
            <v>126.75</v>
          </cell>
          <cell r="AO425">
            <v>0</v>
          </cell>
          <cell r="AP425">
            <v>0</v>
          </cell>
          <cell r="AQ425">
            <v>9.75</v>
          </cell>
          <cell r="AR425">
            <v>0</v>
          </cell>
          <cell r="AS425">
            <v>0</v>
          </cell>
          <cell r="AT425">
            <v>150</v>
          </cell>
          <cell r="AU425">
            <v>0</v>
          </cell>
          <cell r="AV425">
            <v>0</v>
          </cell>
          <cell r="AW425">
            <v>195</v>
          </cell>
          <cell r="AX425">
            <v>0</v>
          </cell>
          <cell r="AY425">
            <v>0</v>
          </cell>
          <cell r="AZ425">
            <v>15</v>
          </cell>
          <cell r="BA425">
            <v>0</v>
          </cell>
          <cell r="BB425">
            <v>0</v>
          </cell>
          <cell r="BC425">
            <v>75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8505</v>
          </cell>
        </row>
        <row r="426">
          <cell r="C426">
            <v>14291</v>
          </cell>
          <cell r="D426" t="str">
            <v>Maquiniana, Reymar Bio</v>
          </cell>
          <cell r="E426">
            <v>88</v>
          </cell>
          <cell r="F426">
            <v>11</v>
          </cell>
          <cell r="G426">
            <v>600</v>
          </cell>
          <cell r="H426">
            <v>6600</v>
          </cell>
          <cell r="I426">
            <v>0</v>
          </cell>
          <cell r="J426">
            <v>1.25</v>
          </cell>
          <cell r="K426">
            <v>0</v>
          </cell>
          <cell r="L426">
            <v>10</v>
          </cell>
          <cell r="M426">
            <v>93.75</v>
          </cell>
          <cell r="N426">
            <v>937.5</v>
          </cell>
          <cell r="O426">
            <v>50</v>
          </cell>
          <cell r="P426">
            <v>7.5</v>
          </cell>
          <cell r="Q426">
            <v>375</v>
          </cell>
          <cell r="R426">
            <v>0</v>
          </cell>
          <cell r="S426">
            <v>97.5</v>
          </cell>
          <cell r="T426">
            <v>0</v>
          </cell>
          <cell r="U426">
            <v>0</v>
          </cell>
          <cell r="V426">
            <v>126.75</v>
          </cell>
          <cell r="W426">
            <v>0</v>
          </cell>
          <cell r="X426">
            <v>0</v>
          </cell>
          <cell r="Y426">
            <v>9.75</v>
          </cell>
          <cell r="Z426">
            <v>0</v>
          </cell>
          <cell r="AA426">
            <v>0</v>
          </cell>
          <cell r="AB426">
            <v>112.5</v>
          </cell>
          <cell r="AC426">
            <v>0</v>
          </cell>
          <cell r="AD426">
            <v>0</v>
          </cell>
          <cell r="AE426">
            <v>146.25</v>
          </cell>
          <cell r="AF426">
            <v>0</v>
          </cell>
          <cell r="AG426">
            <v>0</v>
          </cell>
          <cell r="AH426">
            <v>11.25</v>
          </cell>
          <cell r="AI426">
            <v>0</v>
          </cell>
          <cell r="AJ426">
            <v>0</v>
          </cell>
          <cell r="AK426">
            <v>97.5</v>
          </cell>
          <cell r="AL426">
            <v>0</v>
          </cell>
          <cell r="AM426">
            <v>0</v>
          </cell>
          <cell r="AN426">
            <v>126.75</v>
          </cell>
          <cell r="AO426">
            <v>0</v>
          </cell>
          <cell r="AP426">
            <v>0</v>
          </cell>
          <cell r="AQ426">
            <v>9.75</v>
          </cell>
          <cell r="AR426">
            <v>0</v>
          </cell>
          <cell r="AS426">
            <v>0</v>
          </cell>
          <cell r="AT426">
            <v>150</v>
          </cell>
          <cell r="AU426">
            <v>0</v>
          </cell>
          <cell r="AV426">
            <v>0</v>
          </cell>
          <cell r="AW426">
            <v>195</v>
          </cell>
          <cell r="AX426">
            <v>0</v>
          </cell>
          <cell r="AY426">
            <v>0</v>
          </cell>
          <cell r="AZ426">
            <v>15</v>
          </cell>
          <cell r="BA426">
            <v>0</v>
          </cell>
          <cell r="BB426">
            <v>0</v>
          </cell>
          <cell r="BC426">
            <v>75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7912.5</v>
          </cell>
        </row>
        <row r="427">
          <cell r="C427">
            <v>2135</v>
          </cell>
          <cell r="D427" t="str">
            <v>Marigondon, Naces Manzanillo</v>
          </cell>
          <cell r="E427">
            <v>88</v>
          </cell>
          <cell r="F427">
            <v>11</v>
          </cell>
          <cell r="G427">
            <v>600</v>
          </cell>
          <cell r="H427">
            <v>6600</v>
          </cell>
          <cell r="I427">
            <v>38</v>
          </cell>
          <cell r="J427">
            <v>1.25</v>
          </cell>
          <cell r="K427">
            <v>-47.5</v>
          </cell>
          <cell r="L427">
            <v>10</v>
          </cell>
          <cell r="M427">
            <v>93.75</v>
          </cell>
          <cell r="N427">
            <v>937.5</v>
          </cell>
          <cell r="O427">
            <v>48</v>
          </cell>
          <cell r="P427">
            <v>7.5</v>
          </cell>
          <cell r="Q427">
            <v>360</v>
          </cell>
          <cell r="R427">
            <v>0</v>
          </cell>
          <cell r="S427">
            <v>97.5</v>
          </cell>
          <cell r="T427">
            <v>0</v>
          </cell>
          <cell r="U427">
            <v>0</v>
          </cell>
          <cell r="V427">
            <v>126.75</v>
          </cell>
          <cell r="W427">
            <v>0</v>
          </cell>
          <cell r="X427">
            <v>0</v>
          </cell>
          <cell r="Y427">
            <v>9.75</v>
          </cell>
          <cell r="Z427">
            <v>0</v>
          </cell>
          <cell r="AA427">
            <v>0</v>
          </cell>
          <cell r="AB427">
            <v>112.5</v>
          </cell>
          <cell r="AC427">
            <v>0</v>
          </cell>
          <cell r="AD427">
            <v>0</v>
          </cell>
          <cell r="AE427">
            <v>146.25</v>
          </cell>
          <cell r="AF427">
            <v>0</v>
          </cell>
          <cell r="AG427">
            <v>0</v>
          </cell>
          <cell r="AH427">
            <v>11.25</v>
          </cell>
          <cell r="AI427">
            <v>0</v>
          </cell>
          <cell r="AJ427">
            <v>0</v>
          </cell>
          <cell r="AK427">
            <v>97.5</v>
          </cell>
          <cell r="AL427">
            <v>0</v>
          </cell>
          <cell r="AM427">
            <v>0</v>
          </cell>
          <cell r="AN427">
            <v>126.75</v>
          </cell>
          <cell r="AO427">
            <v>0</v>
          </cell>
          <cell r="AP427">
            <v>0</v>
          </cell>
          <cell r="AQ427">
            <v>9.75</v>
          </cell>
          <cell r="AR427">
            <v>0</v>
          </cell>
          <cell r="AS427">
            <v>0</v>
          </cell>
          <cell r="AT427">
            <v>150</v>
          </cell>
          <cell r="AU427">
            <v>0</v>
          </cell>
          <cell r="AV427">
            <v>0</v>
          </cell>
          <cell r="AW427">
            <v>195</v>
          </cell>
          <cell r="AX427">
            <v>0</v>
          </cell>
          <cell r="AY427">
            <v>0</v>
          </cell>
          <cell r="AZ427">
            <v>15</v>
          </cell>
          <cell r="BA427">
            <v>0</v>
          </cell>
          <cell r="BB427">
            <v>0</v>
          </cell>
          <cell r="BC427">
            <v>75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7850</v>
          </cell>
        </row>
        <row r="428">
          <cell r="C428">
            <v>11834</v>
          </cell>
          <cell r="D428" t="str">
            <v>Masapol, Mary Joy Sanchez</v>
          </cell>
          <cell r="E428">
            <v>80</v>
          </cell>
          <cell r="F428">
            <v>10</v>
          </cell>
          <cell r="G428">
            <v>600</v>
          </cell>
          <cell r="H428">
            <v>6000</v>
          </cell>
          <cell r="I428">
            <v>0</v>
          </cell>
          <cell r="J428">
            <v>1.25</v>
          </cell>
          <cell r="K428">
            <v>0</v>
          </cell>
          <cell r="L428">
            <v>11</v>
          </cell>
          <cell r="M428">
            <v>93.75</v>
          </cell>
          <cell r="N428">
            <v>1031.25</v>
          </cell>
          <cell r="O428">
            <v>0</v>
          </cell>
          <cell r="P428">
            <v>7.5</v>
          </cell>
          <cell r="Q428">
            <v>0</v>
          </cell>
          <cell r="R428">
            <v>0</v>
          </cell>
          <cell r="S428">
            <v>97.5</v>
          </cell>
          <cell r="T428">
            <v>0</v>
          </cell>
          <cell r="U428">
            <v>0</v>
          </cell>
          <cell r="V428">
            <v>126.75</v>
          </cell>
          <cell r="W428">
            <v>0</v>
          </cell>
          <cell r="X428">
            <v>0</v>
          </cell>
          <cell r="Y428">
            <v>9.75</v>
          </cell>
          <cell r="Z428">
            <v>0</v>
          </cell>
          <cell r="AA428">
            <v>0</v>
          </cell>
          <cell r="AB428">
            <v>112.5</v>
          </cell>
          <cell r="AC428">
            <v>0</v>
          </cell>
          <cell r="AD428">
            <v>0</v>
          </cell>
          <cell r="AE428">
            <v>146.25</v>
          </cell>
          <cell r="AF428">
            <v>0</v>
          </cell>
          <cell r="AG428">
            <v>0</v>
          </cell>
          <cell r="AH428">
            <v>11.25</v>
          </cell>
          <cell r="AI428">
            <v>0</v>
          </cell>
          <cell r="AJ428">
            <v>0</v>
          </cell>
          <cell r="AK428">
            <v>97.5</v>
          </cell>
          <cell r="AL428">
            <v>0</v>
          </cell>
          <cell r="AM428">
            <v>0</v>
          </cell>
          <cell r="AN428">
            <v>126.75</v>
          </cell>
          <cell r="AO428">
            <v>0</v>
          </cell>
          <cell r="AP428">
            <v>0</v>
          </cell>
          <cell r="AQ428">
            <v>9.75</v>
          </cell>
          <cell r="AR428">
            <v>0</v>
          </cell>
          <cell r="AS428">
            <v>0</v>
          </cell>
          <cell r="AT428">
            <v>150</v>
          </cell>
          <cell r="AU428">
            <v>0</v>
          </cell>
          <cell r="AV428">
            <v>0</v>
          </cell>
          <cell r="AW428">
            <v>195</v>
          </cell>
          <cell r="AX428">
            <v>0</v>
          </cell>
          <cell r="AY428">
            <v>0</v>
          </cell>
          <cell r="AZ428">
            <v>15</v>
          </cell>
          <cell r="BA428">
            <v>0</v>
          </cell>
          <cell r="BB428">
            <v>0</v>
          </cell>
          <cell r="BC428">
            <v>75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7031.25</v>
          </cell>
        </row>
        <row r="429">
          <cell r="C429">
            <v>3864</v>
          </cell>
          <cell r="D429" t="str">
            <v>Masikap, Cyrius John Olgado</v>
          </cell>
          <cell r="E429">
            <v>88</v>
          </cell>
          <cell r="F429">
            <v>11</v>
          </cell>
          <cell r="G429">
            <v>600</v>
          </cell>
          <cell r="H429">
            <v>6600</v>
          </cell>
          <cell r="I429">
            <v>0</v>
          </cell>
          <cell r="J429">
            <v>1.25</v>
          </cell>
          <cell r="K429">
            <v>0</v>
          </cell>
          <cell r="L429">
            <v>6</v>
          </cell>
          <cell r="M429">
            <v>93.75</v>
          </cell>
          <cell r="N429">
            <v>562.5</v>
          </cell>
          <cell r="O429">
            <v>48</v>
          </cell>
          <cell r="P429">
            <v>7.5</v>
          </cell>
          <cell r="Q429">
            <v>360</v>
          </cell>
          <cell r="R429">
            <v>0</v>
          </cell>
          <cell r="S429">
            <v>97.5</v>
          </cell>
          <cell r="T429">
            <v>0</v>
          </cell>
          <cell r="U429">
            <v>0</v>
          </cell>
          <cell r="V429">
            <v>126.75</v>
          </cell>
          <cell r="W429">
            <v>0</v>
          </cell>
          <cell r="X429">
            <v>0</v>
          </cell>
          <cell r="Y429">
            <v>9.75</v>
          </cell>
          <cell r="Z429">
            <v>0</v>
          </cell>
          <cell r="AA429">
            <v>0</v>
          </cell>
          <cell r="AB429">
            <v>112.5</v>
          </cell>
          <cell r="AC429">
            <v>0</v>
          </cell>
          <cell r="AD429">
            <v>0</v>
          </cell>
          <cell r="AE429">
            <v>146.25</v>
          </cell>
          <cell r="AF429">
            <v>0</v>
          </cell>
          <cell r="AG429">
            <v>0</v>
          </cell>
          <cell r="AH429">
            <v>11.25</v>
          </cell>
          <cell r="AI429">
            <v>0</v>
          </cell>
          <cell r="AJ429">
            <v>0</v>
          </cell>
          <cell r="AK429">
            <v>97.5</v>
          </cell>
          <cell r="AL429">
            <v>0</v>
          </cell>
          <cell r="AM429">
            <v>0</v>
          </cell>
          <cell r="AN429">
            <v>126.75</v>
          </cell>
          <cell r="AO429">
            <v>0</v>
          </cell>
          <cell r="AP429">
            <v>0</v>
          </cell>
          <cell r="AQ429">
            <v>9.75</v>
          </cell>
          <cell r="AR429">
            <v>0</v>
          </cell>
          <cell r="AS429">
            <v>0</v>
          </cell>
          <cell r="AT429">
            <v>150</v>
          </cell>
          <cell r="AU429">
            <v>0</v>
          </cell>
          <cell r="AV429">
            <v>0</v>
          </cell>
          <cell r="AW429">
            <v>195</v>
          </cell>
          <cell r="AX429">
            <v>0</v>
          </cell>
          <cell r="AY429">
            <v>0</v>
          </cell>
          <cell r="AZ429">
            <v>15</v>
          </cell>
          <cell r="BA429">
            <v>0</v>
          </cell>
          <cell r="BB429">
            <v>0</v>
          </cell>
          <cell r="BC429">
            <v>75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7522.5</v>
          </cell>
        </row>
        <row r="430">
          <cell r="C430">
            <v>30223</v>
          </cell>
          <cell r="D430" t="str">
            <v>Maur, Edwin Borjal</v>
          </cell>
          <cell r="E430">
            <v>80</v>
          </cell>
          <cell r="F430">
            <v>10</v>
          </cell>
          <cell r="G430">
            <v>600</v>
          </cell>
          <cell r="H430">
            <v>6000</v>
          </cell>
          <cell r="I430">
            <v>0</v>
          </cell>
          <cell r="J430">
            <v>1.25</v>
          </cell>
          <cell r="K430">
            <v>0</v>
          </cell>
          <cell r="L430">
            <v>10</v>
          </cell>
          <cell r="M430">
            <v>93.75</v>
          </cell>
          <cell r="N430">
            <v>937.5</v>
          </cell>
          <cell r="O430">
            <v>0</v>
          </cell>
          <cell r="P430">
            <v>7.5</v>
          </cell>
          <cell r="Q430">
            <v>0</v>
          </cell>
          <cell r="R430">
            <v>0</v>
          </cell>
          <cell r="S430">
            <v>97.5</v>
          </cell>
          <cell r="T430">
            <v>0</v>
          </cell>
          <cell r="U430">
            <v>0</v>
          </cell>
          <cell r="V430">
            <v>126.75</v>
          </cell>
          <cell r="W430">
            <v>0</v>
          </cell>
          <cell r="X430">
            <v>0</v>
          </cell>
          <cell r="Y430">
            <v>9.75</v>
          </cell>
          <cell r="Z430">
            <v>0</v>
          </cell>
          <cell r="AA430">
            <v>0</v>
          </cell>
          <cell r="AB430">
            <v>112.5</v>
          </cell>
          <cell r="AC430">
            <v>0</v>
          </cell>
          <cell r="AD430">
            <v>0</v>
          </cell>
          <cell r="AE430">
            <v>146.25</v>
          </cell>
          <cell r="AF430">
            <v>0</v>
          </cell>
          <cell r="AG430">
            <v>0</v>
          </cell>
          <cell r="AH430">
            <v>11.25</v>
          </cell>
          <cell r="AI430">
            <v>0</v>
          </cell>
          <cell r="AJ430">
            <v>0</v>
          </cell>
          <cell r="AK430">
            <v>97.5</v>
          </cell>
          <cell r="AL430">
            <v>0</v>
          </cell>
          <cell r="AM430">
            <v>0</v>
          </cell>
          <cell r="AN430">
            <v>126.75</v>
          </cell>
          <cell r="AO430">
            <v>0</v>
          </cell>
          <cell r="AP430">
            <v>0</v>
          </cell>
          <cell r="AQ430">
            <v>9.75</v>
          </cell>
          <cell r="AR430">
            <v>0</v>
          </cell>
          <cell r="AS430">
            <v>0</v>
          </cell>
          <cell r="AT430">
            <v>150</v>
          </cell>
          <cell r="AU430">
            <v>0</v>
          </cell>
          <cell r="AV430">
            <v>0</v>
          </cell>
          <cell r="AW430">
            <v>195</v>
          </cell>
          <cell r="AX430">
            <v>0</v>
          </cell>
          <cell r="AY430">
            <v>0</v>
          </cell>
          <cell r="AZ430">
            <v>15</v>
          </cell>
          <cell r="BA430">
            <v>0</v>
          </cell>
          <cell r="BB430">
            <v>0</v>
          </cell>
          <cell r="BC430">
            <v>75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6937.5</v>
          </cell>
        </row>
        <row r="431">
          <cell r="C431">
            <v>14693</v>
          </cell>
          <cell r="D431" t="str">
            <v>Mayuga, Mark Jonas Mayuga</v>
          </cell>
          <cell r="E431">
            <v>72</v>
          </cell>
          <cell r="F431">
            <v>9</v>
          </cell>
          <cell r="G431">
            <v>600</v>
          </cell>
          <cell r="H431">
            <v>5400</v>
          </cell>
          <cell r="I431">
            <v>0</v>
          </cell>
          <cell r="J431">
            <v>1.25</v>
          </cell>
          <cell r="K431">
            <v>0</v>
          </cell>
          <cell r="L431">
            <v>22</v>
          </cell>
          <cell r="M431">
            <v>93.75</v>
          </cell>
          <cell r="N431">
            <v>2062.5</v>
          </cell>
          <cell r="O431">
            <v>69</v>
          </cell>
          <cell r="P431">
            <v>7.5</v>
          </cell>
          <cell r="Q431">
            <v>517.5</v>
          </cell>
          <cell r="R431">
            <v>8</v>
          </cell>
          <cell r="S431">
            <v>97.5</v>
          </cell>
          <cell r="T431">
            <v>780</v>
          </cell>
          <cell r="U431">
            <v>4</v>
          </cell>
          <cell r="V431">
            <v>126.75</v>
          </cell>
          <cell r="W431">
            <v>507</v>
          </cell>
          <cell r="X431">
            <v>8</v>
          </cell>
          <cell r="Y431">
            <v>9.75</v>
          </cell>
          <cell r="Z431">
            <v>78</v>
          </cell>
          <cell r="AA431">
            <v>0</v>
          </cell>
          <cell r="AB431">
            <v>112.5</v>
          </cell>
          <cell r="AC431">
            <v>0</v>
          </cell>
          <cell r="AD431">
            <v>0</v>
          </cell>
          <cell r="AE431">
            <v>146.25</v>
          </cell>
          <cell r="AF431">
            <v>0</v>
          </cell>
          <cell r="AG431">
            <v>0</v>
          </cell>
          <cell r="AH431">
            <v>11.25</v>
          </cell>
          <cell r="AI431">
            <v>0</v>
          </cell>
          <cell r="AJ431">
            <v>0</v>
          </cell>
          <cell r="AK431">
            <v>97.5</v>
          </cell>
          <cell r="AL431">
            <v>0</v>
          </cell>
          <cell r="AM431">
            <v>0</v>
          </cell>
          <cell r="AN431">
            <v>126.75</v>
          </cell>
          <cell r="AO431">
            <v>0</v>
          </cell>
          <cell r="AP431">
            <v>0</v>
          </cell>
          <cell r="AQ431">
            <v>9.75</v>
          </cell>
          <cell r="AR431">
            <v>0</v>
          </cell>
          <cell r="AS431">
            <v>0</v>
          </cell>
          <cell r="AT431">
            <v>150</v>
          </cell>
          <cell r="AU431">
            <v>0</v>
          </cell>
          <cell r="AV431">
            <v>0</v>
          </cell>
          <cell r="AW431">
            <v>195</v>
          </cell>
          <cell r="AX431">
            <v>0</v>
          </cell>
          <cell r="AY431">
            <v>0</v>
          </cell>
          <cell r="AZ431">
            <v>15</v>
          </cell>
          <cell r="BA431">
            <v>0</v>
          </cell>
          <cell r="BB431">
            <v>0</v>
          </cell>
          <cell r="BC431">
            <v>75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9345</v>
          </cell>
        </row>
        <row r="432">
          <cell r="C432">
            <v>14565</v>
          </cell>
          <cell r="D432" t="str">
            <v>Mayuga, Ryan Hacuman</v>
          </cell>
          <cell r="E432">
            <v>80</v>
          </cell>
          <cell r="F432">
            <v>10</v>
          </cell>
          <cell r="G432">
            <v>600</v>
          </cell>
          <cell r="H432">
            <v>6000</v>
          </cell>
          <cell r="I432">
            <v>0</v>
          </cell>
          <cell r="J432">
            <v>1.25</v>
          </cell>
          <cell r="K432">
            <v>0</v>
          </cell>
          <cell r="L432">
            <v>13.5</v>
          </cell>
          <cell r="M432">
            <v>93.75</v>
          </cell>
          <cell r="N432">
            <v>1265.625</v>
          </cell>
          <cell r="O432">
            <v>44</v>
          </cell>
          <cell r="P432">
            <v>7.5</v>
          </cell>
          <cell r="Q432">
            <v>330</v>
          </cell>
          <cell r="R432">
            <v>0</v>
          </cell>
          <cell r="S432">
            <v>97.5</v>
          </cell>
          <cell r="T432">
            <v>0</v>
          </cell>
          <cell r="U432">
            <v>0</v>
          </cell>
          <cell r="V432">
            <v>126.75</v>
          </cell>
          <cell r="W432">
            <v>0</v>
          </cell>
          <cell r="X432">
            <v>0</v>
          </cell>
          <cell r="Y432">
            <v>9.75</v>
          </cell>
          <cell r="Z432">
            <v>0</v>
          </cell>
          <cell r="AA432">
            <v>0</v>
          </cell>
          <cell r="AB432">
            <v>112.5</v>
          </cell>
          <cell r="AC432">
            <v>0</v>
          </cell>
          <cell r="AD432">
            <v>0</v>
          </cell>
          <cell r="AE432">
            <v>146.25</v>
          </cell>
          <cell r="AF432">
            <v>0</v>
          </cell>
          <cell r="AG432">
            <v>0</v>
          </cell>
          <cell r="AH432">
            <v>11.25</v>
          </cell>
          <cell r="AI432">
            <v>0</v>
          </cell>
          <cell r="AJ432">
            <v>18</v>
          </cell>
          <cell r="AK432">
            <v>97.5</v>
          </cell>
          <cell r="AL432">
            <v>1755</v>
          </cell>
          <cell r="AM432">
            <v>0</v>
          </cell>
          <cell r="AN432">
            <v>126.75</v>
          </cell>
          <cell r="AO432">
            <v>0</v>
          </cell>
          <cell r="AP432">
            <v>0</v>
          </cell>
          <cell r="AQ432">
            <v>9.75</v>
          </cell>
          <cell r="AR432">
            <v>0</v>
          </cell>
          <cell r="AS432">
            <v>0</v>
          </cell>
          <cell r="AT432">
            <v>150</v>
          </cell>
          <cell r="AU432">
            <v>0</v>
          </cell>
          <cell r="AV432">
            <v>0</v>
          </cell>
          <cell r="AW432">
            <v>195</v>
          </cell>
          <cell r="AX432">
            <v>0</v>
          </cell>
          <cell r="AY432">
            <v>0</v>
          </cell>
          <cell r="AZ432">
            <v>15</v>
          </cell>
          <cell r="BA432">
            <v>0</v>
          </cell>
          <cell r="BB432">
            <v>0</v>
          </cell>
          <cell r="BC432">
            <v>75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9350.625</v>
          </cell>
        </row>
        <row r="433">
          <cell r="C433">
            <v>30356</v>
          </cell>
          <cell r="D433" t="str">
            <v>Melgar, Billy Rey Watiwat</v>
          </cell>
          <cell r="E433">
            <v>80</v>
          </cell>
          <cell r="F433">
            <v>10</v>
          </cell>
          <cell r="G433">
            <v>600</v>
          </cell>
          <cell r="H433">
            <v>6000</v>
          </cell>
          <cell r="I433">
            <v>0</v>
          </cell>
          <cell r="J433">
            <v>1.25</v>
          </cell>
          <cell r="K433">
            <v>0</v>
          </cell>
          <cell r="L433">
            <v>6</v>
          </cell>
          <cell r="M433">
            <v>93.75</v>
          </cell>
          <cell r="N433">
            <v>562.5</v>
          </cell>
          <cell r="O433">
            <v>42</v>
          </cell>
          <cell r="P433">
            <v>7.5</v>
          </cell>
          <cell r="Q433">
            <v>315</v>
          </cell>
          <cell r="R433">
            <v>0</v>
          </cell>
          <cell r="S433">
            <v>97.5</v>
          </cell>
          <cell r="T433">
            <v>0</v>
          </cell>
          <cell r="U433">
            <v>0</v>
          </cell>
          <cell r="V433">
            <v>126.75</v>
          </cell>
          <cell r="W433">
            <v>0</v>
          </cell>
          <cell r="X433">
            <v>0</v>
          </cell>
          <cell r="Y433">
            <v>9.75</v>
          </cell>
          <cell r="Z433">
            <v>0</v>
          </cell>
          <cell r="AA433">
            <v>0</v>
          </cell>
          <cell r="AB433">
            <v>112.5</v>
          </cell>
          <cell r="AC433">
            <v>0</v>
          </cell>
          <cell r="AD433">
            <v>0</v>
          </cell>
          <cell r="AE433">
            <v>146.25</v>
          </cell>
          <cell r="AF433">
            <v>0</v>
          </cell>
          <cell r="AG433">
            <v>0</v>
          </cell>
          <cell r="AH433">
            <v>11.25</v>
          </cell>
          <cell r="AI433">
            <v>0</v>
          </cell>
          <cell r="AJ433">
            <v>0</v>
          </cell>
          <cell r="AK433">
            <v>97.5</v>
          </cell>
          <cell r="AL433">
            <v>0</v>
          </cell>
          <cell r="AM433">
            <v>0</v>
          </cell>
          <cell r="AN433">
            <v>126.75</v>
          </cell>
          <cell r="AO433">
            <v>0</v>
          </cell>
          <cell r="AP433">
            <v>0</v>
          </cell>
          <cell r="AQ433">
            <v>9.75</v>
          </cell>
          <cell r="AR433">
            <v>0</v>
          </cell>
          <cell r="AS433">
            <v>0</v>
          </cell>
          <cell r="AT433">
            <v>150</v>
          </cell>
          <cell r="AU433">
            <v>0</v>
          </cell>
          <cell r="AV433">
            <v>0</v>
          </cell>
          <cell r="AW433">
            <v>195</v>
          </cell>
          <cell r="AX433">
            <v>0</v>
          </cell>
          <cell r="AY433">
            <v>0</v>
          </cell>
          <cell r="AZ433">
            <v>15</v>
          </cell>
          <cell r="BA433">
            <v>0</v>
          </cell>
          <cell r="BB433">
            <v>0</v>
          </cell>
          <cell r="BC433">
            <v>75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6877.5</v>
          </cell>
        </row>
        <row r="434">
          <cell r="C434">
            <v>11829</v>
          </cell>
          <cell r="D434" t="str">
            <v>Melitante, Maricar Sueno</v>
          </cell>
          <cell r="E434">
            <v>56</v>
          </cell>
          <cell r="F434">
            <v>7</v>
          </cell>
          <cell r="G434">
            <v>600</v>
          </cell>
          <cell r="H434">
            <v>4200</v>
          </cell>
          <cell r="I434">
            <v>0</v>
          </cell>
          <cell r="J434">
            <v>1.25</v>
          </cell>
          <cell r="K434">
            <v>0</v>
          </cell>
          <cell r="L434">
            <v>8</v>
          </cell>
          <cell r="M434">
            <v>93.75</v>
          </cell>
          <cell r="N434">
            <v>750</v>
          </cell>
          <cell r="O434">
            <v>0</v>
          </cell>
          <cell r="P434">
            <v>7.5</v>
          </cell>
          <cell r="Q434">
            <v>0</v>
          </cell>
          <cell r="R434">
            <v>0</v>
          </cell>
          <cell r="S434">
            <v>97.5</v>
          </cell>
          <cell r="T434">
            <v>0</v>
          </cell>
          <cell r="U434">
            <v>0</v>
          </cell>
          <cell r="V434">
            <v>126.75</v>
          </cell>
          <cell r="W434">
            <v>0</v>
          </cell>
          <cell r="X434">
            <v>0</v>
          </cell>
          <cell r="Y434">
            <v>9.75</v>
          </cell>
          <cell r="Z434">
            <v>0</v>
          </cell>
          <cell r="AA434">
            <v>0</v>
          </cell>
          <cell r="AB434">
            <v>112.5</v>
          </cell>
          <cell r="AC434">
            <v>0</v>
          </cell>
          <cell r="AD434">
            <v>0</v>
          </cell>
          <cell r="AE434">
            <v>146.25</v>
          </cell>
          <cell r="AF434">
            <v>0</v>
          </cell>
          <cell r="AG434">
            <v>0</v>
          </cell>
          <cell r="AH434">
            <v>11.25</v>
          </cell>
          <cell r="AI434">
            <v>0</v>
          </cell>
          <cell r="AJ434">
            <v>0</v>
          </cell>
          <cell r="AK434">
            <v>97.5</v>
          </cell>
          <cell r="AL434">
            <v>0</v>
          </cell>
          <cell r="AM434">
            <v>0</v>
          </cell>
          <cell r="AN434">
            <v>126.75</v>
          </cell>
          <cell r="AO434">
            <v>0</v>
          </cell>
          <cell r="AP434">
            <v>0</v>
          </cell>
          <cell r="AQ434">
            <v>9.75</v>
          </cell>
          <cell r="AR434">
            <v>0</v>
          </cell>
          <cell r="AS434">
            <v>0</v>
          </cell>
          <cell r="AT434">
            <v>150</v>
          </cell>
          <cell r="AU434">
            <v>0</v>
          </cell>
          <cell r="AV434">
            <v>0</v>
          </cell>
          <cell r="AW434">
            <v>195</v>
          </cell>
          <cell r="AX434">
            <v>0</v>
          </cell>
          <cell r="AY434">
            <v>0</v>
          </cell>
          <cell r="AZ434">
            <v>15</v>
          </cell>
          <cell r="BA434">
            <v>0</v>
          </cell>
          <cell r="BB434">
            <v>0</v>
          </cell>
          <cell r="BC434">
            <v>75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4950</v>
          </cell>
        </row>
        <row r="435">
          <cell r="C435">
            <v>6570</v>
          </cell>
          <cell r="D435" t="str">
            <v>Meña, Gregorio Jr. Meña</v>
          </cell>
          <cell r="E435">
            <v>88</v>
          </cell>
          <cell r="F435">
            <v>11</v>
          </cell>
          <cell r="G435">
            <v>600</v>
          </cell>
          <cell r="H435">
            <v>6600</v>
          </cell>
          <cell r="I435">
            <v>0</v>
          </cell>
          <cell r="J435">
            <v>1.25</v>
          </cell>
          <cell r="K435">
            <v>0</v>
          </cell>
          <cell r="L435">
            <v>6</v>
          </cell>
          <cell r="M435">
            <v>93.75</v>
          </cell>
          <cell r="N435">
            <v>562.5</v>
          </cell>
          <cell r="O435">
            <v>48</v>
          </cell>
          <cell r="P435">
            <v>7.5</v>
          </cell>
          <cell r="Q435">
            <v>360</v>
          </cell>
          <cell r="R435">
            <v>0</v>
          </cell>
          <cell r="S435">
            <v>97.5</v>
          </cell>
          <cell r="T435">
            <v>0</v>
          </cell>
          <cell r="U435">
            <v>0</v>
          </cell>
          <cell r="V435">
            <v>126.75</v>
          </cell>
          <cell r="W435">
            <v>0</v>
          </cell>
          <cell r="X435">
            <v>0</v>
          </cell>
          <cell r="Y435">
            <v>9.75</v>
          </cell>
          <cell r="Z435">
            <v>0</v>
          </cell>
          <cell r="AA435">
            <v>0</v>
          </cell>
          <cell r="AB435">
            <v>112.5</v>
          </cell>
          <cell r="AC435">
            <v>0</v>
          </cell>
          <cell r="AD435">
            <v>0</v>
          </cell>
          <cell r="AE435">
            <v>146.25</v>
          </cell>
          <cell r="AF435">
            <v>0</v>
          </cell>
          <cell r="AG435">
            <v>0</v>
          </cell>
          <cell r="AH435">
            <v>11.25</v>
          </cell>
          <cell r="AI435">
            <v>0</v>
          </cell>
          <cell r="AJ435">
            <v>0</v>
          </cell>
          <cell r="AK435">
            <v>97.5</v>
          </cell>
          <cell r="AL435">
            <v>0</v>
          </cell>
          <cell r="AM435">
            <v>0</v>
          </cell>
          <cell r="AN435">
            <v>126.75</v>
          </cell>
          <cell r="AO435">
            <v>0</v>
          </cell>
          <cell r="AP435">
            <v>0</v>
          </cell>
          <cell r="AQ435">
            <v>9.75</v>
          </cell>
          <cell r="AR435">
            <v>0</v>
          </cell>
          <cell r="AS435">
            <v>0</v>
          </cell>
          <cell r="AT435">
            <v>150</v>
          </cell>
          <cell r="AU435">
            <v>0</v>
          </cell>
          <cell r="AV435">
            <v>0</v>
          </cell>
          <cell r="AW435">
            <v>195</v>
          </cell>
          <cell r="AX435">
            <v>0</v>
          </cell>
          <cell r="AY435">
            <v>0</v>
          </cell>
          <cell r="AZ435">
            <v>15</v>
          </cell>
          <cell r="BA435">
            <v>0</v>
          </cell>
          <cell r="BB435">
            <v>0</v>
          </cell>
          <cell r="BC435">
            <v>75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7522.5</v>
          </cell>
        </row>
        <row r="436">
          <cell r="C436">
            <v>14302</v>
          </cell>
          <cell r="D436" t="str">
            <v>Menchero, Jerome</v>
          </cell>
          <cell r="E436">
            <v>80</v>
          </cell>
          <cell r="F436">
            <v>10</v>
          </cell>
          <cell r="G436">
            <v>600</v>
          </cell>
          <cell r="H436">
            <v>6000</v>
          </cell>
          <cell r="I436">
            <v>0</v>
          </cell>
          <cell r="J436">
            <v>1.25</v>
          </cell>
          <cell r="K436">
            <v>0</v>
          </cell>
          <cell r="L436">
            <v>12</v>
          </cell>
          <cell r="M436">
            <v>93.75</v>
          </cell>
          <cell r="N436">
            <v>1125</v>
          </cell>
          <cell r="O436">
            <v>30</v>
          </cell>
          <cell r="P436">
            <v>7.5</v>
          </cell>
          <cell r="Q436">
            <v>225</v>
          </cell>
          <cell r="R436">
            <v>0</v>
          </cell>
          <cell r="S436">
            <v>97.5</v>
          </cell>
          <cell r="T436">
            <v>0</v>
          </cell>
          <cell r="U436">
            <v>0</v>
          </cell>
          <cell r="V436">
            <v>126.75</v>
          </cell>
          <cell r="W436">
            <v>0</v>
          </cell>
          <cell r="X436">
            <v>0</v>
          </cell>
          <cell r="Y436">
            <v>9.75</v>
          </cell>
          <cell r="Z436">
            <v>0</v>
          </cell>
          <cell r="AA436">
            <v>0</v>
          </cell>
          <cell r="AB436">
            <v>112.5</v>
          </cell>
          <cell r="AC436">
            <v>0</v>
          </cell>
          <cell r="AD436">
            <v>0</v>
          </cell>
          <cell r="AE436">
            <v>146.25</v>
          </cell>
          <cell r="AF436">
            <v>0</v>
          </cell>
          <cell r="AG436">
            <v>0</v>
          </cell>
          <cell r="AH436">
            <v>11.25</v>
          </cell>
          <cell r="AI436">
            <v>0</v>
          </cell>
          <cell r="AJ436">
            <v>0</v>
          </cell>
          <cell r="AK436">
            <v>97.5</v>
          </cell>
          <cell r="AL436">
            <v>0</v>
          </cell>
          <cell r="AM436">
            <v>0</v>
          </cell>
          <cell r="AN436">
            <v>126.75</v>
          </cell>
          <cell r="AO436">
            <v>0</v>
          </cell>
          <cell r="AP436">
            <v>0</v>
          </cell>
          <cell r="AQ436">
            <v>9.75</v>
          </cell>
          <cell r="AR436">
            <v>0</v>
          </cell>
          <cell r="AS436">
            <v>0</v>
          </cell>
          <cell r="AT436">
            <v>150</v>
          </cell>
          <cell r="AU436">
            <v>0</v>
          </cell>
          <cell r="AV436">
            <v>0</v>
          </cell>
          <cell r="AW436">
            <v>195</v>
          </cell>
          <cell r="AX436">
            <v>0</v>
          </cell>
          <cell r="AY436">
            <v>0</v>
          </cell>
          <cell r="AZ436">
            <v>15</v>
          </cell>
          <cell r="BA436">
            <v>0</v>
          </cell>
          <cell r="BB436">
            <v>0</v>
          </cell>
          <cell r="BC436">
            <v>75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7350</v>
          </cell>
        </row>
        <row r="437">
          <cell r="C437">
            <v>14556</v>
          </cell>
          <cell r="D437" t="str">
            <v>Mendoza, Jayson Castillo</v>
          </cell>
          <cell r="E437">
            <v>80</v>
          </cell>
          <cell r="F437">
            <v>10</v>
          </cell>
          <cell r="G437">
            <v>600</v>
          </cell>
          <cell r="H437">
            <v>6000</v>
          </cell>
          <cell r="I437">
            <v>0</v>
          </cell>
          <cell r="J437">
            <v>1.25</v>
          </cell>
          <cell r="K437">
            <v>0</v>
          </cell>
          <cell r="L437">
            <v>14</v>
          </cell>
          <cell r="M437">
            <v>93.75</v>
          </cell>
          <cell r="N437">
            <v>1312.5</v>
          </cell>
          <cell r="O437">
            <v>30</v>
          </cell>
          <cell r="P437">
            <v>7.5</v>
          </cell>
          <cell r="Q437">
            <v>225</v>
          </cell>
          <cell r="R437">
            <v>0</v>
          </cell>
          <cell r="S437">
            <v>97.5</v>
          </cell>
          <cell r="T437">
            <v>0</v>
          </cell>
          <cell r="U437">
            <v>0</v>
          </cell>
          <cell r="V437">
            <v>126.75</v>
          </cell>
          <cell r="W437">
            <v>0</v>
          </cell>
          <cell r="X437">
            <v>0</v>
          </cell>
          <cell r="Y437">
            <v>9.75</v>
          </cell>
          <cell r="Z437">
            <v>0</v>
          </cell>
          <cell r="AA437">
            <v>0</v>
          </cell>
          <cell r="AB437">
            <v>112.5</v>
          </cell>
          <cell r="AC437">
            <v>0</v>
          </cell>
          <cell r="AD437">
            <v>0</v>
          </cell>
          <cell r="AE437">
            <v>146.25</v>
          </cell>
          <cell r="AF437">
            <v>0</v>
          </cell>
          <cell r="AG437">
            <v>0</v>
          </cell>
          <cell r="AH437">
            <v>11.25</v>
          </cell>
          <cell r="AI437">
            <v>0</v>
          </cell>
          <cell r="AJ437">
            <v>0</v>
          </cell>
          <cell r="AK437">
            <v>97.5</v>
          </cell>
          <cell r="AL437">
            <v>0</v>
          </cell>
          <cell r="AM437">
            <v>0</v>
          </cell>
          <cell r="AN437">
            <v>126.75</v>
          </cell>
          <cell r="AO437">
            <v>0</v>
          </cell>
          <cell r="AP437">
            <v>0</v>
          </cell>
          <cell r="AQ437">
            <v>9.75</v>
          </cell>
          <cell r="AR437">
            <v>0</v>
          </cell>
          <cell r="AS437">
            <v>0</v>
          </cell>
          <cell r="AT437">
            <v>150</v>
          </cell>
          <cell r="AU437">
            <v>0</v>
          </cell>
          <cell r="AV437">
            <v>0</v>
          </cell>
          <cell r="AW437">
            <v>195</v>
          </cell>
          <cell r="AX437">
            <v>0</v>
          </cell>
          <cell r="AY437">
            <v>0</v>
          </cell>
          <cell r="AZ437">
            <v>15</v>
          </cell>
          <cell r="BA437">
            <v>0</v>
          </cell>
          <cell r="BB437">
            <v>0</v>
          </cell>
          <cell r="BC437">
            <v>75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7537.5</v>
          </cell>
        </row>
        <row r="438">
          <cell r="C438">
            <v>30239</v>
          </cell>
          <cell r="D438" t="str">
            <v>Mercado, RR N/A</v>
          </cell>
          <cell r="E438">
            <v>80</v>
          </cell>
          <cell r="F438">
            <v>10</v>
          </cell>
          <cell r="G438">
            <v>600</v>
          </cell>
          <cell r="H438">
            <v>6000</v>
          </cell>
          <cell r="I438">
            <v>0</v>
          </cell>
          <cell r="J438">
            <v>1.25</v>
          </cell>
          <cell r="K438">
            <v>0</v>
          </cell>
          <cell r="L438">
            <v>10</v>
          </cell>
          <cell r="M438">
            <v>93.75</v>
          </cell>
          <cell r="N438">
            <v>937.5</v>
          </cell>
          <cell r="O438">
            <v>50</v>
          </cell>
          <cell r="P438">
            <v>7.5</v>
          </cell>
          <cell r="Q438">
            <v>375</v>
          </cell>
          <cell r="R438">
            <v>0</v>
          </cell>
          <cell r="S438">
            <v>97.5</v>
          </cell>
          <cell r="T438">
            <v>0</v>
          </cell>
          <cell r="U438">
            <v>0</v>
          </cell>
          <cell r="V438">
            <v>126.75</v>
          </cell>
          <cell r="W438">
            <v>0</v>
          </cell>
          <cell r="X438">
            <v>0</v>
          </cell>
          <cell r="Y438">
            <v>9.75</v>
          </cell>
          <cell r="Z438">
            <v>0</v>
          </cell>
          <cell r="AA438">
            <v>0</v>
          </cell>
          <cell r="AB438">
            <v>112.5</v>
          </cell>
          <cell r="AC438">
            <v>0</v>
          </cell>
          <cell r="AD438">
            <v>0</v>
          </cell>
          <cell r="AE438">
            <v>146.25</v>
          </cell>
          <cell r="AF438">
            <v>0</v>
          </cell>
          <cell r="AG438">
            <v>0</v>
          </cell>
          <cell r="AH438">
            <v>11.25</v>
          </cell>
          <cell r="AI438">
            <v>0</v>
          </cell>
          <cell r="AJ438">
            <v>0</v>
          </cell>
          <cell r="AK438">
            <v>97.5</v>
          </cell>
          <cell r="AL438">
            <v>0</v>
          </cell>
          <cell r="AM438">
            <v>0</v>
          </cell>
          <cell r="AN438">
            <v>126.75</v>
          </cell>
          <cell r="AO438">
            <v>0</v>
          </cell>
          <cell r="AP438">
            <v>0</v>
          </cell>
          <cell r="AQ438">
            <v>9.75</v>
          </cell>
          <cell r="AR438">
            <v>0</v>
          </cell>
          <cell r="AS438">
            <v>0</v>
          </cell>
          <cell r="AT438">
            <v>150</v>
          </cell>
          <cell r="AU438">
            <v>0</v>
          </cell>
          <cell r="AV438">
            <v>0</v>
          </cell>
          <cell r="AW438">
            <v>195</v>
          </cell>
          <cell r="AX438">
            <v>0</v>
          </cell>
          <cell r="AY438">
            <v>0</v>
          </cell>
          <cell r="AZ438">
            <v>15</v>
          </cell>
          <cell r="BA438">
            <v>0</v>
          </cell>
          <cell r="BB438">
            <v>0</v>
          </cell>
          <cell r="BC438">
            <v>75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7312.5</v>
          </cell>
        </row>
        <row r="439">
          <cell r="C439">
            <v>30633</v>
          </cell>
          <cell r="D439" t="str">
            <v>Musngi, Devon Adrienne Pambuan</v>
          </cell>
          <cell r="E439">
            <v>44</v>
          </cell>
          <cell r="F439">
            <v>5.5</v>
          </cell>
          <cell r="G439">
            <v>600</v>
          </cell>
          <cell r="H439">
            <v>3300</v>
          </cell>
          <cell r="I439">
            <v>2</v>
          </cell>
          <cell r="J439">
            <v>1.25</v>
          </cell>
          <cell r="K439">
            <v>-2.5</v>
          </cell>
          <cell r="L439">
            <v>8</v>
          </cell>
          <cell r="M439">
            <v>93.75</v>
          </cell>
          <cell r="N439">
            <v>750</v>
          </cell>
          <cell r="O439">
            <v>0</v>
          </cell>
          <cell r="P439">
            <v>7.5</v>
          </cell>
          <cell r="Q439">
            <v>0</v>
          </cell>
          <cell r="R439">
            <v>0</v>
          </cell>
          <cell r="S439">
            <v>97.5</v>
          </cell>
          <cell r="T439">
            <v>0</v>
          </cell>
          <cell r="U439">
            <v>0</v>
          </cell>
          <cell r="V439">
            <v>126.75</v>
          </cell>
          <cell r="W439">
            <v>0</v>
          </cell>
          <cell r="X439">
            <v>0</v>
          </cell>
          <cell r="Y439">
            <v>9.75</v>
          </cell>
          <cell r="Z439">
            <v>0</v>
          </cell>
          <cell r="AA439">
            <v>0</v>
          </cell>
          <cell r="AB439">
            <v>112.5</v>
          </cell>
          <cell r="AC439">
            <v>0</v>
          </cell>
          <cell r="AD439">
            <v>0</v>
          </cell>
          <cell r="AE439">
            <v>146.25</v>
          </cell>
          <cell r="AF439">
            <v>0</v>
          </cell>
          <cell r="AG439">
            <v>0</v>
          </cell>
          <cell r="AH439">
            <v>11.25</v>
          </cell>
          <cell r="AI439">
            <v>0</v>
          </cell>
          <cell r="AJ439">
            <v>0</v>
          </cell>
          <cell r="AK439">
            <v>97.5</v>
          </cell>
          <cell r="AL439">
            <v>0</v>
          </cell>
          <cell r="AM439">
            <v>0</v>
          </cell>
          <cell r="AN439">
            <v>126.75</v>
          </cell>
          <cell r="AO439">
            <v>0</v>
          </cell>
          <cell r="AP439">
            <v>0</v>
          </cell>
          <cell r="AQ439">
            <v>9.75</v>
          </cell>
          <cell r="AR439">
            <v>0</v>
          </cell>
          <cell r="AS439">
            <v>0</v>
          </cell>
          <cell r="AT439">
            <v>150</v>
          </cell>
          <cell r="AU439">
            <v>0</v>
          </cell>
          <cell r="AV439">
            <v>0</v>
          </cell>
          <cell r="AW439">
            <v>195</v>
          </cell>
          <cell r="AX439">
            <v>0</v>
          </cell>
          <cell r="AY439">
            <v>0</v>
          </cell>
          <cell r="AZ439">
            <v>15</v>
          </cell>
          <cell r="BA439">
            <v>0</v>
          </cell>
          <cell r="BB439">
            <v>0</v>
          </cell>
          <cell r="BC439">
            <v>75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4047.5</v>
          </cell>
        </row>
        <row r="440">
          <cell r="C440">
            <v>14915</v>
          </cell>
          <cell r="D440" t="str">
            <v>Natingga, Precious Gotera</v>
          </cell>
          <cell r="E440">
            <v>72</v>
          </cell>
          <cell r="F440">
            <v>9</v>
          </cell>
          <cell r="G440">
            <v>600</v>
          </cell>
          <cell r="H440">
            <v>5400</v>
          </cell>
          <cell r="I440">
            <v>3</v>
          </cell>
          <cell r="J440">
            <v>1.25</v>
          </cell>
          <cell r="K440">
            <v>-3.75</v>
          </cell>
          <cell r="L440">
            <v>6</v>
          </cell>
          <cell r="M440">
            <v>93.75</v>
          </cell>
          <cell r="N440">
            <v>562.5</v>
          </cell>
          <cell r="O440">
            <v>40</v>
          </cell>
          <cell r="P440">
            <v>7.5</v>
          </cell>
          <cell r="Q440">
            <v>300</v>
          </cell>
          <cell r="R440">
            <v>0</v>
          </cell>
          <cell r="S440">
            <v>97.5</v>
          </cell>
          <cell r="T440">
            <v>0</v>
          </cell>
          <cell r="U440">
            <v>0</v>
          </cell>
          <cell r="V440">
            <v>126.75</v>
          </cell>
          <cell r="W440">
            <v>0</v>
          </cell>
          <cell r="X440">
            <v>0</v>
          </cell>
          <cell r="Y440">
            <v>9.75</v>
          </cell>
          <cell r="Z440">
            <v>0</v>
          </cell>
          <cell r="AA440">
            <v>0</v>
          </cell>
          <cell r="AB440">
            <v>112.5</v>
          </cell>
          <cell r="AC440">
            <v>0</v>
          </cell>
          <cell r="AD440">
            <v>0</v>
          </cell>
          <cell r="AE440">
            <v>146.25</v>
          </cell>
          <cell r="AF440">
            <v>0</v>
          </cell>
          <cell r="AG440">
            <v>0</v>
          </cell>
          <cell r="AH440">
            <v>11.25</v>
          </cell>
          <cell r="AI440">
            <v>0</v>
          </cell>
          <cell r="AJ440">
            <v>0</v>
          </cell>
          <cell r="AK440">
            <v>97.5</v>
          </cell>
          <cell r="AL440">
            <v>0</v>
          </cell>
          <cell r="AM440">
            <v>0</v>
          </cell>
          <cell r="AN440">
            <v>126.75</v>
          </cell>
          <cell r="AO440">
            <v>0</v>
          </cell>
          <cell r="AP440">
            <v>0</v>
          </cell>
          <cell r="AQ440">
            <v>9.75</v>
          </cell>
          <cell r="AR440">
            <v>0</v>
          </cell>
          <cell r="AS440">
            <v>0</v>
          </cell>
          <cell r="AT440">
            <v>150</v>
          </cell>
          <cell r="AU440">
            <v>0</v>
          </cell>
          <cell r="AV440">
            <v>0</v>
          </cell>
          <cell r="AW440">
            <v>195</v>
          </cell>
          <cell r="AX440">
            <v>0</v>
          </cell>
          <cell r="AY440">
            <v>0</v>
          </cell>
          <cell r="AZ440">
            <v>15</v>
          </cell>
          <cell r="BA440">
            <v>0</v>
          </cell>
          <cell r="BB440">
            <v>0</v>
          </cell>
          <cell r="BC440">
            <v>75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6258.75</v>
          </cell>
        </row>
        <row r="441">
          <cell r="C441">
            <v>12114</v>
          </cell>
          <cell r="D441" t="str">
            <v>Navera, Emelyn</v>
          </cell>
          <cell r="E441">
            <v>72</v>
          </cell>
          <cell r="F441">
            <v>9</v>
          </cell>
          <cell r="G441">
            <v>600</v>
          </cell>
          <cell r="H441">
            <v>5400</v>
          </cell>
          <cell r="I441">
            <v>0</v>
          </cell>
          <cell r="J441">
            <v>1.25</v>
          </cell>
          <cell r="K441">
            <v>0</v>
          </cell>
          <cell r="L441">
            <v>12</v>
          </cell>
          <cell r="M441">
            <v>93.75</v>
          </cell>
          <cell r="N441">
            <v>1125</v>
          </cell>
          <cell r="O441">
            <v>0</v>
          </cell>
          <cell r="P441">
            <v>7.5</v>
          </cell>
          <cell r="Q441">
            <v>0</v>
          </cell>
          <cell r="R441">
            <v>0</v>
          </cell>
          <cell r="S441">
            <v>97.5</v>
          </cell>
          <cell r="T441">
            <v>0</v>
          </cell>
          <cell r="U441">
            <v>0</v>
          </cell>
          <cell r="V441">
            <v>126.75</v>
          </cell>
          <cell r="W441">
            <v>0</v>
          </cell>
          <cell r="X441">
            <v>0</v>
          </cell>
          <cell r="Y441">
            <v>9.75</v>
          </cell>
          <cell r="Z441">
            <v>0</v>
          </cell>
          <cell r="AA441">
            <v>0</v>
          </cell>
          <cell r="AB441">
            <v>112.5</v>
          </cell>
          <cell r="AC441">
            <v>0</v>
          </cell>
          <cell r="AD441">
            <v>0</v>
          </cell>
          <cell r="AE441">
            <v>146.25</v>
          </cell>
          <cell r="AF441">
            <v>0</v>
          </cell>
          <cell r="AG441">
            <v>0</v>
          </cell>
          <cell r="AH441">
            <v>11.25</v>
          </cell>
          <cell r="AI441">
            <v>0</v>
          </cell>
          <cell r="AJ441">
            <v>0</v>
          </cell>
          <cell r="AK441">
            <v>97.5</v>
          </cell>
          <cell r="AL441">
            <v>0</v>
          </cell>
          <cell r="AM441">
            <v>0</v>
          </cell>
          <cell r="AN441">
            <v>126.75</v>
          </cell>
          <cell r="AO441">
            <v>0</v>
          </cell>
          <cell r="AP441">
            <v>0</v>
          </cell>
          <cell r="AQ441">
            <v>9.75</v>
          </cell>
          <cell r="AR441">
            <v>0</v>
          </cell>
          <cell r="AS441">
            <v>0</v>
          </cell>
          <cell r="AT441">
            <v>150</v>
          </cell>
          <cell r="AU441">
            <v>0</v>
          </cell>
          <cell r="AV441">
            <v>0</v>
          </cell>
          <cell r="AW441">
            <v>195</v>
          </cell>
          <cell r="AX441">
            <v>0</v>
          </cell>
          <cell r="AY441">
            <v>0</v>
          </cell>
          <cell r="AZ441">
            <v>15</v>
          </cell>
          <cell r="BA441">
            <v>0</v>
          </cell>
          <cell r="BB441">
            <v>0</v>
          </cell>
          <cell r="BC441">
            <v>75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6525</v>
          </cell>
        </row>
        <row r="442">
          <cell r="C442">
            <v>14326</v>
          </cell>
          <cell r="D442" t="str">
            <v>Nazarita, Cherry Mae Badinas</v>
          </cell>
          <cell r="E442">
            <v>88</v>
          </cell>
          <cell r="F442">
            <v>11</v>
          </cell>
          <cell r="G442">
            <v>600</v>
          </cell>
          <cell r="H442">
            <v>6600</v>
          </cell>
          <cell r="I442">
            <v>0</v>
          </cell>
          <cell r="J442">
            <v>1.25</v>
          </cell>
          <cell r="K442">
            <v>0</v>
          </cell>
          <cell r="L442">
            <v>6</v>
          </cell>
          <cell r="M442">
            <v>93.75</v>
          </cell>
          <cell r="N442">
            <v>562.5</v>
          </cell>
          <cell r="O442">
            <v>48</v>
          </cell>
          <cell r="P442">
            <v>7.5</v>
          </cell>
          <cell r="Q442">
            <v>360</v>
          </cell>
          <cell r="R442">
            <v>0</v>
          </cell>
          <cell r="S442">
            <v>97.5</v>
          </cell>
          <cell r="T442">
            <v>0</v>
          </cell>
          <cell r="U442">
            <v>0</v>
          </cell>
          <cell r="V442">
            <v>126.75</v>
          </cell>
          <cell r="W442">
            <v>0</v>
          </cell>
          <cell r="X442">
            <v>0</v>
          </cell>
          <cell r="Y442">
            <v>9.75</v>
          </cell>
          <cell r="Z442">
            <v>0</v>
          </cell>
          <cell r="AA442">
            <v>0</v>
          </cell>
          <cell r="AB442">
            <v>112.5</v>
          </cell>
          <cell r="AC442">
            <v>0</v>
          </cell>
          <cell r="AD442">
            <v>0</v>
          </cell>
          <cell r="AE442">
            <v>146.25</v>
          </cell>
          <cell r="AF442">
            <v>0</v>
          </cell>
          <cell r="AG442">
            <v>0</v>
          </cell>
          <cell r="AH442">
            <v>11.25</v>
          </cell>
          <cell r="AI442">
            <v>0</v>
          </cell>
          <cell r="AJ442">
            <v>0</v>
          </cell>
          <cell r="AK442">
            <v>97.5</v>
          </cell>
          <cell r="AL442">
            <v>0</v>
          </cell>
          <cell r="AM442">
            <v>0</v>
          </cell>
          <cell r="AN442">
            <v>126.75</v>
          </cell>
          <cell r="AO442">
            <v>0</v>
          </cell>
          <cell r="AP442">
            <v>0</v>
          </cell>
          <cell r="AQ442">
            <v>9.75</v>
          </cell>
          <cell r="AR442">
            <v>0</v>
          </cell>
          <cell r="AS442">
            <v>0</v>
          </cell>
          <cell r="AT442">
            <v>150</v>
          </cell>
          <cell r="AU442">
            <v>0</v>
          </cell>
          <cell r="AV442">
            <v>0</v>
          </cell>
          <cell r="AW442">
            <v>195</v>
          </cell>
          <cell r="AX442">
            <v>0</v>
          </cell>
          <cell r="AY442">
            <v>0</v>
          </cell>
          <cell r="AZ442">
            <v>15</v>
          </cell>
          <cell r="BA442">
            <v>0</v>
          </cell>
          <cell r="BB442">
            <v>0</v>
          </cell>
          <cell r="BC442">
            <v>75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7522.5</v>
          </cell>
        </row>
        <row r="443">
          <cell r="C443">
            <v>14327</v>
          </cell>
          <cell r="D443" t="str">
            <v>Negrite, Kart Daniel Torres</v>
          </cell>
          <cell r="E443">
            <v>88</v>
          </cell>
          <cell r="F443">
            <v>11</v>
          </cell>
          <cell r="G443">
            <v>600</v>
          </cell>
          <cell r="H443">
            <v>6600</v>
          </cell>
          <cell r="I443">
            <v>4</v>
          </cell>
          <cell r="J443">
            <v>1.25</v>
          </cell>
          <cell r="K443">
            <v>-5</v>
          </cell>
          <cell r="L443">
            <v>10</v>
          </cell>
          <cell r="M443">
            <v>93.75</v>
          </cell>
          <cell r="N443">
            <v>937.5</v>
          </cell>
          <cell r="O443">
            <v>48</v>
          </cell>
          <cell r="P443">
            <v>7.5</v>
          </cell>
          <cell r="Q443">
            <v>360</v>
          </cell>
          <cell r="R443">
            <v>0</v>
          </cell>
          <cell r="S443">
            <v>97.5</v>
          </cell>
          <cell r="T443">
            <v>0</v>
          </cell>
          <cell r="U443">
            <v>0</v>
          </cell>
          <cell r="V443">
            <v>126.75</v>
          </cell>
          <cell r="W443">
            <v>0</v>
          </cell>
          <cell r="X443">
            <v>0</v>
          </cell>
          <cell r="Y443">
            <v>9.75</v>
          </cell>
          <cell r="Z443">
            <v>0</v>
          </cell>
          <cell r="AA443">
            <v>0</v>
          </cell>
          <cell r="AB443">
            <v>112.5</v>
          </cell>
          <cell r="AC443">
            <v>0</v>
          </cell>
          <cell r="AD443">
            <v>0</v>
          </cell>
          <cell r="AE443">
            <v>146.25</v>
          </cell>
          <cell r="AF443">
            <v>0</v>
          </cell>
          <cell r="AG443">
            <v>0</v>
          </cell>
          <cell r="AH443">
            <v>11.25</v>
          </cell>
          <cell r="AI443">
            <v>0</v>
          </cell>
          <cell r="AJ443">
            <v>0</v>
          </cell>
          <cell r="AK443">
            <v>97.5</v>
          </cell>
          <cell r="AL443">
            <v>0</v>
          </cell>
          <cell r="AM443">
            <v>0</v>
          </cell>
          <cell r="AN443">
            <v>126.75</v>
          </cell>
          <cell r="AO443">
            <v>0</v>
          </cell>
          <cell r="AP443">
            <v>0</v>
          </cell>
          <cell r="AQ443">
            <v>9.75</v>
          </cell>
          <cell r="AR443">
            <v>0</v>
          </cell>
          <cell r="AS443">
            <v>0</v>
          </cell>
          <cell r="AT443">
            <v>150</v>
          </cell>
          <cell r="AU443">
            <v>0</v>
          </cell>
          <cell r="AV443">
            <v>0</v>
          </cell>
          <cell r="AW443">
            <v>195</v>
          </cell>
          <cell r="AX443">
            <v>0</v>
          </cell>
          <cell r="AY443">
            <v>0</v>
          </cell>
          <cell r="AZ443">
            <v>15</v>
          </cell>
          <cell r="BA443">
            <v>0</v>
          </cell>
          <cell r="BB443">
            <v>0</v>
          </cell>
          <cell r="BC443">
            <v>75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7892.5</v>
          </cell>
        </row>
        <row r="444">
          <cell r="C444">
            <v>14328</v>
          </cell>
          <cell r="D444" t="str">
            <v>Nialla, Jenny Mae Bravo</v>
          </cell>
          <cell r="E444">
            <v>76</v>
          </cell>
          <cell r="F444">
            <v>9.5</v>
          </cell>
          <cell r="G444">
            <v>600</v>
          </cell>
          <cell r="H444">
            <v>5700</v>
          </cell>
          <cell r="I444">
            <v>0</v>
          </cell>
          <cell r="J444">
            <v>1.25</v>
          </cell>
          <cell r="K444">
            <v>0</v>
          </cell>
          <cell r="L444">
            <v>8</v>
          </cell>
          <cell r="M444">
            <v>93.75</v>
          </cell>
          <cell r="N444">
            <v>750</v>
          </cell>
          <cell r="O444">
            <v>0</v>
          </cell>
          <cell r="P444">
            <v>7.5</v>
          </cell>
          <cell r="Q444">
            <v>0</v>
          </cell>
          <cell r="R444">
            <v>0</v>
          </cell>
          <cell r="S444">
            <v>97.5</v>
          </cell>
          <cell r="T444">
            <v>0</v>
          </cell>
          <cell r="U444">
            <v>0</v>
          </cell>
          <cell r="V444">
            <v>126.75</v>
          </cell>
          <cell r="W444">
            <v>0</v>
          </cell>
          <cell r="X444">
            <v>0</v>
          </cell>
          <cell r="Y444">
            <v>9.75</v>
          </cell>
          <cell r="Z444">
            <v>0</v>
          </cell>
          <cell r="AA444">
            <v>0</v>
          </cell>
          <cell r="AB444">
            <v>112.5</v>
          </cell>
          <cell r="AC444">
            <v>0</v>
          </cell>
          <cell r="AD444">
            <v>0</v>
          </cell>
          <cell r="AE444">
            <v>146.25</v>
          </cell>
          <cell r="AF444">
            <v>0</v>
          </cell>
          <cell r="AG444">
            <v>0</v>
          </cell>
          <cell r="AH444">
            <v>11.25</v>
          </cell>
          <cell r="AI444">
            <v>0</v>
          </cell>
          <cell r="AJ444">
            <v>0</v>
          </cell>
          <cell r="AK444">
            <v>97.5</v>
          </cell>
          <cell r="AL444">
            <v>0</v>
          </cell>
          <cell r="AM444">
            <v>0</v>
          </cell>
          <cell r="AN444">
            <v>126.75</v>
          </cell>
          <cell r="AO444">
            <v>0</v>
          </cell>
          <cell r="AP444">
            <v>0</v>
          </cell>
          <cell r="AQ444">
            <v>9.75</v>
          </cell>
          <cell r="AR444">
            <v>0</v>
          </cell>
          <cell r="AS444">
            <v>0</v>
          </cell>
          <cell r="AT444">
            <v>150</v>
          </cell>
          <cell r="AU444">
            <v>0</v>
          </cell>
          <cell r="AV444">
            <v>0</v>
          </cell>
          <cell r="AW444">
            <v>195</v>
          </cell>
          <cell r="AX444">
            <v>0</v>
          </cell>
          <cell r="AY444">
            <v>0</v>
          </cell>
          <cell r="AZ444">
            <v>15</v>
          </cell>
          <cell r="BA444">
            <v>0</v>
          </cell>
          <cell r="BB444">
            <v>0</v>
          </cell>
          <cell r="BC444">
            <v>75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6450</v>
          </cell>
        </row>
        <row r="445">
          <cell r="C445">
            <v>10997</v>
          </cell>
          <cell r="D445" t="str">
            <v>Nicolas, Joey Camigla</v>
          </cell>
          <cell r="E445">
            <v>88</v>
          </cell>
          <cell r="F445">
            <v>11</v>
          </cell>
          <cell r="G445">
            <v>600</v>
          </cell>
          <cell r="H445">
            <v>6600</v>
          </cell>
          <cell r="I445">
            <v>0</v>
          </cell>
          <cell r="J445">
            <v>1.25</v>
          </cell>
          <cell r="K445">
            <v>0</v>
          </cell>
          <cell r="L445">
            <v>8</v>
          </cell>
          <cell r="M445">
            <v>93.75</v>
          </cell>
          <cell r="N445">
            <v>750</v>
          </cell>
          <cell r="O445">
            <v>48</v>
          </cell>
          <cell r="P445">
            <v>7.5</v>
          </cell>
          <cell r="Q445">
            <v>360</v>
          </cell>
          <cell r="R445">
            <v>0</v>
          </cell>
          <cell r="S445">
            <v>97.5</v>
          </cell>
          <cell r="T445">
            <v>0</v>
          </cell>
          <cell r="U445">
            <v>0</v>
          </cell>
          <cell r="V445">
            <v>126.75</v>
          </cell>
          <cell r="W445">
            <v>0</v>
          </cell>
          <cell r="X445">
            <v>0</v>
          </cell>
          <cell r="Y445">
            <v>9.75</v>
          </cell>
          <cell r="Z445">
            <v>0</v>
          </cell>
          <cell r="AA445">
            <v>0</v>
          </cell>
          <cell r="AB445">
            <v>112.5</v>
          </cell>
          <cell r="AC445">
            <v>0</v>
          </cell>
          <cell r="AD445">
            <v>0</v>
          </cell>
          <cell r="AE445">
            <v>146.25</v>
          </cell>
          <cell r="AF445">
            <v>0</v>
          </cell>
          <cell r="AG445">
            <v>0</v>
          </cell>
          <cell r="AH445">
            <v>11.25</v>
          </cell>
          <cell r="AI445">
            <v>0</v>
          </cell>
          <cell r="AJ445">
            <v>0</v>
          </cell>
          <cell r="AK445">
            <v>97.5</v>
          </cell>
          <cell r="AL445">
            <v>0</v>
          </cell>
          <cell r="AM445">
            <v>0</v>
          </cell>
          <cell r="AN445">
            <v>126.75</v>
          </cell>
          <cell r="AO445">
            <v>0</v>
          </cell>
          <cell r="AP445">
            <v>0</v>
          </cell>
          <cell r="AQ445">
            <v>9.75</v>
          </cell>
          <cell r="AR445">
            <v>0</v>
          </cell>
          <cell r="AS445">
            <v>0</v>
          </cell>
          <cell r="AT445">
            <v>150</v>
          </cell>
          <cell r="AU445">
            <v>0</v>
          </cell>
          <cell r="AV445">
            <v>0</v>
          </cell>
          <cell r="AW445">
            <v>195</v>
          </cell>
          <cell r="AX445">
            <v>0</v>
          </cell>
          <cell r="AY445">
            <v>0</v>
          </cell>
          <cell r="AZ445">
            <v>15</v>
          </cell>
          <cell r="BA445">
            <v>0</v>
          </cell>
          <cell r="BB445">
            <v>0</v>
          </cell>
          <cell r="BC445">
            <v>75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7710</v>
          </cell>
        </row>
        <row r="446">
          <cell r="C446">
            <v>14329</v>
          </cell>
          <cell r="D446" t="str">
            <v>Noche, Dereck Babao</v>
          </cell>
          <cell r="E446">
            <v>88</v>
          </cell>
          <cell r="F446">
            <v>11</v>
          </cell>
          <cell r="G446">
            <v>600</v>
          </cell>
          <cell r="H446">
            <v>6600</v>
          </cell>
          <cell r="I446">
            <v>0</v>
          </cell>
          <cell r="J446">
            <v>1.25</v>
          </cell>
          <cell r="K446">
            <v>0</v>
          </cell>
          <cell r="L446">
            <v>20</v>
          </cell>
          <cell r="M446">
            <v>93.75</v>
          </cell>
          <cell r="N446">
            <v>1875</v>
          </cell>
          <cell r="O446">
            <v>38</v>
          </cell>
          <cell r="P446">
            <v>7.5</v>
          </cell>
          <cell r="Q446">
            <v>285</v>
          </cell>
          <cell r="R446">
            <v>0</v>
          </cell>
          <cell r="S446">
            <v>97.5</v>
          </cell>
          <cell r="T446">
            <v>0</v>
          </cell>
          <cell r="U446">
            <v>0</v>
          </cell>
          <cell r="V446">
            <v>126.75</v>
          </cell>
          <cell r="W446">
            <v>0</v>
          </cell>
          <cell r="X446">
            <v>0</v>
          </cell>
          <cell r="Y446">
            <v>9.75</v>
          </cell>
          <cell r="Z446">
            <v>0</v>
          </cell>
          <cell r="AA446">
            <v>0</v>
          </cell>
          <cell r="AB446">
            <v>112.5</v>
          </cell>
          <cell r="AC446">
            <v>0</v>
          </cell>
          <cell r="AD446">
            <v>0</v>
          </cell>
          <cell r="AE446">
            <v>146.25</v>
          </cell>
          <cell r="AF446">
            <v>0</v>
          </cell>
          <cell r="AG446">
            <v>0</v>
          </cell>
          <cell r="AH446">
            <v>11.25</v>
          </cell>
          <cell r="AI446">
            <v>0</v>
          </cell>
          <cell r="AJ446">
            <v>0</v>
          </cell>
          <cell r="AK446">
            <v>97.5</v>
          </cell>
          <cell r="AL446">
            <v>0</v>
          </cell>
          <cell r="AM446">
            <v>0</v>
          </cell>
          <cell r="AN446">
            <v>126.75</v>
          </cell>
          <cell r="AO446">
            <v>0</v>
          </cell>
          <cell r="AP446">
            <v>0</v>
          </cell>
          <cell r="AQ446">
            <v>9.75</v>
          </cell>
          <cell r="AR446">
            <v>0</v>
          </cell>
          <cell r="AS446">
            <v>0</v>
          </cell>
          <cell r="AT446">
            <v>150</v>
          </cell>
          <cell r="AU446">
            <v>0</v>
          </cell>
          <cell r="AV446">
            <v>0</v>
          </cell>
          <cell r="AW446">
            <v>195</v>
          </cell>
          <cell r="AX446">
            <v>0</v>
          </cell>
          <cell r="AY446">
            <v>0</v>
          </cell>
          <cell r="AZ446">
            <v>15</v>
          </cell>
          <cell r="BA446">
            <v>0</v>
          </cell>
          <cell r="BB446">
            <v>0</v>
          </cell>
          <cell r="BC446">
            <v>75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8760</v>
          </cell>
        </row>
        <row r="447">
          <cell r="C447">
            <v>30375</v>
          </cell>
          <cell r="D447" t="str">
            <v>Nolial, Reymond Comia</v>
          </cell>
          <cell r="E447">
            <v>80</v>
          </cell>
          <cell r="F447">
            <v>10</v>
          </cell>
          <cell r="G447">
            <v>600</v>
          </cell>
          <cell r="H447">
            <v>6000</v>
          </cell>
          <cell r="I447">
            <v>5</v>
          </cell>
          <cell r="J447">
            <v>1.25</v>
          </cell>
          <cell r="K447">
            <v>-6.25</v>
          </cell>
          <cell r="L447">
            <v>6</v>
          </cell>
          <cell r="M447">
            <v>93.75</v>
          </cell>
          <cell r="N447">
            <v>562.5</v>
          </cell>
          <cell r="O447">
            <v>48</v>
          </cell>
          <cell r="P447">
            <v>7.5</v>
          </cell>
          <cell r="Q447">
            <v>360</v>
          </cell>
          <cell r="R447">
            <v>0</v>
          </cell>
          <cell r="S447">
            <v>97.5</v>
          </cell>
          <cell r="T447">
            <v>0</v>
          </cell>
          <cell r="U447">
            <v>0</v>
          </cell>
          <cell r="V447">
            <v>126.75</v>
          </cell>
          <cell r="W447">
            <v>0</v>
          </cell>
          <cell r="X447">
            <v>0</v>
          </cell>
          <cell r="Y447">
            <v>9.75</v>
          </cell>
          <cell r="Z447">
            <v>0</v>
          </cell>
          <cell r="AA447">
            <v>0</v>
          </cell>
          <cell r="AB447">
            <v>112.5</v>
          </cell>
          <cell r="AC447">
            <v>0</v>
          </cell>
          <cell r="AD447">
            <v>0</v>
          </cell>
          <cell r="AE447">
            <v>146.25</v>
          </cell>
          <cell r="AF447">
            <v>0</v>
          </cell>
          <cell r="AG447">
            <v>0</v>
          </cell>
          <cell r="AH447">
            <v>11.25</v>
          </cell>
          <cell r="AI447">
            <v>0</v>
          </cell>
          <cell r="AJ447">
            <v>0</v>
          </cell>
          <cell r="AK447">
            <v>97.5</v>
          </cell>
          <cell r="AL447">
            <v>0</v>
          </cell>
          <cell r="AM447">
            <v>0</v>
          </cell>
          <cell r="AN447">
            <v>126.75</v>
          </cell>
          <cell r="AO447">
            <v>0</v>
          </cell>
          <cell r="AP447">
            <v>0</v>
          </cell>
          <cell r="AQ447">
            <v>9.75</v>
          </cell>
          <cell r="AR447">
            <v>0</v>
          </cell>
          <cell r="AS447">
            <v>0</v>
          </cell>
          <cell r="AT447">
            <v>150</v>
          </cell>
          <cell r="AU447">
            <v>0</v>
          </cell>
          <cell r="AV447">
            <v>0</v>
          </cell>
          <cell r="AW447">
            <v>195</v>
          </cell>
          <cell r="AX447">
            <v>0</v>
          </cell>
          <cell r="AY447">
            <v>0</v>
          </cell>
          <cell r="AZ447">
            <v>15</v>
          </cell>
          <cell r="BA447">
            <v>0</v>
          </cell>
          <cell r="BB447">
            <v>0</v>
          </cell>
          <cell r="BC447">
            <v>75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6916.25</v>
          </cell>
        </row>
        <row r="448">
          <cell r="C448">
            <v>14330</v>
          </cell>
          <cell r="D448" t="str">
            <v>Nuñez, Darlyn Bron</v>
          </cell>
          <cell r="E448">
            <v>56</v>
          </cell>
          <cell r="F448">
            <v>7</v>
          </cell>
          <cell r="G448">
            <v>600</v>
          </cell>
          <cell r="H448">
            <v>4200</v>
          </cell>
          <cell r="I448">
            <v>0</v>
          </cell>
          <cell r="J448">
            <v>1.25</v>
          </cell>
          <cell r="K448">
            <v>0</v>
          </cell>
          <cell r="L448">
            <v>8</v>
          </cell>
          <cell r="M448">
            <v>93.75</v>
          </cell>
          <cell r="N448">
            <v>750</v>
          </cell>
          <cell r="O448">
            <v>28</v>
          </cell>
          <cell r="P448">
            <v>7.5</v>
          </cell>
          <cell r="Q448">
            <v>210</v>
          </cell>
          <cell r="R448">
            <v>0</v>
          </cell>
          <cell r="S448">
            <v>97.5</v>
          </cell>
          <cell r="T448">
            <v>0</v>
          </cell>
          <cell r="U448">
            <v>0</v>
          </cell>
          <cell r="V448">
            <v>126.75</v>
          </cell>
          <cell r="W448">
            <v>0</v>
          </cell>
          <cell r="X448">
            <v>0</v>
          </cell>
          <cell r="Y448">
            <v>9.75</v>
          </cell>
          <cell r="Z448">
            <v>0</v>
          </cell>
          <cell r="AA448">
            <v>0</v>
          </cell>
          <cell r="AB448">
            <v>112.5</v>
          </cell>
          <cell r="AC448">
            <v>0</v>
          </cell>
          <cell r="AD448">
            <v>0</v>
          </cell>
          <cell r="AE448">
            <v>146.25</v>
          </cell>
          <cell r="AF448">
            <v>0</v>
          </cell>
          <cell r="AG448">
            <v>0</v>
          </cell>
          <cell r="AH448">
            <v>11.25</v>
          </cell>
          <cell r="AI448">
            <v>0</v>
          </cell>
          <cell r="AJ448">
            <v>0</v>
          </cell>
          <cell r="AK448">
            <v>97.5</v>
          </cell>
          <cell r="AL448">
            <v>0</v>
          </cell>
          <cell r="AM448">
            <v>0</v>
          </cell>
          <cell r="AN448">
            <v>126.75</v>
          </cell>
          <cell r="AO448">
            <v>0</v>
          </cell>
          <cell r="AP448">
            <v>0</v>
          </cell>
          <cell r="AQ448">
            <v>9.75</v>
          </cell>
          <cell r="AR448">
            <v>0</v>
          </cell>
          <cell r="AS448">
            <v>0</v>
          </cell>
          <cell r="AT448">
            <v>150</v>
          </cell>
          <cell r="AU448">
            <v>0</v>
          </cell>
          <cell r="AV448">
            <v>0</v>
          </cell>
          <cell r="AW448">
            <v>195</v>
          </cell>
          <cell r="AX448">
            <v>0</v>
          </cell>
          <cell r="AY448">
            <v>0</v>
          </cell>
          <cell r="AZ448">
            <v>15</v>
          </cell>
          <cell r="BA448">
            <v>0</v>
          </cell>
          <cell r="BB448">
            <v>0</v>
          </cell>
          <cell r="BC448">
            <v>75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5160</v>
          </cell>
        </row>
        <row r="449">
          <cell r="C449">
            <v>14331</v>
          </cell>
          <cell r="D449" t="str">
            <v>Obiles, Ryan Tato</v>
          </cell>
          <cell r="E449">
            <v>80</v>
          </cell>
          <cell r="F449">
            <v>10</v>
          </cell>
          <cell r="G449">
            <v>600</v>
          </cell>
          <cell r="H449">
            <v>6000</v>
          </cell>
          <cell r="I449">
            <v>0</v>
          </cell>
          <cell r="J449">
            <v>1.25</v>
          </cell>
          <cell r="K449">
            <v>0</v>
          </cell>
          <cell r="L449">
            <v>18</v>
          </cell>
          <cell r="M449">
            <v>93.75</v>
          </cell>
          <cell r="N449">
            <v>1687.5</v>
          </cell>
          <cell r="O449">
            <v>0</v>
          </cell>
          <cell r="P449">
            <v>7.5</v>
          </cell>
          <cell r="Q449">
            <v>0</v>
          </cell>
          <cell r="R449">
            <v>0</v>
          </cell>
          <cell r="S449">
            <v>97.5</v>
          </cell>
          <cell r="T449">
            <v>0</v>
          </cell>
          <cell r="U449">
            <v>0</v>
          </cell>
          <cell r="V449">
            <v>126.75</v>
          </cell>
          <cell r="W449">
            <v>0</v>
          </cell>
          <cell r="X449">
            <v>0</v>
          </cell>
          <cell r="Y449">
            <v>9.75</v>
          </cell>
          <cell r="Z449">
            <v>0</v>
          </cell>
          <cell r="AA449">
            <v>0</v>
          </cell>
          <cell r="AB449">
            <v>112.5</v>
          </cell>
          <cell r="AC449">
            <v>0</v>
          </cell>
          <cell r="AD449">
            <v>0</v>
          </cell>
          <cell r="AE449">
            <v>146.25</v>
          </cell>
          <cell r="AF449">
            <v>0</v>
          </cell>
          <cell r="AG449">
            <v>0</v>
          </cell>
          <cell r="AH449">
            <v>11.25</v>
          </cell>
          <cell r="AI449">
            <v>0</v>
          </cell>
          <cell r="AJ449">
            <v>0</v>
          </cell>
          <cell r="AK449">
            <v>97.5</v>
          </cell>
          <cell r="AL449">
            <v>0</v>
          </cell>
          <cell r="AM449">
            <v>0</v>
          </cell>
          <cell r="AN449">
            <v>126.75</v>
          </cell>
          <cell r="AO449">
            <v>0</v>
          </cell>
          <cell r="AP449">
            <v>0</v>
          </cell>
          <cell r="AQ449">
            <v>9.75</v>
          </cell>
          <cell r="AR449">
            <v>0</v>
          </cell>
          <cell r="AS449">
            <v>0</v>
          </cell>
          <cell r="AT449">
            <v>150</v>
          </cell>
          <cell r="AU449">
            <v>0</v>
          </cell>
          <cell r="AV449">
            <v>0</v>
          </cell>
          <cell r="AW449">
            <v>195</v>
          </cell>
          <cell r="AX449">
            <v>0</v>
          </cell>
          <cell r="AY449">
            <v>0</v>
          </cell>
          <cell r="AZ449">
            <v>15</v>
          </cell>
          <cell r="BA449">
            <v>0</v>
          </cell>
          <cell r="BB449">
            <v>0</v>
          </cell>
          <cell r="BC449">
            <v>75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7687.5</v>
          </cell>
        </row>
        <row r="450">
          <cell r="C450">
            <v>10424</v>
          </cell>
          <cell r="D450" t="str">
            <v>Ochea, Adelfa Abrigo</v>
          </cell>
          <cell r="E450">
            <v>80</v>
          </cell>
          <cell r="F450">
            <v>10</v>
          </cell>
          <cell r="G450">
            <v>600</v>
          </cell>
          <cell r="H450">
            <v>6000</v>
          </cell>
          <cell r="I450">
            <v>0</v>
          </cell>
          <cell r="J450">
            <v>1.25</v>
          </cell>
          <cell r="K450">
            <v>0</v>
          </cell>
          <cell r="L450">
            <v>6</v>
          </cell>
          <cell r="M450">
            <v>93.75</v>
          </cell>
          <cell r="N450">
            <v>562.5</v>
          </cell>
          <cell r="O450">
            <v>28</v>
          </cell>
          <cell r="P450">
            <v>7.5</v>
          </cell>
          <cell r="Q450">
            <v>210</v>
          </cell>
          <cell r="R450">
            <v>0</v>
          </cell>
          <cell r="S450">
            <v>97.5</v>
          </cell>
          <cell r="T450">
            <v>0</v>
          </cell>
          <cell r="U450">
            <v>0</v>
          </cell>
          <cell r="V450">
            <v>126.75</v>
          </cell>
          <cell r="W450">
            <v>0</v>
          </cell>
          <cell r="X450">
            <v>0</v>
          </cell>
          <cell r="Y450">
            <v>9.75</v>
          </cell>
          <cell r="Z450">
            <v>0</v>
          </cell>
          <cell r="AA450">
            <v>0</v>
          </cell>
          <cell r="AB450">
            <v>112.5</v>
          </cell>
          <cell r="AC450">
            <v>0</v>
          </cell>
          <cell r="AD450">
            <v>0</v>
          </cell>
          <cell r="AE450">
            <v>146.25</v>
          </cell>
          <cell r="AF450">
            <v>0</v>
          </cell>
          <cell r="AG450">
            <v>0</v>
          </cell>
          <cell r="AH450">
            <v>11.25</v>
          </cell>
          <cell r="AI450">
            <v>0</v>
          </cell>
          <cell r="AJ450">
            <v>0</v>
          </cell>
          <cell r="AK450">
            <v>97.5</v>
          </cell>
          <cell r="AL450">
            <v>0</v>
          </cell>
          <cell r="AM450">
            <v>0</v>
          </cell>
          <cell r="AN450">
            <v>126.75</v>
          </cell>
          <cell r="AO450">
            <v>0</v>
          </cell>
          <cell r="AP450">
            <v>0</v>
          </cell>
          <cell r="AQ450">
            <v>9.75</v>
          </cell>
          <cell r="AR450">
            <v>0</v>
          </cell>
          <cell r="AS450">
            <v>0</v>
          </cell>
          <cell r="AT450">
            <v>150</v>
          </cell>
          <cell r="AU450">
            <v>0</v>
          </cell>
          <cell r="AV450">
            <v>0</v>
          </cell>
          <cell r="AW450">
            <v>195</v>
          </cell>
          <cell r="AX450">
            <v>0</v>
          </cell>
          <cell r="AY450">
            <v>0</v>
          </cell>
          <cell r="AZ450">
            <v>15</v>
          </cell>
          <cell r="BA450">
            <v>0</v>
          </cell>
          <cell r="BB450">
            <v>0</v>
          </cell>
          <cell r="BC450">
            <v>75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6772.5</v>
          </cell>
        </row>
        <row r="451">
          <cell r="C451">
            <v>8176</v>
          </cell>
          <cell r="D451" t="str">
            <v>Oclarino, Edena San Buenaventura</v>
          </cell>
          <cell r="E451">
            <v>80</v>
          </cell>
          <cell r="F451">
            <v>10</v>
          </cell>
          <cell r="G451">
            <v>600</v>
          </cell>
          <cell r="H451">
            <v>6000</v>
          </cell>
          <cell r="I451">
            <v>0</v>
          </cell>
          <cell r="J451">
            <v>1.25</v>
          </cell>
          <cell r="K451">
            <v>0</v>
          </cell>
          <cell r="L451">
            <v>14</v>
          </cell>
          <cell r="M451">
            <v>93.75</v>
          </cell>
          <cell r="N451">
            <v>1312.5</v>
          </cell>
          <cell r="O451">
            <v>22</v>
          </cell>
          <cell r="P451">
            <v>7.5</v>
          </cell>
          <cell r="Q451">
            <v>165</v>
          </cell>
          <cell r="R451">
            <v>0</v>
          </cell>
          <cell r="S451">
            <v>97.5</v>
          </cell>
          <cell r="T451">
            <v>0</v>
          </cell>
          <cell r="U451">
            <v>0</v>
          </cell>
          <cell r="V451">
            <v>126.75</v>
          </cell>
          <cell r="W451">
            <v>0</v>
          </cell>
          <cell r="X451">
            <v>0</v>
          </cell>
          <cell r="Y451">
            <v>9.75</v>
          </cell>
          <cell r="Z451">
            <v>0</v>
          </cell>
          <cell r="AA451">
            <v>0</v>
          </cell>
          <cell r="AB451">
            <v>112.5</v>
          </cell>
          <cell r="AC451">
            <v>0</v>
          </cell>
          <cell r="AD451">
            <v>0</v>
          </cell>
          <cell r="AE451">
            <v>146.25</v>
          </cell>
          <cell r="AF451">
            <v>0</v>
          </cell>
          <cell r="AG451">
            <v>0</v>
          </cell>
          <cell r="AH451">
            <v>11.25</v>
          </cell>
          <cell r="AI451">
            <v>0</v>
          </cell>
          <cell r="AJ451">
            <v>0</v>
          </cell>
          <cell r="AK451">
            <v>97.5</v>
          </cell>
          <cell r="AL451">
            <v>0</v>
          </cell>
          <cell r="AM451">
            <v>0</v>
          </cell>
          <cell r="AN451">
            <v>126.75</v>
          </cell>
          <cell r="AO451">
            <v>0</v>
          </cell>
          <cell r="AP451">
            <v>0</v>
          </cell>
          <cell r="AQ451">
            <v>9.75</v>
          </cell>
          <cell r="AR451">
            <v>0</v>
          </cell>
          <cell r="AS451">
            <v>0</v>
          </cell>
          <cell r="AT451">
            <v>150</v>
          </cell>
          <cell r="AU451">
            <v>0</v>
          </cell>
          <cell r="AV451">
            <v>0</v>
          </cell>
          <cell r="AW451">
            <v>195</v>
          </cell>
          <cell r="AX451">
            <v>0</v>
          </cell>
          <cell r="AY451">
            <v>0</v>
          </cell>
          <cell r="AZ451">
            <v>15</v>
          </cell>
          <cell r="BA451">
            <v>0</v>
          </cell>
          <cell r="BB451">
            <v>0</v>
          </cell>
          <cell r="BC451">
            <v>75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7477.5</v>
          </cell>
        </row>
        <row r="452">
          <cell r="C452">
            <v>13399</v>
          </cell>
          <cell r="D452" t="str">
            <v>Ollano, Michael Daliva</v>
          </cell>
          <cell r="E452">
            <v>56</v>
          </cell>
          <cell r="F452">
            <v>7</v>
          </cell>
          <cell r="G452">
            <v>600</v>
          </cell>
          <cell r="H452">
            <v>4200</v>
          </cell>
          <cell r="I452">
            <v>0</v>
          </cell>
          <cell r="J452">
            <v>1.25</v>
          </cell>
          <cell r="K452">
            <v>0</v>
          </cell>
          <cell r="L452">
            <v>2</v>
          </cell>
          <cell r="M452">
            <v>93.75</v>
          </cell>
          <cell r="N452">
            <v>187.5</v>
          </cell>
          <cell r="O452">
            <v>12</v>
          </cell>
          <cell r="P452">
            <v>7.5</v>
          </cell>
          <cell r="Q452">
            <v>90</v>
          </cell>
          <cell r="R452">
            <v>0</v>
          </cell>
          <cell r="S452">
            <v>97.5</v>
          </cell>
          <cell r="T452">
            <v>0</v>
          </cell>
          <cell r="U452">
            <v>0</v>
          </cell>
          <cell r="V452">
            <v>126.75</v>
          </cell>
          <cell r="W452">
            <v>0</v>
          </cell>
          <cell r="X452">
            <v>0</v>
          </cell>
          <cell r="Y452">
            <v>9.75</v>
          </cell>
          <cell r="Z452">
            <v>0</v>
          </cell>
          <cell r="AA452">
            <v>0</v>
          </cell>
          <cell r="AB452">
            <v>112.5</v>
          </cell>
          <cell r="AC452">
            <v>0</v>
          </cell>
          <cell r="AD452">
            <v>0</v>
          </cell>
          <cell r="AE452">
            <v>146.25</v>
          </cell>
          <cell r="AF452">
            <v>0</v>
          </cell>
          <cell r="AG452">
            <v>0</v>
          </cell>
          <cell r="AH452">
            <v>11.25</v>
          </cell>
          <cell r="AI452">
            <v>0</v>
          </cell>
          <cell r="AJ452">
            <v>0</v>
          </cell>
          <cell r="AK452">
            <v>97.5</v>
          </cell>
          <cell r="AL452">
            <v>0</v>
          </cell>
          <cell r="AM452">
            <v>0</v>
          </cell>
          <cell r="AN452">
            <v>126.75</v>
          </cell>
          <cell r="AO452">
            <v>0</v>
          </cell>
          <cell r="AP452">
            <v>0</v>
          </cell>
          <cell r="AQ452">
            <v>9.75</v>
          </cell>
          <cell r="AR452">
            <v>0</v>
          </cell>
          <cell r="AS452">
            <v>0</v>
          </cell>
          <cell r="AT452">
            <v>150</v>
          </cell>
          <cell r="AU452">
            <v>0</v>
          </cell>
          <cell r="AV452">
            <v>0</v>
          </cell>
          <cell r="AW452">
            <v>195</v>
          </cell>
          <cell r="AX452">
            <v>0</v>
          </cell>
          <cell r="AY452">
            <v>0</v>
          </cell>
          <cell r="AZ452">
            <v>15</v>
          </cell>
          <cell r="BA452">
            <v>0</v>
          </cell>
          <cell r="BB452">
            <v>0</v>
          </cell>
          <cell r="BC452">
            <v>75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4477.5</v>
          </cell>
        </row>
        <row r="453">
          <cell r="C453">
            <v>11742</v>
          </cell>
          <cell r="D453" t="str">
            <v>Ordeniza, Lorna Salamangga</v>
          </cell>
          <cell r="E453">
            <v>80</v>
          </cell>
          <cell r="F453">
            <v>10</v>
          </cell>
          <cell r="G453">
            <v>600</v>
          </cell>
          <cell r="H453">
            <v>6000</v>
          </cell>
          <cell r="I453">
            <v>0</v>
          </cell>
          <cell r="J453">
            <v>1.25</v>
          </cell>
          <cell r="K453">
            <v>0</v>
          </cell>
          <cell r="L453">
            <v>19</v>
          </cell>
          <cell r="M453">
            <v>93.75</v>
          </cell>
          <cell r="N453">
            <v>1781.25</v>
          </cell>
          <cell r="O453">
            <v>0</v>
          </cell>
          <cell r="P453">
            <v>7.5</v>
          </cell>
          <cell r="Q453">
            <v>0</v>
          </cell>
          <cell r="R453">
            <v>0</v>
          </cell>
          <cell r="S453">
            <v>97.5</v>
          </cell>
          <cell r="T453">
            <v>0</v>
          </cell>
          <cell r="U453">
            <v>0</v>
          </cell>
          <cell r="V453">
            <v>126.75</v>
          </cell>
          <cell r="W453">
            <v>0</v>
          </cell>
          <cell r="X453">
            <v>0</v>
          </cell>
          <cell r="Y453">
            <v>9.75</v>
          </cell>
          <cell r="Z453">
            <v>0</v>
          </cell>
          <cell r="AA453">
            <v>0</v>
          </cell>
          <cell r="AB453">
            <v>112.5</v>
          </cell>
          <cell r="AC453">
            <v>0</v>
          </cell>
          <cell r="AD453">
            <v>0</v>
          </cell>
          <cell r="AE453">
            <v>146.25</v>
          </cell>
          <cell r="AF453">
            <v>0</v>
          </cell>
          <cell r="AG453">
            <v>0</v>
          </cell>
          <cell r="AH453">
            <v>11.25</v>
          </cell>
          <cell r="AI453">
            <v>0</v>
          </cell>
          <cell r="AJ453">
            <v>8</v>
          </cell>
          <cell r="AK453">
            <v>97.5</v>
          </cell>
          <cell r="AL453">
            <v>780</v>
          </cell>
          <cell r="AM453">
            <v>0</v>
          </cell>
          <cell r="AN453">
            <v>126.75</v>
          </cell>
          <cell r="AO453">
            <v>0</v>
          </cell>
          <cell r="AP453">
            <v>0</v>
          </cell>
          <cell r="AQ453">
            <v>9.75</v>
          </cell>
          <cell r="AR453">
            <v>0</v>
          </cell>
          <cell r="AS453">
            <v>0</v>
          </cell>
          <cell r="AT453">
            <v>150</v>
          </cell>
          <cell r="AU453">
            <v>0</v>
          </cell>
          <cell r="AV453">
            <v>0</v>
          </cell>
          <cell r="AW453">
            <v>195</v>
          </cell>
          <cell r="AX453">
            <v>0</v>
          </cell>
          <cell r="AY453">
            <v>0</v>
          </cell>
          <cell r="AZ453">
            <v>15</v>
          </cell>
          <cell r="BA453">
            <v>0</v>
          </cell>
          <cell r="BB453">
            <v>0</v>
          </cell>
          <cell r="BC453">
            <v>75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8561.25</v>
          </cell>
        </row>
        <row r="454">
          <cell r="C454">
            <v>14896</v>
          </cell>
          <cell r="D454" t="str">
            <v>Orobia, Michael Tabios</v>
          </cell>
          <cell r="E454">
            <v>72</v>
          </cell>
          <cell r="F454">
            <v>9</v>
          </cell>
          <cell r="G454">
            <v>600</v>
          </cell>
          <cell r="H454">
            <v>5400</v>
          </cell>
          <cell r="I454">
            <v>3</v>
          </cell>
          <cell r="J454">
            <v>1.25</v>
          </cell>
          <cell r="K454">
            <v>-3.75</v>
          </cell>
          <cell r="L454">
            <v>1</v>
          </cell>
          <cell r="M454">
            <v>93.75</v>
          </cell>
          <cell r="N454">
            <v>93.75</v>
          </cell>
          <cell r="O454">
            <v>38</v>
          </cell>
          <cell r="P454">
            <v>7.5</v>
          </cell>
          <cell r="Q454">
            <v>285</v>
          </cell>
          <cell r="R454">
            <v>0</v>
          </cell>
          <cell r="S454">
            <v>97.5</v>
          </cell>
          <cell r="T454">
            <v>0</v>
          </cell>
          <cell r="U454">
            <v>0</v>
          </cell>
          <cell r="V454">
            <v>126.75</v>
          </cell>
          <cell r="W454">
            <v>0</v>
          </cell>
          <cell r="X454">
            <v>0</v>
          </cell>
          <cell r="Y454">
            <v>9.75</v>
          </cell>
          <cell r="Z454">
            <v>0</v>
          </cell>
          <cell r="AA454">
            <v>0</v>
          </cell>
          <cell r="AB454">
            <v>112.5</v>
          </cell>
          <cell r="AC454">
            <v>0</v>
          </cell>
          <cell r="AD454">
            <v>0</v>
          </cell>
          <cell r="AE454">
            <v>146.25</v>
          </cell>
          <cell r="AF454">
            <v>0</v>
          </cell>
          <cell r="AG454">
            <v>0</v>
          </cell>
          <cell r="AH454">
            <v>11.25</v>
          </cell>
          <cell r="AI454">
            <v>0</v>
          </cell>
          <cell r="AJ454">
            <v>0</v>
          </cell>
          <cell r="AK454">
            <v>97.5</v>
          </cell>
          <cell r="AL454">
            <v>0</v>
          </cell>
          <cell r="AM454">
            <v>0</v>
          </cell>
          <cell r="AN454">
            <v>126.75</v>
          </cell>
          <cell r="AO454">
            <v>0</v>
          </cell>
          <cell r="AP454">
            <v>0</v>
          </cell>
          <cell r="AQ454">
            <v>9.75</v>
          </cell>
          <cell r="AR454">
            <v>0</v>
          </cell>
          <cell r="AS454">
            <v>0</v>
          </cell>
          <cell r="AT454">
            <v>150</v>
          </cell>
          <cell r="AU454">
            <v>0</v>
          </cell>
          <cell r="AV454">
            <v>0</v>
          </cell>
          <cell r="AW454">
            <v>195</v>
          </cell>
          <cell r="AX454">
            <v>0</v>
          </cell>
          <cell r="AY454">
            <v>0</v>
          </cell>
          <cell r="AZ454">
            <v>15</v>
          </cell>
          <cell r="BA454">
            <v>0</v>
          </cell>
          <cell r="BB454">
            <v>0</v>
          </cell>
          <cell r="BC454">
            <v>75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5775</v>
          </cell>
        </row>
        <row r="455">
          <cell r="C455">
            <v>6244</v>
          </cell>
          <cell r="D455" t="str">
            <v>Pagcaliwangan, Jessa Leyesa</v>
          </cell>
          <cell r="E455">
            <v>80</v>
          </cell>
          <cell r="F455">
            <v>10</v>
          </cell>
          <cell r="G455">
            <v>600</v>
          </cell>
          <cell r="H455">
            <v>6000</v>
          </cell>
          <cell r="I455">
            <v>0</v>
          </cell>
          <cell r="J455">
            <v>1.25</v>
          </cell>
          <cell r="K455">
            <v>0</v>
          </cell>
          <cell r="L455">
            <v>9</v>
          </cell>
          <cell r="M455">
            <v>93.75</v>
          </cell>
          <cell r="N455">
            <v>843.75</v>
          </cell>
          <cell r="O455">
            <v>29</v>
          </cell>
          <cell r="P455">
            <v>7.5</v>
          </cell>
          <cell r="Q455">
            <v>217.5</v>
          </cell>
          <cell r="R455">
            <v>0</v>
          </cell>
          <cell r="S455">
            <v>97.5</v>
          </cell>
          <cell r="T455">
            <v>0</v>
          </cell>
          <cell r="U455">
            <v>0</v>
          </cell>
          <cell r="V455">
            <v>126.75</v>
          </cell>
          <cell r="W455">
            <v>0</v>
          </cell>
          <cell r="X455">
            <v>0</v>
          </cell>
          <cell r="Y455">
            <v>9.75</v>
          </cell>
          <cell r="Z455">
            <v>0</v>
          </cell>
          <cell r="AA455">
            <v>0</v>
          </cell>
          <cell r="AB455">
            <v>112.5</v>
          </cell>
          <cell r="AC455">
            <v>0</v>
          </cell>
          <cell r="AD455">
            <v>0</v>
          </cell>
          <cell r="AE455">
            <v>146.25</v>
          </cell>
          <cell r="AF455">
            <v>0</v>
          </cell>
          <cell r="AG455">
            <v>0</v>
          </cell>
          <cell r="AH455">
            <v>11.25</v>
          </cell>
          <cell r="AI455">
            <v>0</v>
          </cell>
          <cell r="AJ455">
            <v>0</v>
          </cell>
          <cell r="AK455">
            <v>97.5</v>
          </cell>
          <cell r="AL455">
            <v>0</v>
          </cell>
          <cell r="AM455">
            <v>0</v>
          </cell>
          <cell r="AN455">
            <v>126.75</v>
          </cell>
          <cell r="AO455">
            <v>0</v>
          </cell>
          <cell r="AP455">
            <v>0</v>
          </cell>
          <cell r="AQ455">
            <v>9.75</v>
          </cell>
          <cell r="AR455">
            <v>0</v>
          </cell>
          <cell r="AS455">
            <v>0</v>
          </cell>
          <cell r="AT455">
            <v>150</v>
          </cell>
          <cell r="AU455">
            <v>0</v>
          </cell>
          <cell r="AV455">
            <v>0</v>
          </cell>
          <cell r="AW455">
            <v>195</v>
          </cell>
          <cell r="AX455">
            <v>0</v>
          </cell>
          <cell r="AY455">
            <v>0</v>
          </cell>
          <cell r="AZ455">
            <v>15</v>
          </cell>
          <cell r="BA455">
            <v>0</v>
          </cell>
          <cell r="BB455">
            <v>0</v>
          </cell>
          <cell r="BC455">
            <v>75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7061.25</v>
          </cell>
        </row>
        <row r="456">
          <cell r="C456">
            <v>14348</v>
          </cell>
          <cell r="D456" t="str">
            <v>Palima, Juvy Nate</v>
          </cell>
          <cell r="E456">
            <v>80</v>
          </cell>
          <cell r="F456">
            <v>10</v>
          </cell>
          <cell r="G456">
            <v>600</v>
          </cell>
          <cell r="H456">
            <v>6000</v>
          </cell>
          <cell r="I456">
            <v>0</v>
          </cell>
          <cell r="J456">
            <v>1.25</v>
          </cell>
          <cell r="K456">
            <v>0</v>
          </cell>
          <cell r="L456">
            <v>15</v>
          </cell>
          <cell r="M456">
            <v>93.75</v>
          </cell>
          <cell r="N456">
            <v>1406.25</v>
          </cell>
          <cell r="O456">
            <v>0</v>
          </cell>
          <cell r="P456">
            <v>7.5</v>
          </cell>
          <cell r="Q456">
            <v>0</v>
          </cell>
          <cell r="R456">
            <v>0</v>
          </cell>
          <cell r="S456">
            <v>97.5</v>
          </cell>
          <cell r="T456">
            <v>0</v>
          </cell>
          <cell r="U456">
            <v>0</v>
          </cell>
          <cell r="V456">
            <v>126.75</v>
          </cell>
          <cell r="W456">
            <v>0</v>
          </cell>
          <cell r="X456">
            <v>0</v>
          </cell>
          <cell r="Y456">
            <v>9.75</v>
          </cell>
          <cell r="Z456">
            <v>0</v>
          </cell>
          <cell r="AA456">
            <v>0</v>
          </cell>
          <cell r="AB456">
            <v>112.5</v>
          </cell>
          <cell r="AC456">
            <v>0</v>
          </cell>
          <cell r="AD456">
            <v>0</v>
          </cell>
          <cell r="AE456">
            <v>146.25</v>
          </cell>
          <cell r="AF456">
            <v>0</v>
          </cell>
          <cell r="AG456">
            <v>0</v>
          </cell>
          <cell r="AH456">
            <v>11.25</v>
          </cell>
          <cell r="AI456">
            <v>0</v>
          </cell>
          <cell r="AJ456">
            <v>0</v>
          </cell>
          <cell r="AK456">
            <v>97.5</v>
          </cell>
          <cell r="AL456">
            <v>0</v>
          </cell>
          <cell r="AM456">
            <v>0</v>
          </cell>
          <cell r="AN456">
            <v>126.75</v>
          </cell>
          <cell r="AO456">
            <v>0</v>
          </cell>
          <cell r="AP456">
            <v>0</v>
          </cell>
          <cell r="AQ456">
            <v>9.75</v>
          </cell>
          <cell r="AR456">
            <v>0</v>
          </cell>
          <cell r="AS456">
            <v>0</v>
          </cell>
          <cell r="AT456">
            <v>150</v>
          </cell>
          <cell r="AU456">
            <v>0</v>
          </cell>
          <cell r="AV456">
            <v>0</v>
          </cell>
          <cell r="AW456">
            <v>195</v>
          </cell>
          <cell r="AX456">
            <v>0</v>
          </cell>
          <cell r="AY456">
            <v>0</v>
          </cell>
          <cell r="AZ456">
            <v>15</v>
          </cell>
          <cell r="BA456">
            <v>0</v>
          </cell>
          <cell r="BB456">
            <v>0</v>
          </cell>
          <cell r="BC456">
            <v>75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7406.25</v>
          </cell>
        </row>
        <row r="457">
          <cell r="C457">
            <v>30680</v>
          </cell>
          <cell r="D457" t="str">
            <v>Pamada, James Benavidez</v>
          </cell>
          <cell r="E457">
            <v>80</v>
          </cell>
          <cell r="F457">
            <v>10</v>
          </cell>
          <cell r="G457">
            <v>600</v>
          </cell>
          <cell r="H457">
            <v>6000</v>
          </cell>
          <cell r="I457">
            <v>0</v>
          </cell>
          <cell r="J457">
            <v>1.25</v>
          </cell>
          <cell r="K457">
            <v>0</v>
          </cell>
          <cell r="L457">
            <v>10</v>
          </cell>
          <cell r="M457">
            <v>93.75</v>
          </cell>
          <cell r="N457">
            <v>937.5</v>
          </cell>
          <cell r="O457">
            <v>28</v>
          </cell>
          <cell r="P457">
            <v>7.5</v>
          </cell>
          <cell r="Q457">
            <v>210</v>
          </cell>
          <cell r="R457">
            <v>0</v>
          </cell>
          <cell r="S457">
            <v>97.5</v>
          </cell>
          <cell r="T457">
            <v>0</v>
          </cell>
          <cell r="U457">
            <v>0</v>
          </cell>
          <cell r="V457">
            <v>126.75</v>
          </cell>
          <cell r="W457">
            <v>0</v>
          </cell>
          <cell r="X457">
            <v>0</v>
          </cell>
          <cell r="Y457">
            <v>9.75</v>
          </cell>
          <cell r="Z457">
            <v>0</v>
          </cell>
          <cell r="AA457">
            <v>0</v>
          </cell>
          <cell r="AB457">
            <v>112.5</v>
          </cell>
          <cell r="AC457">
            <v>0</v>
          </cell>
          <cell r="AD457">
            <v>0</v>
          </cell>
          <cell r="AE457">
            <v>146.25</v>
          </cell>
          <cell r="AF457">
            <v>0</v>
          </cell>
          <cell r="AG457">
            <v>0</v>
          </cell>
          <cell r="AH457">
            <v>11.25</v>
          </cell>
          <cell r="AI457">
            <v>0</v>
          </cell>
          <cell r="AJ457">
            <v>0</v>
          </cell>
          <cell r="AK457">
            <v>97.5</v>
          </cell>
          <cell r="AL457">
            <v>0</v>
          </cell>
          <cell r="AM457">
            <v>0</v>
          </cell>
          <cell r="AN457">
            <v>126.75</v>
          </cell>
          <cell r="AO457">
            <v>0</v>
          </cell>
          <cell r="AP457">
            <v>0</v>
          </cell>
          <cell r="AQ457">
            <v>9.75</v>
          </cell>
          <cell r="AR457">
            <v>0</v>
          </cell>
          <cell r="AS457">
            <v>0</v>
          </cell>
          <cell r="AT457">
            <v>150</v>
          </cell>
          <cell r="AU457">
            <v>0</v>
          </cell>
          <cell r="AV457">
            <v>0</v>
          </cell>
          <cell r="AW457">
            <v>195</v>
          </cell>
          <cell r="AX457">
            <v>0</v>
          </cell>
          <cell r="AY457">
            <v>0</v>
          </cell>
          <cell r="AZ457">
            <v>15</v>
          </cell>
          <cell r="BA457">
            <v>0</v>
          </cell>
          <cell r="BB457">
            <v>0</v>
          </cell>
          <cell r="BC457">
            <v>75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7147.5</v>
          </cell>
        </row>
        <row r="458">
          <cell r="C458">
            <v>12460</v>
          </cell>
          <cell r="D458" t="str">
            <v>Pamplona, Hazel Lomerio</v>
          </cell>
          <cell r="E458">
            <v>80</v>
          </cell>
          <cell r="F458">
            <v>10</v>
          </cell>
          <cell r="G458">
            <v>600</v>
          </cell>
          <cell r="H458">
            <v>6000</v>
          </cell>
          <cell r="I458">
            <v>0</v>
          </cell>
          <cell r="J458">
            <v>1.25</v>
          </cell>
          <cell r="K458">
            <v>0</v>
          </cell>
          <cell r="L458">
            <v>2</v>
          </cell>
          <cell r="M458">
            <v>93.75</v>
          </cell>
          <cell r="N458">
            <v>187.5</v>
          </cell>
          <cell r="O458">
            <v>26</v>
          </cell>
          <cell r="P458">
            <v>7.5</v>
          </cell>
          <cell r="Q458">
            <v>195</v>
          </cell>
          <cell r="R458">
            <v>0</v>
          </cell>
          <cell r="S458">
            <v>97.5</v>
          </cell>
          <cell r="T458">
            <v>0</v>
          </cell>
          <cell r="U458">
            <v>0</v>
          </cell>
          <cell r="V458">
            <v>126.75</v>
          </cell>
          <cell r="W458">
            <v>0</v>
          </cell>
          <cell r="X458">
            <v>0</v>
          </cell>
          <cell r="Y458">
            <v>9.75</v>
          </cell>
          <cell r="Z458">
            <v>0</v>
          </cell>
          <cell r="AA458">
            <v>0</v>
          </cell>
          <cell r="AB458">
            <v>112.5</v>
          </cell>
          <cell r="AC458">
            <v>0</v>
          </cell>
          <cell r="AD458">
            <v>0</v>
          </cell>
          <cell r="AE458">
            <v>146.25</v>
          </cell>
          <cell r="AF458">
            <v>0</v>
          </cell>
          <cell r="AG458">
            <v>0</v>
          </cell>
          <cell r="AH458">
            <v>11.25</v>
          </cell>
          <cell r="AI458">
            <v>0</v>
          </cell>
          <cell r="AJ458">
            <v>0</v>
          </cell>
          <cell r="AK458">
            <v>97.5</v>
          </cell>
          <cell r="AL458">
            <v>0</v>
          </cell>
          <cell r="AM458">
            <v>0</v>
          </cell>
          <cell r="AN458">
            <v>126.75</v>
          </cell>
          <cell r="AO458">
            <v>0</v>
          </cell>
          <cell r="AP458">
            <v>0</v>
          </cell>
          <cell r="AQ458">
            <v>9.75</v>
          </cell>
          <cell r="AR458">
            <v>0</v>
          </cell>
          <cell r="AS458">
            <v>0</v>
          </cell>
          <cell r="AT458">
            <v>150</v>
          </cell>
          <cell r="AU458">
            <v>0</v>
          </cell>
          <cell r="AV458">
            <v>0</v>
          </cell>
          <cell r="AW458">
            <v>195</v>
          </cell>
          <cell r="AX458">
            <v>0</v>
          </cell>
          <cell r="AY458">
            <v>0</v>
          </cell>
          <cell r="AZ458">
            <v>15</v>
          </cell>
          <cell r="BA458">
            <v>0</v>
          </cell>
          <cell r="BB458">
            <v>0</v>
          </cell>
          <cell r="BC458">
            <v>75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6382.5</v>
          </cell>
        </row>
        <row r="459">
          <cell r="C459">
            <v>30755</v>
          </cell>
          <cell r="D459" t="str">
            <v>Panas, Justin Lincuran</v>
          </cell>
          <cell r="E459">
            <v>72</v>
          </cell>
          <cell r="F459">
            <v>9</v>
          </cell>
          <cell r="G459">
            <v>600</v>
          </cell>
          <cell r="H459">
            <v>5400</v>
          </cell>
          <cell r="I459">
            <v>0</v>
          </cell>
          <cell r="J459">
            <v>1.25</v>
          </cell>
          <cell r="K459">
            <v>0</v>
          </cell>
          <cell r="L459">
            <v>6</v>
          </cell>
          <cell r="M459">
            <v>93.75</v>
          </cell>
          <cell r="N459">
            <v>562.5</v>
          </cell>
          <cell r="O459">
            <v>42</v>
          </cell>
          <cell r="P459">
            <v>7.5</v>
          </cell>
          <cell r="Q459">
            <v>315</v>
          </cell>
          <cell r="R459">
            <v>0</v>
          </cell>
          <cell r="S459">
            <v>97.5</v>
          </cell>
          <cell r="T459">
            <v>0</v>
          </cell>
          <cell r="U459">
            <v>0</v>
          </cell>
          <cell r="V459">
            <v>126.75</v>
          </cell>
          <cell r="W459">
            <v>0</v>
          </cell>
          <cell r="X459">
            <v>0</v>
          </cell>
          <cell r="Y459">
            <v>9.75</v>
          </cell>
          <cell r="Z459">
            <v>0</v>
          </cell>
          <cell r="AA459">
            <v>0</v>
          </cell>
          <cell r="AB459">
            <v>112.5</v>
          </cell>
          <cell r="AC459">
            <v>0</v>
          </cell>
          <cell r="AD459">
            <v>0</v>
          </cell>
          <cell r="AE459">
            <v>146.25</v>
          </cell>
          <cell r="AF459">
            <v>0</v>
          </cell>
          <cell r="AG459">
            <v>0</v>
          </cell>
          <cell r="AH459">
            <v>11.25</v>
          </cell>
          <cell r="AI459">
            <v>0</v>
          </cell>
          <cell r="AJ459">
            <v>0</v>
          </cell>
          <cell r="AK459">
            <v>97.5</v>
          </cell>
          <cell r="AL459">
            <v>0</v>
          </cell>
          <cell r="AM459">
            <v>0</v>
          </cell>
          <cell r="AN459">
            <v>126.75</v>
          </cell>
          <cell r="AO459">
            <v>0</v>
          </cell>
          <cell r="AP459">
            <v>0</v>
          </cell>
          <cell r="AQ459">
            <v>9.75</v>
          </cell>
          <cell r="AR459">
            <v>0</v>
          </cell>
          <cell r="AS459">
            <v>0</v>
          </cell>
          <cell r="AT459">
            <v>150</v>
          </cell>
          <cell r="AU459">
            <v>0</v>
          </cell>
          <cell r="AV459">
            <v>0</v>
          </cell>
          <cell r="AW459">
            <v>195</v>
          </cell>
          <cell r="AX459">
            <v>0</v>
          </cell>
          <cell r="AY459">
            <v>0</v>
          </cell>
          <cell r="AZ459">
            <v>15</v>
          </cell>
          <cell r="BA459">
            <v>0</v>
          </cell>
          <cell r="BB459">
            <v>0</v>
          </cell>
          <cell r="BC459">
            <v>75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6277.5</v>
          </cell>
        </row>
        <row r="460">
          <cell r="C460">
            <v>30019</v>
          </cell>
          <cell r="D460" t="str">
            <v>Panta, Jerick</v>
          </cell>
          <cell r="E460">
            <v>88</v>
          </cell>
          <cell r="F460">
            <v>11</v>
          </cell>
          <cell r="G460">
            <v>600</v>
          </cell>
          <cell r="H460">
            <v>6600</v>
          </cell>
          <cell r="I460">
            <v>0</v>
          </cell>
          <cell r="J460">
            <v>1.25</v>
          </cell>
          <cell r="K460">
            <v>0</v>
          </cell>
          <cell r="L460">
            <v>6</v>
          </cell>
          <cell r="M460">
            <v>93.75</v>
          </cell>
          <cell r="N460">
            <v>562.5</v>
          </cell>
          <cell r="O460">
            <v>46</v>
          </cell>
          <cell r="P460">
            <v>7.5</v>
          </cell>
          <cell r="Q460">
            <v>345</v>
          </cell>
          <cell r="R460">
            <v>0</v>
          </cell>
          <cell r="S460">
            <v>97.5</v>
          </cell>
          <cell r="T460">
            <v>0</v>
          </cell>
          <cell r="U460">
            <v>0</v>
          </cell>
          <cell r="V460">
            <v>126.75</v>
          </cell>
          <cell r="W460">
            <v>0</v>
          </cell>
          <cell r="X460">
            <v>0</v>
          </cell>
          <cell r="Y460">
            <v>9.75</v>
          </cell>
          <cell r="Z460">
            <v>0</v>
          </cell>
          <cell r="AA460">
            <v>0</v>
          </cell>
          <cell r="AB460">
            <v>112.5</v>
          </cell>
          <cell r="AC460">
            <v>0</v>
          </cell>
          <cell r="AD460">
            <v>0</v>
          </cell>
          <cell r="AE460">
            <v>146.25</v>
          </cell>
          <cell r="AF460">
            <v>0</v>
          </cell>
          <cell r="AG460">
            <v>0</v>
          </cell>
          <cell r="AH460">
            <v>11.25</v>
          </cell>
          <cell r="AI460">
            <v>0</v>
          </cell>
          <cell r="AJ460">
            <v>0</v>
          </cell>
          <cell r="AK460">
            <v>97.5</v>
          </cell>
          <cell r="AL460">
            <v>0</v>
          </cell>
          <cell r="AM460">
            <v>0</v>
          </cell>
          <cell r="AN460">
            <v>126.75</v>
          </cell>
          <cell r="AO460">
            <v>0</v>
          </cell>
          <cell r="AP460">
            <v>0</v>
          </cell>
          <cell r="AQ460">
            <v>9.75</v>
          </cell>
          <cell r="AR460">
            <v>0</v>
          </cell>
          <cell r="AS460">
            <v>0</v>
          </cell>
          <cell r="AT460">
            <v>150</v>
          </cell>
          <cell r="AU460">
            <v>0</v>
          </cell>
          <cell r="AV460">
            <v>0</v>
          </cell>
          <cell r="AW460">
            <v>195</v>
          </cell>
          <cell r="AX460">
            <v>0</v>
          </cell>
          <cell r="AY460">
            <v>0</v>
          </cell>
          <cell r="AZ460">
            <v>15</v>
          </cell>
          <cell r="BA460">
            <v>0</v>
          </cell>
          <cell r="BB460">
            <v>0</v>
          </cell>
          <cell r="BC460">
            <v>75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7507.5</v>
          </cell>
        </row>
        <row r="461">
          <cell r="C461">
            <v>30292</v>
          </cell>
          <cell r="D461" t="str">
            <v>Pascua, Rechelle Macalalay</v>
          </cell>
          <cell r="E461">
            <v>70</v>
          </cell>
          <cell r="F461">
            <v>8.75</v>
          </cell>
          <cell r="G461">
            <v>600</v>
          </cell>
          <cell r="H461">
            <v>5250</v>
          </cell>
          <cell r="I461">
            <v>0</v>
          </cell>
          <cell r="J461">
            <v>1.25</v>
          </cell>
          <cell r="K461">
            <v>0</v>
          </cell>
          <cell r="L461">
            <v>11</v>
          </cell>
          <cell r="M461">
            <v>93.75</v>
          </cell>
          <cell r="N461">
            <v>1031.25</v>
          </cell>
          <cell r="O461">
            <v>0</v>
          </cell>
          <cell r="P461">
            <v>7.5</v>
          </cell>
          <cell r="Q461">
            <v>0</v>
          </cell>
          <cell r="R461">
            <v>0</v>
          </cell>
          <cell r="S461">
            <v>97.5</v>
          </cell>
          <cell r="T461">
            <v>0</v>
          </cell>
          <cell r="U461">
            <v>0</v>
          </cell>
          <cell r="V461">
            <v>126.75</v>
          </cell>
          <cell r="W461">
            <v>0</v>
          </cell>
          <cell r="X461">
            <v>0</v>
          </cell>
          <cell r="Y461">
            <v>9.75</v>
          </cell>
          <cell r="Z461">
            <v>0</v>
          </cell>
          <cell r="AA461">
            <v>0</v>
          </cell>
          <cell r="AB461">
            <v>112.5</v>
          </cell>
          <cell r="AC461">
            <v>0</v>
          </cell>
          <cell r="AD461">
            <v>0</v>
          </cell>
          <cell r="AE461">
            <v>146.25</v>
          </cell>
          <cell r="AF461">
            <v>0</v>
          </cell>
          <cell r="AG461">
            <v>0</v>
          </cell>
          <cell r="AH461">
            <v>11.25</v>
          </cell>
          <cell r="AI461">
            <v>0</v>
          </cell>
          <cell r="AJ461">
            <v>0</v>
          </cell>
          <cell r="AK461">
            <v>97.5</v>
          </cell>
          <cell r="AL461">
            <v>0</v>
          </cell>
          <cell r="AM461">
            <v>0</v>
          </cell>
          <cell r="AN461">
            <v>126.75</v>
          </cell>
          <cell r="AO461">
            <v>0</v>
          </cell>
          <cell r="AP461">
            <v>0</v>
          </cell>
          <cell r="AQ461">
            <v>9.75</v>
          </cell>
          <cell r="AR461">
            <v>0</v>
          </cell>
          <cell r="AS461">
            <v>0</v>
          </cell>
          <cell r="AT461">
            <v>150</v>
          </cell>
          <cell r="AU461">
            <v>0</v>
          </cell>
          <cell r="AV461">
            <v>0</v>
          </cell>
          <cell r="AW461">
            <v>195</v>
          </cell>
          <cell r="AX461">
            <v>0</v>
          </cell>
          <cell r="AY461">
            <v>0</v>
          </cell>
          <cell r="AZ461">
            <v>15</v>
          </cell>
          <cell r="BA461">
            <v>0</v>
          </cell>
          <cell r="BB461">
            <v>0</v>
          </cell>
          <cell r="BC461">
            <v>75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6281.25</v>
          </cell>
        </row>
        <row r="462">
          <cell r="C462">
            <v>7966</v>
          </cell>
          <cell r="D462" t="str">
            <v>Pavorito, Kimberly Estrella</v>
          </cell>
          <cell r="E462">
            <v>88</v>
          </cell>
          <cell r="F462">
            <v>11</v>
          </cell>
          <cell r="G462">
            <v>600</v>
          </cell>
          <cell r="H462">
            <v>6600</v>
          </cell>
          <cell r="I462">
            <v>0</v>
          </cell>
          <cell r="J462">
            <v>1.25</v>
          </cell>
          <cell r="K462">
            <v>0</v>
          </cell>
          <cell r="L462">
            <v>20</v>
          </cell>
          <cell r="M462">
            <v>93.75</v>
          </cell>
          <cell r="N462">
            <v>1875</v>
          </cell>
          <cell r="O462">
            <v>52</v>
          </cell>
          <cell r="P462">
            <v>7.5</v>
          </cell>
          <cell r="Q462">
            <v>390</v>
          </cell>
          <cell r="R462">
            <v>0</v>
          </cell>
          <cell r="S462">
            <v>97.5</v>
          </cell>
          <cell r="T462">
            <v>0</v>
          </cell>
          <cell r="U462">
            <v>0</v>
          </cell>
          <cell r="V462">
            <v>126.75</v>
          </cell>
          <cell r="W462">
            <v>0</v>
          </cell>
          <cell r="X462">
            <v>0</v>
          </cell>
          <cell r="Y462">
            <v>9.75</v>
          </cell>
          <cell r="Z462">
            <v>0</v>
          </cell>
          <cell r="AA462">
            <v>0</v>
          </cell>
          <cell r="AB462">
            <v>112.5</v>
          </cell>
          <cell r="AC462">
            <v>0</v>
          </cell>
          <cell r="AD462">
            <v>0</v>
          </cell>
          <cell r="AE462">
            <v>146.25</v>
          </cell>
          <cell r="AF462">
            <v>0</v>
          </cell>
          <cell r="AG462">
            <v>0</v>
          </cell>
          <cell r="AH462">
            <v>11.25</v>
          </cell>
          <cell r="AI462">
            <v>0</v>
          </cell>
          <cell r="AJ462">
            <v>8</v>
          </cell>
          <cell r="AK462">
            <v>97.5</v>
          </cell>
          <cell r="AL462">
            <v>780</v>
          </cell>
          <cell r="AM462">
            <v>0</v>
          </cell>
          <cell r="AN462">
            <v>126.75</v>
          </cell>
          <cell r="AO462">
            <v>0</v>
          </cell>
          <cell r="AP462">
            <v>0</v>
          </cell>
          <cell r="AQ462">
            <v>9.75</v>
          </cell>
          <cell r="AR462">
            <v>0</v>
          </cell>
          <cell r="AS462">
            <v>0</v>
          </cell>
          <cell r="AT462">
            <v>150</v>
          </cell>
          <cell r="AU462">
            <v>0</v>
          </cell>
          <cell r="AV462">
            <v>0</v>
          </cell>
          <cell r="AW462">
            <v>195</v>
          </cell>
          <cell r="AX462">
            <v>0</v>
          </cell>
          <cell r="AY462">
            <v>0</v>
          </cell>
          <cell r="AZ462">
            <v>15</v>
          </cell>
          <cell r="BA462">
            <v>0</v>
          </cell>
          <cell r="BB462">
            <v>0</v>
          </cell>
          <cell r="BC462">
            <v>75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9645</v>
          </cell>
        </row>
        <row r="463">
          <cell r="C463">
            <v>14835</v>
          </cell>
          <cell r="D463" t="str">
            <v>Payopas, Kyla Marie Sanico</v>
          </cell>
          <cell r="E463">
            <v>88</v>
          </cell>
          <cell r="F463">
            <v>11</v>
          </cell>
          <cell r="G463">
            <v>600</v>
          </cell>
          <cell r="H463">
            <v>6600</v>
          </cell>
          <cell r="I463">
            <v>0</v>
          </cell>
          <cell r="J463">
            <v>1.25</v>
          </cell>
          <cell r="K463">
            <v>0</v>
          </cell>
          <cell r="L463">
            <v>18</v>
          </cell>
          <cell r="M463">
            <v>93.75</v>
          </cell>
          <cell r="N463">
            <v>1687.5</v>
          </cell>
          <cell r="O463">
            <v>54</v>
          </cell>
          <cell r="P463">
            <v>7.5</v>
          </cell>
          <cell r="Q463">
            <v>405</v>
          </cell>
          <cell r="R463">
            <v>0</v>
          </cell>
          <cell r="S463">
            <v>97.5</v>
          </cell>
          <cell r="T463">
            <v>0</v>
          </cell>
          <cell r="U463">
            <v>0</v>
          </cell>
          <cell r="V463">
            <v>126.75</v>
          </cell>
          <cell r="W463">
            <v>0</v>
          </cell>
          <cell r="X463">
            <v>0</v>
          </cell>
          <cell r="Y463">
            <v>9.75</v>
          </cell>
          <cell r="Z463">
            <v>0</v>
          </cell>
          <cell r="AA463">
            <v>0</v>
          </cell>
          <cell r="AB463">
            <v>112.5</v>
          </cell>
          <cell r="AC463">
            <v>0</v>
          </cell>
          <cell r="AD463">
            <v>0</v>
          </cell>
          <cell r="AE463">
            <v>146.25</v>
          </cell>
          <cell r="AF463">
            <v>0</v>
          </cell>
          <cell r="AG463">
            <v>0</v>
          </cell>
          <cell r="AH463">
            <v>11.25</v>
          </cell>
          <cell r="AI463">
            <v>0</v>
          </cell>
          <cell r="AJ463">
            <v>0</v>
          </cell>
          <cell r="AK463">
            <v>97.5</v>
          </cell>
          <cell r="AL463">
            <v>0</v>
          </cell>
          <cell r="AM463">
            <v>0</v>
          </cell>
          <cell r="AN463">
            <v>126.75</v>
          </cell>
          <cell r="AO463">
            <v>0</v>
          </cell>
          <cell r="AP463">
            <v>0</v>
          </cell>
          <cell r="AQ463">
            <v>9.75</v>
          </cell>
          <cell r="AR463">
            <v>0</v>
          </cell>
          <cell r="AS463">
            <v>0</v>
          </cell>
          <cell r="AT463">
            <v>150</v>
          </cell>
          <cell r="AU463">
            <v>0</v>
          </cell>
          <cell r="AV463">
            <v>0</v>
          </cell>
          <cell r="AW463">
            <v>195</v>
          </cell>
          <cell r="AX463">
            <v>0</v>
          </cell>
          <cell r="AY463">
            <v>0</v>
          </cell>
          <cell r="AZ463">
            <v>15</v>
          </cell>
          <cell r="BA463">
            <v>0</v>
          </cell>
          <cell r="BB463">
            <v>0</v>
          </cell>
          <cell r="BC463">
            <v>75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8692.5</v>
          </cell>
        </row>
        <row r="464">
          <cell r="C464">
            <v>14356</v>
          </cell>
          <cell r="D464" t="str">
            <v>Paz, Marianito Loriega</v>
          </cell>
          <cell r="E464">
            <v>72</v>
          </cell>
          <cell r="F464">
            <v>9</v>
          </cell>
          <cell r="G464">
            <v>600</v>
          </cell>
          <cell r="H464">
            <v>5400</v>
          </cell>
          <cell r="I464">
            <v>0</v>
          </cell>
          <cell r="J464">
            <v>1.25</v>
          </cell>
          <cell r="K464">
            <v>0</v>
          </cell>
          <cell r="L464">
            <v>10</v>
          </cell>
          <cell r="M464">
            <v>93.75</v>
          </cell>
          <cell r="N464">
            <v>937.5</v>
          </cell>
          <cell r="O464">
            <v>0</v>
          </cell>
          <cell r="P464">
            <v>7.5</v>
          </cell>
          <cell r="Q464">
            <v>0</v>
          </cell>
          <cell r="R464">
            <v>0</v>
          </cell>
          <cell r="S464">
            <v>97.5</v>
          </cell>
          <cell r="T464">
            <v>0</v>
          </cell>
          <cell r="U464">
            <v>0</v>
          </cell>
          <cell r="V464">
            <v>126.75</v>
          </cell>
          <cell r="W464">
            <v>0</v>
          </cell>
          <cell r="X464">
            <v>0</v>
          </cell>
          <cell r="Y464">
            <v>9.75</v>
          </cell>
          <cell r="Z464">
            <v>0</v>
          </cell>
          <cell r="AA464">
            <v>0</v>
          </cell>
          <cell r="AB464">
            <v>112.5</v>
          </cell>
          <cell r="AC464">
            <v>0</v>
          </cell>
          <cell r="AD464">
            <v>0</v>
          </cell>
          <cell r="AE464">
            <v>146.25</v>
          </cell>
          <cell r="AF464">
            <v>0</v>
          </cell>
          <cell r="AG464">
            <v>0</v>
          </cell>
          <cell r="AH464">
            <v>11.25</v>
          </cell>
          <cell r="AI464">
            <v>0</v>
          </cell>
          <cell r="AJ464">
            <v>0</v>
          </cell>
          <cell r="AK464">
            <v>97.5</v>
          </cell>
          <cell r="AL464">
            <v>0</v>
          </cell>
          <cell r="AM464">
            <v>0</v>
          </cell>
          <cell r="AN464">
            <v>126.75</v>
          </cell>
          <cell r="AO464">
            <v>0</v>
          </cell>
          <cell r="AP464">
            <v>0</v>
          </cell>
          <cell r="AQ464">
            <v>9.75</v>
          </cell>
          <cell r="AR464">
            <v>0</v>
          </cell>
          <cell r="AS464">
            <v>0</v>
          </cell>
          <cell r="AT464">
            <v>150</v>
          </cell>
          <cell r="AU464">
            <v>0</v>
          </cell>
          <cell r="AV464">
            <v>0</v>
          </cell>
          <cell r="AW464">
            <v>195</v>
          </cell>
          <cell r="AX464">
            <v>0</v>
          </cell>
          <cell r="AY464">
            <v>0</v>
          </cell>
          <cell r="AZ464">
            <v>15</v>
          </cell>
          <cell r="BA464">
            <v>0</v>
          </cell>
          <cell r="BB464">
            <v>0</v>
          </cell>
          <cell r="BC464">
            <v>75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6337.5</v>
          </cell>
        </row>
        <row r="465">
          <cell r="C465">
            <v>14357</v>
          </cell>
          <cell r="D465" t="str">
            <v>Paz, Rochelle Perez</v>
          </cell>
          <cell r="E465">
            <v>80</v>
          </cell>
          <cell r="F465">
            <v>10</v>
          </cell>
          <cell r="G465">
            <v>600</v>
          </cell>
          <cell r="H465">
            <v>6000</v>
          </cell>
          <cell r="I465">
            <v>0</v>
          </cell>
          <cell r="J465">
            <v>1.25</v>
          </cell>
          <cell r="K465">
            <v>0</v>
          </cell>
          <cell r="L465">
            <v>10</v>
          </cell>
          <cell r="M465">
            <v>93.75</v>
          </cell>
          <cell r="N465">
            <v>937.5</v>
          </cell>
          <cell r="O465">
            <v>0</v>
          </cell>
          <cell r="P465">
            <v>7.5</v>
          </cell>
          <cell r="Q465">
            <v>0</v>
          </cell>
          <cell r="R465">
            <v>0</v>
          </cell>
          <cell r="S465">
            <v>97.5</v>
          </cell>
          <cell r="T465">
            <v>0</v>
          </cell>
          <cell r="U465">
            <v>0</v>
          </cell>
          <cell r="V465">
            <v>126.75</v>
          </cell>
          <cell r="W465">
            <v>0</v>
          </cell>
          <cell r="X465">
            <v>0</v>
          </cell>
          <cell r="Y465">
            <v>9.75</v>
          </cell>
          <cell r="Z465">
            <v>0</v>
          </cell>
          <cell r="AA465">
            <v>0</v>
          </cell>
          <cell r="AB465">
            <v>112.5</v>
          </cell>
          <cell r="AC465">
            <v>0</v>
          </cell>
          <cell r="AD465">
            <v>0</v>
          </cell>
          <cell r="AE465">
            <v>146.25</v>
          </cell>
          <cell r="AF465">
            <v>0</v>
          </cell>
          <cell r="AG465">
            <v>0</v>
          </cell>
          <cell r="AH465">
            <v>11.25</v>
          </cell>
          <cell r="AI465">
            <v>0</v>
          </cell>
          <cell r="AJ465">
            <v>0</v>
          </cell>
          <cell r="AK465">
            <v>97.5</v>
          </cell>
          <cell r="AL465">
            <v>0</v>
          </cell>
          <cell r="AM465">
            <v>0</v>
          </cell>
          <cell r="AN465">
            <v>126.75</v>
          </cell>
          <cell r="AO465">
            <v>0</v>
          </cell>
          <cell r="AP465">
            <v>0</v>
          </cell>
          <cell r="AQ465">
            <v>9.75</v>
          </cell>
          <cell r="AR465">
            <v>0</v>
          </cell>
          <cell r="AS465">
            <v>0</v>
          </cell>
          <cell r="AT465">
            <v>150</v>
          </cell>
          <cell r="AU465">
            <v>0</v>
          </cell>
          <cell r="AV465">
            <v>0</v>
          </cell>
          <cell r="AW465">
            <v>195</v>
          </cell>
          <cell r="AX465">
            <v>0</v>
          </cell>
          <cell r="AY465">
            <v>0</v>
          </cell>
          <cell r="AZ465">
            <v>15</v>
          </cell>
          <cell r="BA465">
            <v>0</v>
          </cell>
          <cell r="BB465">
            <v>0</v>
          </cell>
          <cell r="BC465">
            <v>75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6937.5</v>
          </cell>
        </row>
        <row r="466">
          <cell r="C466">
            <v>14824</v>
          </cell>
          <cell r="D466" t="str">
            <v>Perez, Rolly Motel</v>
          </cell>
          <cell r="E466">
            <v>80</v>
          </cell>
          <cell r="F466">
            <v>10</v>
          </cell>
          <cell r="G466">
            <v>600</v>
          </cell>
          <cell r="H466">
            <v>6000</v>
          </cell>
          <cell r="I466">
            <v>0</v>
          </cell>
          <cell r="J466">
            <v>1.25</v>
          </cell>
          <cell r="K466">
            <v>0</v>
          </cell>
          <cell r="L466">
            <v>17</v>
          </cell>
          <cell r="M466">
            <v>93.75</v>
          </cell>
          <cell r="N466">
            <v>1593.75</v>
          </cell>
          <cell r="O466">
            <v>0</v>
          </cell>
          <cell r="P466">
            <v>7.5</v>
          </cell>
          <cell r="Q466">
            <v>0</v>
          </cell>
          <cell r="R466">
            <v>8</v>
          </cell>
          <cell r="S466">
            <v>97.5</v>
          </cell>
          <cell r="T466">
            <v>780</v>
          </cell>
          <cell r="U466">
            <v>0</v>
          </cell>
          <cell r="V466">
            <v>126.75</v>
          </cell>
          <cell r="W466">
            <v>0</v>
          </cell>
          <cell r="X466">
            <v>0</v>
          </cell>
          <cell r="Y466">
            <v>9.75</v>
          </cell>
          <cell r="Z466">
            <v>0</v>
          </cell>
          <cell r="AA466">
            <v>0</v>
          </cell>
          <cell r="AB466">
            <v>112.5</v>
          </cell>
          <cell r="AC466">
            <v>0</v>
          </cell>
          <cell r="AD466">
            <v>0</v>
          </cell>
          <cell r="AE466">
            <v>146.25</v>
          </cell>
          <cell r="AF466">
            <v>0</v>
          </cell>
          <cell r="AG466">
            <v>0</v>
          </cell>
          <cell r="AH466">
            <v>11.25</v>
          </cell>
          <cell r="AI466">
            <v>0</v>
          </cell>
          <cell r="AJ466">
            <v>0</v>
          </cell>
          <cell r="AK466">
            <v>97.5</v>
          </cell>
          <cell r="AL466">
            <v>0</v>
          </cell>
          <cell r="AM466">
            <v>0</v>
          </cell>
          <cell r="AN466">
            <v>126.75</v>
          </cell>
          <cell r="AO466">
            <v>0</v>
          </cell>
          <cell r="AP466">
            <v>0</v>
          </cell>
          <cell r="AQ466">
            <v>9.75</v>
          </cell>
          <cell r="AR466">
            <v>0</v>
          </cell>
          <cell r="AS466">
            <v>0</v>
          </cell>
          <cell r="AT466">
            <v>150</v>
          </cell>
          <cell r="AU466">
            <v>0</v>
          </cell>
          <cell r="AV466">
            <v>0</v>
          </cell>
          <cell r="AW466">
            <v>195</v>
          </cell>
          <cell r="AX466">
            <v>0</v>
          </cell>
          <cell r="AY466">
            <v>0</v>
          </cell>
          <cell r="AZ466">
            <v>15</v>
          </cell>
          <cell r="BA466">
            <v>0</v>
          </cell>
          <cell r="BB466">
            <v>0</v>
          </cell>
          <cell r="BC466">
            <v>75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8373.75</v>
          </cell>
        </row>
        <row r="467">
          <cell r="C467">
            <v>30611</v>
          </cell>
          <cell r="D467" t="str">
            <v>Pisuena, Jae Ann Espiritu</v>
          </cell>
          <cell r="E467">
            <v>80</v>
          </cell>
          <cell r="F467">
            <v>10</v>
          </cell>
          <cell r="G467">
            <v>600</v>
          </cell>
          <cell r="H467">
            <v>6000</v>
          </cell>
          <cell r="I467">
            <v>0</v>
          </cell>
          <cell r="J467">
            <v>1.25</v>
          </cell>
          <cell r="K467">
            <v>0</v>
          </cell>
          <cell r="L467">
            <v>4</v>
          </cell>
          <cell r="M467">
            <v>93.75</v>
          </cell>
          <cell r="N467">
            <v>375</v>
          </cell>
          <cell r="O467">
            <v>0</v>
          </cell>
          <cell r="P467">
            <v>7.5</v>
          </cell>
          <cell r="Q467">
            <v>0</v>
          </cell>
          <cell r="R467">
            <v>0</v>
          </cell>
          <cell r="S467">
            <v>97.5</v>
          </cell>
          <cell r="T467">
            <v>0</v>
          </cell>
          <cell r="U467">
            <v>0</v>
          </cell>
          <cell r="V467">
            <v>126.75</v>
          </cell>
          <cell r="W467">
            <v>0</v>
          </cell>
          <cell r="X467">
            <v>0</v>
          </cell>
          <cell r="Y467">
            <v>9.75</v>
          </cell>
          <cell r="Z467">
            <v>0</v>
          </cell>
          <cell r="AA467">
            <v>0</v>
          </cell>
          <cell r="AB467">
            <v>112.5</v>
          </cell>
          <cell r="AC467">
            <v>0</v>
          </cell>
          <cell r="AD467">
            <v>0</v>
          </cell>
          <cell r="AE467">
            <v>146.25</v>
          </cell>
          <cell r="AF467">
            <v>0</v>
          </cell>
          <cell r="AG467">
            <v>0</v>
          </cell>
          <cell r="AH467">
            <v>11.25</v>
          </cell>
          <cell r="AI467">
            <v>0</v>
          </cell>
          <cell r="AJ467">
            <v>0</v>
          </cell>
          <cell r="AK467">
            <v>97.5</v>
          </cell>
          <cell r="AL467">
            <v>0</v>
          </cell>
          <cell r="AM467">
            <v>0</v>
          </cell>
          <cell r="AN467">
            <v>126.75</v>
          </cell>
          <cell r="AO467">
            <v>0</v>
          </cell>
          <cell r="AP467">
            <v>0</v>
          </cell>
          <cell r="AQ467">
            <v>9.75</v>
          </cell>
          <cell r="AR467">
            <v>0</v>
          </cell>
          <cell r="AS467">
            <v>0</v>
          </cell>
          <cell r="AT467">
            <v>150</v>
          </cell>
          <cell r="AU467">
            <v>0</v>
          </cell>
          <cell r="AV467">
            <v>0</v>
          </cell>
          <cell r="AW467">
            <v>195</v>
          </cell>
          <cell r="AX467">
            <v>0</v>
          </cell>
          <cell r="AY467">
            <v>0</v>
          </cell>
          <cell r="AZ467">
            <v>15</v>
          </cell>
          <cell r="BA467">
            <v>0</v>
          </cell>
          <cell r="BB467">
            <v>0</v>
          </cell>
          <cell r="BC467">
            <v>75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6375</v>
          </cell>
        </row>
        <row r="468">
          <cell r="C468">
            <v>14360</v>
          </cell>
          <cell r="D468" t="str">
            <v>Plamberhin, Maria Rose Abao</v>
          </cell>
          <cell r="E468">
            <v>88</v>
          </cell>
          <cell r="F468">
            <v>11</v>
          </cell>
          <cell r="G468">
            <v>600</v>
          </cell>
          <cell r="H468">
            <v>6600</v>
          </cell>
          <cell r="I468">
            <v>0</v>
          </cell>
          <cell r="J468">
            <v>1.25</v>
          </cell>
          <cell r="K468">
            <v>0</v>
          </cell>
          <cell r="L468">
            <v>14</v>
          </cell>
          <cell r="M468">
            <v>93.75</v>
          </cell>
          <cell r="N468">
            <v>1312.5</v>
          </cell>
          <cell r="O468">
            <v>52</v>
          </cell>
          <cell r="P468">
            <v>7.5</v>
          </cell>
          <cell r="Q468">
            <v>390</v>
          </cell>
          <cell r="R468">
            <v>0</v>
          </cell>
          <cell r="S468">
            <v>97.5</v>
          </cell>
          <cell r="T468">
            <v>0</v>
          </cell>
          <cell r="U468">
            <v>0</v>
          </cell>
          <cell r="V468">
            <v>126.75</v>
          </cell>
          <cell r="W468">
            <v>0</v>
          </cell>
          <cell r="X468">
            <v>0</v>
          </cell>
          <cell r="Y468">
            <v>9.75</v>
          </cell>
          <cell r="Z468">
            <v>0</v>
          </cell>
          <cell r="AA468">
            <v>0</v>
          </cell>
          <cell r="AB468">
            <v>112.5</v>
          </cell>
          <cell r="AC468">
            <v>0</v>
          </cell>
          <cell r="AD468">
            <v>0</v>
          </cell>
          <cell r="AE468">
            <v>146.25</v>
          </cell>
          <cell r="AF468">
            <v>0</v>
          </cell>
          <cell r="AG468">
            <v>0</v>
          </cell>
          <cell r="AH468">
            <v>11.25</v>
          </cell>
          <cell r="AI468">
            <v>0</v>
          </cell>
          <cell r="AJ468">
            <v>0</v>
          </cell>
          <cell r="AK468">
            <v>97.5</v>
          </cell>
          <cell r="AL468">
            <v>0</v>
          </cell>
          <cell r="AM468">
            <v>0</v>
          </cell>
          <cell r="AN468">
            <v>126.75</v>
          </cell>
          <cell r="AO468">
            <v>0</v>
          </cell>
          <cell r="AP468">
            <v>0</v>
          </cell>
          <cell r="AQ468">
            <v>9.75</v>
          </cell>
          <cell r="AR468">
            <v>0</v>
          </cell>
          <cell r="AS468">
            <v>0</v>
          </cell>
          <cell r="AT468">
            <v>150</v>
          </cell>
          <cell r="AU468">
            <v>0</v>
          </cell>
          <cell r="AV468">
            <v>0</v>
          </cell>
          <cell r="AW468">
            <v>195</v>
          </cell>
          <cell r="AX468">
            <v>0</v>
          </cell>
          <cell r="AY468">
            <v>0</v>
          </cell>
          <cell r="AZ468">
            <v>15</v>
          </cell>
          <cell r="BA468">
            <v>0</v>
          </cell>
          <cell r="BB468">
            <v>0</v>
          </cell>
          <cell r="BC468">
            <v>75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8302.5</v>
          </cell>
        </row>
        <row r="469">
          <cell r="C469">
            <v>7244</v>
          </cell>
          <cell r="D469" t="str">
            <v>Raali, Analin Awan</v>
          </cell>
          <cell r="E469">
            <v>80</v>
          </cell>
          <cell r="F469">
            <v>10</v>
          </cell>
          <cell r="G469">
            <v>600</v>
          </cell>
          <cell r="H469">
            <v>6000</v>
          </cell>
          <cell r="I469">
            <v>0</v>
          </cell>
          <cell r="J469">
            <v>1.25</v>
          </cell>
          <cell r="K469">
            <v>0</v>
          </cell>
          <cell r="L469">
            <v>13</v>
          </cell>
          <cell r="M469">
            <v>93.75</v>
          </cell>
          <cell r="N469">
            <v>1218.75</v>
          </cell>
          <cell r="O469">
            <v>0</v>
          </cell>
          <cell r="P469">
            <v>7.5</v>
          </cell>
          <cell r="Q469">
            <v>0</v>
          </cell>
          <cell r="R469">
            <v>0</v>
          </cell>
          <cell r="S469">
            <v>97.5</v>
          </cell>
          <cell r="T469">
            <v>0</v>
          </cell>
          <cell r="U469">
            <v>0</v>
          </cell>
          <cell r="V469">
            <v>126.75</v>
          </cell>
          <cell r="W469">
            <v>0</v>
          </cell>
          <cell r="X469">
            <v>0</v>
          </cell>
          <cell r="Y469">
            <v>9.75</v>
          </cell>
          <cell r="Z469">
            <v>0</v>
          </cell>
          <cell r="AA469">
            <v>0</v>
          </cell>
          <cell r="AB469">
            <v>112.5</v>
          </cell>
          <cell r="AC469">
            <v>0</v>
          </cell>
          <cell r="AD469">
            <v>0</v>
          </cell>
          <cell r="AE469">
            <v>146.25</v>
          </cell>
          <cell r="AF469">
            <v>0</v>
          </cell>
          <cell r="AG469">
            <v>0</v>
          </cell>
          <cell r="AH469">
            <v>11.25</v>
          </cell>
          <cell r="AI469">
            <v>0</v>
          </cell>
          <cell r="AJ469">
            <v>0</v>
          </cell>
          <cell r="AK469">
            <v>97.5</v>
          </cell>
          <cell r="AL469">
            <v>0</v>
          </cell>
          <cell r="AM469">
            <v>0</v>
          </cell>
          <cell r="AN469">
            <v>126.75</v>
          </cell>
          <cell r="AO469">
            <v>0</v>
          </cell>
          <cell r="AP469">
            <v>0</v>
          </cell>
          <cell r="AQ469">
            <v>9.75</v>
          </cell>
          <cell r="AR469">
            <v>0</v>
          </cell>
          <cell r="AS469">
            <v>0</v>
          </cell>
          <cell r="AT469">
            <v>150</v>
          </cell>
          <cell r="AU469">
            <v>0</v>
          </cell>
          <cell r="AV469">
            <v>0</v>
          </cell>
          <cell r="AW469">
            <v>195</v>
          </cell>
          <cell r="AX469">
            <v>0</v>
          </cell>
          <cell r="AY469">
            <v>0</v>
          </cell>
          <cell r="AZ469">
            <v>15</v>
          </cell>
          <cell r="BA469">
            <v>0</v>
          </cell>
          <cell r="BB469">
            <v>0</v>
          </cell>
          <cell r="BC469">
            <v>75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7218.75</v>
          </cell>
        </row>
        <row r="470">
          <cell r="C470">
            <v>12110</v>
          </cell>
          <cell r="D470" t="str">
            <v>Rabaja, Jocelyn Dulay</v>
          </cell>
          <cell r="E470">
            <v>80</v>
          </cell>
          <cell r="F470">
            <v>10</v>
          </cell>
          <cell r="G470">
            <v>600</v>
          </cell>
          <cell r="H470">
            <v>6000</v>
          </cell>
          <cell r="I470">
            <v>0</v>
          </cell>
          <cell r="J470">
            <v>1.25</v>
          </cell>
          <cell r="K470">
            <v>0</v>
          </cell>
          <cell r="L470">
            <v>13</v>
          </cell>
          <cell r="M470">
            <v>93.75</v>
          </cell>
          <cell r="N470">
            <v>1218.75</v>
          </cell>
          <cell r="O470">
            <v>0</v>
          </cell>
          <cell r="P470">
            <v>7.5</v>
          </cell>
          <cell r="Q470">
            <v>0</v>
          </cell>
          <cell r="R470">
            <v>0</v>
          </cell>
          <cell r="S470">
            <v>97.5</v>
          </cell>
          <cell r="T470">
            <v>0</v>
          </cell>
          <cell r="U470">
            <v>0</v>
          </cell>
          <cell r="V470">
            <v>126.75</v>
          </cell>
          <cell r="W470">
            <v>0</v>
          </cell>
          <cell r="X470">
            <v>0</v>
          </cell>
          <cell r="Y470">
            <v>9.75</v>
          </cell>
          <cell r="Z470">
            <v>0</v>
          </cell>
          <cell r="AA470">
            <v>0</v>
          </cell>
          <cell r="AB470">
            <v>112.5</v>
          </cell>
          <cell r="AC470">
            <v>0</v>
          </cell>
          <cell r="AD470">
            <v>0</v>
          </cell>
          <cell r="AE470">
            <v>146.25</v>
          </cell>
          <cell r="AF470">
            <v>0</v>
          </cell>
          <cell r="AG470">
            <v>0</v>
          </cell>
          <cell r="AH470">
            <v>11.25</v>
          </cell>
          <cell r="AI470">
            <v>0</v>
          </cell>
          <cell r="AJ470">
            <v>0</v>
          </cell>
          <cell r="AK470">
            <v>97.5</v>
          </cell>
          <cell r="AL470">
            <v>0</v>
          </cell>
          <cell r="AM470">
            <v>0</v>
          </cell>
          <cell r="AN470">
            <v>126.75</v>
          </cell>
          <cell r="AO470">
            <v>0</v>
          </cell>
          <cell r="AP470">
            <v>0</v>
          </cell>
          <cell r="AQ470">
            <v>9.75</v>
          </cell>
          <cell r="AR470">
            <v>0</v>
          </cell>
          <cell r="AS470">
            <v>0</v>
          </cell>
          <cell r="AT470">
            <v>150</v>
          </cell>
          <cell r="AU470">
            <v>0</v>
          </cell>
          <cell r="AV470">
            <v>0</v>
          </cell>
          <cell r="AW470">
            <v>195</v>
          </cell>
          <cell r="AX470">
            <v>0</v>
          </cell>
          <cell r="AY470">
            <v>0</v>
          </cell>
          <cell r="AZ470">
            <v>15</v>
          </cell>
          <cell r="BA470">
            <v>0</v>
          </cell>
          <cell r="BB470">
            <v>0</v>
          </cell>
          <cell r="BC470">
            <v>75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7218.75</v>
          </cell>
        </row>
        <row r="471">
          <cell r="C471">
            <v>14370</v>
          </cell>
          <cell r="D471" t="str">
            <v>Ramos, Jairo Fabellar</v>
          </cell>
          <cell r="E471">
            <v>80</v>
          </cell>
          <cell r="F471">
            <v>10</v>
          </cell>
          <cell r="G471">
            <v>600</v>
          </cell>
          <cell r="H471">
            <v>6000</v>
          </cell>
          <cell r="I471">
            <v>0</v>
          </cell>
          <cell r="J471">
            <v>1.25</v>
          </cell>
          <cell r="K471">
            <v>0</v>
          </cell>
          <cell r="L471">
            <v>14</v>
          </cell>
          <cell r="M471">
            <v>93.75</v>
          </cell>
          <cell r="N471">
            <v>1312.5</v>
          </cell>
          <cell r="O471">
            <v>0</v>
          </cell>
          <cell r="P471">
            <v>7.5</v>
          </cell>
          <cell r="Q471">
            <v>0</v>
          </cell>
          <cell r="R471">
            <v>0</v>
          </cell>
          <cell r="S471">
            <v>97.5</v>
          </cell>
          <cell r="T471">
            <v>0</v>
          </cell>
          <cell r="U471">
            <v>0</v>
          </cell>
          <cell r="V471">
            <v>126.75</v>
          </cell>
          <cell r="W471">
            <v>0</v>
          </cell>
          <cell r="X471">
            <v>0</v>
          </cell>
          <cell r="Y471">
            <v>9.75</v>
          </cell>
          <cell r="Z471">
            <v>0</v>
          </cell>
          <cell r="AA471">
            <v>0</v>
          </cell>
          <cell r="AB471">
            <v>112.5</v>
          </cell>
          <cell r="AC471">
            <v>0</v>
          </cell>
          <cell r="AD471">
            <v>0</v>
          </cell>
          <cell r="AE471">
            <v>146.25</v>
          </cell>
          <cell r="AF471">
            <v>0</v>
          </cell>
          <cell r="AG471">
            <v>0</v>
          </cell>
          <cell r="AH471">
            <v>11.25</v>
          </cell>
          <cell r="AI471">
            <v>0</v>
          </cell>
          <cell r="AJ471">
            <v>0</v>
          </cell>
          <cell r="AK471">
            <v>97.5</v>
          </cell>
          <cell r="AL471">
            <v>0</v>
          </cell>
          <cell r="AM471">
            <v>0</v>
          </cell>
          <cell r="AN471">
            <v>126.75</v>
          </cell>
          <cell r="AO471">
            <v>0</v>
          </cell>
          <cell r="AP471">
            <v>0</v>
          </cell>
          <cell r="AQ471">
            <v>9.75</v>
          </cell>
          <cell r="AR471">
            <v>0</v>
          </cell>
          <cell r="AS471">
            <v>0</v>
          </cell>
          <cell r="AT471">
            <v>150</v>
          </cell>
          <cell r="AU471">
            <v>0</v>
          </cell>
          <cell r="AV471">
            <v>0</v>
          </cell>
          <cell r="AW471">
            <v>195</v>
          </cell>
          <cell r="AX471">
            <v>0</v>
          </cell>
          <cell r="AY471">
            <v>0</v>
          </cell>
          <cell r="AZ471">
            <v>15</v>
          </cell>
          <cell r="BA471">
            <v>0</v>
          </cell>
          <cell r="BB471">
            <v>0</v>
          </cell>
          <cell r="BC471">
            <v>75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7312.5</v>
          </cell>
        </row>
        <row r="472">
          <cell r="C472">
            <v>3863</v>
          </cell>
          <cell r="D472" t="str">
            <v>Ramos, Ken Kathrel Econar</v>
          </cell>
          <cell r="E472">
            <v>80</v>
          </cell>
          <cell r="F472">
            <v>10</v>
          </cell>
          <cell r="G472">
            <v>600</v>
          </cell>
          <cell r="H472">
            <v>6000</v>
          </cell>
          <cell r="I472">
            <v>0</v>
          </cell>
          <cell r="J472">
            <v>1.25</v>
          </cell>
          <cell r="K472">
            <v>0</v>
          </cell>
          <cell r="L472">
            <v>17</v>
          </cell>
          <cell r="M472">
            <v>93.75</v>
          </cell>
          <cell r="N472">
            <v>1593.75</v>
          </cell>
          <cell r="O472">
            <v>0</v>
          </cell>
          <cell r="P472">
            <v>7.5</v>
          </cell>
          <cell r="Q472">
            <v>0</v>
          </cell>
          <cell r="R472">
            <v>8</v>
          </cell>
          <cell r="S472">
            <v>97.5</v>
          </cell>
          <cell r="T472">
            <v>780</v>
          </cell>
          <cell r="U472">
            <v>1</v>
          </cell>
          <cell r="V472">
            <v>126.75</v>
          </cell>
          <cell r="W472">
            <v>126.75</v>
          </cell>
          <cell r="X472">
            <v>0</v>
          </cell>
          <cell r="Y472">
            <v>9.75</v>
          </cell>
          <cell r="Z472">
            <v>0</v>
          </cell>
          <cell r="AA472">
            <v>0</v>
          </cell>
          <cell r="AB472">
            <v>112.5</v>
          </cell>
          <cell r="AC472">
            <v>0</v>
          </cell>
          <cell r="AD472">
            <v>0</v>
          </cell>
          <cell r="AE472">
            <v>146.25</v>
          </cell>
          <cell r="AF472">
            <v>0</v>
          </cell>
          <cell r="AG472">
            <v>0</v>
          </cell>
          <cell r="AH472">
            <v>11.25</v>
          </cell>
          <cell r="AI472">
            <v>0</v>
          </cell>
          <cell r="AJ472">
            <v>0</v>
          </cell>
          <cell r="AK472">
            <v>97.5</v>
          </cell>
          <cell r="AL472">
            <v>0</v>
          </cell>
          <cell r="AM472">
            <v>0</v>
          </cell>
          <cell r="AN472">
            <v>126.75</v>
          </cell>
          <cell r="AO472">
            <v>0</v>
          </cell>
          <cell r="AP472">
            <v>0</v>
          </cell>
          <cell r="AQ472">
            <v>9.75</v>
          </cell>
          <cell r="AR472">
            <v>0</v>
          </cell>
          <cell r="AS472">
            <v>0</v>
          </cell>
          <cell r="AT472">
            <v>150</v>
          </cell>
          <cell r="AU472">
            <v>0</v>
          </cell>
          <cell r="AV472">
            <v>0</v>
          </cell>
          <cell r="AW472">
            <v>195</v>
          </cell>
          <cell r="AX472">
            <v>0</v>
          </cell>
          <cell r="AY472">
            <v>0</v>
          </cell>
          <cell r="AZ472">
            <v>15</v>
          </cell>
          <cell r="BA472">
            <v>0</v>
          </cell>
          <cell r="BB472">
            <v>0</v>
          </cell>
          <cell r="BC472">
            <v>75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8500.5</v>
          </cell>
        </row>
        <row r="473">
          <cell r="C473">
            <v>10876</v>
          </cell>
          <cell r="D473" t="str">
            <v>Ramos, Marie Rachielle Dumo</v>
          </cell>
          <cell r="E473">
            <v>88</v>
          </cell>
          <cell r="F473">
            <v>11</v>
          </cell>
          <cell r="G473">
            <v>600</v>
          </cell>
          <cell r="H473">
            <v>6600</v>
          </cell>
          <cell r="I473">
            <v>0</v>
          </cell>
          <cell r="J473">
            <v>1.25</v>
          </cell>
          <cell r="K473">
            <v>0</v>
          </cell>
          <cell r="L473">
            <v>6</v>
          </cell>
          <cell r="M473">
            <v>93.75</v>
          </cell>
          <cell r="N473">
            <v>562.5</v>
          </cell>
          <cell r="O473">
            <v>48</v>
          </cell>
          <cell r="P473">
            <v>7.5</v>
          </cell>
          <cell r="Q473">
            <v>360</v>
          </cell>
          <cell r="R473">
            <v>0</v>
          </cell>
          <cell r="S473">
            <v>97.5</v>
          </cell>
          <cell r="T473">
            <v>0</v>
          </cell>
          <cell r="U473">
            <v>0</v>
          </cell>
          <cell r="V473">
            <v>126.75</v>
          </cell>
          <cell r="W473">
            <v>0</v>
          </cell>
          <cell r="X473">
            <v>0</v>
          </cell>
          <cell r="Y473">
            <v>9.75</v>
          </cell>
          <cell r="Z473">
            <v>0</v>
          </cell>
          <cell r="AA473">
            <v>0</v>
          </cell>
          <cell r="AB473">
            <v>112.5</v>
          </cell>
          <cell r="AC473">
            <v>0</v>
          </cell>
          <cell r="AD473">
            <v>0</v>
          </cell>
          <cell r="AE473">
            <v>146.25</v>
          </cell>
          <cell r="AF473">
            <v>0</v>
          </cell>
          <cell r="AG473">
            <v>0</v>
          </cell>
          <cell r="AH473">
            <v>11.25</v>
          </cell>
          <cell r="AI473">
            <v>0</v>
          </cell>
          <cell r="AJ473">
            <v>0</v>
          </cell>
          <cell r="AK473">
            <v>97.5</v>
          </cell>
          <cell r="AL473">
            <v>0</v>
          </cell>
          <cell r="AM473">
            <v>0</v>
          </cell>
          <cell r="AN473">
            <v>126.75</v>
          </cell>
          <cell r="AO473">
            <v>0</v>
          </cell>
          <cell r="AP473">
            <v>0</v>
          </cell>
          <cell r="AQ473">
            <v>9.75</v>
          </cell>
          <cell r="AR473">
            <v>0</v>
          </cell>
          <cell r="AS473">
            <v>0</v>
          </cell>
          <cell r="AT473">
            <v>150</v>
          </cell>
          <cell r="AU473">
            <v>0</v>
          </cell>
          <cell r="AV473">
            <v>0</v>
          </cell>
          <cell r="AW473">
            <v>195</v>
          </cell>
          <cell r="AX473">
            <v>0</v>
          </cell>
          <cell r="AY473">
            <v>0</v>
          </cell>
          <cell r="AZ473">
            <v>15</v>
          </cell>
          <cell r="BA473">
            <v>0</v>
          </cell>
          <cell r="BB473">
            <v>0</v>
          </cell>
          <cell r="BC473">
            <v>75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7522.5</v>
          </cell>
        </row>
        <row r="474">
          <cell r="C474">
            <v>6565</v>
          </cell>
          <cell r="D474" t="str">
            <v>Rañola, Jeff Michael Decoy</v>
          </cell>
          <cell r="E474">
            <v>56</v>
          </cell>
          <cell r="F474">
            <v>7</v>
          </cell>
          <cell r="G474">
            <v>600</v>
          </cell>
          <cell r="H474">
            <v>4200</v>
          </cell>
          <cell r="I474">
            <v>0</v>
          </cell>
          <cell r="J474">
            <v>1.25</v>
          </cell>
          <cell r="K474">
            <v>0</v>
          </cell>
          <cell r="L474">
            <v>2</v>
          </cell>
          <cell r="M474">
            <v>93.75</v>
          </cell>
          <cell r="N474">
            <v>187.5</v>
          </cell>
          <cell r="O474">
            <v>44</v>
          </cell>
          <cell r="P474">
            <v>7.5</v>
          </cell>
          <cell r="Q474">
            <v>330</v>
          </cell>
          <cell r="R474">
            <v>0</v>
          </cell>
          <cell r="S474">
            <v>97.5</v>
          </cell>
          <cell r="T474">
            <v>0</v>
          </cell>
          <cell r="U474">
            <v>0</v>
          </cell>
          <cell r="V474">
            <v>126.75</v>
          </cell>
          <cell r="W474">
            <v>0</v>
          </cell>
          <cell r="X474">
            <v>0</v>
          </cell>
          <cell r="Y474">
            <v>9.75</v>
          </cell>
          <cell r="Z474">
            <v>0</v>
          </cell>
          <cell r="AA474">
            <v>0</v>
          </cell>
          <cell r="AB474">
            <v>112.5</v>
          </cell>
          <cell r="AC474">
            <v>0</v>
          </cell>
          <cell r="AD474">
            <v>0</v>
          </cell>
          <cell r="AE474">
            <v>146.25</v>
          </cell>
          <cell r="AF474">
            <v>0</v>
          </cell>
          <cell r="AG474">
            <v>0</v>
          </cell>
          <cell r="AH474">
            <v>11.25</v>
          </cell>
          <cell r="AI474">
            <v>0</v>
          </cell>
          <cell r="AJ474">
            <v>0</v>
          </cell>
          <cell r="AK474">
            <v>97.5</v>
          </cell>
          <cell r="AL474">
            <v>0</v>
          </cell>
          <cell r="AM474">
            <v>0</v>
          </cell>
          <cell r="AN474">
            <v>126.75</v>
          </cell>
          <cell r="AO474">
            <v>0</v>
          </cell>
          <cell r="AP474">
            <v>0</v>
          </cell>
          <cell r="AQ474">
            <v>9.75</v>
          </cell>
          <cell r="AR474">
            <v>0</v>
          </cell>
          <cell r="AS474">
            <v>0</v>
          </cell>
          <cell r="AT474">
            <v>150</v>
          </cell>
          <cell r="AU474">
            <v>0</v>
          </cell>
          <cell r="AV474">
            <v>0</v>
          </cell>
          <cell r="AW474">
            <v>195</v>
          </cell>
          <cell r="AX474">
            <v>0</v>
          </cell>
          <cell r="AY474">
            <v>0</v>
          </cell>
          <cell r="AZ474">
            <v>15</v>
          </cell>
          <cell r="BA474">
            <v>0</v>
          </cell>
          <cell r="BB474">
            <v>0</v>
          </cell>
          <cell r="BC474">
            <v>75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4717.5</v>
          </cell>
        </row>
        <row r="475">
          <cell r="C475">
            <v>14372</v>
          </cell>
          <cell r="D475" t="str">
            <v>Ravadavia, Jonalyn Paloyo</v>
          </cell>
          <cell r="E475">
            <v>76</v>
          </cell>
          <cell r="F475">
            <v>9.5</v>
          </cell>
          <cell r="G475">
            <v>600</v>
          </cell>
          <cell r="H475">
            <v>5700</v>
          </cell>
          <cell r="I475">
            <v>17</v>
          </cell>
          <cell r="J475">
            <v>1.25</v>
          </cell>
          <cell r="K475">
            <v>-21.25</v>
          </cell>
          <cell r="L475">
            <v>8</v>
          </cell>
          <cell r="M475">
            <v>93.75</v>
          </cell>
          <cell r="N475">
            <v>750</v>
          </cell>
          <cell r="O475">
            <v>0</v>
          </cell>
          <cell r="P475">
            <v>7.5</v>
          </cell>
          <cell r="Q475">
            <v>0</v>
          </cell>
          <cell r="R475">
            <v>0</v>
          </cell>
          <cell r="S475">
            <v>97.5</v>
          </cell>
          <cell r="T475">
            <v>0</v>
          </cell>
          <cell r="U475">
            <v>0</v>
          </cell>
          <cell r="V475">
            <v>126.75</v>
          </cell>
          <cell r="W475">
            <v>0</v>
          </cell>
          <cell r="X475">
            <v>0</v>
          </cell>
          <cell r="Y475">
            <v>9.75</v>
          </cell>
          <cell r="Z475">
            <v>0</v>
          </cell>
          <cell r="AA475">
            <v>0</v>
          </cell>
          <cell r="AB475">
            <v>112.5</v>
          </cell>
          <cell r="AC475">
            <v>0</v>
          </cell>
          <cell r="AD475">
            <v>0</v>
          </cell>
          <cell r="AE475">
            <v>146.25</v>
          </cell>
          <cell r="AF475">
            <v>0</v>
          </cell>
          <cell r="AG475">
            <v>0</v>
          </cell>
          <cell r="AH475">
            <v>11.25</v>
          </cell>
          <cell r="AI475">
            <v>0</v>
          </cell>
          <cell r="AJ475">
            <v>0</v>
          </cell>
          <cell r="AK475">
            <v>97.5</v>
          </cell>
          <cell r="AL475">
            <v>0</v>
          </cell>
          <cell r="AM475">
            <v>0</v>
          </cell>
          <cell r="AN475">
            <v>126.75</v>
          </cell>
          <cell r="AO475">
            <v>0</v>
          </cell>
          <cell r="AP475">
            <v>0</v>
          </cell>
          <cell r="AQ475">
            <v>9.75</v>
          </cell>
          <cell r="AR475">
            <v>0</v>
          </cell>
          <cell r="AS475">
            <v>0</v>
          </cell>
          <cell r="AT475">
            <v>150</v>
          </cell>
          <cell r="AU475">
            <v>0</v>
          </cell>
          <cell r="AV475">
            <v>0</v>
          </cell>
          <cell r="AW475">
            <v>195</v>
          </cell>
          <cell r="AX475">
            <v>0</v>
          </cell>
          <cell r="AY475">
            <v>0</v>
          </cell>
          <cell r="AZ475">
            <v>15</v>
          </cell>
          <cell r="BA475">
            <v>0</v>
          </cell>
          <cell r="BB475">
            <v>0</v>
          </cell>
          <cell r="BC475">
            <v>75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6428.75</v>
          </cell>
        </row>
        <row r="476">
          <cell r="C476">
            <v>14373</v>
          </cell>
          <cell r="D476" t="str">
            <v>Rayos, Bryan James Manalo</v>
          </cell>
          <cell r="E476">
            <v>80</v>
          </cell>
          <cell r="F476">
            <v>10</v>
          </cell>
          <cell r="G476">
            <v>600</v>
          </cell>
          <cell r="H476">
            <v>6000</v>
          </cell>
          <cell r="I476">
            <v>37</v>
          </cell>
          <cell r="J476">
            <v>1.25</v>
          </cell>
          <cell r="K476">
            <v>-46.25</v>
          </cell>
          <cell r="L476">
            <v>14</v>
          </cell>
          <cell r="M476">
            <v>93.75</v>
          </cell>
          <cell r="N476">
            <v>1312.5</v>
          </cell>
          <cell r="O476">
            <v>8</v>
          </cell>
          <cell r="P476">
            <v>7.5</v>
          </cell>
          <cell r="Q476">
            <v>60</v>
          </cell>
          <cell r="R476">
            <v>0</v>
          </cell>
          <cell r="S476">
            <v>97.5</v>
          </cell>
          <cell r="T476">
            <v>0</v>
          </cell>
          <cell r="U476">
            <v>0</v>
          </cell>
          <cell r="V476">
            <v>126.75</v>
          </cell>
          <cell r="W476">
            <v>0</v>
          </cell>
          <cell r="X476">
            <v>0</v>
          </cell>
          <cell r="Y476">
            <v>9.75</v>
          </cell>
          <cell r="Z476">
            <v>0</v>
          </cell>
          <cell r="AA476">
            <v>0</v>
          </cell>
          <cell r="AB476">
            <v>112.5</v>
          </cell>
          <cell r="AC476">
            <v>0</v>
          </cell>
          <cell r="AD476">
            <v>0</v>
          </cell>
          <cell r="AE476">
            <v>146.25</v>
          </cell>
          <cell r="AF476">
            <v>0</v>
          </cell>
          <cell r="AG476">
            <v>0</v>
          </cell>
          <cell r="AH476">
            <v>11.25</v>
          </cell>
          <cell r="AI476">
            <v>0</v>
          </cell>
          <cell r="AJ476">
            <v>0</v>
          </cell>
          <cell r="AK476">
            <v>97.5</v>
          </cell>
          <cell r="AL476">
            <v>0</v>
          </cell>
          <cell r="AM476">
            <v>0</v>
          </cell>
          <cell r="AN476">
            <v>126.75</v>
          </cell>
          <cell r="AO476">
            <v>0</v>
          </cell>
          <cell r="AP476">
            <v>0</v>
          </cell>
          <cell r="AQ476">
            <v>9.75</v>
          </cell>
          <cell r="AR476">
            <v>0</v>
          </cell>
          <cell r="AS476">
            <v>0</v>
          </cell>
          <cell r="AT476">
            <v>150</v>
          </cell>
          <cell r="AU476">
            <v>0</v>
          </cell>
          <cell r="AV476">
            <v>0</v>
          </cell>
          <cell r="AW476">
            <v>195</v>
          </cell>
          <cell r="AX476">
            <v>0</v>
          </cell>
          <cell r="AY476">
            <v>0</v>
          </cell>
          <cell r="AZ476">
            <v>15</v>
          </cell>
          <cell r="BA476">
            <v>0</v>
          </cell>
          <cell r="BB476">
            <v>0</v>
          </cell>
          <cell r="BC476">
            <v>75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7326.25</v>
          </cell>
        </row>
        <row r="477">
          <cell r="C477">
            <v>14375</v>
          </cell>
          <cell r="D477" t="str">
            <v>Regalado, Ludger Blady Canlas</v>
          </cell>
          <cell r="E477">
            <v>72</v>
          </cell>
          <cell r="F477">
            <v>9</v>
          </cell>
          <cell r="G477">
            <v>600</v>
          </cell>
          <cell r="H477">
            <v>5400</v>
          </cell>
          <cell r="I477">
            <v>8</v>
          </cell>
          <cell r="J477">
            <v>1.25</v>
          </cell>
          <cell r="K477">
            <v>-10</v>
          </cell>
          <cell r="L477">
            <v>8</v>
          </cell>
          <cell r="M477">
            <v>93.75</v>
          </cell>
          <cell r="N477">
            <v>750</v>
          </cell>
          <cell r="O477">
            <v>0</v>
          </cell>
          <cell r="P477">
            <v>7.5</v>
          </cell>
          <cell r="Q477">
            <v>0</v>
          </cell>
          <cell r="R477">
            <v>0</v>
          </cell>
          <cell r="S477">
            <v>97.5</v>
          </cell>
          <cell r="T477">
            <v>0</v>
          </cell>
          <cell r="U477">
            <v>0</v>
          </cell>
          <cell r="V477">
            <v>126.75</v>
          </cell>
          <cell r="W477">
            <v>0</v>
          </cell>
          <cell r="X477">
            <v>0</v>
          </cell>
          <cell r="Y477">
            <v>9.75</v>
          </cell>
          <cell r="Z477">
            <v>0</v>
          </cell>
          <cell r="AA477">
            <v>0</v>
          </cell>
          <cell r="AB477">
            <v>112.5</v>
          </cell>
          <cell r="AC477">
            <v>0</v>
          </cell>
          <cell r="AD477">
            <v>0</v>
          </cell>
          <cell r="AE477">
            <v>146.25</v>
          </cell>
          <cell r="AF477">
            <v>0</v>
          </cell>
          <cell r="AG477">
            <v>0</v>
          </cell>
          <cell r="AH477">
            <v>11.25</v>
          </cell>
          <cell r="AI477">
            <v>0</v>
          </cell>
          <cell r="AJ477">
            <v>0</v>
          </cell>
          <cell r="AK477">
            <v>97.5</v>
          </cell>
          <cell r="AL477">
            <v>0</v>
          </cell>
          <cell r="AM477">
            <v>0</v>
          </cell>
          <cell r="AN477">
            <v>126.75</v>
          </cell>
          <cell r="AO477">
            <v>0</v>
          </cell>
          <cell r="AP477">
            <v>0</v>
          </cell>
          <cell r="AQ477">
            <v>9.75</v>
          </cell>
          <cell r="AR477">
            <v>0</v>
          </cell>
          <cell r="AS477">
            <v>0</v>
          </cell>
          <cell r="AT477">
            <v>150</v>
          </cell>
          <cell r="AU477">
            <v>0</v>
          </cell>
          <cell r="AV477">
            <v>0</v>
          </cell>
          <cell r="AW477">
            <v>195</v>
          </cell>
          <cell r="AX477">
            <v>0</v>
          </cell>
          <cell r="AY477">
            <v>0</v>
          </cell>
          <cell r="AZ477">
            <v>15</v>
          </cell>
          <cell r="BA477">
            <v>0</v>
          </cell>
          <cell r="BB477">
            <v>0</v>
          </cell>
          <cell r="BC477">
            <v>75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6140</v>
          </cell>
        </row>
        <row r="478">
          <cell r="C478">
            <v>14377</v>
          </cell>
          <cell r="D478" t="str">
            <v>Reglos , Fe Manongsong</v>
          </cell>
          <cell r="E478">
            <v>40</v>
          </cell>
          <cell r="F478">
            <v>5</v>
          </cell>
          <cell r="G478">
            <v>600</v>
          </cell>
          <cell r="H478">
            <v>3000</v>
          </cell>
          <cell r="I478">
            <v>0</v>
          </cell>
          <cell r="J478">
            <v>1.25</v>
          </cell>
          <cell r="K478">
            <v>0</v>
          </cell>
          <cell r="L478">
            <v>0</v>
          </cell>
          <cell r="M478">
            <v>93.75</v>
          </cell>
          <cell r="N478">
            <v>0</v>
          </cell>
          <cell r="O478">
            <v>0</v>
          </cell>
          <cell r="P478">
            <v>7.5</v>
          </cell>
          <cell r="Q478">
            <v>0</v>
          </cell>
          <cell r="R478">
            <v>0</v>
          </cell>
          <cell r="S478">
            <v>97.5</v>
          </cell>
          <cell r="T478">
            <v>0</v>
          </cell>
          <cell r="U478">
            <v>0</v>
          </cell>
          <cell r="V478">
            <v>126.75</v>
          </cell>
          <cell r="W478">
            <v>0</v>
          </cell>
          <cell r="X478">
            <v>0</v>
          </cell>
          <cell r="Y478">
            <v>9.75</v>
          </cell>
          <cell r="Z478">
            <v>0</v>
          </cell>
          <cell r="AA478">
            <v>0</v>
          </cell>
          <cell r="AB478">
            <v>112.5</v>
          </cell>
          <cell r="AC478">
            <v>0</v>
          </cell>
          <cell r="AD478">
            <v>0</v>
          </cell>
          <cell r="AE478">
            <v>146.25</v>
          </cell>
          <cell r="AF478">
            <v>0</v>
          </cell>
          <cell r="AG478">
            <v>0</v>
          </cell>
          <cell r="AH478">
            <v>11.25</v>
          </cell>
          <cell r="AI478">
            <v>0</v>
          </cell>
          <cell r="AJ478">
            <v>0</v>
          </cell>
          <cell r="AK478">
            <v>97.5</v>
          </cell>
          <cell r="AL478">
            <v>0</v>
          </cell>
          <cell r="AM478">
            <v>0</v>
          </cell>
          <cell r="AN478">
            <v>126.75</v>
          </cell>
          <cell r="AO478">
            <v>0</v>
          </cell>
          <cell r="AP478">
            <v>0</v>
          </cell>
          <cell r="AQ478">
            <v>9.75</v>
          </cell>
          <cell r="AR478">
            <v>0</v>
          </cell>
          <cell r="AS478">
            <v>0</v>
          </cell>
          <cell r="AT478">
            <v>150</v>
          </cell>
          <cell r="AU478">
            <v>0</v>
          </cell>
          <cell r="AV478">
            <v>0</v>
          </cell>
          <cell r="AW478">
            <v>195</v>
          </cell>
          <cell r="AX478">
            <v>0</v>
          </cell>
          <cell r="AY478">
            <v>0</v>
          </cell>
          <cell r="AZ478">
            <v>15</v>
          </cell>
          <cell r="BA478">
            <v>0</v>
          </cell>
          <cell r="BB478">
            <v>0</v>
          </cell>
          <cell r="BC478">
            <v>75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3000</v>
          </cell>
        </row>
        <row r="479">
          <cell r="C479">
            <v>3866</v>
          </cell>
          <cell r="D479" t="str">
            <v>Rementilla, Janice Lunar</v>
          </cell>
          <cell r="E479">
            <v>72</v>
          </cell>
          <cell r="F479">
            <v>9</v>
          </cell>
          <cell r="G479">
            <v>600</v>
          </cell>
          <cell r="H479">
            <v>5400</v>
          </cell>
          <cell r="I479">
            <v>0</v>
          </cell>
          <cell r="J479">
            <v>1.25</v>
          </cell>
          <cell r="K479">
            <v>0</v>
          </cell>
          <cell r="L479">
            <v>4</v>
          </cell>
          <cell r="M479">
            <v>93.75</v>
          </cell>
          <cell r="N479">
            <v>375</v>
          </cell>
          <cell r="O479">
            <v>20</v>
          </cell>
          <cell r="P479">
            <v>7.5</v>
          </cell>
          <cell r="Q479">
            <v>150</v>
          </cell>
          <cell r="R479">
            <v>0</v>
          </cell>
          <cell r="S479">
            <v>97.5</v>
          </cell>
          <cell r="T479">
            <v>0</v>
          </cell>
          <cell r="U479">
            <v>0</v>
          </cell>
          <cell r="V479">
            <v>126.75</v>
          </cell>
          <cell r="W479">
            <v>0</v>
          </cell>
          <cell r="X479">
            <v>0</v>
          </cell>
          <cell r="Y479">
            <v>9.75</v>
          </cell>
          <cell r="Z479">
            <v>0</v>
          </cell>
          <cell r="AA479">
            <v>0</v>
          </cell>
          <cell r="AB479">
            <v>112.5</v>
          </cell>
          <cell r="AC479">
            <v>0</v>
          </cell>
          <cell r="AD479">
            <v>0</v>
          </cell>
          <cell r="AE479">
            <v>146.25</v>
          </cell>
          <cell r="AF479">
            <v>0</v>
          </cell>
          <cell r="AG479">
            <v>0</v>
          </cell>
          <cell r="AH479">
            <v>11.25</v>
          </cell>
          <cell r="AI479">
            <v>0</v>
          </cell>
          <cell r="AJ479">
            <v>0</v>
          </cell>
          <cell r="AK479">
            <v>97.5</v>
          </cell>
          <cell r="AL479">
            <v>0</v>
          </cell>
          <cell r="AM479">
            <v>0</v>
          </cell>
          <cell r="AN479">
            <v>126.75</v>
          </cell>
          <cell r="AO479">
            <v>0</v>
          </cell>
          <cell r="AP479">
            <v>0</v>
          </cell>
          <cell r="AQ479">
            <v>9.75</v>
          </cell>
          <cell r="AR479">
            <v>0</v>
          </cell>
          <cell r="AS479">
            <v>0</v>
          </cell>
          <cell r="AT479">
            <v>150</v>
          </cell>
          <cell r="AU479">
            <v>0</v>
          </cell>
          <cell r="AV479">
            <v>0</v>
          </cell>
          <cell r="AW479">
            <v>195</v>
          </cell>
          <cell r="AX479">
            <v>0</v>
          </cell>
          <cell r="AY479">
            <v>0</v>
          </cell>
          <cell r="AZ479">
            <v>15</v>
          </cell>
          <cell r="BA479">
            <v>0</v>
          </cell>
          <cell r="BB479">
            <v>0</v>
          </cell>
          <cell r="BC479">
            <v>75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5925</v>
          </cell>
        </row>
        <row r="480">
          <cell r="C480">
            <v>8922</v>
          </cell>
          <cell r="D480" t="str">
            <v>Rementilla, Von Karlo Manalo</v>
          </cell>
          <cell r="E480">
            <v>72</v>
          </cell>
          <cell r="F480">
            <v>9</v>
          </cell>
          <cell r="G480">
            <v>600</v>
          </cell>
          <cell r="H480">
            <v>5400</v>
          </cell>
          <cell r="I480">
            <v>22</v>
          </cell>
          <cell r="J480">
            <v>1.25</v>
          </cell>
          <cell r="K480">
            <v>-27.5</v>
          </cell>
          <cell r="L480">
            <v>10</v>
          </cell>
          <cell r="M480">
            <v>93.75</v>
          </cell>
          <cell r="N480">
            <v>937.5</v>
          </cell>
          <cell r="O480">
            <v>30</v>
          </cell>
          <cell r="P480">
            <v>7.5</v>
          </cell>
          <cell r="Q480">
            <v>225</v>
          </cell>
          <cell r="R480">
            <v>0</v>
          </cell>
          <cell r="S480">
            <v>97.5</v>
          </cell>
          <cell r="T480">
            <v>0</v>
          </cell>
          <cell r="U480">
            <v>0</v>
          </cell>
          <cell r="V480">
            <v>126.75</v>
          </cell>
          <cell r="W480">
            <v>0</v>
          </cell>
          <cell r="X480">
            <v>0</v>
          </cell>
          <cell r="Y480">
            <v>9.75</v>
          </cell>
          <cell r="Z480">
            <v>0</v>
          </cell>
          <cell r="AA480">
            <v>0</v>
          </cell>
          <cell r="AB480">
            <v>112.5</v>
          </cell>
          <cell r="AC480">
            <v>0</v>
          </cell>
          <cell r="AD480">
            <v>0</v>
          </cell>
          <cell r="AE480">
            <v>146.25</v>
          </cell>
          <cell r="AF480">
            <v>0</v>
          </cell>
          <cell r="AG480">
            <v>0</v>
          </cell>
          <cell r="AH480">
            <v>11.25</v>
          </cell>
          <cell r="AI480">
            <v>0</v>
          </cell>
          <cell r="AJ480">
            <v>0</v>
          </cell>
          <cell r="AK480">
            <v>97.5</v>
          </cell>
          <cell r="AL480">
            <v>0</v>
          </cell>
          <cell r="AM480">
            <v>0</v>
          </cell>
          <cell r="AN480">
            <v>126.75</v>
          </cell>
          <cell r="AO480">
            <v>0</v>
          </cell>
          <cell r="AP480">
            <v>0</v>
          </cell>
          <cell r="AQ480">
            <v>9.75</v>
          </cell>
          <cell r="AR480">
            <v>0</v>
          </cell>
          <cell r="AS480">
            <v>0</v>
          </cell>
          <cell r="AT480">
            <v>150</v>
          </cell>
          <cell r="AU480">
            <v>0</v>
          </cell>
          <cell r="AV480">
            <v>0</v>
          </cell>
          <cell r="AW480">
            <v>195</v>
          </cell>
          <cell r="AX480">
            <v>0</v>
          </cell>
          <cell r="AY480">
            <v>0</v>
          </cell>
          <cell r="AZ480">
            <v>15</v>
          </cell>
          <cell r="BA480">
            <v>0</v>
          </cell>
          <cell r="BB480">
            <v>0</v>
          </cell>
          <cell r="BC480">
            <v>75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6535</v>
          </cell>
        </row>
        <row r="481">
          <cell r="C481">
            <v>14954</v>
          </cell>
          <cell r="D481" t="str">
            <v>Riagon, Aldrin Torda</v>
          </cell>
          <cell r="E481">
            <v>72</v>
          </cell>
          <cell r="F481">
            <v>9</v>
          </cell>
          <cell r="G481">
            <v>600</v>
          </cell>
          <cell r="H481">
            <v>5400</v>
          </cell>
          <cell r="I481">
            <v>4</v>
          </cell>
          <cell r="J481">
            <v>1.25</v>
          </cell>
          <cell r="K481">
            <v>-5</v>
          </cell>
          <cell r="L481">
            <v>13</v>
          </cell>
          <cell r="M481">
            <v>93.75</v>
          </cell>
          <cell r="N481">
            <v>1218.75</v>
          </cell>
          <cell r="O481">
            <v>0</v>
          </cell>
          <cell r="P481">
            <v>7.5</v>
          </cell>
          <cell r="Q481">
            <v>0</v>
          </cell>
          <cell r="R481">
            <v>0</v>
          </cell>
          <cell r="S481">
            <v>97.5</v>
          </cell>
          <cell r="T481">
            <v>0</v>
          </cell>
          <cell r="U481">
            <v>0</v>
          </cell>
          <cell r="V481">
            <v>126.75</v>
          </cell>
          <cell r="W481">
            <v>0</v>
          </cell>
          <cell r="X481">
            <v>0</v>
          </cell>
          <cell r="Y481">
            <v>9.75</v>
          </cell>
          <cell r="Z481">
            <v>0</v>
          </cell>
          <cell r="AA481">
            <v>0</v>
          </cell>
          <cell r="AB481">
            <v>112.5</v>
          </cell>
          <cell r="AC481">
            <v>0</v>
          </cell>
          <cell r="AD481">
            <v>0</v>
          </cell>
          <cell r="AE481">
            <v>146.25</v>
          </cell>
          <cell r="AF481">
            <v>0</v>
          </cell>
          <cell r="AG481">
            <v>0</v>
          </cell>
          <cell r="AH481">
            <v>11.25</v>
          </cell>
          <cell r="AI481">
            <v>0</v>
          </cell>
          <cell r="AJ481">
            <v>0</v>
          </cell>
          <cell r="AK481">
            <v>97.5</v>
          </cell>
          <cell r="AL481">
            <v>0</v>
          </cell>
          <cell r="AM481">
            <v>0</v>
          </cell>
          <cell r="AN481">
            <v>126.75</v>
          </cell>
          <cell r="AO481">
            <v>0</v>
          </cell>
          <cell r="AP481">
            <v>0</v>
          </cell>
          <cell r="AQ481">
            <v>9.75</v>
          </cell>
          <cell r="AR481">
            <v>0</v>
          </cell>
          <cell r="AS481">
            <v>0</v>
          </cell>
          <cell r="AT481">
            <v>150</v>
          </cell>
          <cell r="AU481">
            <v>0</v>
          </cell>
          <cell r="AV481">
            <v>0</v>
          </cell>
          <cell r="AW481">
            <v>195</v>
          </cell>
          <cell r="AX481">
            <v>0</v>
          </cell>
          <cell r="AY481">
            <v>0</v>
          </cell>
          <cell r="AZ481">
            <v>15</v>
          </cell>
          <cell r="BA481">
            <v>0</v>
          </cell>
          <cell r="BB481">
            <v>0</v>
          </cell>
          <cell r="BC481">
            <v>75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6613.75</v>
          </cell>
        </row>
        <row r="482">
          <cell r="C482">
            <v>14106</v>
          </cell>
          <cell r="D482" t="str">
            <v>Rivera, Samuel Agustin</v>
          </cell>
          <cell r="E482">
            <v>80</v>
          </cell>
          <cell r="F482">
            <v>10</v>
          </cell>
          <cell r="G482">
            <v>600</v>
          </cell>
          <cell r="H482">
            <v>6000</v>
          </cell>
          <cell r="I482">
            <v>8</v>
          </cell>
          <cell r="J482">
            <v>1.25</v>
          </cell>
          <cell r="K482">
            <v>-10</v>
          </cell>
          <cell r="L482">
            <v>14</v>
          </cell>
          <cell r="M482">
            <v>93.75</v>
          </cell>
          <cell r="N482">
            <v>1312.5</v>
          </cell>
          <cell r="O482">
            <v>42</v>
          </cell>
          <cell r="P482">
            <v>7.5</v>
          </cell>
          <cell r="Q482">
            <v>315</v>
          </cell>
          <cell r="R482">
            <v>0</v>
          </cell>
          <cell r="S482">
            <v>97.5</v>
          </cell>
          <cell r="T482">
            <v>0</v>
          </cell>
          <cell r="U482">
            <v>0</v>
          </cell>
          <cell r="V482">
            <v>126.75</v>
          </cell>
          <cell r="W482">
            <v>0</v>
          </cell>
          <cell r="X482">
            <v>0</v>
          </cell>
          <cell r="Y482">
            <v>9.75</v>
          </cell>
          <cell r="Z482">
            <v>0</v>
          </cell>
          <cell r="AA482">
            <v>0</v>
          </cell>
          <cell r="AB482">
            <v>112.5</v>
          </cell>
          <cell r="AC482">
            <v>0</v>
          </cell>
          <cell r="AD482">
            <v>0</v>
          </cell>
          <cell r="AE482">
            <v>146.25</v>
          </cell>
          <cell r="AF482">
            <v>0</v>
          </cell>
          <cell r="AG482">
            <v>0</v>
          </cell>
          <cell r="AH482">
            <v>11.25</v>
          </cell>
          <cell r="AI482">
            <v>0</v>
          </cell>
          <cell r="AJ482">
            <v>8</v>
          </cell>
          <cell r="AK482">
            <v>97.5</v>
          </cell>
          <cell r="AL482">
            <v>780</v>
          </cell>
          <cell r="AM482">
            <v>0</v>
          </cell>
          <cell r="AN482">
            <v>126.75</v>
          </cell>
          <cell r="AO482">
            <v>0</v>
          </cell>
          <cell r="AP482">
            <v>0</v>
          </cell>
          <cell r="AQ482">
            <v>9.75</v>
          </cell>
          <cell r="AR482">
            <v>0</v>
          </cell>
          <cell r="AS482">
            <v>0</v>
          </cell>
          <cell r="AT482">
            <v>150</v>
          </cell>
          <cell r="AU482">
            <v>0</v>
          </cell>
          <cell r="AV482">
            <v>0</v>
          </cell>
          <cell r="AW482">
            <v>195</v>
          </cell>
          <cell r="AX482">
            <v>0</v>
          </cell>
          <cell r="AY482">
            <v>0</v>
          </cell>
          <cell r="AZ482">
            <v>15</v>
          </cell>
          <cell r="BA482">
            <v>0</v>
          </cell>
          <cell r="BB482">
            <v>0</v>
          </cell>
          <cell r="BC482">
            <v>75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8397.5</v>
          </cell>
        </row>
        <row r="483">
          <cell r="C483">
            <v>13312</v>
          </cell>
          <cell r="D483" t="str">
            <v>Rivero, Ronald Sta. Ana</v>
          </cell>
          <cell r="E483">
            <v>88</v>
          </cell>
          <cell r="F483">
            <v>11</v>
          </cell>
          <cell r="G483">
            <v>600</v>
          </cell>
          <cell r="H483">
            <v>6600</v>
          </cell>
          <cell r="I483">
            <v>0</v>
          </cell>
          <cell r="J483">
            <v>1.25</v>
          </cell>
          <cell r="K483">
            <v>0</v>
          </cell>
          <cell r="L483">
            <v>15</v>
          </cell>
          <cell r="M483">
            <v>93.75</v>
          </cell>
          <cell r="N483">
            <v>1406.25</v>
          </cell>
          <cell r="O483">
            <v>50</v>
          </cell>
          <cell r="P483">
            <v>7.5</v>
          </cell>
          <cell r="Q483">
            <v>375</v>
          </cell>
          <cell r="R483">
            <v>0</v>
          </cell>
          <cell r="S483">
            <v>97.5</v>
          </cell>
          <cell r="T483">
            <v>0</v>
          </cell>
          <cell r="U483">
            <v>0</v>
          </cell>
          <cell r="V483">
            <v>126.75</v>
          </cell>
          <cell r="W483">
            <v>0</v>
          </cell>
          <cell r="X483">
            <v>0</v>
          </cell>
          <cell r="Y483">
            <v>9.75</v>
          </cell>
          <cell r="Z483">
            <v>0</v>
          </cell>
          <cell r="AA483">
            <v>0</v>
          </cell>
          <cell r="AB483">
            <v>112.5</v>
          </cell>
          <cell r="AC483">
            <v>0</v>
          </cell>
          <cell r="AD483">
            <v>0</v>
          </cell>
          <cell r="AE483">
            <v>146.25</v>
          </cell>
          <cell r="AF483">
            <v>0</v>
          </cell>
          <cell r="AG483">
            <v>0</v>
          </cell>
          <cell r="AH483">
            <v>11.25</v>
          </cell>
          <cell r="AI483">
            <v>0</v>
          </cell>
          <cell r="AJ483">
            <v>0</v>
          </cell>
          <cell r="AK483">
            <v>97.5</v>
          </cell>
          <cell r="AL483">
            <v>0</v>
          </cell>
          <cell r="AM483">
            <v>0</v>
          </cell>
          <cell r="AN483">
            <v>126.75</v>
          </cell>
          <cell r="AO483">
            <v>0</v>
          </cell>
          <cell r="AP483">
            <v>0</v>
          </cell>
          <cell r="AQ483">
            <v>9.75</v>
          </cell>
          <cell r="AR483">
            <v>0</v>
          </cell>
          <cell r="AS483">
            <v>0</v>
          </cell>
          <cell r="AT483">
            <v>150</v>
          </cell>
          <cell r="AU483">
            <v>0</v>
          </cell>
          <cell r="AV483">
            <v>0</v>
          </cell>
          <cell r="AW483">
            <v>195</v>
          </cell>
          <cell r="AX483">
            <v>0</v>
          </cell>
          <cell r="AY483">
            <v>0</v>
          </cell>
          <cell r="AZ483">
            <v>15</v>
          </cell>
          <cell r="BA483">
            <v>0</v>
          </cell>
          <cell r="BB483">
            <v>0</v>
          </cell>
          <cell r="BC483">
            <v>75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8381.25</v>
          </cell>
        </row>
        <row r="484">
          <cell r="C484">
            <v>11865</v>
          </cell>
          <cell r="D484" t="str">
            <v>Roa, Jayson Delos Santos</v>
          </cell>
          <cell r="E484">
            <v>80</v>
          </cell>
          <cell r="F484">
            <v>10</v>
          </cell>
          <cell r="G484">
            <v>600</v>
          </cell>
          <cell r="H484">
            <v>6000</v>
          </cell>
          <cell r="I484">
            <v>0</v>
          </cell>
          <cell r="J484">
            <v>1.25</v>
          </cell>
          <cell r="K484">
            <v>0</v>
          </cell>
          <cell r="L484">
            <v>6</v>
          </cell>
          <cell r="M484">
            <v>93.75</v>
          </cell>
          <cell r="N484">
            <v>562.5</v>
          </cell>
          <cell r="O484">
            <v>24</v>
          </cell>
          <cell r="P484">
            <v>7.5</v>
          </cell>
          <cell r="Q484">
            <v>180</v>
          </cell>
          <cell r="R484">
            <v>0</v>
          </cell>
          <cell r="S484">
            <v>97.5</v>
          </cell>
          <cell r="T484">
            <v>0</v>
          </cell>
          <cell r="U484">
            <v>0</v>
          </cell>
          <cell r="V484">
            <v>126.75</v>
          </cell>
          <cell r="W484">
            <v>0</v>
          </cell>
          <cell r="X484">
            <v>0</v>
          </cell>
          <cell r="Y484">
            <v>9.75</v>
          </cell>
          <cell r="Z484">
            <v>0</v>
          </cell>
          <cell r="AA484">
            <v>0</v>
          </cell>
          <cell r="AB484">
            <v>112.5</v>
          </cell>
          <cell r="AC484">
            <v>0</v>
          </cell>
          <cell r="AD484">
            <v>0</v>
          </cell>
          <cell r="AE484">
            <v>146.25</v>
          </cell>
          <cell r="AF484">
            <v>0</v>
          </cell>
          <cell r="AG484">
            <v>0</v>
          </cell>
          <cell r="AH484">
            <v>11.25</v>
          </cell>
          <cell r="AI484">
            <v>0</v>
          </cell>
          <cell r="AJ484">
            <v>0</v>
          </cell>
          <cell r="AK484">
            <v>97.5</v>
          </cell>
          <cell r="AL484">
            <v>0</v>
          </cell>
          <cell r="AM484">
            <v>0</v>
          </cell>
          <cell r="AN484">
            <v>126.75</v>
          </cell>
          <cell r="AO484">
            <v>0</v>
          </cell>
          <cell r="AP484">
            <v>0</v>
          </cell>
          <cell r="AQ484">
            <v>9.75</v>
          </cell>
          <cell r="AR484">
            <v>0</v>
          </cell>
          <cell r="AS484">
            <v>0</v>
          </cell>
          <cell r="AT484">
            <v>150</v>
          </cell>
          <cell r="AU484">
            <v>0</v>
          </cell>
          <cell r="AV484">
            <v>0</v>
          </cell>
          <cell r="AW484">
            <v>195</v>
          </cell>
          <cell r="AX484">
            <v>0</v>
          </cell>
          <cell r="AY484">
            <v>0</v>
          </cell>
          <cell r="AZ484">
            <v>15</v>
          </cell>
          <cell r="BA484">
            <v>0</v>
          </cell>
          <cell r="BB484">
            <v>0</v>
          </cell>
          <cell r="BC484">
            <v>75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6742.5</v>
          </cell>
        </row>
        <row r="485">
          <cell r="C485">
            <v>14385</v>
          </cell>
          <cell r="D485" t="str">
            <v>Robledo, Rowena De Leon</v>
          </cell>
          <cell r="E485">
            <v>80</v>
          </cell>
          <cell r="F485">
            <v>10</v>
          </cell>
          <cell r="G485">
            <v>600</v>
          </cell>
          <cell r="H485">
            <v>6000</v>
          </cell>
          <cell r="I485">
            <v>0</v>
          </cell>
          <cell r="J485">
            <v>1.25</v>
          </cell>
          <cell r="K485">
            <v>0</v>
          </cell>
          <cell r="L485">
            <v>14</v>
          </cell>
          <cell r="M485">
            <v>93.75</v>
          </cell>
          <cell r="N485">
            <v>1312.5</v>
          </cell>
          <cell r="O485">
            <v>28</v>
          </cell>
          <cell r="P485">
            <v>7.5</v>
          </cell>
          <cell r="Q485">
            <v>210</v>
          </cell>
          <cell r="R485">
            <v>0</v>
          </cell>
          <cell r="S485">
            <v>97.5</v>
          </cell>
          <cell r="T485">
            <v>0</v>
          </cell>
          <cell r="U485">
            <v>0</v>
          </cell>
          <cell r="V485">
            <v>126.75</v>
          </cell>
          <cell r="W485">
            <v>0</v>
          </cell>
          <cell r="X485">
            <v>0</v>
          </cell>
          <cell r="Y485">
            <v>9.75</v>
          </cell>
          <cell r="Z485">
            <v>0</v>
          </cell>
          <cell r="AA485">
            <v>0</v>
          </cell>
          <cell r="AB485">
            <v>112.5</v>
          </cell>
          <cell r="AC485">
            <v>0</v>
          </cell>
          <cell r="AD485">
            <v>0</v>
          </cell>
          <cell r="AE485">
            <v>146.25</v>
          </cell>
          <cell r="AF485">
            <v>0</v>
          </cell>
          <cell r="AG485">
            <v>0</v>
          </cell>
          <cell r="AH485">
            <v>11.25</v>
          </cell>
          <cell r="AI485">
            <v>0</v>
          </cell>
          <cell r="AJ485">
            <v>0</v>
          </cell>
          <cell r="AK485">
            <v>97.5</v>
          </cell>
          <cell r="AL485">
            <v>0</v>
          </cell>
          <cell r="AM485">
            <v>0</v>
          </cell>
          <cell r="AN485">
            <v>126.75</v>
          </cell>
          <cell r="AO485">
            <v>0</v>
          </cell>
          <cell r="AP485">
            <v>0</v>
          </cell>
          <cell r="AQ485">
            <v>9.75</v>
          </cell>
          <cell r="AR485">
            <v>0</v>
          </cell>
          <cell r="AS485">
            <v>0</v>
          </cell>
          <cell r="AT485">
            <v>150</v>
          </cell>
          <cell r="AU485">
            <v>0</v>
          </cell>
          <cell r="AV485">
            <v>0</v>
          </cell>
          <cell r="AW485">
            <v>195</v>
          </cell>
          <cell r="AX485">
            <v>0</v>
          </cell>
          <cell r="AY485">
            <v>0</v>
          </cell>
          <cell r="AZ485">
            <v>15</v>
          </cell>
          <cell r="BA485">
            <v>0</v>
          </cell>
          <cell r="BB485">
            <v>0</v>
          </cell>
          <cell r="BC485">
            <v>75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7522.5</v>
          </cell>
        </row>
        <row r="486">
          <cell r="C486">
            <v>14761</v>
          </cell>
          <cell r="D486" t="str">
            <v>Robles, Haisen Joy Manalo</v>
          </cell>
          <cell r="E486">
            <v>80</v>
          </cell>
          <cell r="F486">
            <v>10</v>
          </cell>
          <cell r="G486">
            <v>600</v>
          </cell>
          <cell r="H486">
            <v>6000</v>
          </cell>
          <cell r="I486">
            <v>0</v>
          </cell>
          <cell r="J486">
            <v>1.25</v>
          </cell>
          <cell r="K486">
            <v>0</v>
          </cell>
          <cell r="L486">
            <v>17</v>
          </cell>
          <cell r="M486">
            <v>93.75</v>
          </cell>
          <cell r="N486">
            <v>1593.75</v>
          </cell>
          <cell r="O486">
            <v>31</v>
          </cell>
          <cell r="P486">
            <v>7.5</v>
          </cell>
          <cell r="Q486">
            <v>232.5</v>
          </cell>
          <cell r="R486">
            <v>0</v>
          </cell>
          <cell r="S486">
            <v>97.5</v>
          </cell>
          <cell r="T486">
            <v>0</v>
          </cell>
          <cell r="U486">
            <v>0</v>
          </cell>
          <cell r="V486">
            <v>126.75</v>
          </cell>
          <cell r="W486">
            <v>0</v>
          </cell>
          <cell r="X486">
            <v>0</v>
          </cell>
          <cell r="Y486">
            <v>9.75</v>
          </cell>
          <cell r="Z486">
            <v>0</v>
          </cell>
          <cell r="AA486">
            <v>0</v>
          </cell>
          <cell r="AB486">
            <v>112.5</v>
          </cell>
          <cell r="AC486">
            <v>0</v>
          </cell>
          <cell r="AD486">
            <v>0</v>
          </cell>
          <cell r="AE486">
            <v>146.25</v>
          </cell>
          <cell r="AF486">
            <v>0</v>
          </cell>
          <cell r="AG486">
            <v>0</v>
          </cell>
          <cell r="AH486">
            <v>11.25</v>
          </cell>
          <cell r="AI486">
            <v>0</v>
          </cell>
          <cell r="AJ486">
            <v>0</v>
          </cell>
          <cell r="AK486">
            <v>97.5</v>
          </cell>
          <cell r="AL486">
            <v>0</v>
          </cell>
          <cell r="AM486">
            <v>0</v>
          </cell>
          <cell r="AN486">
            <v>126.75</v>
          </cell>
          <cell r="AO486">
            <v>0</v>
          </cell>
          <cell r="AP486">
            <v>0</v>
          </cell>
          <cell r="AQ486">
            <v>9.75</v>
          </cell>
          <cell r="AR486">
            <v>0</v>
          </cell>
          <cell r="AS486">
            <v>0</v>
          </cell>
          <cell r="AT486">
            <v>150</v>
          </cell>
          <cell r="AU486">
            <v>0</v>
          </cell>
          <cell r="AV486">
            <v>0</v>
          </cell>
          <cell r="AW486">
            <v>195</v>
          </cell>
          <cell r="AX486">
            <v>0</v>
          </cell>
          <cell r="AY486">
            <v>0</v>
          </cell>
          <cell r="AZ486">
            <v>15</v>
          </cell>
          <cell r="BA486">
            <v>0</v>
          </cell>
          <cell r="BB486">
            <v>0</v>
          </cell>
          <cell r="BC486">
            <v>75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7826.25</v>
          </cell>
        </row>
        <row r="487">
          <cell r="C487">
            <v>14386</v>
          </cell>
          <cell r="D487" t="str">
            <v>Robles, Henly Mae Manalo</v>
          </cell>
          <cell r="E487">
            <v>80</v>
          </cell>
          <cell r="F487">
            <v>10</v>
          </cell>
          <cell r="G487">
            <v>600</v>
          </cell>
          <cell r="H487">
            <v>6000</v>
          </cell>
          <cell r="I487">
            <v>0</v>
          </cell>
          <cell r="J487">
            <v>1.25</v>
          </cell>
          <cell r="K487">
            <v>0</v>
          </cell>
          <cell r="L487">
            <v>18</v>
          </cell>
          <cell r="M487">
            <v>93.75</v>
          </cell>
          <cell r="N487">
            <v>1687.5</v>
          </cell>
          <cell r="O487">
            <v>52</v>
          </cell>
          <cell r="P487">
            <v>7.5</v>
          </cell>
          <cell r="Q487">
            <v>390</v>
          </cell>
          <cell r="R487">
            <v>0</v>
          </cell>
          <cell r="S487">
            <v>97.5</v>
          </cell>
          <cell r="T487">
            <v>0</v>
          </cell>
          <cell r="U487">
            <v>0</v>
          </cell>
          <cell r="V487">
            <v>126.75</v>
          </cell>
          <cell r="W487">
            <v>0</v>
          </cell>
          <cell r="X487">
            <v>0</v>
          </cell>
          <cell r="Y487">
            <v>9.75</v>
          </cell>
          <cell r="Z487">
            <v>0</v>
          </cell>
          <cell r="AA487">
            <v>0</v>
          </cell>
          <cell r="AB487">
            <v>112.5</v>
          </cell>
          <cell r="AC487">
            <v>0</v>
          </cell>
          <cell r="AD487">
            <v>0</v>
          </cell>
          <cell r="AE487">
            <v>146.25</v>
          </cell>
          <cell r="AF487">
            <v>0</v>
          </cell>
          <cell r="AG487">
            <v>0</v>
          </cell>
          <cell r="AH487">
            <v>11.25</v>
          </cell>
          <cell r="AI487">
            <v>0</v>
          </cell>
          <cell r="AJ487">
            <v>8</v>
          </cell>
          <cell r="AK487">
            <v>97.5</v>
          </cell>
          <cell r="AL487">
            <v>780</v>
          </cell>
          <cell r="AM487">
            <v>0</v>
          </cell>
          <cell r="AN487">
            <v>126.75</v>
          </cell>
          <cell r="AO487">
            <v>0</v>
          </cell>
          <cell r="AP487">
            <v>0</v>
          </cell>
          <cell r="AQ487">
            <v>9.75</v>
          </cell>
          <cell r="AR487">
            <v>0</v>
          </cell>
          <cell r="AS487">
            <v>0</v>
          </cell>
          <cell r="AT487">
            <v>150</v>
          </cell>
          <cell r="AU487">
            <v>0</v>
          </cell>
          <cell r="AV487">
            <v>0</v>
          </cell>
          <cell r="AW487">
            <v>195</v>
          </cell>
          <cell r="AX487">
            <v>0</v>
          </cell>
          <cell r="AY487">
            <v>0</v>
          </cell>
          <cell r="AZ487">
            <v>15</v>
          </cell>
          <cell r="BA487">
            <v>0</v>
          </cell>
          <cell r="BB487">
            <v>0</v>
          </cell>
          <cell r="BC487">
            <v>75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8857.5</v>
          </cell>
        </row>
        <row r="488">
          <cell r="C488">
            <v>14323</v>
          </cell>
          <cell r="D488" t="str">
            <v>Rodil, Sy Cueto</v>
          </cell>
          <cell r="E488">
            <v>80</v>
          </cell>
          <cell r="F488">
            <v>10</v>
          </cell>
          <cell r="G488">
            <v>600</v>
          </cell>
          <cell r="H488">
            <v>6000</v>
          </cell>
          <cell r="I488">
            <v>0</v>
          </cell>
          <cell r="J488">
            <v>1.25</v>
          </cell>
          <cell r="K488">
            <v>0</v>
          </cell>
          <cell r="L488">
            <v>11</v>
          </cell>
          <cell r="M488">
            <v>93.75</v>
          </cell>
          <cell r="N488">
            <v>1031.25</v>
          </cell>
          <cell r="O488">
            <v>29</v>
          </cell>
          <cell r="P488">
            <v>7.5</v>
          </cell>
          <cell r="Q488">
            <v>217.5</v>
          </cell>
          <cell r="R488">
            <v>0</v>
          </cell>
          <cell r="S488">
            <v>97.5</v>
          </cell>
          <cell r="T488">
            <v>0</v>
          </cell>
          <cell r="U488">
            <v>0</v>
          </cell>
          <cell r="V488">
            <v>126.75</v>
          </cell>
          <cell r="W488">
            <v>0</v>
          </cell>
          <cell r="X488">
            <v>0</v>
          </cell>
          <cell r="Y488">
            <v>9.75</v>
          </cell>
          <cell r="Z488">
            <v>0</v>
          </cell>
          <cell r="AA488">
            <v>0</v>
          </cell>
          <cell r="AB488">
            <v>112.5</v>
          </cell>
          <cell r="AC488">
            <v>0</v>
          </cell>
          <cell r="AD488">
            <v>0</v>
          </cell>
          <cell r="AE488">
            <v>146.25</v>
          </cell>
          <cell r="AF488">
            <v>0</v>
          </cell>
          <cell r="AG488">
            <v>0</v>
          </cell>
          <cell r="AH488">
            <v>11.25</v>
          </cell>
          <cell r="AI488">
            <v>0</v>
          </cell>
          <cell r="AJ488">
            <v>0</v>
          </cell>
          <cell r="AK488">
            <v>97.5</v>
          </cell>
          <cell r="AL488">
            <v>0</v>
          </cell>
          <cell r="AM488">
            <v>0</v>
          </cell>
          <cell r="AN488">
            <v>126.75</v>
          </cell>
          <cell r="AO488">
            <v>0</v>
          </cell>
          <cell r="AP488">
            <v>0</v>
          </cell>
          <cell r="AQ488">
            <v>9.75</v>
          </cell>
          <cell r="AR488">
            <v>0</v>
          </cell>
          <cell r="AS488">
            <v>0</v>
          </cell>
          <cell r="AT488">
            <v>150</v>
          </cell>
          <cell r="AU488">
            <v>0</v>
          </cell>
          <cell r="AV488">
            <v>0</v>
          </cell>
          <cell r="AW488">
            <v>195</v>
          </cell>
          <cell r="AX488">
            <v>0</v>
          </cell>
          <cell r="AY488">
            <v>0</v>
          </cell>
          <cell r="AZ488">
            <v>15</v>
          </cell>
          <cell r="BA488">
            <v>0</v>
          </cell>
          <cell r="BB488">
            <v>0</v>
          </cell>
          <cell r="BC488">
            <v>75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7248.75</v>
          </cell>
        </row>
        <row r="489">
          <cell r="C489">
            <v>30205</v>
          </cell>
          <cell r="D489" t="str">
            <v>Rodriguez, John Ashley Caldo</v>
          </cell>
          <cell r="E489">
            <v>80</v>
          </cell>
          <cell r="F489">
            <v>10</v>
          </cell>
          <cell r="G489">
            <v>600</v>
          </cell>
          <cell r="H489">
            <v>6000</v>
          </cell>
          <cell r="I489">
            <v>0</v>
          </cell>
          <cell r="J489">
            <v>1.25</v>
          </cell>
          <cell r="K489">
            <v>0</v>
          </cell>
          <cell r="L489">
            <v>13</v>
          </cell>
          <cell r="M489">
            <v>93.75</v>
          </cell>
          <cell r="N489">
            <v>1218.75</v>
          </cell>
          <cell r="O489">
            <v>44</v>
          </cell>
          <cell r="P489">
            <v>7.5</v>
          </cell>
          <cell r="Q489">
            <v>330</v>
          </cell>
          <cell r="R489">
            <v>0</v>
          </cell>
          <cell r="S489">
            <v>97.5</v>
          </cell>
          <cell r="T489">
            <v>0</v>
          </cell>
          <cell r="U489">
            <v>0</v>
          </cell>
          <cell r="V489">
            <v>126.75</v>
          </cell>
          <cell r="W489">
            <v>0</v>
          </cell>
          <cell r="X489">
            <v>0</v>
          </cell>
          <cell r="Y489">
            <v>9.75</v>
          </cell>
          <cell r="Z489">
            <v>0</v>
          </cell>
          <cell r="AA489">
            <v>0</v>
          </cell>
          <cell r="AB489">
            <v>112.5</v>
          </cell>
          <cell r="AC489">
            <v>0</v>
          </cell>
          <cell r="AD489">
            <v>0</v>
          </cell>
          <cell r="AE489">
            <v>146.25</v>
          </cell>
          <cell r="AF489">
            <v>0</v>
          </cell>
          <cell r="AG489">
            <v>0</v>
          </cell>
          <cell r="AH489">
            <v>11.25</v>
          </cell>
          <cell r="AI489">
            <v>0</v>
          </cell>
          <cell r="AJ489">
            <v>0</v>
          </cell>
          <cell r="AK489">
            <v>97.5</v>
          </cell>
          <cell r="AL489">
            <v>0</v>
          </cell>
          <cell r="AM489">
            <v>0</v>
          </cell>
          <cell r="AN489">
            <v>126.75</v>
          </cell>
          <cell r="AO489">
            <v>0</v>
          </cell>
          <cell r="AP489">
            <v>0</v>
          </cell>
          <cell r="AQ489">
            <v>9.75</v>
          </cell>
          <cell r="AR489">
            <v>0</v>
          </cell>
          <cell r="AS489">
            <v>0</v>
          </cell>
          <cell r="AT489">
            <v>150</v>
          </cell>
          <cell r="AU489">
            <v>0</v>
          </cell>
          <cell r="AV489">
            <v>0</v>
          </cell>
          <cell r="AW489">
            <v>195</v>
          </cell>
          <cell r="AX489">
            <v>0</v>
          </cell>
          <cell r="AY489">
            <v>0</v>
          </cell>
          <cell r="AZ489">
            <v>15</v>
          </cell>
          <cell r="BA489">
            <v>0</v>
          </cell>
          <cell r="BB489">
            <v>0</v>
          </cell>
          <cell r="BC489">
            <v>75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7548.75</v>
          </cell>
        </row>
        <row r="490">
          <cell r="C490">
            <v>14388</v>
          </cell>
          <cell r="D490" t="str">
            <v>Rodriguez, Mylene Atun</v>
          </cell>
          <cell r="E490">
            <v>56</v>
          </cell>
          <cell r="F490">
            <v>7</v>
          </cell>
          <cell r="G490">
            <v>600</v>
          </cell>
          <cell r="H490">
            <v>4200</v>
          </cell>
          <cell r="I490">
            <v>0</v>
          </cell>
          <cell r="J490">
            <v>1.25</v>
          </cell>
          <cell r="K490">
            <v>0</v>
          </cell>
          <cell r="L490">
            <v>8</v>
          </cell>
          <cell r="M490">
            <v>93.75</v>
          </cell>
          <cell r="N490">
            <v>750</v>
          </cell>
          <cell r="O490">
            <v>30</v>
          </cell>
          <cell r="P490">
            <v>7.5</v>
          </cell>
          <cell r="Q490">
            <v>225</v>
          </cell>
          <cell r="R490">
            <v>0</v>
          </cell>
          <cell r="S490">
            <v>97.5</v>
          </cell>
          <cell r="T490">
            <v>0</v>
          </cell>
          <cell r="U490">
            <v>0</v>
          </cell>
          <cell r="V490">
            <v>126.75</v>
          </cell>
          <cell r="W490">
            <v>0</v>
          </cell>
          <cell r="X490">
            <v>0</v>
          </cell>
          <cell r="Y490">
            <v>9.75</v>
          </cell>
          <cell r="Z490">
            <v>0</v>
          </cell>
          <cell r="AA490">
            <v>0</v>
          </cell>
          <cell r="AB490">
            <v>112.5</v>
          </cell>
          <cell r="AC490">
            <v>0</v>
          </cell>
          <cell r="AD490">
            <v>0</v>
          </cell>
          <cell r="AE490">
            <v>146.25</v>
          </cell>
          <cell r="AF490">
            <v>0</v>
          </cell>
          <cell r="AG490">
            <v>0</v>
          </cell>
          <cell r="AH490">
            <v>11.25</v>
          </cell>
          <cell r="AI490">
            <v>0</v>
          </cell>
          <cell r="AJ490">
            <v>0</v>
          </cell>
          <cell r="AK490">
            <v>97.5</v>
          </cell>
          <cell r="AL490">
            <v>0</v>
          </cell>
          <cell r="AM490">
            <v>0</v>
          </cell>
          <cell r="AN490">
            <v>126.75</v>
          </cell>
          <cell r="AO490">
            <v>0</v>
          </cell>
          <cell r="AP490">
            <v>0</v>
          </cell>
          <cell r="AQ490">
            <v>9.75</v>
          </cell>
          <cell r="AR490">
            <v>0</v>
          </cell>
          <cell r="AS490">
            <v>0</v>
          </cell>
          <cell r="AT490">
            <v>150</v>
          </cell>
          <cell r="AU490">
            <v>0</v>
          </cell>
          <cell r="AV490">
            <v>0</v>
          </cell>
          <cell r="AW490">
            <v>195</v>
          </cell>
          <cell r="AX490">
            <v>0</v>
          </cell>
          <cell r="AY490">
            <v>0</v>
          </cell>
          <cell r="AZ490">
            <v>15</v>
          </cell>
          <cell r="BA490">
            <v>0</v>
          </cell>
          <cell r="BB490">
            <v>0</v>
          </cell>
          <cell r="BC490">
            <v>75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5175</v>
          </cell>
        </row>
        <row r="491">
          <cell r="C491">
            <v>11990</v>
          </cell>
          <cell r="D491" t="str">
            <v>Rosario, Kenneth Cuizon</v>
          </cell>
          <cell r="E491">
            <v>72</v>
          </cell>
          <cell r="F491">
            <v>9</v>
          </cell>
          <cell r="G491">
            <v>600</v>
          </cell>
          <cell r="H491">
            <v>5400</v>
          </cell>
          <cell r="I491">
            <v>78</v>
          </cell>
          <cell r="J491">
            <v>1.25</v>
          </cell>
          <cell r="K491">
            <v>-97.5</v>
          </cell>
          <cell r="L491">
            <v>6</v>
          </cell>
          <cell r="M491">
            <v>93.75</v>
          </cell>
          <cell r="N491">
            <v>562.5</v>
          </cell>
          <cell r="O491">
            <v>26</v>
          </cell>
          <cell r="P491">
            <v>7.5</v>
          </cell>
          <cell r="Q491">
            <v>195</v>
          </cell>
          <cell r="R491">
            <v>0</v>
          </cell>
          <cell r="S491">
            <v>97.5</v>
          </cell>
          <cell r="T491">
            <v>0</v>
          </cell>
          <cell r="U491">
            <v>0</v>
          </cell>
          <cell r="V491">
            <v>126.75</v>
          </cell>
          <cell r="W491">
            <v>0</v>
          </cell>
          <cell r="X491">
            <v>0</v>
          </cell>
          <cell r="Y491">
            <v>9.75</v>
          </cell>
          <cell r="Z491">
            <v>0</v>
          </cell>
          <cell r="AA491">
            <v>0</v>
          </cell>
          <cell r="AB491">
            <v>112.5</v>
          </cell>
          <cell r="AC491">
            <v>0</v>
          </cell>
          <cell r="AD491">
            <v>0</v>
          </cell>
          <cell r="AE491">
            <v>146.25</v>
          </cell>
          <cell r="AF491">
            <v>0</v>
          </cell>
          <cell r="AG491">
            <v>0</v>
          </cell>
          <cell r="AH491">
            <v>11.25</v>
          </cell>
          <cell r="AI491">
            <v>0</v>
          </cell>
          <cell r="AJ491">
            <v>0</v>
          </cell>
          <cell r="AK491">
            <v>97.5</v>
          </cell>
          <cell r="AL491">
            <v>0</v>
          </cell>
          <cell r="AM491">
            <v>0</v>
          </cell>
          <cell r="AN491">
            <v>126.75</v>
          </cell>
          <cell r="AO491">
            <v>0</v>
          </cell>
          <cell r="AP491">
            <v>0</v>
          </cell>
          <cell r="AQ491">
            <v>9.75</v>
          </cell>
          <cell r="AR491">
            <v>0</v>
          </cell>
          <cell r="AS491">
            <v>0</v>
          </cell>
          <cell r="AT491">
            <v>150</v>
          </cell>
          <cell r="AU491">
            <v>0</v>
          </cell>
          <cell r="AV491">
            <v>0</v>
          </cell>
          <cell r="AW491">
            <v>195</v>
          </cell>
          <cell r="AX491">
            <v>0</v>
          </cell>
          <cell r="AY491">
            <v>0</v>
          </cell>
          <cell r="AZ491">
            <v>15</v>
          </cell>
          <cell r="BA491">
            <v>0</v>
          </cell>
          <cell r="BB491">
            <v>0</v>
          </cell>
          <cell r="BC491">
            <v>75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6060</v>
          </cell>
        </row>
        <row r="492">
          <cell r="C492">
            <v>30667</v>
          </cell>
          <cell r="D492" t="str">
            <v>Salonga, Lourence Magtibay</v>
          </cell>
          <cell r="E492">
            <v>24</v>
          </cell>
          <cell r="F492">
            <v>3</v>
          </cell>
          <cell r="G492">
            <v>600</v>
          </cell>
          <cell r="H492">
            <v>1800</v>
          </cell>
          <cell r="I492">
            <v>0</v>
          </cell>
          <cell r="J492">
            <v>1.25</v>
          </cell>
          <cell r="K492">
            <v>0</v>
          </cell>
          <cell r="L492">
            <v>0</v>
          </cell>
          <cell r="M492">
            <v>93.75</v>
          </cell>
          <cell r="N492">
            <v>0</v>
          </cell>
          <cell r="O492">
            <v>18</v>
          </cell>
          <cell r="P492">
            <v>7.5</v>
          </cell>
          <cell r="Q492">
            <v>135</v>
          </cell>
          <cell r="R492">
            <v>0</v>
          </cell>
          <cell r="S492">
            <v>97.5</v>
          </cell>
          <cell r="T492">
            <v>0</v>
          </cell>
          <cell r="U492">
            <v>0</v>
          </cell>
          <cell r="V492">
            <v>126.75</v>
          </cell>
          <cell r="W492">
            <v>0</v>
          </cell>
          <cell r="X492">
            <v>0</v>
          </cell>
          <cell r="Y492">
            <v>9.75</v>
          </cell>
          <cell r="Z492">
            <v>0</v>
          </cell>
          <cell r="AA492">
            <v>0</v>
          </cell>
          <cell r="AB492">
            <v>112.5</v>
          </cell>
          <cell r="AC492">
            <v>0</v>
          </cell>
          <cell r="AD492">
            <v>0</v>
          </cell>
          <cell r="AE492">
            <v>146.25</v>
          </cell>
          <cell r="AF492">
            <v>0</v>
          </cell>
          <cell r="AG492">
            <v>0</v>
          </cell>
          <cell r="AH492">
            <v>11.25</v>
          </cell>
          <cell r="AI492">
            <v>0</v>
          </cell>
          <cell r="AJ492">
            <v>0</v>
          </cell>
          <cell r="AK492">
            <v>97.5</v>
          </cell>
          <cell r="AL492">
            <v>0</v>
          </cell>
          <cell r="AM492">
            <v>0</v>
          </cell>
          <cell r="AN492">
            <v>126.75</v>
          </cell>
          <cell r="AO492">
            <v>0</v>
          </cell>
          <cell r="AP492">
            <v>0</v>
          </cell>
          <cell r="AQ492">
            <v>9.75</v>
          </cell>
          <cell r="AR492">
            <v>0</v>
          </cell>
          <cell r="AS492">
            <v>0</v>
          </cell>
          <cell r="AT492">
            <v>150</v>
          </cell>
          <cell r="AU492">
            <v>0</v>
          </cell>
          <cell r="AV492">
            <v>0</v>
          </cell>
          <cell r="AW492">
            <v>195</v>
          </cell>
          <cell r="AX492">
            <v>0</v>
          </cell>
          <cell r="AY492">
            <v>0</v>
          </cell>
          <cell r="AZ492">
            <v>15</v>
          </cell>
          <cell r="BA492">
            <v>0</v>
          </cell>
          <cell r="BB492">
            <v>0</v>
          </cell>
          <cell r="BC492">
            <v>75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1935</v>
          </cell>
        </row>
        <row r="493">
          <cell r="C493">
            <v>14555</v>
          </cell>
          <cell r="D493" t="str">
            <v>Salumbides, Luigi Lazo</v>
          </cell>
          <cell r="E493">
            <v>88</v>
          </cell>
          <cell r="F493">
            <v>11</v>
          </cell>
          <cell r="G493">
            <v>600</v>
          </cell>
          <cell r="H493">
            <v>6600</v>
          </cell>
          <cell r="I493">
            <v>0</v>
          </cell>
          <cell r="J493">
            <v>1.25</v>
          </cell>
          <cell r="K493">
            <v>0</v>
          </cell>
          <cell r="L493">
            <v>10</v>
          </cell>
          <cell r="M493">
            <v>93.75</v>
          </cell>
          <cell r="N493">
            <v>937.5</v>
          </cell>
          <cell r="O493">
            <v>48</v>
          </cell>
          <cell r="P493">
            <v>7.5</v>
          </cell>
          <cell r="Q493">
            <v>360</v>
          </cell>
          <cell r="R493">
            <v>0</v>
          </cell>
          <cell r="S493">
            <v>97.5</v>
          </cell>
          <cell r="T493">
            <v>0</v>
          </cell>
          <cell r="U493">
            <v>0</v>
          </cell>
          <cell r="V493">
            <v>126.75</v>
          </cell>
          <cell r="W493">
            <v>0</v>
          </cell>
          <cell r="X493">
            <v>0</v>
          </cell>
          <cell r="Y493">
            <v>9.75</v>
          </cell>
          <cell r="Z493">
            <v>0</v>
          </cell>
          <cell r="AA493">
            <v>0</v>
          </cell>
          <cell r="AB493">
            <v>112.5</v>
          </cell>
          <cell r="AC493">
            <v>0</v>
          </cell>
          <cell r="AD493">
            <v>0</v>
          </cell>
          <cell r="AE493">
            <v>146.25</v>
          </cell>
          <cell r="AF493">
            <v>0</v>
          </cell>
          <cell r="AG493">
            <v>0</v>
          </cell>
          <cell r="AH493">
            <v>11.25</v>
          </cell>
          <cell r="AI493">
            <v>0</v>
          </cell>
          <cell r="AJ493">
            <v>0</v>
          </cell>
          <cell r="AK493">
            <v>97.5</v>
          </cell>
          <cell r="AL493">
            <v>0</v>
          </cell>
          <cell r="AM493">
            <v>0</v>
          </cell>
          <cell r="AN493">
            <v>126.75</v>
          </cell>
          <cell r="AO493">
            <v>0</v>
          </cell>
          <cell r="AP493">
            <v>0</v>
          </cell>
          <cell r="AQ493">
            <v>9.75</v>
          </cell>
          <cell r="AR493">
            <v>0</v>
          </cell>
          <cell r="AS493">
            <v>0</v>
          </cell>
          <cell r="AT493">
            <v>150</v>
          </cell>
          <cell r="AU493">
            <v>0</v>
          </cell>
          <cell r="AV493">
            <v>0</v>
          </cell>
          <cell r="AW493">
            <v>195</v>
          </cell>
          <cell r="AX493">
            <v>0</v>
          </cell>
          <cell r="AY493">
            <v>0</v>
          </cell>
          <cell r="AZ493">
            <v>15</v>
          </cell>
          <cell r="BA493">
            <v>0</v>
          </cell>
          <cell r="BB493">
            <v>0</v>
          </cell>
          <cell r="BC493">
            <v>75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7897.5</v>
          </cell>
        </row>
        <row r="494">
          <cell r="C494">
            <v>6249</v>
          </cell>
          <cell r="D494" t="str">
            <v>Samonte, Ken Robbin</v>
          </cell>
          <cell r="E494">
            <v>0</v>
          </cell>
          <cell r="F494">
            <v>0</v>
          </cell>
          <cell r="G494">
            <v>600</v>
          </cell>
          <cell r="H494">
            <v>0</v>
          </cell>
          <cell r="I494">
            <v>0</v>
          </cell>
          <cell r="J494">
            <v>1.25</v>
          </cell>
          <cell r="K494">
            <v>0</v>
          </cell>
          <cell r="L494">
            <v>0</v>
          </cell>
          <cell r="M494">
            <v>93.75</v>
          </cell>
          <cell r="N494">
            <v>0</v>
          </cell>
          <cell r="O494">
            <v>0</v>
          </cell>
          <cell r="P494">
            <v>7.5</v>
          </cell>
          <cell r="Q494">
            <v>0</v>
          </cell>
          <cell r="R494">
            <v>0</v>
          </cell>
          <cell r="S494">
            <v>97.5</v>
          </cell>
          <cell r="T494">
            <v>0</v>
          </cell>
          <cell r="U494">
            <v>0</v>
          </cell>
          <cell r="V494">
            <v>126.75</v>
          </cell>
          <cell r="W494">
            <v>0</v>
          </cell>
          <cell r="X494">
            <v>0</v>
          </cell>
          <cell r="Y494">
            <v>9.75</v>
          </cell>
          <cell r="Z494">
            <v>0</v>
          </cell>
          <cell r="AA494">
            <v>0</v>
          </cell>
          <cell r="AB494">
            <v>112.5</v>
          </cell>
          <cell r="AC494">
            <v>0</v>
          </cell>
          <cell r="AD494">
            <v>0</v>
          </cell>
          <cell r="AE494">
            <v>146.25</v>
          </cell>
          <cell r="AF494">
            <v>0</v>
          </cell>
          <cell r="AG494">
            <v>0</v>
          </cell>
          <cell r="AH494">
            <v>11.25</v>
          </cell>
          <cell r="AI494">
            <v>0</v>
          </cell>
          <cell r="AJ494">
            <v>0</v>
          </cell>
          <cell r="AK494">
            <v>97.5</v>
          </cell>
          <cell r="AL494">
            <v>0</v>
          </cell>
          <cell r="AM494">
            <v>0</v>
          </cell>
          <cell r="AN494">
            <v>126.75</v>
          </cell>
          <cell r="AO494">
            <v>0</v>
          </cell>
          <cell r="AP494">
            <v>0</v>
          </cell>
          <cell r="AQ494">
            <v>9.75</v>
          </cell>
          <cell r="AR494">
            <v>0</v>
          </cell>
          <cell r="AS494">
            <v>0</v>
          </cell>
          <cell r="AT494">
            <v>150</v>
          </cell>
          <cell r="AU494">
            <v>0</v>
          </cell>
          <cell r="AV494">
            <v>0</v>
          </cell>
          <cell r="AW494">
            <v>195</v>
          </cell>
          <cell r="AX494">
            <v>0</v>
          </cell>
          <cell r="AY494">
            <v>0</v>
          </cell>
          <cell r="AZ494">
            <v>15</v>
          </cell>
          <cell r="BA494">
            <v>0</v>
          </cell>
          <cell r="BB494">
            <v>0</v>
          </cell>
          <cell r="BC494">
            <v>75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</row>
        <row r="495">
          <cell r="C495">
            <v>14396</v>
          </cell>
          <cell r="D495" t="str">
            <v>Sapallo, Marjorie Ramirez</v>
          </cell>
          <cell r="E495">
            <v>80</v>
          </cell>
          <cell r="F495">
            <v>10</v>
          </cell>
          <cell r="G495">
            <v>600</v>
          </cell>
          <cell r="H495">
            <v>6000</v>
          </cell>
          <cell r="I495">
            <v>0</v>
          </cell>
          <cell r="J495">
            <v>1.25</v>
          </cell>
          <cell r="K495">
            <v>0</v>
          </cell>
          <cell r="L495">
            <v>13</v>
          </cell>
          <cell r="M495">
            <v>93.75</v>
          </cell>
          <cell r="N495">
            <v>1218.75</v>
          </cell>
          <cell r="O495">
            <v>0</v>
          </cell>
          <cell r="P495">
            <v>7.5</v>
          </cell>
          <cell r="Q495">
            <v>0</v>
          </cell>
          <cell r="R495">
            <v>0</v>
          </cell>
          <cell r="S495">
            <v>97.5</v>
          </cell>
          <cell r="T495">
            <v>0</v>
          </cell>
          <cell r="U495">
            <v>0</v>
          </cell>
          <cell r="V495">
            <v>126.75</v>
          </cell>
          <cell r="W495">
            <v>0</v>
          </cell>
          <cell r="X495">
            <v>0</v>
          </cell>
          <cell r="Y495">
            <v>9.75</v>
          </cell>
          <cell r="Z495">
            <v>0</v>
          </cell>
          <cell r="AA495">
            <v>0</v>
          </cell>
          <cell r="AB495">
            <v>112.5</v>
          </cell>
          <cell r="AC495">
            <v>0</v>
          </cell>
          <cell r="AD495">
            <v>0</v>
          </cell>
          <cell r="AE495">
            <v>146.25</v>
          </cell>
          <cell r="AF495">
            <v>0</v>
          </cell>
          <cell r="AG495">
            <v>0</v>
          </cell>
          <cell r="AH495">
            <v>11.25</v>
          </cell>
          <cell r="AI495">
            <v>0</v>
          </cell>
          <cell r="AJ495">
            <v>0</v>
          </cell>
          <cell r="AK495">
            <v>97.5</v>
          </cell>
          <cell r="AL495">
            <v>0</v>
          </cell>
          <cell r="AM495">
            <v>0</v>
          </cell>
          <cell r="AN495">
            <v>126.75</v>
          </cell>
          <cell r="AO495">
            <v>0</v>
          </cell>
          <cell r="AP495">
            <v>0</v>
          </cell>
          <cell r="AQ495">
            <v>9.75</v>
          </cell>
          <cell r="AR495">
            <v>0</v>
          </cell>
          <cell r="AS495">
            <v>0</v>
          </cell>
          <cell r="AT495">
            <v>150</v>
          </cell>
          <cell r="AU495">
            <v>0</v>
          </cell>
          <cell r="AV495">
            <v>0</v>
          </cell>
          <cell r="AW495">
            <v>195</v>
          </cell>
          <cell r="AX495">
            <v>0</v>
          </cell>
          <cell r="AY495">
            <v>0</v>
          </cell>
          <cell r="AZ495">
            <v>15</v>
          </cell>
          <cell r="BA495">
            <v>0</v>
          </cell>
          <cell r="BB495">
            <v>0</v>
          </cell>
          <cell r="BC495">
            <v>75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7218.75</v>
          </cell>
        </row>
        <row r="496">
          <cell r="C496">
            <v>11562</v>
          </cell>
          <cell r="D496" t="str">
            <v>Sapatero, Sharwin m.</v>
          </cell>
          <cell r="E496">
            <v>80</v>
          </cell>
          <cell r="F496">
            <v>10</v>
          </cell>
          <cell r="G496">
            <v>600</v>
          </cell>
          <cell r="H496">
            <v>6000</v>
          </cell>
          <cell r="I496">
            <v>0</v>
          </cell>
          <cell r="J496">
            <v>1.25</v>
          </cell>
          <cell r="K496">
            <v>0</v>
          </cell>
          <cell r="L496">
            <v>6</v>
          </cell>
          <cell r="M496">
            <v>93.75</v>
          </cell>
          <cell r="N496">
            <v>562.5</v>
          </cell>
          <cell r="O496">
            <v>0</v>
          </cell>
          <cell r="P496">
            <v>7.5</v>
          </cell>
          <cell r="Q496">
            <v>0</v>
          </cell>
          <cell r="R496">
            <v>8</v>
          </cell>
          <cell r="S496">
            <v>97.5</v>
          </cell>
          <cell r="T496">
            <v>780</v>
          </cell>
          <cell r="U496">
            <v>0</v>
          </cell>
          <cell r="V496">
            <v>126.75</v>
          </cell>
          <cell r="W496">
            <v>0</v>
          </cell>
          <cell r="X496">
            <v>0</v>
          </cell>
          <cell r="Y496">
            <v>9.75</v>
          </cell>
          <cell r="Z496">
            <v>0</v>
          </cell>
          <cell r="AA496">
            <v>0</v>
          </cell>
          <cell r="AB496">
            <v>112.5</v>
          </cell>
          <cell r="AC496">
            <v>0</v>
          </cell>
          <cell r="AD496">
            <v>0</v>
          </cell>
          <cell r="AE496">
            <v>146.25</v>
          </cell>
          <cell r="AF496">
            <v>0</v>
          </cell>
          <cell r="AG496">
            <v>0</v>
          </cell>
          <cell r="AH496">
            <v>11.25</v>
          </cell>
          <cell r="AI496">
            <v>0</v>
          </cell>
          <cell r="AJ496">
            <v>0</v>
          </cell>
          <cell r="AK496">
            <v>97.5</v>
          </cell>
          <cell r="AL496">
            <v>0</v>
          </cell>
          <cell r="AM496">
            <v>0</v>
          </cell>
          <cell r="AN496">
            <v>126.75</v>
          </cell>
          <cell r="AO496">
            <v>0</v>
          </cell>
          <cell r="AP496">
            <v>0</v>
          </cell>
          <cell r="AQ496">
            <v>9.75</v>
          </cell>
          <cell r="AR496">
            <v>0</v>
          </cell>
          <cell r="AS496">
            <v>0</v>
          </cell>
          <cell r="AT496">
            <v>150</v>
          </cell>
          <cell r="AU496">
            <v>0</v>
          </cell>
          <cell r="AV496">
            <v>0</v>
          </cell>
          <cell r="AW496">
            <v>195</v>
          </cell>
          <cell r="AX496">
            <v>0</v>
          </cell>
          <cell r="AY496">
            <v>0</v>
          </cell>
          <cell r="AZ496">
            <v>15</v>
          </cell>
          <cell r="BA496">
            <v>0</v>
          </cell>
          <cell r="BB496">
            <v>0</v>
          </cell>
          <cell r="BC496">
            <v>75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7342.5</v>
          </cell>
        </row>
        <row r="497">
          <cell r="C497">
            <v>14563</v>
          </cell>
          <cell r="D497" t="str">
            <v>Saralde, John Mark Asaldo</v>
          </cell>
          <cell r="E497">
            <v>52</v>
          </cell>
          <cell r="F497">
            <v>6.5</v>
          </cell>
          <cell r="G497">
            <v>600</v>
          </cell>
          <cell r="H497">
            <v>3900</v>
          </cell>
          <cell r="I497">
            <v>0</v>
          </cell>
          <cell r="J497">
            <v>1.25</v>
          </cell>
          <cell r="K497">
            <v>0</v>
          </cell>
          <cell r="L497">
            <v>7</v>
          </cell>
          <cell r="M497">
            <v>93.75</v>
          </cell>
          <cell r="N497">
            <v>656.25</v>
          </cell>
          <cell r="O497">
            <v>30</v>
          </cell>
          <cell r="P497">
            <v>7.5</v>
          </cell>
          <cell r="Q497">
            <v>225</v>
          </cell>
          <cell r="R497">
            <v>0</v>
          </cell>
          <cell r="S497">
            <v>97.5</v>
          </cell>
          <cell r="T497">
            <v>0</v>
          </cell>
          <cell r="U497">
            <v>0</v>
          </cell>
          <cell r="V497">
            <v>126.75</v>
          </cell>
          <cell r="W497">
            <v>0</v>
          </cell>
          <cell r="X497">
            <v>0</v>
          </cell>
          <cell r="Y497">
            <v>9.75</v>
          </cell>
          <cell r="Z497">
            <v>0</v>
          </cell>
          <cell r="AA497">
            <v>0</v>
          </cell>
          <cell r="AB497">
            <v>112.5</v>
          </cell>
          <cell r="AC497">
            <v>0</v>
          </cell>
          <cell r="AD497">
            <v>0</v>
          </cell>
          <cell r="AE497">
            <v>146.25</v>
          </cell>
          <cell r="AF497">
            <v>0</v>
          </cell>
          <cell r="AG497">
            <v>0</v>
          </cell>
          <cell r="AH497">
            <v>11.25</v>
          </cell>
          <cell r="AI497">
            <v>0</v>
          </cell>
          <cell r="AJ497">
            <v>0</v>
          </cell>
          <cell r="AK497">
            <v>97.5</v>
          </cell>
          <cell r="AL497">
            <v>0</v>
          </cell>
          <cell r="AM497">
            <v>0</v>
          </cell>
          <cell r="AN497">
            <v>126.75</v>
          </cell>
          <cell r="AO497">
            <v>0</v>
          </cell>
          <cell r="AP497">
            <v>0</v>
          </cell>
          <cell r="AQ497">
            <v>9.75</v>
          </cell>
          <cell r="AR497">
            <v>0</v>
          </cell>
          <cell r="AS497">
            <v>0</v>
          </cell>
          <cell r="AT497">
            <v>150</v>
          </cell>
          <cell r="AU497">
            <v>0</v>
          </cell>
          <cell r="AV497">
            <v>0</v>
          </cell>
          <cell r="AW497">
            <v>195</v>
          </cell>
          <cell r="AX497">
            <v>0</v>
          </cell>
          <cell r="AY497">
            <v>0</v>
          </cell>
          <cell r="AZ497">
            <v>15</v>
          </cell>
          <cell r="BA497">
            <v>0</v>
          </cell>
          <cell r="BB497">
            <v>0</v>
          </cell>
          <cell r="BC497">
            <v>75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4781.25</v>
          </cell>
        </row>
        <row r="498">
          <cell r="C498">
            <v>11867</v>
          </cell>
          <cell r="D498" t="str">
            <v>Sarmuyan, Zerilyn Santos</v>
          </cell>
          <cell r="E498">
            <v>80</v>
          </cell>
          <cell r="F498">
            <v>10</v>
          </cell>
          <cell r="G498">
            <v>600</v>
          </cell>
          <cell r="H498">
            <v>6000</v>
          </cell>
          <cell r="I498">
            <v>0</v>
          </cell>
          <cell r="J498">
            <v>1.25</v>
          </cell>
          <cell r="K498">
            <v>0</v>
          </cell>
          <cell r="L498">
            <v>16</v>
          </cell>
          <cell r="M498">
            <v>93.75</v>
          </cell>
          <cell r="N498">
            <v>1500</v>
          </cell>
          <cell r="O498">
            <v>46</v>
          </cell>
          <cell r="P498">
            <v>7.5</v>
          </cell>
          <cell r="Q498">
            <v>345</v>
          </cell>
          <cell r="R498">
            <v>0</v>
          </cell>
          <cell r="S498">
            <v>97.5</v>
          </cell>
          <cell r="T498">
            <v>0</v>
          </cell>
          <cell r="U498">
            <v>0</v>
          </cell>
          <cell r="V498">
            <v>126.75</v>
          </cell>
          <cell r="W498">
            <v>0</v>
          </cell>
          <cell r="X498">
            <v>0</v>
          </cell>
          <cell r="Y498">
            <v>9.75</v>
          </cell>
          <cell r="Z498">
            <v>0</v>
          </cell>
          <cell r="AA498">
            <v>0</v>
          </cell>
          <cell r="AB498">
            <v>112.5</v>
          </cell>
          <cell r="AC498">
            <v>0</v>
          </cell>
          <cell r="AD498">
            <v>0</v>
          </cell>
          <cell r="AE498">
            <v>146.25</v>
          </cell>
          <cell r="AF498">
            <v>0</v>
          </cell>
          <cell r="AG498">
            <v>0</v>
          </cell>
          <cell r="AH498">
            <v>11.25</v>
          </cell>
          <cell r="AI498">
            <v>0</v>
          </cell>
          <cell r="AJ498">
            <v>0</v>
          </cell>
          <cell r="AK498">
            <v>97.5</v>
          </cell>
          <cell r="AL498">
            <v>0</v>
          </cell>
          <cell r="AM498">
            <v>0</v>
          </cell>
          <cell r="AN498">
            <v>126.75</v>
          </cell>
          <cell r="AO498">
            <v>0</v>
          </cell>
          <cell r="AP498">
            <v>0</v>
          </cell>
          <cell r="AQ498">
            <v>9.75</v>
          </cell>
          <cell r="AR498">
            <v>0</v>
          </cell>
          <cell r="AS498">
            <v>0</v>
          </cell>
          <cell r="AT498">
            <v>150</v>
          </cell>
          <cell r="AU498">
            <v>0</v>
          </cell>
          <cell r="AV498">
            <v>0</v>
          </cell>
          <cell r="AW498">
            <v>195</v>
          </cell>
          <cell r="AX498">
            <v>0</v>
          </cell>
          <cell r="AY498">
            <v>0</v>
          </cell>
          <cell r="AZ498">
            <v>15</v>
          </cell>
          <cell r="BA498">
            <v>0</v>
          </cell>
          <cell r="BB498">
            <v>0</v>
          </cell>
          <cell r="BC498">
            <v>75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7845</v>
          </cell>
        </row>
        <row r="499">
          <cell r="C499">
            <v>14399</v>
          </cell>
          <cell r="D499" t="str">
            <v>Sayas, Jennifer Sarion</v>
          </cell>
          <cell r="E499">
            <v>72</v>
          </cell>
          <cell r="F499">
            <v>9</v>
          </cell>
          <cell r="G499">
            <v>600</v>
          </cell>
          <cell r="H499">
            <v>5400</v>
          </cell>
          <cell r="I499">
            <v>0</v>
          </cell>
          <cell r="J499">
            <v>1.25</v>
          </cell>
          <cell r="K499">
            <v>0</v>
          </cell>
          <cell r="L499">
            <v>17</v>
          </cell>
          <cell r="M499">
            <v>93.75</v>
          </cell>
          <cell r="N499">
            <v>1593.75</v>
          </cell>
          <cell r="O499">
            <v>0</v>
          </cell>
          <cell r="P499">
            <v>7.5</v>
          </cell>
          <cell r="Q499">
            <v>0</v>
          </cell>
          <cell r="R499">
            <v>0</v>
          </cell>
          <cell r="S499">
            <v>97.5</v>
          </cell>
          <cell r="T499">
            <v>0</v>
          </cell>
          <cell r="U499">
            <v>0</v>
          </cell>
          <cell r="V499">
            <v>126.75</v>
          </cell>
          <cell r="W499">
            <v>0</v>
          </cell>
          <cell r="X499">
            <v>0</v>
          </cell>
          <cell r="Y499">
            <v>9.75</v>
          </cell>
          <cell r="Z499">
            <v>0</v>
          </cell>
          <cell r="AA499">
            <v>0</v>
          </cell>
          <cell r="AB499">
            <v>112.5</v>
          </cell>
          <cell r="AC499">
            <v>0</v>
          </cell>
          <cell r="AD499">
            <v>0</v>
          </cell>
          <cell r="AE499">
            <v>146.25</v>
          </cell>
          <cell r="AF499">
            <v>0</v>
          </cell>
          <cell r="AG499">
            <v>0</v>
          </cell>
          <cell r="AH499">
            <v>11.25</v>
          </cell>
          <cell r="AI499">
            <v>0</v>
          </cell>
          <cell r="AJ499">
            <v>0</v>
          </cell>
          <cell r="AK499">
            <v>97.5</v>
          </cell>
          <cell r="AL499">
            <v>0</v>
          </cell>
          <cell r="AM499">
            <v>0</v>
          </cell>
          <cell r="AN499">
            <v>126.75</v>
          </cell>
          <cell r="AO499">
            <v>0</v>
          </cell>
          <cell r="AP499">
            <v>0</v>
          </cell>
          <cell r="AQ499">
            <v>9.75</v>
          </cell>
          <cell r="AR499">
            <v>0</v>
          </cell>
          <cell r="AS499">
            <v>0</v>
          </cell>
          <cell r="AT499">
            <v>150</v>
          </cell>
          <cell r="AU499">
            <v>0</v>
          </cell>
          <cell r="AV499">
            <v>0</v>
          </cell>
          <cell r="AW499">
            <v>195</v>
          </cell>
          <cell r="AX499">
            <v>0</v>
          </cell>
          <cell r="AY499">
            <v>0</v>
          </cell>
          <cell r="AZ499">
            <v>15</v>
          </cell>
          <cell r="BA499">
            <v>0</v>
          </cell>
          <cell r="BB499">
            <v>0</v>
          </cell>
          <cell r="BC499">
            <v>75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6993.75</v>
          </cell>
        </row>
        <row r="500">
          <cell r="C500">
            <v>14692</v>
          </cell>
          <cell r="D500" t="str">
            <v>Sayas, Raymart Sarion</v>
          </cell>
          <cell r="E500">
            <v>80</v>
          </cell>
          <cell r="F500">
            <v>10</v>
          </cell>
          <cell r="G500">
            <v>600</v>
          </cell>
          <cell r="H500">
            <v>6000</v>
          </cell>
          <cell r="I500">
            <v>0</v>
          </cell>
          <cell r="J500">
            <v>1.25</v>
          </cell>
          <cell r="K500">
            <v>0</v>
          </cell>
          <cell r="L500">
            <v>16</v>
          </cell>
          <cell r="M500">
            <v>93.75</v>
          </cell>
          <cell r="N500">
            <v>1500</v>
          </cell>
          <cell r="O500">
            <v>0</v>
          </cell>
          <cell r="P500">
            <v>7.5</v>
          </cell>
          <cell r="Q500">
            <v>0</v>
          </cell>
          <cell r="R500">
            <v>0</v>
          </cell>
          <cell r="S500">
            <v>97.5</v>
          </cell>
          <cell r="T500">
            <v>0</v>
          </cell>
          <cell r="U500">
            <v>0</v>
          </cell>
          <cell r="V500">
            <v>126.75</v>
          </cell>
          <cell r="W500">
            <v>0</v>
          </cell>
          <cell r="X500">
            <v>0</v>
          </cell>
          <cell r="Y500">
            <v>9.75</v>
          </cell>
          <cell r="Z500">
            <v>0</v>
          </cell>
          <cell r="AA500">
            <v>0</v>
          </cell>
          <cell r="AB500">
            <v>112.5</v>
          </cell>
          <cell r="AC500">
            <v>0</v>
          </cell>
          <cell r="AD500">
            <v>0</v>
          </cell>
          <cell r="AE500">
            <v>146.25</v>
          </cell>
          <cell r="AF500">
            <v>0</v>
          </cell>
          <cell r="AG500">
            <v>0</v>
          </cell>
          <cell r="AH500">
            <v>11.25</v>
          </cell>
          <cell r="AI500">
            <v>0</v>
          </cell>
          <cell r="AJ500">
            <v>0</v>
          </cell>
          <cell r="AK500">
            <v>97.5</v>
          </cell>
          <cell r="AL500">
            <v>0</v>
          </cell>
          <cell r="AM500">
            <v>0</v>
          </cell>
          <cell r="AN500">
            <v>126.75</v>
          </cell>
          <cell r="AO500">
            <v>0</v>
          </cell>
          <cell r="AP500">
            <v>0</v>
          </cell>
          <cell r="AQ500">
            <v>9.75</v>
          </cell>
          <cell r="AR500">
            <v>0</v>
          </cell>
          <cell r="AS500">
            <v>0</v>
          </cell>
          <cell r="AT500">
            <v>150</v>
          </cell>
          <cell r="AU500">
            <v>0</v>
          </cell>
          <cell r="AV500">
            <v>0</v>
          </cell>
          <cell r="AW500">
            <v>195</v>
          </cell>
          <cell r="AX500">
            <v>0</v>
          </cell>
          <cell r="AY500">
            <v>0</v>
          </cell>
          <cell r="AZ500">
            <v>15</v>
          </cell>
          <cell r="BA500">
            <v>0</v>
          </cell>
          <cell r="BB500">
            <v>0</v>
          </cell>
          <cell r="BC500">
            <v>75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7500</v>
          </cell>
        </row>
        <row r="501">
          <cell r="C501">
            <v>12840</v>
          </cell>
          <cell r="D501" t="str">
            <v>Senolay, Cedric Dasal</v>
          </cell>
          <cell r="E501">
            <v>80</v>
          </cell>
          <cell r="F501">
            <v>10</v>
          </cell>
          <cell r="G501">
            <v>600</v>
          </cell>
          <cell r="H501">
            <v>6000</v>
          </cell>
          <cell r="I501">
            <v>0</v>
          </cell>
          <cell r="J501">
            <v>1.25</v>
          </cell>
          <cell r="K501">
            <v>0</v>
          </cell>
          <cell r="L501">
            <v>16</v>
          </cell>
          <cell r="M501">
            <v>93.75</v>
          </cell>
          <cell r="N501">
            <v>1500</v>
          </cell>
          <cell r="O501">
            <v>0</v>
          </cell>
          <cell r="P501">
            <v>7.5</v>
          </cell>
          <cell r="Q501">
            <v>0</v>
          </cell>
          <cell r="R501">
            <v>0</v>
          </cell>
          <cell r="S501">
            <v>97.5</v>
          </cell>
          <cell r="T501">
            <v>0</v>
          </cell>
          <cell r="U501">
            <v>0</v>
          </cell>
          <cell r="V501">
            <v>126.75</v>
          </cell>
          <cell r="W501">
            <v>0</v>
          </cell>
          <cell r="X501">
            <v>0</v>
          </cell>
          <cell r="Y501">
            <v>9.75</v>
          </cell>
          <cell r="Z501">
            <v>0</v>
          </cell>
          <cell r="AA501">
            <v>0</v>
          </cell>
          <cell r="AB501">
            <v>112.5</v>
          </cell>
          <cell r="AC501">
            <v>0</v>
          </cell>
          <cell r="AD501">
            <v>0</v>
          </cell>
          <cell r="AE501">
            <v>146.25</v>
          </cell>
          <cell r="AF501">
            <v>0</v>
          </cell>
          <cell r="AG501">
            <v>0</v>
          </cell>
          <cell r="AH501">
            <v>11.25</v>
          </cell>
          <cell r="AI501">
            <v>0</v>
          </cell>
          <cell r="AJ501">
            <v>0</v>
          </cell>
          <cell r="AK501">
            <v>97.5</v>
          </cell>
          <cell r="AL501">
            <v>0</v>
          </cell>
          <cell r="AM501">
            <v>0</v>
          </cell>
          <cell r="AN501">
            <v>126.75</v>
          </cell>
          <cell r="AO501">
            <v>0</v>
          </cell>
          <cell r="AP501">
            <v>0</v>
          </cell>
          <cell r="AQ501">
            <v>9.75</v>
          </cell>
          <cell r="AR501">
            <v>0</v>
          </cell>
          <cell r="AS501">
            <v>0</v>
          </cell>
          <cell r="AT501">
            <v>150</v>
          </cell>
          <cell r="AU501">
            <v>0</v>
          </cell>
          <cell r="AV501">
            <v>0</v>
          </cell>
          <cell r="AW501">
            <v>195</v>
          </cell>
          <cell r="AX501">
            <v>0</v>
          </cell>
          <cell r="AY501">
            <v>0</v>
          </cell>
          <cell r="AZ501">
            <v>15</v>
          </cell>
          <cell r="BA501">
            <v>0</v>
          </cell>
          <cell r="BB501">
            <v>0</v>
          </cell>
          <cell r="BC501">
            <v>75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7500</v>
          </cell>
        </row>
        <row r="502">
          <cell r="C502">
            <v>8571</v>
          </cell>
          <cell r="D502" t="str">
            <v>Senosin, Sandylyn Cornelio</v>
          </cell>
          <cell r="E502">
            <v>72</v>
          </cell>
          <cell r="F502">
            <v>9</v>
          </cell>
          <cell r="G502">
            <v>600</v>
          </cell>
          <cell r="H502">
            <v>5400</v>
          </cell>
          <cell r="I502">
            <v>0</v>
          </cell>
          <cell r="J502">
            <v>1.25</v>
          </cell>
          <cell r="K502">
            <v>0</v>
          </cell>
          <cell r="L502">
            <v>6</v>
          </cell>
          <cell r="M502">
            <v>93.75</v>
          </cell>
          <cell r="N502">
            <v>562.5</v>
          </cell>
          <cell r="O502">
            <v>22</v>
          </cell>
          <cell r="P502">
            <v>7.5</v>
          </cell>
          <cell r="Q502">
            <v>165</v>
          </cell>
          <cell r="R502">
            <v>0</v>
          </cell>
          <cell r="S502">
            <v>97.5</v>
          </cell>
          <cell r="T502">
            <v>0</v>
          </cell>
          <cell r="U502">
            <v>0</v>
          </cell>
          <cell r="V502">
            <v>126.75</v>
          </cell>
          <cell r="W502">
            <v>0</v>
          </cell>
          <cell r="X502">
            <v>0</v>
          </cell>
          <cell r="Y502">
            <v>9.75</v>
          </cell>
          <cell r="Z502">
            <v>0</v>
          </cell>
          <cell r="AA502">
            <v>0</v>
          </cell>
          <cell r="AB502">
            <v>112.5</v>
          </cell>
          <cell r="AC502">
            <v>0</v>
          </cell>
          <cell r="AD502">
            <v>0</v>
          </cell>
          <cell r="AE502">
            <v>146.25</v>
          </cell>
          <cell r="AF502">
            <v>0</v>
          </cell>
          <cell r="AG502">
            <v>0</v>
          </cell>
          <cell r="AH502">
            <v>11.25</v>
          </cell>
          <cell r="AI502">
            <v>0</v>
          </cell>
          <cell r="AJ502">
            <v>0</v>
          </cell>
          <cell r="AK502">
            <v>97.5</v>
          </cell>
          <cell r="AL502">
            <v>0</v>
          </cell>
          <cell r="AM502">
            <v>0</v>
          </cell>
          <cell r="AN502">
            <v>126.75</v>
          </cell>
          <cell r="AO502">
            <v>0</v>
          </cell>
          <cell r="AP502">
            <v>0</v>
          </cell>
          <cell r="AQ502">
            <v>9.75</v>
          </cell>
          <cell r="AR502">
            <v>0</v>
          </cell>
          <cell r="AS502">
            <v>0</v>
          </cell>
          <cell r="AT502">
            <v>150</v>
          </cell>
          <cell r="AU502">
            <v>0</v>
          </cell>
          <cell r="AV502">
            <v>0</v>
          </cell>
          <cell r="AW502">
            <v>195</v>
          </cell>
          <cell r="AX502">
            <v>0</v>
          </cell>
          <cell r="AY502">
            <v>0</v>
          </cell>
          <cell r="AZ502">
            <v>15</v>
          </cell>
          <cell r="BA502">
            <v>0</v>
          </cell>
          <cell r="BB502">
            <v>0</v>
          </cell>
          <cell r="BC502">
            <v>75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6127.5</v>
          </cell>
        </row>
        <row r="503">
          <cell r="C503">
            <v>12921</v>
          </cell>
          <cell r="D503" t="str">
            <v>Soledad, Roleen Albert Locsin</v>
          </cell>
          <cell r="E503">
            <v>72</v>
          </cell>
          <cell r="F503">
            <v>9</v>
          </cell>
          <cell r="G503">
            <v>600</v>
          </cell>
          <cell r="H503">
            <v>5400</v>
          </cell>
          <cell r="I503">
            <v>41</v>
          </cell>
          <cell r="J503">
            <v>1.25</v>
          </cell>
          <cell r="K503">
            <v>-51.25</v>
          </cell>
          <cell r="L503">
            <v>4</v>
          </cell>
          <cell r="M503">
            <v>93.75</v>
          </cell>
          <cell r="N503">
            <v>375</v>
          </cell>
          <cell r="O503">
            <v>0</v>
          </cell>
          <cell r="P503">
            <v>7.5</v>
          </cell>
          <cell r="Q503">
            <v>0</v>
          </cell>
          <cell r="R503">
            <v>0</v>
          </cell>
          <cell r="S503">
            <v>97.5</v>
          </cell>
          <cell r="T503">
            <v>0</v>
          </cell>
          <cell r="U503">
            <v>0</v>
          </cell>
          <cell r="V503">
            <v>126.75</v>
          </cell>
          <cell r="W503">
            <v>0</v>
          </cell>
          <cell r="X503">
            <v>0</v>
          </cell>
          <cell r="Y503">
            <v>9.75</v>
          </cell>
          <cell r="Z503">
            <v>0</v>
          </cell>
          <cell r="AA503">
            <v>0</v>
          </cell>
          <cell r="AB503">
            <v>112.5</v>
          </cell>
          <cell r="AC503">
            <v>0</v>
          </cell>
          <cell r="AD503">
            <v>0</v>
          </cell>
          <cell r="AE503">
            <v>146.25</v>
          </cell>
          <cell r="AF503">
            <v>0</v>
          </cell>
          <cell r="AG503">
            <v>0</v>
          </cell>
          <cell r="AH503">
            <v>11.25</v>
          </cell>
          <cell r="AI503">
            <v>0</v>
          </cell>
          <cell r="AJ503">
            <v>0</v>
          </cell>
          <cell r="AK503">
            <v>97.5</v>
          </cell>
          <cell r="AL503">
            <v>0</v>
          </cell>
          <cell r="AM503">
            <v>0</v>
          </cell>
          <cell r="AN503">
            <v>126.75</v>
          </cell>
          <cell r="AO503">
            <v>0</v>
          </cell>
          <cell r="AP503">
            <v>0</v>
          </cell>
          <cell r="AQ503">
            <v>9.75</v>
          </cell>
          <cell r="AR503">
            <v>0</v>
          </cell>
          <cell r="AS503">
            <v>0</v>
          </cell>
          <cell r="AT503">
            <v>150</v>
          </cell>
          <cell r="AU503">
            <v>0</v>
          </cell>
          <cell r="AV503">
            <v>0</v>
          </cell>
          <cell r="AW503">
            <v>195</v>
          </cell>
          <cell r="AX503">
            <v>0</v>
          </cell>
          <cell r="AY503">
            <v>0</v>
          </cell>
          <cell r="AZ503">
            <v>15</v>
          </cell>
          <cell r="BA503">
            <v>0</v>
          </cell>
          <cell r="BB503">
            <v>0</v>
          </cell>
          <cell r="BC503">
            <v>75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5723.75</v>
          </cell>
        </row>
        <row r="504">
          <cell r="C504">
            <v>12471</v>
          </cell>
          <cell r="D504" t="str">
            <v>Somera, Prix Janshien Namuro</v>
          </cell>
          <cell r="E504">
            <v>80</v>
          </cell>
          <cell r="F504">
            <v>10</v>
          </cell>
          <cell r="G504">
            <v>600</v>
          </cell>
          <cell r="H504">
            <v>6000</v>
          </cell>
          <cell r="I504">
            <v>0</v>
          </cell>
          <cell r="J504">
            <v>1.25</v>
          </cell>
          <cell r="K504">
            <v>0</v>
          </cell>
          <cell r="L504">
            <v>2</v>
          </cell>
          <cell r="M504">
            <v>93.75</v>
          </cell>
          <cell r="N504">
            <v>187.5</v>
          </cell>
          <cell r="O504">
            <v>24</v>
          </cell>
          <cell r="P504">
            <v>7.5</v>
          </cell>
          <cell r="Q504">
            <v>180</v>
          </cell>
          <cell r="R504">
            <v>0</v>
          </cell>
          <cell r="S504">
            <v>97.5</v>
          </cell>
          <cell r="T504">
            <v>0</v>
          </cell>
          <cell r="U504">
            <v>0</v>
          </cell>
          <cell r="V504">
            <v>126.75</v>
          </cell>
          <cell r="W504">
            <v>0</v>
          </cell>
          <cell r="X504">
            <v>0</v>
          </cell>
          <cell r="Y504">
            <v>9.75</v>
          </cell>
          <cell r="Z504">
            <v>0</v>
          </cell>
          <cell r="AA504">
            <v>0</v>
          </cell>
          <cell r="AB504">
            <v>112.5</v>
          </cell>
          <cell r="AC504">
            <v>0</v>
          </cell>
          <cell r="AD504">
            <v>0</v>
          </cell>
          <cell r="AE504">
            <v>146.25</v>
          </cell>
          <cell r="AF504">
            <v>0</v>
          </cell>
          <cell r="AG504">
            <v>0</v>
          </cell>
          <cell r="AH504">
            <v>11.25</v>
          </cell>
          <cell r="AI504">
            <v>0</v>
          </cell>
          <cell r="AJ504">
            <v>0</v>
          </cell>
          <cell r="AK504">
            <v>97.5</v>
          </cell>
          <cell r="AL504">
            <v>0</v>
          </cell>
          <cell r="AM504">
            <v>0</v>
          </cell>
          <cell r="AN504">
            <v>126.75</v>
          </cell>
          <cell r="AO504">
            <v>0</v>
          </cell>
          <cell r="AP504">
            <v>0</v>
          </cell>
          <cell r="AQ504">
            <v>9.75</v>
          </cell>
          <cell r="AR504">
            <v>0</v>
          </cell>
          <cell r="AS504">
            <v>0</v>
          </cell>
          <cell r="AT504">
            <v>150</v>
          </cell>
          <cell r="AU504">
            <v>0</v>
          </cell>
          <cell r="AV504">
            <v>0</v>
          </cell>
          <cell r="AW504">
            <v>195</v>
          </cell>
          <cell r="AX504">
            <v>0</v>
          </cell>
          <cell r="AY504">
            <v>0</v>
          </cell>
          <cell r="AZ504">
            <v>15</v>
          </cell>
          <cell r="BA504">
            <v>0</v>
          </cell>
          <cell r="BB504">
            <v>0</v>
          </cell>
          <cell r="BC504">
            <v>75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6367.5</v>
          </cell>
        </row>
        <row r="505">
          <cell r="C505">
            <v>14264</v>
          </cell>
          <cell r="D505" t="str">
            <v>Sotto, Jasper Sta Cruz</v>
          </cell>
          <cell r="E505">
            <v>24</v>
          </cell>
          <cell r="F505">
            <v>3</v>
          </cell>
          <cell r="G505">
            <v>600</v>
          </cell>
          <cell r="H505">
            <v>1800</v>
          </cell>
          <cell r="I505">
            <v>0</v>
          </cell>
          <cell r="J505">
            <v>1.25</v>
          </cell>
          <cell r="K505">
            <v>0</v>
          </cell>
          <cell r="L505">
            <v>0</v>
          </cell>
          <cell r="M505">
            <v>93.75</v>
          </cell>
          <cell r="N505">
            <v>0</v>
          </cell>
          <cell r="O505">
            <v>0</v>
          </cell>
          <cell r="P505">
            <v>7.5</v>
          </cell>
          <cell r="Q505">
            <v>0</v>
          </cell>
          <cell r="R505">
            <v>0</v>
          </cell>
          <cell r="S505">
            <v>97.5</v>
          </cell>
          <cell r="T505">
            <v>0</v>
          </cell>
          <cell r="U505">
            <v>0</v>
          </cell>
          <cell r="V505">
            <v>126.75</v>
          </cell>
          <cell r="W505">
            <v>0</v>
          </cell>
          <cell r="X505">
            <v>0</v>
          </cell>
          <cell r="Y505">
            <v>9.75</v>
          </cell>
          <cell r="Z505">
            <v>0</v>
          </cell>
          <cell r="AA505">
            <v>0</v>
          </cell>
          <cell r="AB505">
            <v>112.5</v>
          </cell>
          <cell r="AC505">
            <v>0</v>
          </cell>
          <cell r="AD505">
            <v>0</v>
          </cell>
          <cell r="AE505">
            <v>146.25</v>
          </cell>
          <cell r="AF505">
            <v>0</v>
          </cell>
          <cell r="AG505">
            <v>0</v>
          </cell>
          <cell r="AH505">
            <v>11.25</v>
          </cell>
          <cell r="AI505">
            <v>0</v>
          </cell>
          <cell r="AJ505">
            <v>0</v>
          </cell>
          <cell r="AK505">
            <v>97.5</v>
          </cell>
          <cell r="AL505">
            <v>0</v>
          </cell>
          <cell r="AM505">
            <v>0</v>
          </cell>
          <cell r="AN505">
            <v>126.75</v>
          </cell>
          <cell r="AO505">
            <v>0</v>
          </cell>
          <cell r="AP505">
            <v>0</v>
          </cell>
          <cell r="AQ505">
            <v>9.75</v>
          </cell>
          <cell r="AR505">
            <v>0</v>
          </cell>
          <cell r="AS505">
            <v>0</v>
          </cell>
          <cell r="AT505">
            <v>150</v>
          </cell>
          <cell r="AU505">
            <v>0</v>
          </cell>
          <cell r="AV505">
            <v>0</v>
          </cell>
          <cell r="AW505">
            <v>195</v>
          </cell>
          <cell r="AX505">
            <v>0</v>
          </cell>
          <cell r="AY505">
            <v>0</v>
          </cell>
          <cell r="AZ505">
            <v>15</v>
          </cell>
          <cell r="BA505">
            <v>0</v>
          </cell>
          <cell r="BB505">
            <v>0</v>
          </cell>
          <cell r="BC505">
            <v>75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1800</v>
          </cell>
        </row>
        <row r="506">
          <cell r="C506">
            <v>3579</v>
          </cell>
          <cell r="D506" t="str">
            <v>Stamping, Reggie</v>
          </cell>
          <cell r="E506">
            <v>80</v>
          </cell>
          <cell r="F506">
            <v>10</v>
          </cell>
          <cell r="G506">
            <v>600</v>
          </cell>
          <cell r="H506">
            <v>6000</v>
          </cell>
          <cell r="I506">
            <v>0</v>
          </cell>
          <cell r="J506">
            <v>1.25</v>
          </cell>
          <cell r="K506">
            <v>0</v>
          </cell>
          <cell r="L506">
            <v>11</v>
          </cell>
          <cell r="M506">
            <v>93.75</v>
          </cell>
          <cell r="N506">
            <v>1031.25</v>
          </cell>
          <cell r="O506">
            <v>29</v>
          </cell>
          <cell r="P506">
            <v>7.5</v>
          </cell>
          <cell r="Q506">
            <v>217.5</v>
          </cell>
          <cell r="R506">
            <v>0</v>
          </cell>
          <cell r="S506">
            <v>97.5</v>
          </cell>
          <cell r="T506">
            <v>0</v>
          </cell>
          <cell r="U506">
            <v>0</v>
          </cell>
          <cell r="V506">
            <v>126.75</v>
          </cell>
          <cell r="W506">
            <v>0</v>
          </cell>
          <cell r="X506">
            <v>0</v>
          </cell>
          <cell r="Y506">
            <v>9.75</v>
          </cell>
          <cell r="Z506">
            <v>0</v>
          </cell>
          <cell r="AA506">
            <v>0</v>
          </cell>
          <cell r="AB506">
            <v>112.5</v>
          </cell>
          <cell r="AC506">
            <v>0</v>
          </cell>
          <cell r="AD506">
            <v>0</v>
          </cell>
          <cell r="AE506">
            <v>146.25</v>
          </cell>
          <cell r="AF506">
            <v>0</v>
          </cell>
          <cell r="AG506">
            <v>0</v>
          </cell>
          <cell r="AH506">
            <v>11.25</v>
          </cell>
          <cell r="AI506">
            <v>0</v>
          </cell>
          <cell r="AJ506">
            <v>0</v>
          </cell>
          <cell r="AK506">
            <v>97.5</v>
          </cell>
          <cell r="AL506">
            <v>0</v>
          </cell>
          <cell r="AM506">
            <v>0</v>
          </cell>
          <cell r="AN506">
            <v>126.75</v>
          </cell>
          <cell r="AO506">
            <v>0</v>
          </cell>
          <cell r="AP506">
            <v>0</v>
          </cell>
          <cell r="AQ506">
            <v>9.75</v>
          </cell>
          <cell r="AR506">
            <v>0</v>
          </cell>
          <cell r="AS506">
            <v>0</v>
          </cell>
          <cell r="AT506">
            <v>150</v>
          </cell>
          <cell r="AU506">
            <v>0</v>
          </cell>
          <cell r="AV506">
            <v>0</v>
          </cell>
          <cell r="AW506">
            <v>195</v>
          </cell>
          <cell r="AX506">
            <v>0</v>
          </cell>
          <cell r="AY506">
            <v>0</v>
          </cell>
          <cell r="AZ506">
            <v>15</v>
          </cell>
          <cell r="BA506">
            <v>0</v>
          </cell>
          <cell r="BB506">
            <v>0</v>
          </cell>
          <cell r="BC506">
            <v>75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7248.75</v>
          </cell>
        </row>
        <row r="507">
          <cell r="C507">
            <v>14299</v>
          </cell>
          <cell r="D507" t="str">
            <v>Suarez, Jahney Gupit</v>
          </cell>
          <cell r="E507">
            <v>72</v>
          </cell>
          <cell r="F507">
            <v>9</v>
          </cell>
          <cell r="G507">
            <v>600</v>
          </cell>
          <cell r="H507">
            <v>5400</v>
          </cell>
          <cell r="I507">
            <v>0</v>
          </cell>
          <cell r="J507">
            <v>1.25</v>
          </cell>
          <cell r="K507">
            <v>0</v>
          </cell>
          <cell r="L507">
            <v>14</v>
          </cell>
          <cell r="M507">
            <v>93.75</v>
          </cell>
          <cell r="N507">
            <v>1312.5</v>
          </cell>
          <cell r="O507">
            <v>0</v>
          </cell>
          <cell r="P507">
            <v>7.5</v>
          </cell>
          <cell r="Q507">
            <v>0</v>
          </cell>
          <cell r="R507">
            <v>0</v>
          </cell>
          <cell r="S507">
            <v>97.5</v>
          </cell>
          <cell r="T507">
            <v>0</v>
          </cell>
          <cell r="U507">
            <v>0</v>
          </cell>
          <cell r="V507">
            <v>126.75</v>
          </cell>
          <cell r="W507">
            <v>0</v>
          </cell>
          <cell r="X507">
            <v>0</v>
          </cell>
          <cell r="Y507">
            <v>9.75</v>
          </cell>
          <cell r="Z507">
            <v>0</v>
          </cell>
          <cell r="AA507">
            <v>0</v>
          </cell>
          <cell r="AB507">
            <v>112.5</v>
          </cell>
          <cell r="AC507">
            <v>0</v>
          </cell>
          <cell r="AD507">
            <v>0</v>
          </cell>
          <cell r="AE507">
            <v>146.25</v>
          </cell>
          <cell r="AF507">
            <v>0</v>
          </cell>
          <cell r="AG507">
            <v>0</v>
          </cell>
          <cell r="AH507">
            <v>11.25</v>
          </cell>
          <cell r="AI507">
            <v>0</v>
          </cell>
          <cell r="AJ507">
            <v>0</v>
          </cell>
          <cell r="AK507">
            <v>97.5</v>
          </cell>
          <cell r="AL507">
            <v>0</v>
          </cell>
          <cell r="AM507">
            <v>0</v>
          </cell>
          <cell r="AN507">
            <v>126.75</v>
          </cell>
          <cell r="AO507">
            <v>0</v>
          </cell>
          <cell r="AP507">
            <v>0</v>
          </cell>
          <cell r="AQ507">
            <v>9.75</v>
          </cell>
          <cell r="AR507">
            <v>0</v>
          </cell>
          <cell r="AS507">
            <v>0</v>
          </cell>
          <cell r="AT507">
            <v>150</v>
          </cell>
          <cell r="AU507">
            <v>0</v>
          </cell>
          <cell r="AV507">
            <v>0</v>
          </cell>
          <cell r="AW507">
            <v>195</v>
          </cell>
          <cell r="AX507">
            <v>0</v>
          </cell>
          <cell r="AY507">
            <v>0</v>
          </cell>
          <cell r="AZ507">
            <v>15</v>
          </cell>
          <cell r="BA507">
            <v>0</v>
          </cell>
          <cell r="BB507">
            <v>0</v>
          </cell>
          <cell r="BC507">
            <v>75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6712.5</v>
          </cell>
        </row>
        <row r="508">
          <cell r="C508">
            <v>11607</v>
          </cell>
          <cell r="D508" t="str">
            <v>Suarez, Willmer Alcaldeza</v>
          </cell>
          <cell r="E508">
            <v>76</v>
          </cell>
          <cell r="F508">
            <v>9.5</v>
          </cell>
          <cell r="G508">
            <v>600</v>
          </cell>
          <cell r="H508">
            <v>5700</v>
          </cell>
          <cell r="I508">
            <v>0</v>
          </cell>
          <cell r="J508">
            <v>1.25</v>
          </cell>
          <cell r="K508">
            <v>0</v>
          </cell>
          <cell r="L508">
            <v>6</v>
          </cell>
          <cell r="M508">
            <v>93.75</v>
          </cell>
          <cell r="N508">
            <v>562.5</v>
          </cell>
          <cell r="O508">
            <v>24</v>
          </cell>
          <cell r="P508">
            <v>7.5</v>
          </cell>
          <cell r="Q508">
            <v>180</v>
          </cell>
          <cell r="R508">
            <v>0</v>
          </cell>
          <cell r="S508">
            <v>97.5</v>
          </cell>
          <cell r="T508">
            <v>0</v>
          </cell>
          <cell r="U508">
            <v>0</v>
          </cell>
          <cell r="V508">
            <v>126.75</v>
          </cell>
          <cell r="W508">
            <v>0</v>
          </cell>
          <cell r="X508">
            <v>0</v>
          </cell>
          <cell r="Y508">
            <v>9.75</v>
          </cell>
          <cell r="Z508">
            <v>0</v>
          </cell>
          <cell r="AA508">
            <v>0</v>
          </cell>
          <cell r="AB508">
            <v>112.5</v>
          </cell>
          <cell r="AC508">
            <v>0</v>
          </cell>
          <cell r="AD508">
            <v>0</v>
          </cell>
          <cell r="AE508">
            <v>146.25</v>
          </cell>
          <cell r="AF508">
            <v>0</v>
          </cell>
          <cell r="AG508">
            <v>0</v>
          </cell>
          <cell r="AH508">
            <v>11.25</v>
          </cell>
          <cell r="AI508">
            <v>0</v>
          </cell>
          <cell r="AJ508">
            <v>0</v>
          </cell>
          <cell r="AK508">
            <v>97.5</v>
          </cell>
          <cell r="AL508">
            <v>0</v>
          </cell>
          <cell r="AM508">
            <v>0</v>
          </cell>
          <cell r="AN508">
            <v>126.75</v>
          </cell>
          <cell r="AO508">
            <v>0</v>
          </cell>
          <cell r="AP508">
            <v>0</v>
          </cell>
          <cell r="AQ508">
            <v>9.75</v>
          </cell>
          <cell r="AR508">
            <v>0</v>
          </cell>
          <cell r="AS508">
            <v>0</v>
          </cell>
          <cell r="AT508">
            <v>150</v>
          </cell>
          <cell r="AU508">
            <v>0</v>
          </cell>
          <cell r="AV508">
            <v>0</v>
          </cell>
          <cell r="AW508">
            <v>195</v>
          </cell>
          <cell r="AX508">
            <v>0</v>
          </cell>
          <cell r="AY508">
            <v>0</v>
          </cell>
          <cell r="AZ508">
            <v>15</v>
          </cell>
          <cell r="BA508">
            <v>0</v>
          </cell>
          <cell r="BB508">
            <v>0</v>
          </cell>
          <cell r="BC508">
            <v>75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6442.5</v>
          </cell>
        </row>
        <row r="509">
          <cell r="C509">
            <v>30161</v>
          </cell>
          <cell r="D509" t="str">
            <v>Suplito, Ian Dave Bedonia</v>
          </cell>
          <cell r="E509">
            <v>80</v>
          </cell>
          <cell r="F509">
            <v>10</v>
          </cell>
          <cell r="G509">
            <v>600</v>
          </cell>
          <cell r="H509">
            <v>6000</v>
          </cell>
          <cell r="I509">
            <v>3</v>
          </cell>
          <cell r="J509">
            <v>1.25</v>
          </cell>
          <cell r="K509">
            <v>-3.75</v>
          </cell>
          <cell r="L509">
            <v>12</v>
          </cell>
          <cell r="M509">
            <v>93.75</v>
          </cell>
          <cell r="N509">
            <v>1125</v>
          </cell>
          <cell r="O509">
            <v>0</v>
          </cell>
          <cell r="P509">
            <v>7.5</v>
          </cell>
          <cell r="Q509">
            <v>0</v>
          </cell>
          <cell r="R509">
            <v>0</v>
          </cell>
          <cell r="S509">
            <v>97.5</v>
          </cell>
          <cell r="T509">
            <v>0</v>
          </cell>
          <cell r="U509">
            <v>0</v>
          </cell>
          <cell r="V509">
            <v>126.75</v>
          </cell>
          <cell r="W509">
            <v>0</v>
          </cell>
          <cell r="X509">
            <v>0</v>
          </cell>
          <cell r="Y509">
            <v>9.75</v>
          </cell>
          <cell r="Z509">
            <v>0</v>
          </cell>
          <cell r="AA509">
            <v>0</v>
          </cell>
          <cell r="AB509">
            <v>112.5</v>
          </cell>
          <cell r="AC509">
            <v>0</v>
          </cell>
          <cell r="AD509">
            <v>0</v>
          </cell>
          <cell r="AE509">
            <v>146.25</v>
          </cell>
          <cell r="AF509">
            <v>0</v>
          </cell>
          <cell r="AG509">
            <v>0</v>
          </cell>
          <cell r="AH509">
            <v>11.25</v>
          </cell>
          <cell r="AI509">
            <v>0</v>
          </cell>
          <cell r="AJ509">
            <v>0</v>
          </cell>
          <cell r="AK509">
            <v>97.5</v>
          </cell>
          <cell r="AL509">
            <v>0</v>
          </cell>
          <cell r="AM509">
            <v>0</v>
          </cell>
          <cell r="AN509">
            <v>126.75</v>
          </cell>
          <cell r="AO509">
            <v>0</v>
          </cell>
          <cell r="AP509">
            <v>0</v>
          </cell>
          <cell r="AQ509">
            <v>9.75</v>
          </cell>
          <cell r="AR509">
            <v>0</v>
          </cell>
          <cell r="AS509">
            <v>0</v>
          </cell>
          <cell r="AT509">
            <v>150</v>
          </cell>
          <cell r="AU509">
            <v>0</v>
          </cell>
          <cell r="AV509">
            <v>0</v>
          </cell>
          <cell r="AW509">
            <v>195</v>
          </cell>
          <cell r="AX509">
            <v>0</v>
          </cell>
          <cell r="AY509">
            <v>0</v>
          </cell>
          <cell r="AZ509">
            <v>15</v>
          </cell>
          <cell r="BA509">
            <v>0</v>
          </cell>
          <cell r="BB509">
            <v>0</v>
          </cell>
          <cell r="BC509">
            <v>75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7121.25</v>
          </cell>
        </row>
        <row r="510">
          <cell r="C510">
            <v>10032</v>
          </cell>
          <cell r="D510" t="str">
            <v>Sural, John Mark Laudesa</v>
          </cell>
          <cell r="E510">
            <v>88</v>
          </cell>
          <cell r="F510">
            <v>11</v>
          </cell>
          <cell r="G510">
            <v>600</v>
          </cell>
          <cell r="H510">
            <v>6600</v>
          </cell>
          <cell r="I510">
            <v>0</v>
          </cell>
          <cell r="J510">
            <v>1.25</v>
          </cell>
          <cell r="K510">
            <v>0</v>
          </cell>
          <cell r="L510">
            <v>17</v>
          </cell>
          <cell r="M510">
            <v>93.75</v>
          </cell>
          <cell r="N510">
            <v>1593.75</v>
          </cell>
          <cell r="O510">
            <v>52</v>
          </cell>
          <cell r="P510">
            <v>7.5</v>
          </cell>
          <cell r="Q510">
            <v>390</v>
          </cell>
          <cell r="R510">
            <v>0</v>
          </cell>
          <cell r="S510">
            <v>97.5</v>
          </cell>
          <cell r="T510">
            <v>0</v>
          </cell>
          <cell r="U510">
            <v>0</v>
          </cell>
          <cell r="V510">
            <v>126.75</v>
          </cell>
          <cell r="W510">
            <v>0</v>
          </cell>
          <cell r="X510">
            <v>0</v>
          </cell>
          <cell r="Y510">
            <v>9.75</v>
          </cell>
          <cell r="Z510">
            <v>0</v>
          </cell>
          <cell r="AA510">
            <v>0</v>
          </cell>
          <cell r="AB510">
            <v>112.5</v>
          </cell>
          <cell r="AC510">
            <v>0</v>
          </cell>
          <cell r="AD510">
            <v>0</v>
          </cell>
          <cell r="AE510">
            <v>146.25</v>
          </cell>
          <cell r="AF510">
            <v>0</v>
          </cell>
          <cell r="AG510">
            <v>0</v>
          </cell>
          <cell r="AH510">
            <v>11.25</v>
          </cell>
          <cell r="AI510">
            <v>0</v>
          </cell>
          <cell r="AJ510">
            <v>8</v>
          </cell>
          <cell r="AK510">
            <v>97.5</v>
          </cell>
          <cell r="AL510">
            <v>780</v>
          </cell>
          <cell r="AM510">
            <v>0</v>
          </cell>
          <cell r="AN510">
            <v>126.75</v>
          </cell>
          <cell r="AO510">
            <v>0</v>
          </cell>
          <cell r="AP510">
            <v>0</v>
          </cell>
          <cell r="AQ510">
            <v>9.75</v>
          </cell>
          <cell r="AR510">
            <v>0</v>
          </cell>
          <cell r="AS510">
            <v>0</v>
          </cell>
          <cell r="AT510">
            <v>150</v>
          </cell>
          <cell r="AU510">
            <v>0</v>
          </cell>
          <cell r="AV510">
            <v>0</v>
          </cell>
          <cell r="AW510">
            <v>195</v>
          </cell>
          <cell r="AX510">
            <v>0</v>
          </cell>
          <cell r="AY510">
            <v>0</v>
          </cell>
          <cell r="AZ510">
            <v>15</v>
          </cell>
          <cell r="BA510">
            <v>0</v>
          </cell>
          <cell r="BB510">
            <v>0</v>
          </cell>
          <cell r="BC510">
            <v>75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9363.75</v>
          </cell>
        </row>
        <row r="511">
          <cell r="C511">
            <v>13236</v>
          </cell>
          <cell r="D511" t="str">
            <v>Tabios, Angelite Balictar</v>
          </cell>
          <cell r="E511">
            <v>64</v>
          </cell>
          <cell r="F511">
            <v>8</v>
          </cell>
          <cell r="G511">
            <v>600</v>
          </cell>
          <cell r="H511">
            <v>4800</v>
          </cell>
          <cell r="I511">
            <v>0</v>
          </cell>
          <cell r="J511">
            <v>1.25</v>
          </cell>
          <cell r="K511">
            <v>0</v>
          </cell>
          <cell r="L511">
            <v>14</v>
          </cell>
          <cell r="M511">
            <v>93.75</v>
          </cell>
          <cell r="N511">
            <v>1312.5</v>
          </cell>
          <cell r="O511">
            <v>0</v>
          </cell>
          <cell r="P511">
            <v>7.5</v>
          </cell>
          <cell r="Q511">
            <v>0</v>
          </cell>
          <cell r="R511">
            <v>0</v>
          </cell>
          <cell r="S511">
            <v>97.5</v>
          </cell>
          <cell r="T511">
            <v>0</v>
          </cell>
          <cell r="U511">
            <v>0</v>
          </cell>
          <cell r="V511">
            <v>126.75</v>
          </cell>
          <cell r="W511">
            <v>0</v>
          </cell>
          <cell r="X511">
            <v>0</v>
          </cell>
          <cell r="Y511">
            <v>9.75</v>
          </cell>
          <cell r="Z511">
            <v>0</v>
          </cell>
          <cell r="AA511">
            <v>0</v>
          </cell>
          <cell r="AB511">
            <v>112.5</v>
          </cell>
          <cell r="AC511">
            <v>0</v>
          </cell>
          <cell r="AD511">
            <v>0</v>
          </cell>
          <cell r="AE511">
            <v>146.25</v>
          </cell>
          <cell r="AF511">
            <v>0</v>
          </cell>
          <cell r="AG511">
            <v>0</v>
          </cell>
          <cell r="AH511">
            <v>11.25</v>
          </cell>
          <cell r="AI511">
            <v>0</v>
          </cell>
          <cell r="AJ511">
            <v>0</v>
          </cell>
          <cell r="AK511">
            <v>97.5</v>
          </cell>
          <cell r="AL511">
            <v>0</v>
          </cell>
          <cell r="AM511">
            <v>0</v>
          </cell>
          <cell r="AN511">
            <v>126.75</v>
          </cell>
          <cell r="AO511">
            <v>0</v>
          </cell>
          <cell r="AP511">
            <v>0</v>
          </cell>
          <cell r="AQ511">
            <v>9.75</v>
          </cell>
          <cell r="AR511">
            <v>0</v>
          </cell>
          <cell r="AS511">
            <v>0</v>
          </cell>
          <cell r="AT511">
            <v>150</v>
          </cell>
          <cell r="AU511">
            <v>0</v>
          </cell>
          <cell r="AV511">
            <v>0</v>
          </cell>
          <cell r="AW511">
            <v>195</v>
          </cell>
          <cell r="AX511">
            <v>0</v>
          </cell>
          <cell r="AY511">
            <v>0</v>
          </cell>
          <cell r="AZ511">
            <v>15</v>
          </cell>
          <cell r="BA511">
            <v>0</v>
          </cell>
          <cell r="BB511">
            <v>0</v>
          </cell>
          <cell r="BC511">
            <v>75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6112.5</v>
          </cell>
        </row>
        <row r="512">
          <cell r="C512">
            <v>10041</v>
          </cell>
          <cell r="D512" t="str">
            <v>Tacla, Jerico Endaya</v>
          </cell>
          <cell r="E512">
            <v>88</v>
          </cell>
          <cell r="F512">
            <v>11</v>
          </cell>
          <cell r="G512">
            <v>600</v>
          </cell>
          <cell r="H512">
            <v>6600</v>
          </cell>
          <cell r="I512">
            <v>0</v>
          </cell>
          <cell r="J512">
            <v>1.25</v>
          </cell>
          <cell r="K512">
            <v>0</v>
          </cell>
          <cell r="L512">
            <v>12</v>
          </cell>
          <cell r="M512">
            <v>93.75</v>
          </cell>
          <cell r="N512">
            <v>1125</v>
          </cell>
          <cell r="O512">
            <v>52</v>
          </cell>
          <cell r="P512">
            <v>7.5</v>
          </cell>
          <cell r="Q512">
            <v>390</v>
          </cell>
          <cell r="R512">
            <v>0</v>
          </cell>
          <cell r="S512">
            <v>97.5</v>
          </cell>
          <cell r="T512">
            <v>0</v>
          </cell>
          <cell r="U512">
            <v>0</v>
          </cell>
          <cell r="V512">
            <v>126.75</v>
          </cell>
          <cell r="W512">
            <v>0</v>
          </cell>
          <cell r="X512">
            <v>0</v>
          </cell>
          <cell r="Y512">
            <v>9.75</v>
          </cell>
          <cell r="Z512">
            <v>0</v>
          </cell>
          <cell r="AA512">
            <v>0</v>
          </cell>
          <cell r="AB512">
            <v>112.5</v>
          </cell>
          <cell r="AC512">
            <v>0</v>
          </cell>
          <cell r="AD512">
            <v>0</v>
          </cell>
          <cell r="AE512">
            <v>146.25</v>
          </cell>
          <cell r="AF512">
            <v>0</v>
          </cell>
          <cell r="AG512">
            <v>0</v>
          </cell>
          <cell r="AH512">
            <v>11.25</v>
          </cell>
          <cell r="AI512">
            <v>0</v>
          </cell>
          <cell r="AJ512">
            <v>0</v>
          </cell>
          <cell r="AK512">
            <v>97.5</v>
          </cell>
          <cell r="AL512">
            <v>0</v>
          </cell>
          <cell r="AM512">
            <v>0</v>
          </cell>
          <cell r="AN512">
            <v>126.75</v>
          </cell>
          <cell r="AO512">
            <v>0</v>
          </cell>
          <cell r="AP512">
            <v>0</v>
          </cell>
          <cell r="AQ512">
            <v>9.75</v>
          </cell>
          <cell r="AR512">
            <v>0</v>
          </cell>
          <cell r="AS512">
            <v>0</v>
          </cell>
          <cell r="AT512">
            <v>150</v>
          </cell>
          <cell r="AU512">
            <v>0</v>
          </cell>
          <cell r="AV512">
            <v>0</v>
          </cell>
          <cell r="AW512">
            <v>195</v>
          </cell>
          <cell r="AX512">
            <v>0</v>
          </cell>
          <cell r="AY512">
            <v>0</v>
          </cell>
          <cell r="AZ512">
            <v>15</v>
          </cell>
          <cell r="BA512">
            <v>0</v>
          </cell>
          <cell r="BB512">
            <v>0</v>
          </cell>
          <cell r="BC512">
            <v>75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8115</v>
          </cell>
        </row>
        <row r="513">
          <cell r="C513">
            <v>5478</v>
          </cell>
          <cell r="D513" t="str">
            <v>Tagle, Landly Alvrico</v>
          </cell>
          <cell r="E513">
            <v>80</v>
          </cell>
          <cell r="F513">
            <v>10</v>
          </cell>
          <cell r="G513">
            <v>600</v>
          </cell>
          <cell r="H513">
            <v>6000</v>
          </cell>
          <cell r="I513">
            <v>0</v>
          </cell>
          <cell r="J513">
            <v>1.25</v>
          </cell>
          <cell r="K513">
            <v>0</v>
          </cell>
          <cell r="L513">
            <v>14</v>
          </cell>
          <cell r="M513">
            <v>93.75</v>
          </cell>
          <cell r="N513">
            <v>1312.5</v>
          </cell>
          <cell r="O513">
            <v>74</v>
          </cell>
          <cell r="P513">
            <v>7.5</v>
          </cell>
          <cell r="Q513">
            <v>555</v>
          </cell>
          <cell r="R513">
            <v>0</v>
          </cell>
          <cell r="S513">
            <v>97.5</v>
          </cell>
          <cell r="T513">
            <v>0</v>
          </cell>
          <cell r="U513">
            <v>0</v>
          </cell>
          <cell r="V513">
            <v>126.75</v>
          </cell>
          <cell r="W513">
            <v>0</v>
          </cell>
          <cell r="X513">
            <v>0</v>
          </cell>
          <cell r="Y513">
            <v>9.75</v>
          </cell>
          <cell r="Z513">
            <v>0</v>
          </cell>
          <cell r="AA513">
            <v>0</v>
          </cell>
          <cell r="AB513">
            <v>112.5</v>
          </cell>
          <cell r="AC513">
            <v>0</v>
          </cell>
          <cell r="AD513">
            <v>0</v>
          </cell>
          <cell r="AE513">
            <v>146.25</v>
          </cell>
          <cell r="AF513">
            <v>0</v>
          </cell>
          <cell r="AG513">
            <v>0</v>
          </cell>
          <cell r="AH513">
            <v>11.25</v>
          </cell>
          <cell r="AI513">
            <v>0</v>
          </cell>
          <cell r="AJ513">
            <v>0</v>
          </cell>
          <cell r="AK513">
            <v>97.5</v>
          </cell>
          <cell r="AL513">
            <v>0</v>
          </cell>
          <cell r="AM513">
            <v>0</v>
          </cell>
          <cell r="AN513">
            <v>126.75</v>
          </cell>
          <cell r="AO513">
            <v>0</v>
          </cell>
          <cell r="AP513">
            <v>0</v>
          </cell>
          <cell r="AQ513">
            <v>9.75</v>
          </cell>
          <cell r="AR513">
            <v>0</v>
          </cell>
          <cell r="AS513">
            <v>0</v>
          </cell>
          <cell r="AT513">
            <v>150</v>
          </cell>
          <cell r="AU513">
            <v>0</v>
          </cell>
          <cell r="AV513">
            <v>0</v>
          </cell>
          <cell r="AW513">
            <v>195</v>
          </cell>
          <cell r="AX513">
            <v>0</v>
          </cell>
          <cell r="AY513">
            <v>0</v>
          </cell>
          <cell r="AZ513">
            <v>15</v>
          </cell>
          <cell r="BA513">
            <v>0</v>
          </cell>
          <cell r="BB513">
            <v>0</v>
          </cell>
          <cell r="BC513">
            <v>75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7867.5</v>
          </cell>
        </row>
        <row r="514">
          <cell r="C514">
            <v>14566</v>
          </cell>
          <cell r="D514" t="str">
            <v>Tandog, James Yuri Salomon</v>
          </cell>
          <cell r="E514">
            <v>80</v>
          </cell>
          <cell r="F514">
            <v>10</v>
          </cell>
          <cell r="G514">
            <v>600</v>
          </cell>
          <cell r="H514">
            <v>6000</v>
          </cell>
          <cell r="I514">
            <v>0</v>
          </cell>
          <cell r="J514">
            <v>1.25</v>
          </cell>
          <cell r="K514">
            <v>0</v>
          </cell>
          <cell r="L514">
            <v>16</v>
          </cell>
          <cell r="M514">
            <v>93.75</v>
          </cell>
          <cell r="N514">
            <v>1500</v>
          </cell>
          <cell r="O514">
            <v>30</v>
          </cell>
          <cell r="P514">
            <v>7.5</v>
          </cell>
          <cell r="Q514">
            <v>225</v>
          </cell>
          <cell r="R514">
            <v>0</v>
          </cell>
          <cell r="S514">
            <v>97.5</v>
          </cell>
          <cell r="T514">
            <v>0</v>
          </cell>
          <cell r="U514">
            <v>0</v>
          </cell>
          <cell r="V514">
            <v>126.75</v>
          </cell>
          <cell r="W514">
            <v>0</v>
          </cell>
          <cell r="X514">
            <v>0</v>
          </cell>
          <cell r="Y514">
            <v>9.75</v>
          </cell>
          <cell r="Z514">
            <v>0</v>
          </cell>
          <cell r="AA514">
            <v>0</v>
          </cell>
          <cell r="AB514">
            <v>112.5</v>
          </cell>
          <cell r="AC514">
            <v>0</v>
          </cell>
          <cell r="AD514">
            <v>0</v>
          </cell>
          <cell r="AE514">
            <v>146.25</v>
          </cell>
          <cell r="AF514">
            <v>0</v>
          </cell>
          <cell r="AG514">
            <v>0</v>
          </cell>
          <cell r="AH514">
            <v>11.25</v>
          </cell>
          <cell r="AI514">
            <v>0</v>
          </cell>
          <cell r="AJ514">
            <v>0</v>
          </cell>
          <cell r="AK514">
            <v>97.5</v>
          </cell>
          <cell r="AL514">
            <v>0</v>
          </cell>
          <cell r="AM514">
            <v>0</v>
          </cell>
          <cell r="AN514">
            <v>126.75</v>
          </cell>
          <cell r="AO514">
            <v>0</v>
          </cell>
          <cell r="AP514">
            <v>0</v>
          </cell>
          <cell r="AQ514">
            <v>9.75</v>
          </cell>
          <cell r="AR514">
            <v>0</v>
          </cell>
          <cell r="AS514">
            <v>0</v>
          </cell>
          <cell r="AT514">
            <v>150</v>
          </cell>
          <cell r="AU514">
            <v>0</v>
          </cell>
          <cell r="AV514">
            <v>0</v>
          </cell>
          <cell r="AW514">
            <v>195</v>
          </cell>
          <cell r="AX514">
            <v>0</v>
          </cell>
          <cell r="AY514">
            <v>0</v>
          </cell>
          <cell r="AZ514">
            <v>15</v>
          </cell>
          <cell r="BA514">
            <v>0</v>
          </cell>
          <cell r="BB514">
            <v>0</v>
          </cell>
          <cell r="BC514">
            <v>75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7725</v>
          </cell>
        </row>
        <row r="515">
          <cell r="C515">
            <v>7498</v>
          </cell>
          <cell r="D515" t="str">
            <v>Tano, RobertJR. Batosin</v>
          </cell>
          <cell r="E515">
            <v>88</v>
          </cell>
          <cell r="F515">
            <v>11</v>
          </cell>
          <cell r="G515">
            <v>600</v>
          </cell>
          <cell r="H515">
            <v>6600</v>
          </cell>
          <cell r="I515">
            <v>26</v>
          </cell>
          <cell r="J515">
            <v>1.25</v>
          </cell>
          <cell r="K515">
            <v>-32.5</v>
          </cell>
          <cell r="L515">
            <v>40</v>
          </cell>
          <cell r="M515">
            <v>93.75</v>
          </cell>
          <cell r="N515">
            <v>3750</v>
          </cell>
          <cell r="O515">
            <v>6</v>
          </cell>
          <cell r="P515">
            <v>7.5</v>
          </cell>
          <cell r="Q515">
            <v>45</v>
          </cell>
          <cell r="R515">
            <v>0</v>
          </cell>
          <cell r="S515">
            <v>97.5</v>
          </cell>
          <cell r="T515">
            <v>0</v>
          </cell>
          <cell r="U515">
            <v>0</v>
          </cell>
          <cell r="V515">
            <v>126.75</v>
          </cell>
          <cell r="W515">
            <v>0</v>
          </cell>
          <cell r="X515">
            <v>0</v>
          </cell>
          <cell r="Y515">
            <v>9.75</v>
          </cell>
          <cell r="Z515">
            <v>0</v>
          </cell>
          <cell r="AA515">
            <v>0</v>
          </cell>
          <cell r="AB515">
            <v>112.5</v>
          </cell>
          <cell r="AC515">
            <v>0</v>
          </cell>
          <cell r="AD515">
            <v>0</v>
          </cell>
          <cell r="AE515">
            <v>146.25</v>
          </cell>
          <cell r="AF515">
            <v>0</v>
          </cell>
          <cell r="AG515">
            <v>0</v>
          </cell>
          <cell r="AH515">
            <v>11.25</v>
          </cell>
          <cell r="AI515">
            <v>0</v>
          </cell>
          <cell r="AJ515">
            <v>8</v>
          </cell>
          <cell r="AK515">
            <v>97.5</v>
          </cell>
          <cell r="AL515">
            <v>780</v>
          </cell>
          <cell r="AM515">
            <v>0</v>
          </cell>
          <cell r="AN515">
            <v>126.75</v>
          </cell>
          <cell r="AO515">
            <v>0</v>
          </cell>
          <cell r="AP515">
            <v>0</v>
          </cell>
          <cell r="AQ515">
            <v>9.75</v>
          </cell>
          <cell r="AR515">
            <v>0</v>
          </cell>
          <cell r="AS515">
            <v>0</v>
          </cell>
          <cell r="AT515">
            <v>150</v>
          </cell>
          <cell r="AU515">
            <v>0</v>
          </cell>
          <cell r="AV515">
            <v>0</v>
          </cell>
          <cell r="AW515">
            <v>195</v>
          </cell>
          <cell r="AX515">
            <v>0</v>
          </cell>
          <cell r="AY515">
            <v>0</v>
          </cell>
          <cell r="AZ515">
            <v>15</v>
          </cell>
          <cell r="BA515">
            <v>0</v>
          </cell>
          <cell r="BB515">
            <v>0</v>
          </cell>
          <cell r="BC515">
            <v>75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11142.5</v>
          </cell>
        </row>
        <row r="516">
          <cell r="C516">
            <v>14753</v>
          </cell>
          <cell r="D516" t="str">
            <v>Timosa, Arliza NA</v>
          </cell>
          <cell r="E516">
            <v>80</v>
          </cell>
          <cell r="F516">
            <v>10</v>
          </cell>
          <cell r="G516">
            <v>600</v>
          </cell>
          <cell r="H516">
            <v>6000</v>
          </cell>
          <cell r="I516">
            <v>0</v>
          </cell>
          <cell r="J516">
            <v>1.25</v>
          </cell>
          <cell r="K516">
            <v>0</v>
          </cell>
          <cell r="L516">
            <v>6</v>
          </cell>
          <cell r="M516">
            <v>93.75</v>
          </cell>
          <cell r="N516">
            <v>562.5</v>
          </cell>
          <cell r="O516">
            <v>0</v>
          </cell>
          <cell r="P516">
            <v>7.5</v>
          </cell>
          <cell r="Q516">
            <v>0</v>
          </cell>
          <cell r="R516">
            <v>0</v>
          </cell>
          <cell r="S516">
            <v>97.5</v>
          </cell>
          <cell r="T516">
            <v>0</v>
          </cell>
          <cell r="U516">
            <v>0</v>
          </cell>
          <cell r="V516">
            <v>126.75</v>
          </cell>
          <cell r="W516">
            <v>0</v>
          </cell>
          <cell r="X516">
            <v>0</v>
          </cell>
          <cell r="Y516">
            <v>9.75</v>
          </cell>
          <cell r="Z516">
            <v>0</v>
          </cell>
          <cell r="AA516">
            <v>0</v>
          </cell>
          <cell r="AB516">
            <v>112.5</v>
          </cell>
          <cell r="AC516">
            <v>0</v>
          </cell>
          <cell r="AD516">
            <v>0</v>
          </cell>
          <cell r="AE516">
            <v>146.25</v>
          </cell>
          <cell r="AF516">
            <v>0</v>
          </cell>
          <cell r="AG516">
            <v>0</v>
          </cell>
          <cell r="AH516">
            <v>11.25</v>
          </cell>
          <cell r="AI516">
            <v>0</v>
          </cell>
          <cell r="AJ516">
            <v>0</v>
          </cell>
          <cell r="AK516">
            <v>97.5</v>
          </cell>
          <cell r="AL516">
            <v>0</v>
          </cell>
          <cell r="AM516">
            <v>0</v>
          </cell>
          <cell r="AN516">
            <v>126.75</v>
          </cell>
          <cell r="AO516">
            <v>0</v>
          </cell>
          <cell r="AP516">
            <v>0</v>
          </cell>
          <cell r="AQ516">
            <v>9.75</v>
          </cell>
          <cell r="AR516">
            <v>0</v>
          </cell>
          <cell r="AS516">
            <v>0</v>
          </cell>
          <cell r="AT516">
            <v>150</v>
          </cell>
          <cell r="AU516">
            <v>0</v>
          </cell>
          <cell r="AV516">
            <v>0</v>
          </cell>
          <cell r="AW516">
            <v>195</v>
          </cell>
          <cell r="AX516">
            <v>0</v>
          </cell>
          <cell r="AY516">
            <v>0</v>
          </cell>
          <cell r="AZ516">
            <v>15</v>
          </cell>
          <cell r="BA516">
            <v>0</v>
          </cell>
          <cell r="BB516">
            <v>0</v>
          </cell>
          <cell r="BC516">
            <v>75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6562.5</v>
          </cell>
        </row>
        <row r="517">
          <cell r="C517">
            <v>11741</v>
          </cell>
          <cell r="D517" t="str">
            <v>Tolentino, Evangeline De Silva</v>
          </cell>
          <cell r="E517">
            <v>80</v>
          </cell>
          <cell r="F517">
            <v>10</v>
          </cell>
          <cell r="G517">
            <v>600</v>
          </cell>
          <cell r="H517">
            <v>6000</v>
          </cell>
          <cell r="I517">
            <v>0</v>
          </cell>
          <cell r="J517">
            <v>1.25</v>
          </cell>
          <cell r="K517">
            <v>0</v>
          </cell>
          <cell r="L517">
            <v>15</v>
          </cell>
          <cell r="M517">
            <v>93.75</v>
          </cell>
          <cell r="N517">
            <v>1406.25</v>
          </cell>
          <cell r="O517">
            <v>0</v>
          </cell>
          <cell r="P517">
            <v>7.5</v>
          </cell>
          <cell r="Q517">
            <v>0</v>
          </cell>
          <cell r="R517">
            <v>0</v>
          </cell>
          <cell r="S517">
            <v>97.5</v>
          </cell>
          <cell r="T517">
            <v>0</v>
          </cell>
          <cell r="U517">
            <v>0</v>
          </cell>
          <cell r="V517">
            <v>126.75</v>
          </cell>
          <cell r="W517">
            <v>0</v>
          </cell>
          <cell r="X517">
            <v>0</v>
          </cell>
          <cell r="Y517">
            <v>9.75</v>
          </cell>
          <cell r="Z517">
            <v>0</v>
          </cell>
          <cell r="AA517">
            <v>0</v>
          </cell>
          <cell r="AB517">
            <v>112.5</v>
          </cell>
          <cell r="AC517">
            <v>0</v>
          </cell>
          <cell r="AD517">
            <v>0</v>
          </cell>
          <cell r="AE517">
            <v>146.25</v>
          </cell>
          <cell r="AF517">
            <v>0</v>
          </cell>
          <cell r="AG517">
            <v>0</v>
          </cell>
          <cell r="AH517">
            <v>11.25</v>
          </cell>
          <cell r="AI517">
            <v>0</v>
          </cell>
          <cell r="AJ517">
            <v>0</v>
          </cell>
          <cell r="AK517">
            <v>97.5</v>
          </cell>
          <cell r="AL517">
            <v>0</v>
          </cell>
          <cell r="AM517">
            <v>0</v>
          </cell>
          <cell r="AN517">
            <v>126.75</v>
          </cell>
          <cell r="AO517">
            <v>0</v>
          </cell>
          <cell r="AP517">
            <v>0</v>
          </cell>
          <cell r="AQ517">
            <v>9.75</v>
          </cell>
          <cell r="AR517">
            <v>0</v>
          </cell>
          <cell r="AS517">
            <v>0</v>
          </cell>
          <cell r="AT517">
            <v>150</v>
          </cell>
          <cell r="AU517">
            <v>0</v>
          </cell>
          <cell r="AV517">
            <v>0</v>
          </cell>
          <cell r="AW517">
            <v>195</v>
          </cell>
          <cell r="AX517">
            <v>0</v>
          </cell>
          <cell r="AY517">
            <v>0</v>
          </cell>
          <cell r="AZ517">
            <v>15</v>
          </cell>
          <cell r="BA517">
            <v>0</v>
          </cell>
          <cell r="BB517">
            <v>0</v>
          </cell>
          <cell r="BC517">
            <v>75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7406.25</v>
          </cell>
        </row>
        <row r="518">
          <cell r="C518">
            <v>13375</v>
          </cell>
          <cell r="D518" t="str">
            <v>Tolentino, John Loyd De Silva</v>
          </cell>
          <cell r="E518">
            <v>80</v>
          </cell>
          <cell r="F518">
            <v>10</v>
          </cell>
          <cell r="G518">
            <v>600</v>
          </cell>
          <cell r="H518">
            <v>6000</v>
          </cell>
          <cell r="I518">
            <v>0</v>
          </cell>
          <cell r="J518">
            <v>1.25</v>
          </cell>
          <cell r="K518">
            <v>0</v>
          </cell>
          <cell r="L518">
            <v>14</v>
          </cell>
          <cell r="M518">
            <v>93.75</v>
          </cell>
          <cell r="N518">
            <v>1312.5</v>
          </cell>
          <cell r="O518">
            <v>0</v>
          </cell>
          <cell r="P518">
            <v>7.5</v>
          </cell>
          <cell r="Q518">
            <v>0</v>
          </cell>
          <cell r="R518">
            <v>0</v>
          </cell>
          <cell r="S518">
            <v>97.5</v>
          </cell>
          <cell r="T518">
            <v>0</v>
          </cell>
          <cell r="U518">
            <v>0</v>
          </cell>
          <cell r="V518">
            <v>126.75</v>
          </cell>
          <cell r="W518">
            <v>0</v>
          </cell>
          <cell r="X518">
            <v>0</v>
          </cell>
          <cell r="Y518">
            <v>9.75</v>
          </cell>
          <cell r="Z518">
            <v>0</v>
          </cell>
          <cell r="AA518">
            <v>0</v>
          </cell>
          <cell r="AB518">
            <v>112.5</v>
          </cell>
          <cell r="AC518">
            <v>0</v>
          </cell>
          <cell r="AD518">
            <v>0</v>
          </cell>
          <cell r="AE518">
            <v>146.25</v>
          </cell>
          <cell r="AF518">
            <v>0</v>
          </cell>
          <cell r="AG518">
            <v>0</v>
          </cell>
          <cell r="AH518">
            <v>11.25</v>
          </cell>
          <cell r="AI518">
            <v>0</v>
          </cell>
          <cell r="AJ518">
            <v>0</v>
          </cell>
          <cell r="AK518">
            <v>97.5</v>
          </cell>
          <cell r="AL518">
            <v>0</v>
          </cell>
          <cell r="AM518">
            <v>0</v>
          </cell>
          <cell r="AN518">
            <v>126.75</v>
          </cell>
          <cell r="AO518">
            <v>0</v>
          </cell>
          <cell r="AP518">
            <v>0</v>
          </cell>
          <cell r="AQ518">
            <v>9.75</v>
          </cell>
          <cell r="AR518">
            <v>0</v>
          </cell>
          <cell r="AS518">
            <v>0</v>
          </cell>
          <cell r="AT518">
            <v>150</v>
          </cell>
          <cell r="AU518">
            <v>0</v>
          </cell>
          <cell r="AV518">
            <v>0</v>
          </cell>
          <cell r="AW518">
            <v>195</v>
          </cell>
          <cell r="AX518">
            <v>0</v>
          </cell>
          <cell r="AY518">
            <v>0</v>
          </cell>
          <cell r="AZ518">
            <v>15</v>
          </cell>
          <cell r="BA518">
            <v>0</v>
          </cell>
          <cell r="BB518">
            <v>0</v>
          </cell>
          <cell r="BC518">
            <v>75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7312.5</v>
          </cell>
        </row>
        <row r="519">
          <cell r="C519">
            <v>6712</v>
          </cell>
          <cell r="D519" t="str">
            <v>Tolentino, Karen Goot</v>
          </cell>
          <cell r="E519">
            <v>88</v>
          </cell>
          <cell r="F519">
            <v>11</v>
          </cell>
          <cell r="G519">
            <v>600</v>
          </cell>
          <cell r="H519">
            <v>6600</v>
          </cell>
          <cell r="I519">
            <v>0</v>
          </cell>
          <cell r="J519">
            <v>1.25</v>
          </cell>
          <cell r="K519">
            <v>0</v>
          </cell>
          <cell r="L519">
            <v>16</v>
          </cell>
          <cell r="M519">
            <v>93.75</v>
          </cell>
          <cell r="N519">
            <v>1500</v>
          </cell>
          <cell r="O519">
            <v>54</v>
          </cell>
          <cell r="P519">
            <v>7.5</v>
          </cell>
          <cell r="Q519">
            <v>405</v>
          </cell>
          <cell r="R519">
            <v>0</v>
          </cell>
          <cell r="S519">
            <v>97.5</v>
          </cell>
          <cell r="T519">
            <v>0</v>
          </cell>
          <cell r="U519">
            <v>0</v>
          </cell>
          <cell r="V519">
            <v>126.75</v>
          </cell>
          <cell r="W519">
            <v>0</v>
          </cell>
          <cell r="X519">
            <v>0</v>
          </cell>
          <cell r="Y519">
            <v>9.75</v>
          </cell>
          <cell r="Z519">
            <v>0</v>
          </cell>
          <cell r="AA519">
            <v>0</v>
          </cell>
          <cell r="AB519">
            <v>112.5</v>
          </cell>
          <cell r="AC519">
            <v>0</v>
          </cell>
          <cell r="AD519">
            <v>0</v>
          </cell>
          <cell r="AE519">
            <v>146.25</v>
          </cell>
          <cell r="AF519">
            <v>0</v>
          </cell>
          <cell r="AG519">
            <v>0</v>
          </cell>
          <cell r="AH519">
            <v>11.25</v>
          </cell>
          <cell r="AI519">
            <v>0</v>
          </cell>
          <cell r="AJ519">
            <v>0</v>
          </cell>
          <cell r="AK519">
            <v>97.5</v>
          </cell>
          <cell r="AL519">
            <v>0</v>
          </cell>
          <cell r="AM519">
            <v>0</v>
          </cell>
          <cell r="AN519">
            <v>126.75</v>
          </cell>
          <cell r="AO519">
            <v>0</v>
          </cell>
          <cell r="AP519">
            <v>0</v>
          </cell>
          <cell r="AQ519">
            <v>9.75</v>
          </cell>
          <cell r="AR519">
            <v>0</v>
          </cell>
          <cell r="AS519">
            <v>0</v>
          </cell>
          <cell r="AT519">
            <v>150</v>
          </cell>
          <cell r="AU519">
            <v>0</v>
          </cell>
          <cell r="AV519">
            <v>0</v>
          </cell>
          <cell r="AW519">
            <v>195</v>
          </cell>
          <cell r="AX519">
            <v>0</v>
          </cell>
          <cell r="AY519">
            <v>0</v>
          </cell>
          <cell r="AZ519">
            <v>15</v>
          </cell>
          <cell r="BA519">
            <v>0</v>
          </cell>
          <cell r="BB519">
            <v>0</v>
          </cell>
          <cell r="BC519">
            <v>75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8505</v>
          </cell>
        </row>
        <row r="520">
          <cell r="C520">
            <v>30210</v>
          </cell>
          <cell r="D520" t="str">
            <v>Turiano, Luis Mari Aurellano</v>
          </cell>
          <cell r="E520">
            <v>80</v>
          </cell>
          <cell r="F520">
            <v>10</v>
          </cell>
          <cell r="G520">
            <v>600</v>
          </cell>
          <cell r="H520">
            <v>6000</v>
          </cell>
          <cell r="I520">
            <v>0</v>
          </cell>
          <cell r="J520">
            <v>1.25</v>
          </cell>
          <cell r="K520">
            <v>0</v>
          </cell>
          <cell r="L520">
            <v>6</v>
          </cell>
          <cell r="M520">
            <v>93.75</v>
          </cell>
          <cell r="N520">
            <v>562.5</v>
          </cell>
          <cell r="O520">
            <v>0</v>
          </cell>
          <cell r="P520">
            <v>7.5</v>
          </cell>
          <cell r="Q520">
            <v>0</v>
          </cell>
          <cell r="R520">
            <v>0</v>
          </cell>
          <cell r="S520">
            <v>97.5</v>
          </cell>
          <cell r="T520">
            <v>0</v>
          </cell>
          <cell r="U520">
            <v>0</v>
          </cell>
          <cell r="V520">
            <v>126.75</v>
          </cell>
          <cell r="W520">
            <v>0</v>
          </cell>
          <cell r="X520">
            <v>0</v>
          </cell>
          <cell r="Y520">
            <v>9.75</v>
          </cell>
          <cell r="Z520">
            <v>0</v>
          </cell>
          <cell r="AA520">
            <v>0</v>
          </cell>
          <cell r="AB520">
            <v>112.5</v>
          </cell>
          <cell r="AC520">
            <v>0</v>
          </cell>
          <cell r="AD520">
            <v>0</v>
          </cell>
          <cell r="AE520">
            <v>146.25</v>
          </cell>
          <cell r="AF520">
            <v>0</v>
          </cell>
          <cell r="AG520">
            <v>0</v>
          </cell>
          <cell r="AH520">
            <v>11.25</v>
          </cell>
          <cell r="AI520">
            <v>0</v>
          </cell>
          <cell r="AJ520">
            <v>0</v>
          </cell>
          <cell r="AK520">
            <v>97.5</v>
          </cell>
          <cell r="AL520">
            <v>0</v>
          </cell>
          <cell r="AM520">
            <v>0</v>
          </cell>
          <cell r="AN520">
            <v>126.75</v>
          </cell>
          <cell r="AO520">
            <v>0</v>
          </cell>
          <cell r="AP520">
            <v>0</v>
          </cell>
          <cell r="AQ520">
            <v>9.75</v>
          </cell>
          <cell r="AR520">
            <v>0</v>
          </cell>
          <cell r="AS520">
            <v>0</v>
          </cell>
          <cell r="AT520">
            <v>150</v>
          </cell>
          <cell r="AU520">
            <v>0</v>
          </cell>
          <cell r="AV520">
            <v>0</v>
          </cell>
          <cell r="AW520">
            <v>195</v>
          </cell>
          <cell r="AX520">
            <v>0</v>
          </cell>
          <cell r="AY520">
            <v>0</v>
          </cell>
          <cell r="AZ520">
            <v>15</v>
          </cell>
          <cell r="BA520">
            <v>0</v>
          </cell>
          <cell r="BB520">
            <v>0</v>
          </cell>
          <cell r="BC520">
            <v>75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6562.5</v>
          </cell>
        </row>
        <row r="521">
          <cell r="C521">
            <v>7502</v>
          </cell>
          <cell r="D521" t="str">
            <v>Ugaban, Dangie Nialla</v>
          </cell>
          <cell r="E521">
            <v>76</v>
          </cell>
          <cell r="F521">
            <v>9.5</v>
          </cell>
          <cell r="G521">
            <v>600</v>
          </cell>
          <cell r="H521">
            <v>5700</v>
          </cell>
          <cell r="I521">
            <v>0</v>
          </cell>
          <cell r="J521">
            <v>1.25</v>
          </cell>
          <cell r="K521">
            <v>0</v>
          </cell>
          <cell r="L521">
            <v>8</v>
          </cell>
          <cell r="M521">
            <v>93.75</v>
          </cell>
          <cell r="N521">
            <v>750</v>
          </cell>
          <cell r="O521">
            <v>0</v>
          </cell>
          <cell r="P521">
            <v>7.5</v>
          </cell>
          <cell r="Q521">
            <v>0</v>
          </cell>
          <cell r="R521">
            <v>0</v>
          </cell>
          <cell r="S521">
            <v>97.5</v>
          </cell>
          <cell r="T521">
            <v>0</v>
          </cell>
          <cell r="U521">
            <v>0</v>
          </cell>
          <cell r="V521">
            <v>126.75</v>
          </cell>
          <cell r="W521">
            <v>0</v>
          </cell>
          <cell r="X521">
            <v>0</v>
          </cell>
          <cell r="Y521">
            <v>9.75</v>
          </cell>
          <cell r="Z521">
            <v>0</v>
          </cell>
          <cell r="AA521">
            <v>0</v>
          </cell>
          <cell r="AB521">
            <v>112.5</v>
          </cell>
          <cell r="AC521">
            <v>0</v>
          </cell>
          <cell r="AD521">
            <v>0</v>
          </cell>
          <cell r="AE521">
            <v>146.25</v>
          </cell>
          <cell r="AF521">
            <v>0</v>
          </cell>
          <cell r="AG521">
            <v>0</v>
          </cell>
          <cell r="AH521">
            <v>11.25</v>
          </cell>
          <cell r="AI521">
            <v>0</v>
          </cell>
          <cell r="AJ521">
            <v>0</v>
          </cell>
          <cell r="AK521">
            <v>97.5</v>
          </cell>
          <cell r="AL521">
            <v>0</v>
          </cell>
          <cell r="AM521">
            <v>0</v>
          </cell>
          <cell r="AN521">
            <v>126.75</v>
          </cell>
          <cell r="AO521">
            <v>0</v>
          </cell>
          <cell r="AP521">
            <v>0</v>
          </cell>
          <cell r="AQ521">
            <v>9.75</v>
          </cell>
          <cell r="AR521">
            <v>0</v>
          </cell>
          <cell r="AS521">
            <v>0</v>
          </cell>
          <cell r="AT521">
            <v>150</v>
          </cell>
          <cell r="AU521">
            <v>0</v>
          </cell>
          <cell r="AV521">
            <v>0</v>
          </cell>
          <cell r="AW521">
            <v>195</v>
          </cell>
          <cell r="AX521">
            <v>0</v>
          </cell>
          <cell r="AY521">
            <v>0</v>
          </cell>
          <cell r="AZ521">
            <v>15</v>
          </cell>
          <cell r="BA521">
            <v>0</v>
          </cell>
          <cell r="BB521">
            <v>0</v>
          </cell>
          <cell r="BC521">
            <v>75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6450</v>
          </cell>
        </row>
        <row r="522">
          <cell r="C522">
            <v>7503</v>
          </cell>
          <cell r="D522" t="str">
            <v>Umali , Catherine Artificio</v>
          </cell>
          <cell r="E522">
            <v>80</v>
          </cell>
          <cell r="F522">
            <v>10</v>
          </cell>
          <cell r="G522">
            <v>600</v>
          </cell>
          <cell r="H522">
            <v>6000</v>
          </cell>
          <cell r="I522">
            <v>0</v>
          </cell>
          <cell r="J522">
            <v>1.25</v>
          </cell>
          <cell r="K522">
            <v>0</v>
          </cell>
          <cell r="L522">
            <v>12</v>
          </cell>
          <cell r="M522">
            <v>93.75</v>
          </cell>
          <cell r="N522">
            <v>1125</v>
          </cell>
          <cell r="O522">
            <v>0</v>
          </cell>
          <cell r="P522">
            <v>7.5</v>
          </cell>
          <cell r="Q522">
            <v>0</v>
          </cell>
          <cell r="R522">
            <v>0</v>
          </cell>
          <cell r="S522">
            <v>97.5</v>
          </cell>
          <cell r="T522">
            <v>0</v>
          </cell>
          <cell r="U522">
            <v>0</v>
          </cell>
          <cell r="V522">
            <v>126.75</v>
          </cell>
          <cell r="W522">
            <v>0</v>
          </cell>
          <cell r="X522">
            <v>0</v>
          </cell>
          <cell r="Y522">
            <v>9.75</v>
          </cell>
          <cell r="Z522">
            <v>0</v>
          </cell>
          <cell r="AA522">
            <v>0</v>
          </cell>
          <cell r="AB522">
            <v>112.5</v>
          </cell>
          <cell r="AC522">
            <v>0</v>
          </cell>
          <cell r="AD522">
            <v>0</v>
          </cell>
          <cell r="AE522">
            <v>146.25</v>
          </cell>
          <cell r="AF522">
            <v>0</v>
          </cell>
          <cell r="AG522">
            <v>0</v>
          </cell>
          <cell r="AH522">
            <v>11.25</v>
          </cell>
          <cell r="AI522">
            <v>0</v>
          </cell>
          <cell r="AJ522">
            <v>0</v>
          </cell>
          <cell r="AK522">
            <v>97.5</v>
          </cell>
          <cell r="AL522">
            <v>0</v>
          </cell>
          <cell r="AM522">
            <v>0</v>
          </cell>
          <cell r="AN522">
            <v>126.75</v>
          </cell>
          <cell r="AO522">
            <v>0</v>
          </cell>
          <cell r="AP522">
            <v>0</v>
          </cell>
          <cell r="AQ522">
            <v>9.75</v>
          </cell>
          <cell r="AR522">
            <v>0</v>
          </cell>
          <cell r="AS522">
            <v>0</v>
          </cell>
          <cell r="AT522">
            <v>150</v>
          </cell>
          <cell r="AU522">
            <v>0</v>
          </cell>
          <cell r="AV522">
            <v>0</v>
          </cell>
          <cell r="AW522">
            <v>195</v>
          </cell>
          <cell r="AX522">
            <v>0</v>
          </cell>
          <cell r="AY522">
            <v>0</v>
          </cell>
          <cell r="AZ522">
            <v>15</v>
          </cell>
          <cell r="BA522">
            <v>0</v>
          </cell>
          <cell r="BB522">
            <v>0</v>
          </cell>
          <cell r="BC522">
            <v>75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7125</v>
          </cell>
        </row>
        <row r="523">
          <cell r="C523">
            <v>14188</v>
          </cell>
          <cell r="D523" t="str">
            <v>Umali, Jay Merlyn Poso</v>
          </cell>
          <cell r="E523">
            <v>88</v>
          </cell>
          <cell r="F523">
            <v>11</v>
          </cell>
          <cell r="G523">
            <v>600</v>
          </cell>
          <cell r="H523">
            <v>6600</v>
          </cell>
          <cell r="I523">
            <v>0</v>
          </cell>
          <cell r="J523">
            <v>1.25</v>
          </cell>
          <cell r="K523">
            <v>0</v>
          </cell>
          <cell r="L523">
            <v>16</v>
          </cell>
          <cell r="M523">
            <v>93.75</v>
          </cell>
          <cell r="N523">
            <v>1500</v>
          </cell>
          <cell r="O523">
            <v>46</v>
          </cell>
          <cell r="P523">
            <v>7.5</v>
          </cell>
          <cell r="Q523">
            <v>345</v>
          </cell>
          <cell r="R523">
            <v>0</v>
          </cell>
          <cell r="S523">
            <v>97.5</v>
          </cell>
          <cell r="T523">
            <v>0</v>
          </cell>
          <cell r="U523">
            <v>0</v>
          </cell>
          <cell r="V523">
            <v>126.75</v>
          </cell>
          <cell r="W523">
            <v>0</v>
          </cell>
          <cell r="X523">
            <v>0</v>
          </cell>
          <cell r="Y523">
            <v>9.75</v>
          </cell>
          <cell r="Z523">
            <v>0</v>
          </cell>
          <cell r="AA523">
            <v>0</v>
          </cell>
          <cell r="AB523">
            <v>112.5</v>
          </cell>
          <cell r="AC523">
            <v>0</v>
          </cell>
          <cell r="AD523">
            <v>0</v>
          </cell>
          <cell r="AE523">
            <v>146.25</v>
          </cell>
          <cell r="AF523">
            <v>0</v>
          </cell>
          <cell r="AG523">
            <v>0</v>
          </cell>
          <cell r="AH523">
            <v>11.25</v>
          </cell>
          <cell r="AI523">
            <v>0</v>
          </cell>
          <cell r="AJ523">
            <v>0</v>
          </cell>
          <cell r="AK523">
            <v>97.5</v>
          </cell>
          <cell r="AL523">
            <v>0</v>
          </cell>
          <cell r="AM523">
            <v>0</v>
          </cell>
          <cell r="AN523">
            <v>126.75</v>
          </cell>
          <cell r="AO523">
            <v>0</v>
          </cell>
          <cell r="AP523">
            <v>0</v>
          </cell>
          <cell r="AQ523">
            <v>9.75</v>
          </cell>
          <cell r="AR523">
            <v>0</v>
          </cell>
          <cell r="AS523">
            <v>0</v>
          </cell>
          <cell r="AT523">
            <v>150</v>
          </cell>
          <cell r="AU523">
            <v>0</v>
          </cell>
          <cell r="AV523">
            <v>0</v>
          </cell>
          <cell r="AW523">
            <v>195</v>
          </cell>
          <cell r="AX523">
            <v>0</v>
          </cell>
          <cell r="AY523">
            <v>0</v>
          </cell>
          <cell r="AZ523">
            <v>15</v>
          </cell>
          <cell r="BA523">
            <v>0</v>
          </cell>
          <cell r="BB523">
            <v>0</v>
          </cell>
          <cell r="BC523">
            <v>75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8445</v>
          </cell>
        </row>
        <row r="524">
          <cell r="C524">
            <v>7505</v>
          </cell>
          <cell r="D524" t="str">
            <v>Vale, Christine Ann</v>
          </cell>
          <cell r="E524">
            <v>64</v>
          </cell>
          <cell r="F524">
            <v>8</v>
          </cell>
          <cell r="G524">
            <v>600</v>
          </cell>
          <cell r="H524">
            <v>4800</v>
          </cell>
          <cell r="I524">
            <v>0</v>
          </cell>
          <cell r="J524">
            <v>1.25</v>
          </cell>
          <cell r="K524">
            <v>0</v>
          </cell>
          <cell r="L524">
            <v>4</v>
          </cell>
          <cell r="M524">
            <v>93.75</v>
          </cell>
          <cell r="N524">
            <v>375</v>
          </cell>
          <cell r="O524">
            <v>0</v>
          </cell>
          <cell r="P524">
            <v>7.5</v>
          </cell>
          <cell r="Q524">
            <v>0</v>
          </cell>
          <cell r="R524">
            <v>0</v>
          </cell>
          <cell r="S524">
            <v>97.5</v>
          </cell>
          <cell r="T524">
            <v>0</v>
          </cell>
          <cell r="U524">
            <v>0</v>
          </cell>
          <cell r="V524">
            <v>126.75</v>
          </cell>
          <cell r="W524">
            <v>0</v>
          </cell>
          <cell r="X524">
            <v>0</v>
          </cell>
          <cell r="Y524">
            <v>9.75</v>
          </cell>
          <cell r="Z524">
            <v>0</v>
          </cell>
          <cell r="AA524">
            <v>0</v>
          </cell>
          <cell r="AB524">
            <v>112.5</v>
          </cell>
          <cell r="AC524">
            <v>0</v>
          </cell>
          <cell r="AD524">
            <v>0</v>
          </cell>
          <cell r="AE524">
            <v>146.25</v>
          </cell>
          <cell r="AF524">
            <v>0</v>
          </cell>
          <cell r="AG524">
            <v>0</v>
          </cell>
          <cell r="AH524">
            <v>11.25</v>
          </cell>
          <cell r="AI524">
            <v>0</v>
          </cell>
          <cell r="AJ524">
            <v>0</v>
          </cell>
          <cell r="AK524">
            <v>97.5</v>
          </cell>
          <cell r="AL524">
            <v>0</v>
          </cell>
          <cell r="AM524">
            <v>0</v>
          </cell>
          <cell r="AN524">
            <v>126.75</v>
          </cell>
          <cell r="AO524">
            <v>0</v>
          </cell>
          <cell r="AP524">
            <v>0</v>
          </cell>
          <cell r="AQ524">
            <v>9.75</v>
          </cell>
          <cell r="AR524">
            <v>0</v>
          </cell>
          <cell r="AS524">
            <v>0</v>
          </cell>
          <cell r="AT524">
            <v>150</v>
          </cell>
          <cell r="AU524">
            <v>0</v>
          </cell>
          <cell r="AV524">
            <v>0</v>
          </cell>
          <cell r="AW524">
            <v>195</v>
          </cell>
          <cell r="AX524">
            <v>0</v>
          </cell>
          <cell r="AY524">
            <v>0</v>
          </cell>
          <cell r="AZ524">
            <v>15</v>
          </cell>
          <cell r="BA524">
            <v>0</v>
          </cell>
          <cell r="BB524">
            <v>0</v>
          </cell>
          <cell r="BC524">
            <v>75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5175</v>
          </cell>
        </row>
        <row r="525">
          <cell r="C525">
            <v>30682</v>
          </cell>
          <cell r="D525" t="str">
            <v>Vargas, Jeann Grace Idea</v>
          </cell>
          <cell r="E525">
            <v>76</v>
          </cell>
          <cell r="F525">
            <v>9.5</v>
          </cell>
          <cell r="G525">
            <v>600</v>
          </cell>
          <cell r="H525">
            <v>5700</v>
          </cell>
          <cell r="I525">
            <v>0</v>
          </cell>
          <cell r="J525">
            <v>1.25</v>
          </cell>
          <cell r="K525">
            <v>0</v>
          </cell>
          <cell r="L525">
            <v>11</v>
          </cell>
          <cell r="M525">
            <v>93.75</v>
          </cell>
          <cell r="N525">
            <v>1031.25</v>
          </cell>
          <cell r="O525">
            <v>0</v>
          </cell>
          <cell r="P525">
            <v>7.5</v>
          </cell>
          <cell r="Q525">
            <v>0</v>
          </cell>
          <cell r="R525">
            <v>8</v>
          </cell>
          <cell r="S525">
            <v>97.5</v>
          </cell>
          <cell r="T525">
            <v>780</v>
          </cell>
          <cell r="U525">
            <v>0</v>
          </cell>
          <cell r="V525">
            <v>126.75</v>
          </cell>
          <cell r="W525">
            <v>0</v>
          </cell>
          <cell r="X525">
            <v>0</v>
          </cell>
          <cell r="Y525">
            <v>9.75</v>
          </cell>
          <cell r="Z525">
            <v>0</v>
          </cell>
          <cell r="AA525">
            <v>0</v>
          </cell>
          <cell r="AB525">
            <v>112.5</v>
          </cell>
          <cell r="AC525">
            <v>0</v>
          </cell>
          <cell r="AD525">
            <v>0</v>
          </cell>
          <cell r="AE525">
            <v>146.25</v>
          </cell>
          <cell r="AF525">
            <v>0</v>
          </cell>
          <cell r="AG525">
            <v>0</v>
          </cell>
          <cell r="AH525">
            <v>11.25</v>
          </cell>
          <cell r="AI525">
            <v>0</v>
          </cell>
          <cell r="AJ525">
            <v>0</v>
          </cell>
          <cell r="AK525">
            <v>97.5</v>
          </cell>
          <cell r="AL525">
            <v>0</v>
          </cell>
          <cell r="AM525">
            <v>0</v>
          </cell>
          <cell r="AN525">
            <v>126.75</v>
          </cell>
          <cell r="AO525">
            <v>0</v>
          </cell>
          <cell r="AP525">
            <v>0</v>
          </cell>
          <cell r="AQ525">
            <v>9.75</v>
          </cell>
          <cell r="AR525">
            <v>0</v>
          </cell>
          <cell r="AS525">
            <v>0</v>
          </cell>
          <cell r="AT525">
            <v>150</v>
          </cell>
          <cell r="AU525">
            <v>0</v>
          </cell>
          <cell r="AV525">
            <v>0</v>
          </cell>
          <cell r="AW525">
            <v>195</v>
          </cell>
          <cell r="AX525">
            <v>0</v>
          </cell>
          <cell r="AY525">
            <v>0</v>
          </cell>
          <cell r="AZ525">
            <v>15</v>
          </cell>
          <cell r="BA525">
            <v>0</v>
          </cell>
          <cell r="BB525">
            <v>0</v>
          </cell>
          <cell r="BC525">
            <v>75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7511.25</v>
          </cell>
        </row>
        <row r="526">
          <cell r="C526">
            <v>7500</v>
          </cell>
          <cell r="D526" t="str">
            <v>Vega, Joycel Cartujano</v>
          </cell>
          <cell r="E526">
            <v>80</v>
          </cell>
          <cell r="F526">
            <v>10</v>
          </cell>
          <cell r="G526">
            <v>600</v>
          </cell>
          <cell r="H526">
            <v>6000</v>
          </cell>
          <cell r="I526">
            <v>0</v>
          </cell>
          <cell r="J526">
            <v>1.25</v>
          </cell>
          <cell r="K526">
            <v>0</v>
          </cell>
          <cell r="L526">
            <v>14</v>
          </cell>
          <cell r="M526">
            <v>93.75</v>
          </cell>
          <cell r="N526">
            <v>1312.5</v>
          </cell>
          <cell r="O526">
            <v>30</v>
          </cell>
          <cell r="P526">
            <v>7.5</v>
          </cell>
          <cell r="Q526">
            <v>225</v>
          </cell>
          <cell r="R526">
            <v>0</v>
          </cell>
          <cell r="S526">
            <v>97.5</v>
          </cell>
          <cell r="T526">
            <v>0</v>
          </cell>
          <cell r="U526">
            <v>0</v>
          </cell>
          <cell r="V526">
            <v>126.75</v>
          </cell>
          <cell r="W526">
            <v>0</v>
          </cell>
          <cell r="X526">
            <v>0</v>
          </cell>
          <cell r="Y526">
            <v>9.75</v>
          </cell>
          <cell r="Z526">
            <v>0</v>
          </cell>
          <cell r="AA526">
            <v>0</v>
          </cell>
          <cell r="AB526">
            <v>112.5</v>
          </cell>
          <cell r="AC526">
            <v>0</v>
          </cell>
          <cell r="AD526">
            <v>0</v>
          </cell>
          <cell r="AE526">
            <v>146.25</v>
          </cell>
          <cell r="AF526">
            <v>0</v>
          </cell>
          <cell r="AG526">
            <v>0</v>
          </cell>
          <cell r="AH526">
            <v>11.25</v>
          </cell>
          <cell r="AI526">
            <v>0</v>
          </cell>
          <cell r="AJ526">
            <v>0</v>
          </cell>
          <cell r="AK526">
            <v>97.5</v>
          </cell>
          <cell r="AL526">
            <v>0</v>
          </cell>
          <cell r="AM526">
            <v>0</v>
          </cell>
          <cell r="AN526">
            <v>126.75</v>
          </cell>
          <cell r="AO526">
            <v>0</v>
          </cell>
          <cell r="AP526">
            <v>0</v>
          </cell>
          <cell r="AQ526">
            <v>9.75</v>
          </cell>
          <cell r="AR526">
            <v>0</v>
          </cell>
          <cell r="AS526">
            <v>0</v>
          </cell>
          <cell r="AT526">
            <v>150</v>
          </cell>
          <cell r="AU526">
            <v>0</v>
          </cell>
          <cell r="AV526">
            <v>0</v>
          </cell>
          <cell r="AW526">
            <v>195</v>
          </cell>
          <cell r="AX526">
            <v>0</v>
          </cell>
          <cell r="AY526">
            <v>0</v>
          </cell>
          <cell r="AZ526">
            <v>15</v>
          </cell>
          <cell r="BA526">
            <v>0</v>
          </cell>
          <cell r="BB526">
            <v>0</v>
          </cell>
          <cell r="BC526">
            <v>75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7537.5</v>
          </cell>
        </row>
        <row r="527">
          <cell r="C527">
            <v>3838</v>
          </cell>
          <cell r="D527" t="str">
            <v>Verganio, Lovely Gloria</v>
          </cell>
          <cell r="E527">
            <v>88</v>
          </cell>
          <cell r="F527">
            <v>11</v>
          </cell>
          <cell r="G527">
            <v>600</v>
          </cell>
          <cell r="H527">
            <v>6600</v>
          </cell>
          <cell r="I527">
            <v>0</v>
          </cell>
          <cell r="J527">
            <v>1.25</v>
          </cell>
          <cell r="K527">
            <v>0</v>
          </cell>
          <cell r="L527">
            <v>14</v>
          </cell>
          <cell r="M527">
            <v>93.75</v>
          </cell>
          <cell r="N527">
            <v>1312.5</v>
          </cell>
          <cell r="O527">
            <v>46</v>
          </cell>
          <cell r="P527">
            <v>7.5</v>
          </cell>
          <cell r="Q527">
            <v>345</v>
          </cell>
          <cell r="R527">
            <v>0</v>
          </cell>
          <cell r="S527">
            <v>97.5</v>
          </cell>
          <cell r="T527">
            <v>0</v>
          </cell>
          <cell r="U527">
            <v>0</v>
          </cell>
          <cell r="V527">
            <v>126.75</v>
          </cell>
          <cell r="W527">
            <v>0</v>
          </cell>
          <cell r="X527">
            <v>0</v>
          </cell>
          <cell r="Y527">
            <v>9.75</v>
          </cell>
          <cell r="Z527">
            <v>0</v>
          </cell>
          <cell r="AA527">
            <v>0</v>
          </cell>
          <cell r="AB527">
            <v>112.5</v>
          </cell>
          <cell r="AC527">
            <v>0</v>
          </cell>
          <cell r="AD527">
            <v>0</v>
          </cell>
          <cell r="AE527">
            <v>146.25</v>
          </cell>
          <cell r="AF527">
            <v>0</v>
          </cell>
          <cell r="AG527">
            <v>0</v>
          </cell>
          <cell r="AH527">
            <v>11.25</v>
          </cell>
          <cell r="AI527">
            <v>0</v>
          </cell>
          <cell r="AJ527">
            <v>0</v>
          </cell>
          <cell r="AK527">
            <v>97.5</v>
          </cell>
          <cell r="AL527">
            <v>0</v>
          </cell>
          <cell r="AM527">
            <v>0</v>
          </cell>
          <cell r="AN527">
            <v>126.75</v>
          </cell>
          <cell r="AO527">
            <v>0</v>
          </cell>
          <cell r="AP527">
            <v>0</v>
          </cell>
          <cell r="AQ527">
            <v>9.75</v>
          </cell>
          <cell r="AR527">
            <v>0</v>
          </cell>
          <cell r="AS527">
            <v>0</v>
          </cell>
          <cell r="AT527">
            <v>150</v>
          </cell>
          <cell r="AU527">
            <v>0</v>
          </cell>
          <cell r="AV527">
            <v>0</v>
          </cell>
          <cell r="AW527">
            <v>195</v>
          </cell>
          <cell r="AX527">
            <v>0</v>
          </cell>
          <cell r="AY527">
            <v>0</v>
          </cell>
          <cell r="AZ527">
            <v>15</v>
          </cell>
          <cell r="BA527">
            <v>0</v>
          </cell>
          <cell r="BB527">
            <v>0</v>
          </cell>
          <cell r="BC527">
            <v>75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8257.5</v>
          </cell>
        </row>
        <row r="528">
          <cell r="C528">
            <v>10042</v>
          </cell>
          <cell r="D528" t="str">
            <v>Vicencio, Jovel Janaban</v>
          </cell>
          <cell r="E528">
            <v>88</v>
          </cell>
          <cell r="F528">
            <v>11</v>
          </cell>
          <cell r="G528">
            <v>600</v>
          </cell>
          <cell r="H528">
            <v>6600</v>
          </cell>
          <cell r="I528">
            <v>0</v>
          </cell>
          <cell r="J528">
            <v>1.25</v>
          </cell>
          <cell r="K528">
            <v>0</v>
          </cell>
          <cell r="L528">
            <v>20</v>
          </cell>
          <cell r="M528">
            <v>93.75</v>
          </cell>
          <cell r="N528">
            <v>1875</v>
          </cell>
          <cell r="O528">
            <v>54</v>
          </cell>
          <cell r="P528">
            <v>7.5</v>
          </cell>
          <cell r="Q528">
            <v>405</v>
          </cell>
          <cell r="R528">
            <v>0</v>
          </cell>
          <cell r="S528">
            <v>97.5</v>
          </cell>
          <cell r="T528">
            <v>0</v>
          </cell>
          <cell r="U528">
            <v>0</v>
          </cell>
          <cell r="V528">
            <v>126.75</v>
          </cell>
          <cell r="W528">
            <v>0</v>
          </cell>
          <cell r="X528">
            <v>0</v>
          </cell>
          <cell r="Y528">
            <v>9.75</v>
          </cell>
          <cell r="Z528">
            <v>0</v>
          </cell>
          <cell r="AA528">
            <v>0</v>
          </cell>
          <cell r="AB528">
            <v>112.5</v>
          </cell>
          <cell r="AC528">
            <v>0</v>
          </cell>
          <cell r="AD528">
            <v>0</v>
          </cell>
          <cell r="AE528">
            <v>146.25</v>
          </cell>
          <cell r="AF528">
            <v>0</v>
          </cell>
          <cell r="AG528">
            <v>0</v>
          </cell>
          <cell r="AH528">
            <v>11.25</v>
          </cell>
          <cell r="AI528">
            <v>0</v>
          </cell>
          <cell r="AJ528">
            <v>8</v>
          </cell>
          <cell r="AK528">
            <v>97.5</v>
          </cell>
          <cell r="AL528">
            <v>780</v>
          </cell>
          <cell r="AM528">
            <v>0</v>
          </cell>
          <cell r="AN528">
            <v>126.75</v>
          </cell>
          <cell r="AO528">
            <v>0</v>
          </cell>
          <cell r="AP528">
            <v>0</v>
          </cell>
          <cell r="AQ528">
            <v>9.75</v>
          </cell>
          <cell r="AR528">
            <v>0</v>
          </cell>
          <cell r="AS528">
            <v>0</v>
          </cell>
          <cell r="AT528">
            <v>150</v>
          </cell>
          <cell r="AU528">
            <v>0</v>
          </cell>
          <cell r="AV528">
            <v>0</v>
          </cell>
          <cell r="AW528">
            <v>195</v>
          </cell>
          <cell r="AX528">
            <v>0</v>
          </cell>
          <cell r="AY528">
            <v>0</v>
          </cell>
          <cell r="AZ528">
            <v>15</v>
          </cell>
          <cell r="BA528">
            <v>0</v>
          </cell>
          <cell r="BB528">
            <v>0</v>
          </cell>
          <cell r="BC528">
            <v>75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9660</v>
          </cell>
        </row>
        <row r="529">
          <cell r="C529">
            <v>7506</v>
          </cell>
          <cell r="D529" t="str">
            <v>Vicente, Louella Cabras</v>
          </cell>
          <cell r="E529">
            <v>64</v>
          </cell>
          <cell r="F529">
            <v>8</v>
          </cell>
          <cell r="G529">
            <v>600</v>
          </cell>
          <cell r="H529">
            <v>4800</v>
          </cell>
          <cell r="I529">
            <v>0</v>
          </cell>
          <cell r="J529">
            <v>1.25</v>
          </cell>
          <cell r="K529">
            <v>0</v>
          </cell>
          <cell r="L529">
            <v>8</v>
          </cell>
          <cell r="M529">
            <v>93.75</v>
          </cell>
          <cell r="N529">
            <v>750</v>
          </cell>
          <cell r="O529">
            <v>50</v>
          </cell>
          <cell r="P529">
            <v>7.5</v>
          </cell>
          <cell r="Q529">
            <v>375</v>
          </cell>
          <cell r="R529">
            <v>0</v>
          </cell>
          <cell r="S529">
            <v>97.5</v>
          </cell>
          <cell r="T529">
            <v>0</v>
          </cell>
          <cell r="U529">
            <v>0</v>
          </cell>
          <cell r="V529">
            <v>126.75</v>
          </cell>
          <cell r="W529">
            <v>0</v>
          </cell>
          <cell r="X529">
            <v>0</v>
          </cell>
          <cell r="Y529">
            <v>9.75</v>
          </cell>
          <cell r="Z529">
            <v>0</v>
          </cell>
          <cell r="AA529">
            <v>0</v>
          </cell>
          <cell r="AB529">
            <v>112.5</v>
          </cell>
          <cell r="AC529">
            <v>0</v>
          </cell>
          <cell r="AD529">
            <v>0</v>
          </cell>
          <cell r="AE529">
            <v>146.25</v>
          </cell>
          <cell r="AF529">
            <v>0</v>
          </cell>
          <cell r="AG529">
            <v>0</v>
          </cell>
          <cell r="AH529">
            <v>11.25</v>
          </cell>
          <cell r="AI529">
            <v>0</v>
          </cell>
          <cell r="AJ529">
            <v>0</v>
          </cell>
          <cell r="AK529">
            <v>97.5</v>
          </cell>
          <cell r="AL529">
            <v>0</v>
          </cell>
          <cell r="AM529">
            <v>0</v>
          </cell>
          <cell r="AN529">
            <v>126.75</v>
          </cell>
          <cell r="AO529">
            <v>0</v>
          </cell>
          <cell r="AP529">
            <v>0</v>
          </cell>
          <cell r="AQ529">
            <v>9.75</v>
          </cell>
          <cell r="AR529">
            <v>0</v>
          </cell>
          <cell r="AS529">
            <v>0</v>
          </cell>
          <cell r="AT529">
            <v>150</v>
          </cell>
          <cell r="AU529">
            <v>0</v>
          </cell>
          <cell r="AV529">
            <v>0</v>
          </cell>
          <cell r="AW529">
            <v>195</v>
          </cell>
          <cell r="AX529">
            <v>0</v>
          </cell>
          <cell r="AY529">
            <v>0</v>
          </cell>
          <cell r="AZ529">
            <v>15</v>
          </cell>
          <cell r="BA529">
            <v>0</v>
          </cell>
          <cell r="BB529">
            <v>0</v>
          </cell>
          <cell r="BC529">
            <v>75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5925</v>
          </cell>
        </row>
        <row r="530">
          <cell r="C530">
            <v>14311</v>
          </cell>
          <cell r="D530" t="str">
            <v>Villamor, Cherry Ann Catarata</v>
          </cell>
          <cell r="E530">
            <v>80</v>
          </cell>
          <cell r="F530">
            <v>10</v>
          </cell>
          <cell r="G530">
            <v>600</v>
          </cell>
          <cell r="H530">
            <v>6000</v>
          </cell>
          <cell r="I530">
            <v>0</v>
          </cell>
          <cell r="J530">
            <v>1.25</v>
          </cell>
          <cell r="K530">
            <v>0</v>
          </cell>
          <cell r="L530">
            <v>14</v>
          </cell>
          <cell r="M530">
            <v>93.75</v>
          </cell>
          <cell r="N530">
            <v>1312.5</v>
          </cell>
          <cell r="O530">
            <v>0</v>
          </cell>
          <cell r="P530">
            <v>7.5</v>
          </cell>
          <cell r="Q530">
            <v>0</v>
          </cell>
          <cell r="R530">
            <v>0</v>
          </cell>
          <cell r="S530">
            <v>97.5</v>
          </cell>
          <cell r="T530">
            <v>0</v>
          </cell>
          <cell r="U530">
            <v>0</v>
          </cell>
          <cell r="V530">
            <v>126.75</v>
          </cell>
          <cell r="W530">
            <v>0</v>
          </cell>
          <cell r="X530">
            <v>0</v>
          </cell>
          <cell r="Y530">
            <v>9.75</v>
          </cell>
          <cell r="Z530">
            <v>0</v>
          </cell>
          <cell r="AA530">
            <v>0</v>
          </cell>
          <cell r="AB530">
            <v>112.5</v>
          </cell>
          <cell r="AC530">
            <v>0</v>
          </cell>
          <cell r="AD530">
            <v>0</v>
          </cell>
          <cell r="AE530">
            <v>146.25</v>
          </cell>
          <cell r="AF530">
            <v>0</v>
          </cell>
          <cell r="AG530">
            <v>0</v>
          </cell>
          <cell r="AH530">
            <v>11.25</v>
          </cell>
          <cell r="AI530">
            <v>0</v>
          </cell>
          <cell r="AJ530">
            <v>0</v>
          </cell>
          <cell r="AK530">
            <v>97.5</v>
          </cell>
          <cell r="AL530">
            <v>0</v>
          </cell>
          <cell r="AM530">
            <v>0</v>
          </cell>
          <cell r="AN530">
            <v>126.75</v>
          </cell>
          <cell r="AO530">
            <v>0</v>
          </cell>
          <cell r="AP530">
            <v>0</v>
          </cell>
          <cell r="AQ530">
            <v>9.75</v>
          </cell>
          <cell r="AR530">
            <v>0</v>
          </cell>
          <cell r="AS530">
            <v>0</v>
          </cell>
          <cell r="AT530">
            <v>150</v>
          </cell>
          <cell r="AU530">
            <v>0</v>
          </cell>
          <cell r="AV530">
            <v>0</v>
          </cell>
          <cell r="AW530">
            <v>195</v>
          </cell>
          <cell r="AX530">
            <v>0</v>
          </cell>
          <cell r="AY530">
            <v>0</v>
          </cell>
          <cell r="AZ530">
            <v>15</v>
          </cell>
          <cell r="BA530">
            <v>0</v>
          </cell>
          <cell r="BB530">
            <v>0</v>
          </cell>
          <cell r="BC530">
            <v>75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7312.5</v>
          </cell>
        </row>
        <row r="531">
          <cell r="C531">
            <v>11876</v>
          </cell>
          <cell r="D531" t="str">
            <v>Villaverde, Trisha Monica Laguador</v>
          </cell>
          <cell r="E531">
            <v>72</v>
          </cell>
          <cell r="F531">
            <v>9</v>
          </cell>
          <cell r="G531">
            <v>600</v>
          </cell>
          <cell r="H531">
            <v>5400</v>
          </cell>
          <cell r="I531">
            <v>0</v>
          </cell>
          <cell r="J531">
            <v>1.25</v>
          </cell>
          <cell r="K531">
            <v>0</v>
          </cell>
          <cell r="L531">
            <v>10</v>
          </cell>
          <cell r="M531">
            <v>93.75</v>
          </cell>
          <cell r="N531">
            <v>937.5</v>
          </cell>
          <cell r="O531">
            <v>0</v>
          </cell>
          <cell r="P531">
            <v>7.5</v>
          </cell>
          <cell r="Q531">
            <v>0</v>
          </cell>
          <cell r="R531">
            <v>0</v>
          </cell>
          <cell r="S531">
            <v>97.5</v>
          </cell>
          <cell r="T531">
            <v>0</v>
          </cell>
          <cell r="U531">
            <v>0</v>
          </cell>
          <cell r="V531">
            <v>126.75</v>
          </cell>
          <cell r="W531">
            <v>0</v>
          </cell>
          <cell r="X531">
            <v>0</v>
          </cell>
          <cell r="Y531">
            <v>9.75</v>
          </cell>
          <cell r="Z531">
            <v>0</v>
          </cell>
          <cell r="AA531">
            <v>0</v>
          </cell>
          <cell r="AB531">
            <v>112.5</v>
          </cell>
          <cell r="AC531">
            <v>0</v>
          </cell>
          <cell r="AD531">
            <v>0</v>
          </cell>
          <cell r="AE531">
            <v>146.25</v>
          </cell>
          <cell r="AF531">
            <v>0</v>
          </cell>
          <cell r="AG531">
            <v>0</v>
          </cell>
          <cell r="AH531">
            <v>11.25</v>
          </cell>
          <cell r="AI531">
            <v>0</v>
          </cell>
          <cell r="AJ531">
            <v>0</v>
          </cell>
          <cell r="AK531">
            <v>97.5</v>
          </cell>
          <cell r="AL531">
            <v>0</v>
          </cell>
          <cell r="AM531">
            <v>0</v>
          </cell>
          <cell r="AN531">
            <v>126.75</v>
          </cell>
          <cell r="AO531">
            <v>0</v>
          </cell>
          <cell r="AP531">
            <v>0</v>
          </cell>
          <cell r="AQ531">
            <v>9.75</v>
          </cell>
          <cell r="AR531">
            <v>0</v>
          </cell>
          <cell r="AS531">
            <v>0</v>
          </cell>
          <cell r="AT531">
            <v>150</v>
          </cell>
          <cell r="AU531">
            <v>0</v>
          </cell>
          <cell r="AV531">
            <v>0</v>
          </cell>
          <cell r="AW531">
            <v>195</v>
          </cell>
          <cell r="AX531">
            <v>0</v>
          </cell>
          <cell r="AY531">
            <v>0</v>
          </cell>
          <cell r="AZ531">
            <v>15</v>
          </cell>
          <cell r="BA531">
            <v>0</v>
          </cell>
          <cell r="BB531">
            <v>0</v>
          </cell>
          <cell r="BC531">
            <v>75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6337.5</v>
          </cell>
        </row>
        <row r="532">
          <cell r="C532">
            <v>7512</v>
          </cell>
          <cell r="D532" t="str">
            <v>Wael, Claraine Pineda</v>
          </cell>
          <cell r="E532">
            <v>32</v>
          </cell>
          <cell r="F532">
            <v>4</v>
          </cell>
          <cell r="G532">
            <v>600</v>
          </cell>
          <cell r="H532">
            <v>2400</v>
          </cell>
          <cell r="I532">
            <v>0</v>
          </cell>
          <cell r="J532">
            <v>1.25</v>
          </cell>
          <cell r="K532">
            <v>0</v>
          </cell>
          <cell r="L532">
            <v>4</v>
          </cell>
          <cell r="M532">
            <v>93.75</v>
          </cell>
          <cell r="N532">
            <v>375</v>
          </cell>
          <cell r="O532">
            <v>0</v>
          </cell>
          <cell r="P532">
            <v>7.5</v>
          </cell>
          <cell r="Q532">
            <v>0</v>
          </cell>
          <cell r="R532">
            <v>0</v>
          </cell>
          <cell r="S532">
            <v>97.5</v>
          </cell>
          <cell r="T532">
            <v>0</v>
          </cell>
          <cell r="U532">
            <v>0</v>
          </cell>
          <cell r="V532">
            <v>126.75</v>
          </cell>
          <cell r="W532">
            <v>0</v>
          </cell>
          <cell r="X532">
            <v>0</v>
          </cell>
          <cell r="Y532">
            <v>9.75</v>
          </cell>
          <cell r="Z532">
            <v>0</v>
          </cell>
          <cell r="AA532">
            <v>0</v>
          </cell>
          <cell r="AB532">
            <v>112.5</v>
          </cell>
          <cell r="AC532">
            <v>0</v>
          </cell>
          <cell r="AD532">
            <v>0</v>
          </cell>
          <cell r="AE532">
            <v>146.25</v>
          </cell>
          <cell r="AF532">
            <v>0</v>
          </cell>
          <cell r="AG532">
            <v>0</v>
          </cell>
          <cell r="AH532">
            <v>11.25</v>
          </cell>
          <cell r="AI532">
            <v>0</v>
          </cell>
          <cell r="AJ532">
            <v>0</v>
          </cell>
          <cell r="AK532">
            <v>97.5</v>
          </cell>
          <cell r="AL532">
            <v>0</v>
          </cell>
          <cell r="AM532">
            <v>0</v>
          </cell>
          <cell r="AN532">
            <v>126.75</v>
          </cell>
          <cell r="AO532">
            <v>0</v>
          </cell>
          <cell r="AP532">
            <v>0</v>
          </cell>
          <cell r="AQ532">
            <v>9.75</v>
          </cell>
          <cell r="AR532">
            <v>0</v>
          </cell>
          <cell r="AS532">
            <v>0</v>
          </cell>
          <cell r="AT532">
            <v>150</v>
          </cell>
          <cell r="AU532">
            <v>0</v>
          </cell>
          <cell r="AV532">
            <v>0</v>
          </cell>
          <cell r="AW532">
            <v>195</v>
          </cell>
          <cell r="AX532">
            <v>0</v>
          </cell>
          <cell r="AY532">
            <v>0</v>
          </cell>
          <cell r="AZ532">
            <v>15</v>
          </cell>
          <cell r="BA532">
            <v>0</v>
          </cell>
          <cell r="BB532">
            <v>0</v>
          </cell>
          <cell r="BC532">
            <v>75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2775</v>
          </cell>
        </row>
        <row r="533">
          <cell r="C533">
            <v>10365</v>
          </cell>
          <cell r="D533" t="str">
            <v>Yanoc, R.J.</v>
          </cell>
          <cell r="E533">
            <v>68</v>
          </cell>
          <cell r="F533">
            <v>8.5</v>
          </cell>
          <cell r="G533">
            <v>600</v>
          </cell>
          <cell r="H533">
            <v>5100</v>
          </cell>
          <cell r="I533">
            <v>5</v>
          </cell>
          <cell r="J533">
            <v>1.25</v>
          </cell>
          <cell r="K533">
            <v>-6.25</v>
          </cell>
          <cell r="L533">
            <v>6</v>
          </cell>
          <cell r="M533">
            <v>93.75</v>
          </cell>
          <cell r="N533">
            <v>562.5</v>
          </cell>
          <cell r="O533">
            <v>26</v>
          </cell>
          <cell r="P533">
            <v>7.5</v>
          </cell>
          <cell r="Q533">
            <v>195</v>
          </cell>
          <cell r="R533">
            <v>0</v>
          </cell>
          <cell r="S533">
            <v>97.5</v>
          </cell>
          <cell r="T533">
            <v>0</v>
          </cell>
          <cell r="U533">
            <v>0</v>
          </cell>
          <cell r="V533">
            <v>126.75</v>
          </cell>
          <cell r="W533">
            <v>0</v>
          </cell>
          <cell r="X533">
            <v>0</v>
          </cell>
          <cell r="Y533">
            <v>9.75</v>
          </cell>
          <cell r="Z533">
            <v>0</v>
          </cell>
          <cell r="AA533">
            <v>0</v>
          </cell>
          <cell r="AB533">
            <v>112.5</v>
          </cell>
          <cell r="AC533">
            <v>0</v>
          </cell>
          <cell r="AD533">
            <v>0</v>
          </cell>
          <cell r="AE533">
            <v>146.25</v>
          </cell>
          <cell r="AF533">
            <v>0</v>
          </cell>
          <cell r="AG533">
            <v>0</v>
          </cell>
          <cell r="AH533">
            <v>11.25</v>
          </cell>
          <cell r="AI533">
            <v>0</v>
          </cell>
          <cell r="AJ533">
            <v>0</v>
          </cell>
          <cell r="AK533">
            <v>97.5</v>
          </cell>
          <cell r="AL533">
            <v>0</v>
          </cell>
          <cell r="AM533">
            <v>0</v>
          </cell>
          <cell r="AN533">
            <v>126.75</v>
          </cell>
          <cell r="AO533">
            <v>0</v>
          </cell>
          <cell r="AP533">
            <v>0</v>
          </cell>
          <cell r="AQ533">
            <v>9.75</v>
          </cell>
          <cell r="AR533">
            <v>0</v>
          </cell>
          <cell r="AS533">
            <v>0</v>
          </cell>
          <cell r="AT533">
            <v>150</v>
          </cell>
          <cell r="AU533">
            <v>0</v>
          </cell>
          <cell r="AV533">
            <v>0</v>
          </cell>
          <cell r="AW533">
            <v>195</v>
          </cell>
          <cell r="AX533">
            <v>0</v>
          </cell>
          <cell r="AY533">
            <v>0</v>
          </cell>
          <cell r="AZ533">
            <v>15</v>
          </cell>
          <cell r="BA533">
            <v>0</v>
          </cell>
          <cell r="BB533">
            <v>0</v>
          </cell>
          <cell r="BC533">
            <v>75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5851.25</v>
          </cell>
        </row>
        <row r="534">
          <cell r="C534">
            <v>14542</v>
          </cell>
          <cell r="D534" t="str">
            <v>Yongkol, Pauline De Roxas</v>
          </cell>
          <cell r="E534">
            <v>64</v>
          </cell>
          <cell r="F534">
            <v>8</v>
          </cell>
          <cell r="G534">
            <v>600</v>
          </cell>
          <cell r="H534">
            <v>4800</v>
          </cell>
          <cell r="I534">
            <v>0</v>
          </cell>
          <cell r="J534">
            <v>1.25</v>
          </cell>
          <cell r="K534">
            <v>0</v>
          </cell>
          <cell r="L534">
            <v>10</v>
          </cell>
          <cell r="M534">
            <v>93.75</v>
          </cell>
          <cell r="N534">
            <v>937.5</v>
          </cell>
          <cell r="O534">
            <v>0</v>
          </cell>
          <cell r="P534">
            <v>7.5</v>
          </cell>
          <cell r="Q534">
            <v>0</v>
          </cell>
          <cell r="R534">
            <v>0</v>
          </cell>
          <cell r="S534">
            <v>97.5</v>
          </cell>
          <cell r="T534">
            <v>0</v>
          </cell>
          <cell r="U534">
            <v>0</v>
          </cell>
          <cell r="V534">
            <v>126.75</v>
          </cell>
          <cell r="W534">
            <v>0</v>
          </cell>
          <cell r="X534">
            <v>0</v>
          </cell>
          <cell r="Y534">
            <v>9.75</v>
          </cell>
          <cell r="Z534">
            <v>0</v>
          </cell>
          <cell r="AA534">
            <v>0</v>
          </cell>
          <cell r="AB534">
            <v>112.5</v>
          </cell>
          <cell r="AC534">
            <v>0</v>
          </cell>
          <cell r="AD534">
            <v>0</v>
          </cell>
          <cell r="AE534">
            <v>146.25</v>
          </cell>
          <cell r="AF534">
            <v>0</v>
          </cell>
          <cell r="AG534">
            <v>0</v>
          </cell>
          <cell r="AH534">
            <v>11.25</v>
          </cell>
          <cell r="AI534">
            <v>0</v>
          </cell>
          <cell r="AJ534">
            <v>0</v>
          </cell>
          <cell r="AK534">
            <v>97.5</v>
          </cell>
          <cell r="AL534">
            <v>0</v>
          </cell>
          <cell r="AM534">
            <v>0</v>
          </cell>
          <cell r="AN534">
            <v>126.75</v>
          </cell>
          <cell r="AO534">
            <v>0</v>
          </cell>
          <cell r="AP534">
            <v>0</v>
          </cell>
          <cell r="AQ534">
            <v>9.75</v>
          </cell>
          <cell r="AR534">
            <v>0</v>
          </cell>
          <cell r="AS534">
            <v>0</v>
          </cell>
          <cell r="AT534">
            <v>150</v>
          </cell>
          <cell r="AU534">
            <v>0</v>
          </cell>
          <cell r="AV534">
            <v>0</v>
          </cell>
          <cell r="AW534">
            <v>195</v>
          </cell>
          <cell r="AX534">
            <v>0</v>
          </cell>
          <cell r="AY534">
            <v>0</v>
          </cell>
          <cell r="AZ534">
            <v>15</v>
          </cell>
          <cell r="BA534">
            <v>0</v>
          </cell>
          <cell r="BB534">
            <v>0</v>
          </cell>
          <cell r="BC534">
            <v>75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5737.5</v>
          </cell>
        </row>
        <row r="535">
          <cell r="C535">
            <v>10392</v>
          </cell>
          <cell r="D535" t="str">
            <v>Zaldua, Ma. Christina Soriano</v>
          </cell>
          <cell r="E535">
            <v>48</v>
          </cell>
          <cell r="F535">
            <v>6</v>
          </cell>
          <cell r="G535">
            <v>600</v>
          </cell>
          <cell r="H535">
            <v>3600</v>
          </cell>
          <cell r="I535">
            <v>0</v>
          </cell>
          <cell r="J535">
            <v>1.25</v>
          </cell>
          <cell r="K535">
            <v>0</v>
          </cell>
          <cell r="L535">
            <v>0</v>
          </cell>
          <cell r="M535">
            <v>93.75</v>
          </cell>
          <cell r="N535">
            <v>0</v>
          </cell>
          <cell r="O535">
            <v>24</v>
          </cell>
          <cell r="P535">
            <v>7.5</v>
          </cell>
          <cell r="Q535">
            <v>180</v>
          </cell>
          <cell r="R535">
            <v>0</v>
          </cell>
          <cell r="S535">
            <v>97.5</v>
          </cell>
          <cell r="T535">
            <v>0</v>
          </cell>
          <cell r="U535">
            <v>0</v>
          </cell>
          <cell r="V535">
            <v>126.75</v>
          </cell>
          <cell r="W535">
            <v>0</v>
          </cell>
          <cell r="X535">
            <v>0</v>
          </cell>
          <cell r="Y535">
            <v>9.75</v>
          </cell>
          <cell r="Z535">
            <v>0</v>
          </cell>
          <cell r="AA535">
            <v>0</v>
          </cell>
          <cell r="AB535">
            <v>112.5</v>
          </cell>
          <cell r="AC535">
            <v>0</v>
          </cell>
          <cell r="AD535">
            <v>0</v>
          </cell>
          <cell r="AE535">
            <v>146.25</v>
          </cell>
          <cell r="AF535">
            <v>0</v>
          </cell>
          <cell r="AG535">
            <v>0</v>
          </cell>
          <cell r="AH535">
            <v>11.25</v>
          </cell>
          <cell r="AI535">
            <v>0</v>
          </cell>
          <cell r="AJ535">
            <v>0</v>
          </cell>
          <cell r="AK535">
            <v>97.5</v>
          </cell>
          <cell r="AL535">
            <v>0</v>
          </cell>
          <cell r="AM535">
            <v>0</v>
          </cell>
          <cell r="AN535">
            <v>126.75</v>
          </cell>
          <cell r="AO535">
            <v>0</v>
          </cell>
          <cell r="AP535">
            <v>0</v>
          </cell>
          <cell r="AQ535">
            <v>9.75</v>
          </cell>
          <cell r="AR535">
            <v>0</v>
          </cell>
          <cell r="AS535">
            <v>0</v>
          </cell>
          <cell r="AT535">
            <v>150</v>
          </cell>
          <cell r="AU535">
            <v>0</v>
          </cell>
          <cell r="AV535">
            <v>0</v>
          </cell>
          <cell r="AW535">
            <v>195</v>
          </cell>
          <cell r="AX535">
            <v>0</v>
          </cell>
          <cell r="AY535">
            <v>0</v>
          </cell>
          <cell r="AZ535">
            <v>15</v>
          </cell>
          <cell r="BA535">
            <v>0</v>
          </cell>
          <cell r="BB535">
            <v>0</v>
          </cell>
          <cell r="BC535">
            <v>75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3780</v>
          </cell>
        </row>
        <row r="536">
          <cell r="C536">
            <v>30011</v>
          </cell>
          <cell r="D536" t="str">
            <v>Zara, Lawrence Magnaye</v>
          </cell>
          <cell r="E536">
            <v>80</v>
          </cell>
          <cell r="F536">
            <v>10</v>
          </cell>
          <cell r="G536">
            <v>600</v>
          </cell>
          <cell r="H536">
            <v>6000</v>
          </cell>
          <cell r="I536">
            <v>6</v>
          </cell>
          <cell r="J536">
            <v>1.25</v>
          </cell>
          <cell r="K536">
            <v>-7.5</v>
          </cell>
          <cell r="L536">
            <v>2</v>
          </cell>
          <cell r="M536">
            <v>93.75</v>
          </cell>
          <cell r="N536">
            <v>187.5</v>
          </cell>
          <cell r="O536">
            <v>0</v>
          </cell>
          <cell r="P536">
            <v>7.5</v>
          </cell>
          <cell r="Q536">
            <v>0</v>
          </cell>
          <cell r="R536">
            <v>8</v>
          </cell>
          <cell r="S536">
            <v>97.5</v>
          </cell>
          <cell r="T536">
            <v>780</v>
          </cell>
          <cell r="U536">
            <v>0</v>
          </cell>
          <cell r="V536">
            <v>126.75</v>
          </cell>
          <cell r="W536">
            <v>0</v>
          </cell>
          <cell r="X536">
            <v>0</v>
          </cell>
          <cell r="Y536">
            <v>9.75</v>
          </cell>
          <cell r="Z536">
            <v>0</v>
          </cell>
          <cell r="AA536">
            <v>0</v>
          </cell>
          <cell r="AB536">
            <v>112.5</v>
          </cell>
          <cell r="AC536">
            <v>0</v>
          </cell>
          <cell r="AD536">
            <v>0</v>
          </cell>
          <cell r="AE536">
            <v>146.25</v>
          </cell>
          <cell r="AF536">
            <v>0</v>
          </cell>
          <cell r="AG536">
            <v>0</v>
          </cell>
          <cell r="AH536">
            <v>11.25</v>
          </cell>
          <cell r="AI536">
            <v>0</v>
          </cell>
          <cell r="AJ536">
            <v>0</v>
          </cell>
          <cell r="AK536">
            <v>97.5</v>
          </cell>
          <cell r="AL536">
            <v>0</v>
          </cell>
          <cell r="AM536">
            <v>0</v>
          </cell>
          <cell r="AN536">
            <v>126.75</v>
          </cell>
          <cell r="AO536">
            <v>0</v>
          </cell>
          <cell r="AP536">
            <v>0</v>
          </cell>
          <cell r="AQ536">
            <v>9.75</v>
          </cell>
          <cell r="AR536">
            <v>0</v>
          </cell>
          <cell r="AS536">
            <v>0</v>
          </cell>
          <cell r="AT536">
            <v>150</v>
          </cell>
          <cell r="AU536">
            <v>0</v>
          </cell>
          <cell r="AV536">
            <v>0</v>
          </cell>
          <cell r="AW536">
            <v>195</v>
          </cell>
          <cell r="AX536">
            <v>0</v>
          </cell>
          <cell r="AY536">
            <v>0</v>
          </cell>
          <cell r="AZ536">
            <v>15</v>
          </cell>
          <cell r="BA536">
            <v>0</v>
          </cell>
          <cell r="BB536">
            <v>0</v>
          </cell>
          <cell r="BC536">
            <v>75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6960</v>
          </cell>
        </row>
        <row r="537">
          <cell r="C537">
            <v>0</v>
          </cell>
          <cell r="D537">
            <v>0</v>
          </cell>
          <cell r="E537">
            <v>21364</v>
          </cell>
          <cell r="F537">
            <v>2670.5</v>
          </cell>
          <cell r="G537">
            <v>172200</v>
          </cell>
          <cell r="H537">
            <v>1602300</v>
          </cell>
          <cell r="I537">
            <v>776</v>
          </cell>
          <cell r="J537">
            <v>358.75</v>
          </cell>
          <cell r="K537">
            <v>-970</v>
          </cell>
          <cell r="L537">
            <v>2826.5</v>
          </cell>
          <cell r="M537">
            <v>26906.25</v>
          </cell>
          <cell r="N537">
            <v>264984.375</v>
          </cell>
          <cell r="O537">
            <v>5984</v>
          </cell>
          <cell r="P537">
            <v>2152.5</v>
          </cell>
          <cell r="Q537">
            <v>44880</v>
          </cell>
          <cell r="R537">
            <v>136</v>
          </cell>
          <cell r="S537">
            <v>27982.5</v>
          </cell>
          <cell r="T537">
            <v>13260</v>
          </cell>
          <cell r="U537">
            <v>5</v>
          </cell>
          <cell r="V537">
            <v>36377.25</v>
          </cell>
          <cell r="W537">
            <v>633.75</v>
          </cell>
          <cell r="X537">
            <v>8</v>
          </cell>
          <cell r="Y537">
            <v>2798.25</v>
          </cell>
          <cell r="Z537">
            <v>78</v>
          </cell>
          <cell r="AA537">
            <v>0</v>
          </cell>
          <cell r="AB537">
            <v>32287.5</v>
          </cell>
          <cell r="AC537">
            <v>0</v>
          </cell>
          <cell r="AD537">
            <v>0</v>
          </cell>
          <cell r="AE537">
            <v>41973.75</v>
          </cell>
          <cell r="AF537">
            <v>0</v>
          </cell>
          <cell r="AG537">
            <v>0</v>
          </cell>
          <cell r="AH537">
            <v>3228.75</v>
          </cell>
          <cell r="AI537">
            <v>0</v>
          </cell>
          <cell r="AJ537">
            <v>90</v>
          </cell>
          <cell r="AK537">
            <v>27982.5</v>
          </cell>
          <cell r="AL537">
            <v>8775</v>
          </cell>
          <cell r="AM537">
            <v>2</v>
          </cell>
          <cell r="AN537">
            <v>36377.25</v>
          </cell>
          <cell r="AO537">
            <v>253.5</v>
          </cell>
          <cell r="AP537">
            <v>0</v>
          </cell>
          <cell r="AQ537">
            <v>2798.25</v>
          </cell>
          <cell r="AR537">
            <v>0</v>
          </cell>
          <cell r="AS537">
            <v>0</v>
          </cell>
          <cell r="AT537">
            <v>43050</v>
          </cell>
          <cell r="AU537">
            <v>0</v>
          </cell>
          <cell r="AV537">
            <v>0</v>
          </cell>
          <cell r="AW537">
            <v>55965</v>
          </cell>
          <cell r="AX537">
            <v>0</v>
          </cell>
          <cell r="AY537">
            <v>0</v>
          </cell>
          <cell r="AZ537">
            <v>4305</v>
          </cell>
          <cell r="BA537">
            <v>0</v>
          </cell>
          <cell r="BB537">
            <v>0</v>
          </cell>
          <cell r="BC537">
            <v>21525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3000</v>
          </cell>
          <cell r="BX537">
            <v>0</v>
          </cell>
          <cell r="BY537">
            <v>1937194.625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</row>
        <row r="539">
          <cell r="C539">
            <v>30732</v>
          </cell>
          <cell r="D539" t="str">
            <v>Alba, Herbert Tinoy</v>
          </cell>
          <cell r="E539">
            <v>56</v>
          </cell>
          <cell r="F539">
            <v>7</v>
          </cell>
          <cell r="G539">
            <v>600</v>
          </cell>
          <cell r="H539">
            <v>4200</v>
          </cell>
          <cell r="I539">
            <v>0</v>
          </cell>
          <cell r="J539">
            <v>1.25</v>
          </cell>
          <cell r="K539">
            <v>0</v>
          </cell>
          <cell r="L539">
            <v>10</v>
          </cell>
          <cell r="M539">
            <v>93.75</v>
          </cell>
          <cell r="N539">
            <v>937.5</v>
          </cell>
          <cell r="O539">
            <v>0</v>
          </cell>
          <cell r="P539">
            <v>7.5</v>
          </cell>
          <cell r="Q539">
            <v>0</v>
          </cell>
          <cell r="R539">
            <v>0</v>
          </cell>
          <cell r="S539">
            <v>97.5</v>
          </cell>
          <cell r="T539">
            <v>0</v>
          </cell>
          <cell r="U539">
            <v>0</v>
          </cell>
          <cell r="V539">
            <v>126.75</v>
          </cell>
          <cell r="W539">
            <v>0</v>
          </cell>
          <cell r="X539">
            <v>0</v>
          </cell>
          <cell r="Y539">
            <v>9.75</v>
          </cell>
          <cell r="Z539">
            <v>0</v>
          </cell>
          <cell r="AA539">
            <v>0</v>
          </cell>
          <cell r="AB539">
            <v>112.5</v>
          </cell>
          <cell r="AC539">
            <v>0</v>
          </cell>
          <cell r="AD539">
            <v>0</v>
          </cell>
          <cell r="AE539">
            <v>146.25</v>
          </cell>
          <cell r="AF539">
            <v>0</v>
          </cell>
          <cell r="AG539">
            <v>0</v>
          </cell>
          <cell r="AH539">
            <v>11.25</v>
          </cell>
          <cell r="AI539">
            <v>0</v>
          </cell>
          <cell r="AJ539">
            <v>0</v>
          </cell>
          <cell r="AK539">
            <v>97.5</v>
          </cell>
          <cell r="AL539">
            <v>0</v>
          </cell>
          <cell r="AM539">
            <v>0</v>
          </cell>
          <cell r="AN539">
            <v>126.75</v>
          </cell>
          <cell r="AO539">
            <v>0</v>
          </cell>
          <cell r="AP539">
            <v>0</v>
          </cell>
          <cell r="AQ539">
            <v>9.75</v>
          </cell>
          <cell r="AR539">
            <v>0</v>
          </cell>
          <cell r="AS539">
            <v>0</v>
          </cell>
          <cell r="AT539">
            <v>150</v>
          </cell>
          <cell r="AU539">
            <v>0</v>
          </cell>
          <cell r="AV539">
            <v>0</v>
          </cell>
          <cell r="AW539">
            <v>195</v>
          </cell>
          <cell r="AX539">
            <v>0</v>
          </cell>
          <cell r="AY539">
            <v>0</v>
          </cell>
          <cell r="AZ539">
            <v>15</v>
          </cell>
          <cell r="BA539">
            <v>0</v>
          </cell>
          <cell r="BB539">
            <v>0</v>
          </cell>
          <cell r="BC539">
            <v>75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5137.5</v>
          </cell>
        </row>
        <row r="540">
          <cell r="C540">
            <v>11434</v>
          </cell>
          <cell r="D540" t="str">
            <v>Bachain, Ivy B</v>
          </cell>
          <cell r="E540">
            <v>80</v>
          </cell>
          <cell r="F540">
            <v>10</v>
          </cell>
          <cell r="G540">
            <v>600</v>
          </cell>
          <cell r="H540">
            <v>6000</v>
          </cell>
          <cell r="I540">
            <v>4</v>
          </cell>
          <cell r="J540">
            <v>1.25</v>
          </cell>
          <cell r="K540">
            <v>-5</v>
          </cell>
          <cell r="L540">
            <v>16</v>
          </cell>
          <cell r="M540">
            <v>93.75</v>
          </cell>
          <cell r="N540">
            <v>1500</v>
          </cell>
          <cell r="O540">
            <v>0</v>
          </cell>
          <cell r="P540">
            <v>7.5</v>
          </cell>
          <cell r="Q540">
            <v>0</v>
          </cell>
          <cell r="R540">
            <v>0</v>
          </cell>
          <cell r="S540">
            <v>97.5</v>
          </cell>
          <cell r="T540">
            <v>0</v>
          </cell>
          <cell r="U540">
            <v>0</v>
          </cell>
          <cell r="V540">
            <v>126.75</v>
          </cell>
          <cell r="W540">
            <v>0</v>
          </cell>
          <cell r="X540">
            <v>0</v>
          </cell>
          <cell r="Y540">
            <v>9.75</v>
          </cell>
          <cell r="Z540">
            <v>0</v>
          </cell>
          <cell r="AA540">
            <v>0</v>
          </cell>
          <cell r="AB540">
            <v>112.5</v>
          </cell>
          <cell r="AC540">
            <v>0</v>
          </cell>
          <cell r="AD540">
            <v>0</v>
          </cell>
          <cell r="AE540">
            <v>146.25</v>
          </cell>
          <cell r="AF540">
            <v>0</v>
          </cell>
          <cell r="AG540">
            <v>0</v>
          </cell>
          <cell r="AH540">
            <v>11.25</v>
          </cell>
          <cell r="AI540">
            <v>0</v>
          </cell>
          <cell r="AJ540">
            <v>0</v>
          </cell>
          <cell r="AK540">
            <v>97.5</v>
          </cell>
          <cell r="AL540">
            <v>0</v>
          </cell>
          <cell r="AM540">
            <v>0</v>
          </cell>
          <cell r="AN540">
            <v>126.75</v>
          </cell>
          <cell r="AO540">
            <v>0</v>
          </cell>
          <cell r="AP540">
            <v>0</v>
          </cell>
          <cell r="AQ540">
            <v>9.75</v>
          </cell>
          <cell r="AR540">
            <v>0</v>
          </cell>
          <cell r="AS540">
            <v>0</v>
          </cell>
          <cell r="AT540">
            <v>150</v>
          </cell>
          <cell r="AU540">
            <v>0</v>
          </cell>
          <cell r="AV540">
            <v>0</v>
          </cell>
          <cell r="AW540">
            <v>195</v>
          </cell>
          <cell r="AX540">
            <v>0</v>
          </cell>
          <cell r="AY540">
            <v>0</v>
          </cell>
          <cell r="AZ540">
            <v>15</v>
          </cell>
          <cell r="BA540">
            <v>0</v>
          </cell>
          <cell r="BB540">
            <v>0</v>
          </cell>
          <cell r="BC540">
            <v>75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7495</v>
          </cell>
        </row>
        <row r="541">
          <cell r="C541">
            <v>30366</v>
          </cell>
          <cell r="D541" t="str">
            <v>Bello, Dan Rudolf Torres</v>
          </cell>
          <cell r="E541">
            <v>64</v>
          </cell>
          <cell r="F541">
            <v>8</v>
          </cell>
          <cell r="G541">
            <v>600</v>
          </cell>
          <cell r="H541">
            <v>4800</v>
          </cell>
          <cell r="I541">
            <v>0</v>
          </cell>
          <cell r="J541">
            <v>1.25</v>
          </cell>
          <cell r="K541">
            <v>0</v>
          </cell>
          <cell r="L541">
            <v>12</v>
          </cell>
          <cell r="M541">
            <v>93.75</v>
          </cell>
          <cell r="N541">
            <v>1125</v>
          </cell>
          <cell r="O541">
            <v>0</v>
          </cell>
          <cell r="P541">
            <v>7.5</v>
          </cell>
          <cell r="Q541">
            <v>0</v>
          </cell>
          <cell r="R541">
            <v>0</v>
          </cell>
          <cell r="S541">
            <v>97.5</v>
          </cell>
          <cell r="T541">
            <v>0</v>
          </cell>
          <cell r="U541">
            <v>0</v>
          </cell>
          <cell r="V541">
            <v>126.75</v>
          </cell>
          <cell r="W541">
            <v>0</v>
          </cell>
          <cell r="X541">
            <v>0</v>
          </cell>
          <cell r="Y541">
            <v>9.75</v>
          </cell>
          <cell r="Z541">
            <v>0</v>
          </cell>
          <cell r="AA541">
            <v>0</v>
          </cell>
          <cell r="AB541">
            <v>112.5</v>
          </cell>
          <cell r="AC541">
            <v>0</v>
          </cell>
          <cell r="AD541">
            <v>0</v>
          </cell>
          <cell r="AE541">
            <v>146.25</v>
          </cell>
          <cell r="AF541">
            <v>0</v>
          </cell>
          <cell r="AG541">
            <v>0</v>
          </cell>
          <cell r="AH541">
            <v>11.25</v>
          </cell>
          <cell r="AI541">
            <v>0</v>
          </cell>
          <cell r="AJ541">
            <v>0</v>
          </cell>
          <cell r="AK541">
            <v>97.5</v>
          </cell>
          <cell r="AL541">
            <v>0</v>
          </cell>
          <cell r="AM541">
            <v>0</v>
          </cell>
          <cell r="AN541">
            <v>126.75</v>
          </cell>
          <cell r="AO541">
            <v>0</v>
          </cell>
          <cell r="AP541">
            <v>0</v>
          </cell>
          <cell r="AQ541">
            <v>9.75</v>
          </cell>
          <cell r="AR541">
            <v>0</v>
          </cell>
          <cell r="AS541">
            <v>0</v>
          </cell>
          <cell r="AT541">
            <v>150</v>
          </cell>
          <cell r="AU541">
            <v>0</v>
          </cell>
          <cell r="AV541">
            <v>0</v>
          </cell>
          <cell r="AW541">
            <v>195</v>
          </cell>
          <cell r="AX541">
            <v>0</v>
          </cell>
          <cell r="AY541">
            <v>0</v>
          </cell>
          <cell r="AZ541">
            <v>15</v>
          </cell>
          <cell r="BA541">
            <v>0</v>
          </cell>
          <cell r="BB541">
            <v>0</v>
          </cell>
          <cell r="BC541">
            <v>75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5925</v>
          </cell>
        </row>
        <row r="542">
          <cell r="C542">
            <v>14055</v>
          </cell>
          <cell r="D542" t="str">
            <v>Bihag, John Philip Bondad</v>
          </cell>
          <cell r="E542">
            <v>64</v>
          </cell>
          <cell r="F542">
            <v>8</v>
          </cell>
          <cell r="G542">
            <v>600</v>
          </cell>
          <cell r="H542">
            <v>4800</v>
          </cell>
          <cell r="I542">
            <v>28</v>
          </cell>
          <cell r="J542">
            <v>1.25</v>
          </cell>
          <cell r="K542">
            <v>-35</v>
          </cell>
          <cell r="L542">
            <v>14</v>
          </cell>
          <cell r="M542">
            <v>93.75</v>
          </cell>
          <cell r="N542">
            <v>1312.5</v>
          </cell>
          <cell r="O542">
            <v>0</v>
          </cell>
          <cell r="P542">
            <v>7.5</v>
          </cell>
          <cell r="Q542">
            <v>0</v>
          </cell>
          <cell r="R542">
            <v>0</v>
          </cell>
          <cell r="S542">
            <v>97.5</v>
          </cell>
          <cell r="T542">
            <v>0</v>
          </cell>
          <cell r="U542">
            <v>0</v>
          </cell>
          <cell r="V542">
            <v>126.75</v>
          </cell>
          <cell r="W542">
            <v>0</v>
          </cell>
          <cell r="X542">
            <v>0</v>
          </cell>
          <cell r="Y542">
            <v>9.75</v>
          </cell>
          <cell r="Z542">
            <v>0</v>
          </cell>
          <cell r="AA542">
            <v>0</v>
          </cell>
          <cell r="AB542">
            <v>112.5</v>
          </cell>
          <cell r="AC542">
            <v>0</v>
          </cell>
          <cell r="AD542">
            <v>0</v>
          </cell>
          <cell r="AE542">
            <v>146.25</v>
          </cell>
          <cell r="AF542">
            <v>0</v>
          </cell>
          <cell r="AG542">
            <v>0</v>
          </cell>
          <cell r="AH542">
            <v>11.25</v>
          </cell>
          <cell r="AI542">
            <v>0</v>
          </cell>
          <cell r="AJ542">
            <v>0</v>
          </cell>
          <cell r="AK542">
            <v>97.5</v>
          </cell>
          <cell r="AL542">
            <v>0</v>
          </cell>
          <cell r="AM542">
            <v>0</v>
          </cell>
          <cell r="AN542">
            <v>126.75</v>
          </cell>
          <cell r="AO542">
            <v>0</v>
          </cell>
          <cell r="AP542">
            <v>0</v>
          </cell>
          <cell r="AQ542">
            <v>9.75</v>
          </cell>
          <cell r="AR542">
            <v>0</v>
          </cell>
          <cell r="AS542">
            <v>0</v>
          </cell>
          <cell r="AT542">
            <v>150</v>
          </cell>
          <cell r="AU542">
            <v>0</v>
          </cell>
          <cell r="AV542">
            <v>0</v>
          </cell>
          <cell r="AW542">
            <v>195</v>
          </cell>
          <cell r="AX542">
            <v>0</v>
          </cell>
          <cell r="AY542">
            <v>0</v>
          </cell>
          <cell r="AZ542">
            <v>15</v>
          </cell>
          <cell r="BA542">
            <v>0</v>
          </cell>
          <cell r="BB542">
            <v>0</v>
          </cell>
          <cell r="BC542">
            <v>75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6077.5</v>
          </cell>
        </row>
        <row r="543">
          <cell r="C543">
            <v>12979</v>
          </cell>
          <cell r="D543" t="str">
            <v>Espiritu, Jhon Borris Atienza</v>
          </cell>
          <cell r="E543">
            <v>76</v>
          </cell>
          <cell r="F543">
            <v>9.5</v>
          </cell>
          <cell r="G543">
            <v>600</v>
          </cell>
          <cell r="H543">
            <v>5700</v>
          </cell>
          <cell r="I543">
            <v>0</v>
          </cell>
          <cell r="J543">
            <v>1.25</v>
          </cell>
          <cell r="K543">
            <v>0</v>
          </cell>
          <cell r="L543">
            <v>8</v>
          </cell>
          <cell r="M543">
            <v>93.75</v>
          </cell>
          <cell r="N543">
            <v>750</v>
          </cell>
          <cell r="O543">
            <v>0</v>
          </cell>
          <cell r="P543">
            <v>7.5</v>
          </cell>
          <cell r="Q543">
            <v>0</v>
          </cell>
          <cell r="R543">
            <v>0</v>
          </cell>
          <cell r="S543">
            <v>97.5</v>
          </cell>
          <cell r="T543">
            <v>0</v>
          </cell>
          <cell r="U543">
            <v>0</v>
          </cell>
          <cell r="V543">
            <v>126.75</v>
          </cell>
          <cell r="W543">
            <v>0</v>
          </cell>
          <cell r="X543">
            <v>0</v>
          </cell>
          <cell r="Y543">
            <v>9.75</v>
          </cell>
          <cell r="Z543">
            <v>0</v>
          </cell>
          <cell r="AA543">
            <v>0</v>
          </cell>
          <cell r="AB543">
            <v>112.5</v>
          </cell>
          <cell r="AC543">
            <v>0</v>
          </cell>
          <cell r="AD543">
            <v>0</v>
          </cell>
          <cell r="AE543">
            <v>146.25</v>
          </cell>
          <cell r="AF543">
            <v>0</v>
          </cell>
          <cell r="AG543">
            <v>0</v>
          </cell>
          <cell r="AH543">
            <v>11.25</v>
          </cell>
          <cell r="AI543">
            <v>0</v>
          </cell>
          <cell r="AJ543">
            <v>0</v>
          </cell>
          <cell r="AK543">
            <v>97.5</v>
          </cell>
          <cell r="AL543">
            <v>0</v>
          </cell>
          <cell r="AM543">
            <v>0</v>
          </cell>
          <cell r="AN543">
            <v>126.75</v>
          </cell>
          <cell r="AO543">
            <v>0</v>
          </cell>
          <cell r="AP543">
            <v>0</v>
          </cell>
          <cell r="AQ543">
            <v>9.75</v>
          </cell>
          <cell r="AR543">
            <v>0</v>
          </cell>
          <cell r="AS543">
            <v>0</v>
          </cell>
          <cell r="AT543">
            <v>150</v>
          </cell>
          <cell r="AU543">
            <v>0</v>
          </cell>
          <cell r="AV543">
            <v>0</v>
          </cell>
          <cell r="AW543">
            <v>195</v>
          </cell>
          <cell r="AX543">
            <v>0</v>
          </cell>
          <cell r="AY543">
            <v>0</v>
          </cell>
          <cell r="AZ543">
            <v>15</v>
          </cell>
          <cell r="BA543">
            <v>0</v>
          </cell>
          <cell r="BB543">
            <v>0</v>
          </cell>
          <cell r="BC543">
            <v>75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6450</v>
          </cell>
        </row>
        <row r="544">
          <cell r="C544">
            <v>30603</v>
          </cell>
          <cell r="D544" t="str">
            <v>Fernandez, Ronnie Matias</v>
          </cell>
          <cell r="E544">
            <v>80</v>
          </cell>
          <cell r="F544">
            <v>10</v>
          </cell>
          <cell r="G544">
            <v>600</v>
          </cell>
          <cell r="H544">
            <v>6000</v>
          </cell>
          <cell r="I544">
            <v>0</v>
          </cell>
          <cell r="J544">
            <v>1.25</v>
          </cell>
          <cell r="K544">
            <v>0</v>
          </cell>
          <cell r="L544">
            <v>16</v>
          </cell>
          <cell r="M544">
            <v>93.75</v>
          </cell>
          <cell r="N544">
            <v>1500</v>
          </cell>
          <cell r="O544">
            <v>0</v>
          </cell>
          <cell r="P544">
            <v>7.5</v>
          </cell>
          <cell r="Q544">
            <v>0</v>
          </cell>
          <cell r="R544">
            <v>0</v>
          </cell>
          <cell r="S544">
            <v>97.5</v>
          </cell>
          <cell r="T544">
            <v>0</v>
          </cell>
          <cell r="U544">
            <v>0</v>
          </cell>
          <cell r="V544">
            <v>126.75</v>
          </cell>
          <cell r="W544">
            <v>0</v>
          </cell>
          <cell r="X544">
            <v>0</v>
          </cell>
          <cell r="Y544">
            <v>9.75</v>
          </cell>
          <cell r="Z544">
            <v>0</v>
          </cell>
          <cell r="AA544">
            <v>0</v>
          </cell>
          <cell r="AB544">
            <v>112.5</v>
          </cell>
          <cell r="AC544">
            <v>0</v>
          </cell>
          <cell r="AD544">
            <v>0</v>
          </cell>
          <cell r="AE544">
            <v>146.25</v>
          </cell>
          <cell r="AF544">
            <v>0</v>
          </cell>
          <cell r="AG544">
            <v>0</v>
          </cell>
          <cell r="AH544">
            <v>11.25</v>
          </cell>
          <cell r="AI544">
            <v>0</v>
          </cell>
          <cell r="AJ544">
            <v>0</v>
          </cell>
          <cell r="AK544">
            <v>97.5</v>
          </cell>
          <cell r="AL544">
            <v>0</v>
          </cell>
          <cell r="AM544">
            <v>0</v>
          </cell>
          <cell r="AN544">
            <v>126.75</v>
          </cell>
          <cell r="AO544">
            <v>0</v>
          </cell>
          <cell r="AP544">
            <v>0</v>
          </cell>
          <cell r="AQ544">
            <v>9.75</v>
          </cell>
          <cell r="AR544">
            <v>0</v>
          </cell>
          <cell r="AS544">
            <v>0</v>
          </cell>
          <cell r="AT544">
            <v>150</v>
          </cell>
          <cell r="AU544">
            <v>0</v>
          </cell>
          <cell r="AV544">
            <v>0</v>
          </cell>
          <cell r="AW544">
            <v>195</v>
          </cell>
          <cell r="AX544">
            <v>0</v>
          </cell>
          <cell r="AY544">
            <v>0</v>
          </cell>
          <cell r="AZ544">
            <v>15</v>
          </cell>
          <cell r="BA544">
            <v>0</v>
          </cell>
          <cell r="BB544">
            <v>0</v>
          </cell>
          <cell r="BC544">
            <v>75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7500</v>
          </cell>
        </row>
        <row r="545">
          <cell r="C545">
            <v>14913</v>
          </cell>
          <cell r="D545" t="str">
            <v>Folloso, Arvin N/A</v>
          </cell>
          <cell r="E545">
            <v>80</v>
          </cell>
          <cell r="F545">
            <v>10</v>
          </cell>
          <cell r="G545">
            <v>600</v>
          </cell>
          <cell r="H545">
            <v>6000</v>
          </cell>
          <cell r="I545">
            <v>22</v>
          </cell>
          <cell r="J545">
            <v>1.25</v>
          </cell>
          <cell r="K545">
            <v>-27.5</v>
          </cell>
          <cell r="L545">
            <v>16</v>
          </cell>
          <cell r="M545">
            <v>93.75</v>
          </cell>
          <cell r="N545">
            <v>1500</v>
          </cell>
          <cell r="O545">
            <v>0</v>
          </cell>
          <cell r="P545">
            <v>7.5</v>
          </cell>
          <cell r="Q545">
            <v>0</v>
          </cell>
          <cell r="R545">
            <v>0</v>
          </cell>
          <cell r="S545">
            <v>97.5</v>
          </cell>
          <cell r="T545">
            <v>0</v>
          </cell>
          <cell r="U545">
            <v>0</v>
          </cell>
          <cell r="V545">
            <v>126.75</v>
          </cell>
          <cell r="W545">
            <v>0</v>
          </cell>
          <cell r="X545">
            <v>0</v>
          </cell>
          <cell r="Y545">
            <v>9.75</v>
          </cell>
          <cell r="Z545">
            <v>0</v>
          </cell>
          <cell r="AA545">
            <v>0</v>
          </cell>
          <cell r="AB545">
            <v>112.5</v>
          </cell>
          <cell r="AC545">
            <v>0</v>
          </cell>
          <cell r="AD545">
            <v>0</v>
          </cell>
          <cell r="AE545">
            <v>146.25</v>
          </cell>
          <cell r="AF545">
            <v>0</v>
          </cell>
          <cell r="AG545">
            <v>0</v>
          </cell>
          <cell r="AH545">
            <v>11.25</v>
          </cell>
          <cell r="AI545">
            <v>0</v>
          </cell>
          <cell r="AJ545">
            <v>0</v>
          </cell>
          <cell r="AK545">
            <v>97.5</v>
          </cell>
          <cell r="AL545">
            <v>0</v>
          </cell>
          <cell r="AM545">
            <v>0</v>
          </cell>
          <cell r="AN545">
            <v>126.75</v>
          </cell>
          <cell r="AO545">
            <v>0</v>
          </cell>
          <cell r="AP545">
            <v>0</v>
          </cell>
          <cell r="AQ545">
            <v>9.75</v>
          </cell>
          <cell r="AR545">
            <v>0</v>
          </cell>
          <cell r="AS545">
            <v>0</v>
          </cell>
          <cell r="AT545">
            <v>150</v>
          </cell>
          <cell r="AU545">
            <v>0</v>
          </cell>
          <cell r="AV545">
            <v>0</v>
          </cell>
          <cell r="AW545">
            <v>195</v>
          </cell>
          <cell r="AX545">
            <v>0</v>
          </cell>
          <cell r="AY545">
            <v>0</v>
          </cell>
          <cell r="AZ545">
            <v>15</v>
          </cell>
          <cell r="BA545">
            <v>0</v>
          </cell>
          <cell r="BB545">
            <v>0</v>
          </cell>
          <cell r="BC545">
            <v>75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7472.5</v>
          </cell>
        </row>
        <row r="546">
          <cell r="C546">
            <v>30581</v>
          </cell>
          <cell r="D546" t="str">
            <v>Gonzaga, Jay-Ar P.</v>
          </cell>
          <cell r="E546">
            <v>76</v>
          </cell>
          <cell r="F546">
            <v>9.5</v>
          </cell>
          <cell r="G546">
            <v>600</v>
          </cell>
          <cell r="H546">
            <v>5700</v>
          </cell>
          <cell r="I546">
            <v>0</v>
          </cell>
          <cell r="J546">
            <v>1.25</v>
          </cell>
          <cell r="K546">
            <v>0</v>
          </cell>
          <cell r="L546">
            <v>16</v>
          </cell>
          <cell r="M546">
            <v>93.75</v>
          </cell>
          <cell r="N546">
            <v>1500</v>
          </cell>
          <cell r="O546">
            <v>0</v>
          </cell>
          <cell r="P546">
            <v>7.5</v>
          </cell>
          <cell r="Q546">
            <v>0</v>
          </cell>
          <cell r="R546">
            <v>0</v>
          </cell>
          <cell r="S546">
            <v>97.5</v>
          </cell>
          <cell r="T546">
            <v>0</v>
          </cell>
          <cell r="U546">
            <v>0</v>
          </cell>
          <cell r="V546">
            <v>126.75</v>
          </cell>
          <cell r="W546">
            <v>0</v>
          </cell>
          <cell r="X546">
            <v>0</v>
          </cell>
          <cell r="Y546">
            <v>9.75</v>
          </cell>
          <cell r="Z546">
            <v>0</v>
          </cell>
          <cell r="AA546">
            <v>0</v>
          </cell>
          <cell r="AB546">
            <v>112.5</v>
          </cell>
          <cell r="AC546">
            <v>0</v>
          </cell>
          <cell r="AD546">
            <v>0</v>
          </cell>
          <cell r="AE546">
            <v>146.25</v>
          </cell>
          <cell r="AF546">
            <v>0</v>
          </cell>
          <cell r="AG546">
            <v>0</v>
          </cell>
          <cell r="AH546">
            <v>11.25</v>
          </cell>
          <cell r="AI546">
            <v>0</v>
          </cell>
          <cell r="AJ546">
            <v>0</v>
          </cell>
          <cell r="AK546">
            <v>97.5</v>
          </cell>
          <cell r="AL546">
            <v>0</v>
          </cell>
          <cell r="AM546">
            <v>0</v>
          </cell>
          <cell r="AN546">
            <v>126.75</v>
          </cell>
          <cell r="AO546">
            <v>0</v>
          </cell>
          <cell r="AP546">
            <v>0</v>
          </cell>
          <cell r="AQ546">
            <v>9.75</v>
          </cell>
          <cell r="AR546">
            <v>0</v>
          </cell>
          <cell r="AS546">
            <v>0</v>
          </cell>
          <cell r="AT546">
            <v>150</v>
          </cell>
          <cell r="AU546">
            <v>0</v>
          </cell>
          <cell r="AV546">
            <v>0</v>
          </cell>
          <cell r="AW546">
            <v>195</v>
          </cell>
          <cell r="AX546">
            <v>0</v>
          </cell>
          <cell r="AY546">
            <v>0</v>
          </cell>
          <cell r="AZ546">
            <v>15</v>
          </cell>
          <cell r="BA546">
            <v>0</v>
          </cell>
          <cell r="BB546">
            <v>0</v>
          </cell>
          <cell r="BC546">
            <v>75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7200</v>
          </cell>
        </row>
        <row r="547">
          <cell r="C547">
            <v>30018</v>
          </cell>
          <cell r="D547" t="str">
            <v>Luciñada, Catherine</v>
          </cell>
          <cell r="E547">
            <v>80</v>
          </cell>
          <cell r="F547">
            <v>10</v>
          </cell>
          <cell r="G547">
            <v>600</v>
          </cell>
          <cell r="H547">
            <v>6000</v>
          </cell>
          <cell r="I547">
            <v>0</v>
          </cell>
          <cell r="J547">
            <v>1.25</v>
          </cell>
          <cell r="K547">
            <v>0</v>
          </cell>
          <cell r="L547">
            <v>12</v>
          </cell>
          <cell r="M547">
            <v>93.75</v>
          </cell>
          <cell r="N547">
            <v>1125</v>
          </cell>
          <cell r="O547">
            <v>0</v>
          </cell>
          <cell r="P547">
            <v>7.5</v>
          </cell>
          <cell r="Q547">
            <v>0</v>
          </cell>
          <cell r="R547">
            <v>0</v>
          </cell>
          <cell r="S547">
            <v>97.5</v>
          </cell>
          <cell r="T547">
            <v>0</v>
          </cell>
          <cell r="U547">
            <v>0</v>
          </cell>
          <cell r="V547">
            <v>126.75</v>
          </cell>
          <cell r="W547">
            <v>0</v>
          </cell>
          <cell r="X547">
            <v>0</v>
          </cell>
          <cell r="Y547">
            <v>9.75</v>
          </cell>
          <cell r="Z547">
            <v>0</v>
          </cell>
          <cell r="AA547">
            <v>0</v>
          </cell>
          <cell r="AB547">
            <v>112.5</v>
          </cell>
          <cell r="AC547">
            <v>0</v>
          </cell>
          <cell r="AD547">
            <v>0</v>
          </cell>
          <cell r="AE547">
            <v>146.25</v>
          </cell>
          <cell r="AF547">
            <v>0</v>
          </cell>
          <cell r="AG547">
            <v>0</v>
          </cell>
          <cell r="AH547">
            <v>11.25</v>
          </cell>
          <cell r="AI547">
            <v>0</v>
          </cell>
          <cell r="AJ547">
            <v>0</v>
          </cell>
          <cell r="AK547">
            <v>97.5</v>
          </cell>
          <cell r="AL547">
            <v>0</v>
          </cell>
          <cell r="AM547">
            <v>0</v>
          </cell>
          <cell r="AN547">
            <v>126.75</v>
          </cell>
          <cell r="AO547">
            <v>0</v>
          </cell>
          <cell r="AP547">
            <v>0</v>
          </cell>
          <cell r="AQ547">
            <v>9.75</v>
          </cell>
          <cell r="AR547">
            <v>0</v>
          </cell>
          <cell r="AS547">
            <v>0</v>
          </cell>
          <cell r="AT547">
            <v>150</v>
          </cell>
          <cell r="AU547">
            <v>0</v>
          </cell>
          <cell r="AV547">
            <v>0</v>
          </cell>
          <cell r="AW547">
            <v>195</v>
          </cell>
          <cell r="AX547">
            <v>0</v>
          </cell>
          <cell r="AY547">
            <v>0</v>
          </cell>
          <cell r="AZ547">
            <v>15</v>
          </cell>
          <cell r="BA547">
            <v>0</v>
          </cell>
          <cell r="BB547">
            <v>0</v>
          </cell>
          <cell r="BC547">
            <v>75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7125</v>
          </cell>
        </row>
        <row r="548">
          <cell r="C548">
            <v>30996</v>
          </cell>
          <cell r="D548" t="str">
            <v>Manjares, Laila Carosa</v>
          </cell>
          <cell r="E548">
            <v>80</v>
          </cell>
          <cell r="F548">
            <v>10</v>
          </cell>
          <cell r="G548">
            <v>600</v>
          </cell>
          <cell r="H548">
            <v>6000</v>
          </cell>
          <cell r="I548">
            <v>4</v>
          </cell>
          <cell r="J548">
            <v>1.25</v>
          </cell>
          <cell r="K548">
            <v>-5</v>
          </cell>
          <cell r="L548">
            <v>16</v>
          </cell>
          <cell r="M548">
            <v>93.75</v>
          </cell>
          <cell r="N548">
            <v>1500</v>
          </cell>
          <cell r="O548">
            <v>0</v>
          </cell>
          <cell r="P548">
            <v>7.5</v>
          </cell>
          <cell r="Q548">
            <v>0</v>
          </cell>
          <cell r="R548">
            <v>0</v>
          </cell>
          <cell r="S548">
            <v>97.5</v>
          </cell>
          <cell r="T548">
            <v>0</v>
          </cell>
          <cell r="U548">
            <v>0</v>
          </cell>
          <cell r="V548">
            <v>126.75</v>
          </cell>
          <cell r="W548">
            <v>0</v>
          </cell>
          <cell r="X548">
            <v>0</v>
          </cell>
          <cell r="Y548">
            <v>9.75</v>
          </cell>
          <cell r="Z548">
            <v>0</v>
          </cell>
          <cell r="AA548">
            <v>0</v>
          </cell>
          <cell r="AB548">
            <v>112.5</v>
          </cell>
          <cell r="AC548">
            <v>0</v>
          </cell>
          <cell r="AD548">
            <v>0</v>
          </cell>
          <cell r="AE548">
            <v>146.25</v>
          </cell>
          <cell r="AF548">
            <v>0</v>
          </cell>
          <cell r="AG548">
            <v>0</v>
          </cell>
          <cell r="AH548">
            <v>11.25</v>
          </cell>
          <cell r="AI548">
            <v>0</v>
          </cell>
          <cell r="AJ548">
            <v>0</v>
          </cell>
          <cell r="AK548">
            <v>97.5</v>
          </cell>
          <cell r="AL548">
            <v>0</v>
          </cell>
          <cell r="AM548">
            <v>0</v>
          </cell>
          <cell r="AN548">
            <v>126.75</v>
          </cell>
          <cell r="AO548">
            <v>0</v>
          </cell>
          <cell r="AP548">
            <v>0</v>
          </cell>
          <cell r="AQ548">
            <v>9.75</v>
          </cell>
          <cell r="AR548">
            <v>0</v>
          </cell>
          <cell r="AS548">
            <v>0</v>
          </cell>
          <cell r="AT548">
            <v>150</v>
          </cell>
          <cell r="AU548">
            <v>0</v>
          </cell>
          <cell r="AV548">
            <v>0</v>
          </cell>
          <cell r="AW548">
            <v>195</v>
          </cell>
          <cell r="AX548">
            <v>0</v>
          </cell>
          <cell r="AY548">
            <v>0</v>
          </cell>
          <cell r="AZ548">
            <v>15</v>
          </cell>
          <cell r="BA548">
            <v>0</v>
          </cell>
          <cell r="BB548">
            <v>0</v>
          </cell>
          <cell r="BC548">
            <v>75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7495</v>
          </cell>
        </row>
        <row r="549">
          <cell r="C549">
            <v>30016</v>
          </cell>
          <cell r="D549" t="str">
            <v>Manzano, Maribel Valerio</v>
          </cell>
          <cell r="E549">
            <v>76</v>
          </cell>
          <cell r="F549">
            <v>9.5</v>
          </cell>
          <cell r="G549">
            <v>600</v>
          </cell>
          <cell r="H549">
            <v>5700</v>
          </cell>
          <cell r="I549">
            <v>0</v>
          </cell>
          <cell r="J549">
            <v>1.25</v>
          </cell>
          <cell r="K549">
            <v>0</v>
          </cell>
          <cell r="L549">
            <v>0</v>
          </cell>
          <cell r="M549">
            <v>93.75</v>
          </cell>
          <cell r="N549">
            <v>0</v>
          </cell>
          <cell r="O549">
            <v>0</v>
          </cell>
          <cell r="P549">
            <v>7.5</v>
          </cell>
          <cell r="Q549">
            <v>0</v>
          </cell>
          <cell r="R549">
            <v>0</v>
          </cell>
          <cell r="S549">
            <v>97.5</v>
          </cell>
          <cell r="T549">
            <v>0</v>
          </cell>
          <cell r="U549">
            <v>0</v>
          </cell>
          <cell r="V549">
            <v>126.75</v>
          </cell>
          <cell r="W549">
            <v>0</v>
          </cell>
          <cell r="X549">
            <v>0</v>
          </cell>
          <cell r="Y549">
            <v>9.75</v>
          </cell>
          <cell r="Z549">
            <v>0</v>
          </cell>
          <cell r="AA549">
            <v>0</v>
          </cell>
          <cell r="AB549">
            <v>112.5</v>
          </cell>
          <cell r="AC549">
            <v>0</v>
          </cell>
          <cell r="AD549">
            <v>0</v>
          </cell>
          <cell r="AE549">
            <v>146.25</v>
          </cell>
          <cell r="AF549">
            <v>0</v>
          </cell>
          <cell r="AG549">
            <v>0</v>
          </cell>
          <cell r="AH549">
            <v>11.25</v>
          </cell>
          <cell r="AI549">
            <v>0</v>
          </cell>
          <cell r="AJ549">
            <v>0</v>
          </cell>
          <cell r="AK549">
            <v>97.5</v>
          </cell>
          <cell r="AL549">
            <v>0</v>
          </cell>
          <cell r="AM549">
            <v>0</v>
          </cell>
          <cell r="AN549">
            <v>126.75</v>
          </cell>
          <cell r="AO549">
            <v>0</v>
          </cell>
          <cell r="AP549">
            <v>0</v>
          </cell>
          <cell r="AQ549">
            <v>9.75</v>
          </cell>
          <cell r="AR549">
            <v>0</v>
          </cell>
          <cell r="AS549">
            <v>0</v>
          </cell>
          <cell r="AT549">
            <v>150</v>
          </cell>
          <cell r="AU549">
            <v>0</v>
          </cell>
          <cell r="AV549">
            <v>0</v>
          </cell>
          <cell r="AW549">
            <v>195</v>
          </cell>
          <cell r="AX549">
            <v>0</v>
          </cell>
          <cell r="AY549">
            <v>0</v>
          </cell>
          <cell r="AZ549">
            <v>15</v>
          </cell>
          <cell r="BA549">
            <v>0</v>
          </cell>
          <cell r="BB549">
            <v>0</v>
          </cell>
          <cell r="BC549">
            <v>75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5700</v>
          </cell>
        </row>
        <row r="550">
          <cell r="C550">
            <v>30604</v>
          </cell>
          <cell r="D550" t="str">
            <v>Mariano, Ian Aldie Guevarra</v>
          </cell>
          <cell r="E550">
            <v>72</v>
          </cell>
          <cell r="F550">
            <v>9</v>
          </cell>
          <cell r="G550">
            <v>600</v>
          </cell>
          <cell r="H550">
            <v>5400</v>
          </cell>
          <cell r="I550">
            <v>0</v>
          </cell>
          <cell r="J550">
            <v>1.25</v>
          </cell>
          <cell r="K550">
            <v>0</v>
          </cell>
          <cell r="L550">
            <v>14</v>
          </cell>
          <cell r="M550">
            <v>93.75</v>
          </cell>
          <cell r="N550">
            <v>1312.5</v>
          </cell>
          <cell r="O550">
            <v>0</v>
          </cell>
          <cell r="P550">
            <v>7.5</v>
          </cell>
          <cell r="Q550">
            <v>0</v>
          </cell>
          <cell r="R550">
            <v>0</v>
          </cell>
          <cell r="S550">
            <v>97.5</v>
          </cell>
          <cell r="T550">
            <v>0</v>
          </cell>
          <cell r="U550">
            <v>0</v>
          </cell>
          <cell r="V550">
            <v>126.75</v>
          </cell>
          <cell r="W550">
            <v>0</v>
          </cell>
          <cell r="X550">
            <v>0</v>
          </cell>
          <cell r="Y550">
            <v>9.75</v>
          </cell>
          <cell r="Z550">
            <v>0</v>
          </cell>
          <cell r="AA550">
            <v>0</v>
          </cell>
          <cell r="AB550">
            <v>112.5</v>
          </cell>
          <cell r="AC550">
            <v>0</v>
          </cell>
          <cell r="AD550">
            <v>0</v>
          </cell>
          <cell r="AE550">
            <v>146.25</v>
          </cell>
          <cell r="AF550">
            <v>0</v>
          </cell>
          <cell r="AG550">
            <v>0</v>
          </cell>
          <cell r="AH550">
            <v>11.25</v>
          </cell>
          <cell r="AI550">
            <v>0</v>
          </cell>
          <cell r="AJ550">
            <v>0</v>
          </cell>
          <cell r="AK550">
            <v>97.5</v>
          </cell>
          <cell r="AL550">
            <v>0</v>
          </cell>
          <cell r="AM550">
            <v>0</v>
          </cell>
          <cell r="AN550">
            <v>126.75</v>
          </cell>
          <cell r="AO550">
            <v>0</v>
          </cell>
          <cell r="AP550">
            <v>0</v>
          </cell>
          <cell r="AQ550">
            <v>9.75</v>
          </cell>
          <cell r="AR550">
            <v>0</v>
          </cell>
          <cell r="AS550">
            <v>0</v>
          </cell>
          <cell r="AT550">
            <v>150</v>
          </cell>
          <cell r="AU550">
            <v>0</v>
          </cell>
          <cell r="AV550">
            <v>0</v>
          </cell>
          <cell r="AW550">
            <v>195</v>
          </cell>
          <cell r="AX550">
            <v>0</v>
          </cell>
          <cell r="AY550">
            <v>0</v>
          </cell>
          <cell r="AZ550">
            <v>15</v>
          </cell>
          <cell r="BA550">
            <v>0</v>
          </cell>
          <cell r="BB550">
            <v>0</v>
          </cell>
          <cell r="BC550">
            <v>75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6712.5</v>
          </cell>
        </row>
        <row r="551">
          <cell r="C551">
            <v>30678</v>
          </cell>
          <cell r="D551" t="str">
            <v>Nidea, Edgardo Dayandante Jr,</v>
          </cell>
          <cell r="E551">
            <v>80</v>
          </cell>
          <cell r="F551">
            <v>10</v>
          </cell>
          <cell r="G551">
            <v>600</v>
          </cell>
          <cell r="H551">
            <v>6000</v>
          </cell>
          <cell r="I551">
            <v>1</v>
          </cell>
          <cell r="J551">
            <v>1.25</v>
          </cell>
          <cell r="K551">
            <v>-1.25</v>
          </cell>
          <cell r="L551">
            <v>10</v>
          </cell>
          <cell r="M551">
            <v>93.75</v>
          </cell>
          <cell r="N551">
            <v>937.5</v>
          </cell>
          <cell r="O551">
            <v>0</v>
          </cell>
          <cell r="P551">
            <v>7.5</v>
          </cell>
          <cell r="Q551">
            <v>0</v>
          </cell>
          <cell r="R551">
            <v>0</v>
          </cell>
          <cell r="S551">
            <v>97.5</v>
          </cell>
          <cell r="T551">
            <v>0</v>
          </cell>
          <cell r="U551">
            <v>0</v>
          </cell>
          <cell r="V551">
            <v>126.75</v>
          </cell>
          <cell r="W551">
            <v>0</v>
          </cell>
          <cell r="X551">
            <v>0</v>
          </cell>
          <cell r="Y551">
            <v>9.75</v>
          </cell>
          <cell r="Z551">
            <v>0</v>
          </cell>
          <cell r="AA551">
            <v>0</v>
          </cell>
          <cell r="AB551">
            <v>112.5</v>
          </cell>
          <cell r="AC551">
            <v>0</v>
          </cell>
          <cell r="AD551">
            <v>0</v>
          </cell>
          <cell r="AE551">
            <v>146.25</v>
          </cell>
          <cell r="AF551">
            <v>0</v>
          </cell>
          <cell r="AG551">
            <v>0</v>
          </cell>
          <cell r="AH551">
            <v>11.25</v>
          </cell>
          <cell r="AI551">
            <v>0</v>
          </cell>
          <cell r="AJ551">
            <v>0</v>
          </cell>
          <cell r="AK551">
            <v>97.5</v>
          </cell>
          <cell r="AL551">
            <v>0</v>
          </cell>
          <cell r="AM551">
            <v>0</v>
          </cell>
          <cell r="AN551">
            <v>126.75</v>
          </cell>
          <cell r="AO551">
            <v>0</v>
          </cell>
          <cell r="AP551">
            <v>0</v>
          </cell>
          <cell r="AQ551">
            <v>9.75</v>
          </cell>
          <cell r="AR551">
            <v>0</v>
          </cell>
          <cell r="AS551">
            <v>0</v>
          </cell>
          <cell r="AT551">
            <v>150</v>
          </cell>
          <cell r="AU551">
            <v>0</v>
          </cell>
          <cell r="AV551">
            <v>0</v>
          </cell>
          <cell r="AW551">
            <v>195</v>
          </cell>
          <cell r="AX551">
            <v>0</v>
          </cell>
          <cell r="AY551">
            <v>0</v>
          </cell>
          <cell r="AZ551">
            <v>15</v>
          </cell>
          <cell r="BA551">
            <v>0</v>
          </cell>
          <cell r="BB551">
            <v>0</v>
          </cell>
          <cell r="BC551">
            <v>75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6936.25</v>
          </cell>
        </row>
        <row r="552">
          <cell r="C552">
            <v>30373</v>
          </cell>
          <cell r="D552" t="str">
            <v>Olivares, John Errol N/A</v>
          </cell>
          <cell r="E552">
            <v>72</v>
          </cell>
          <cell r="F552">
            <v>9</v>
          </cell>
          <cell r="G552">
            <v>600</v>
          </cell>
          <cell r="H552">
            <v>5400</v>
          </cell>
          <cell r="I552">
            <v>7</v>
          </cell>
          <cell r="J552">
            <v>1.25</v>
          </cell>
          <cell r="K552">
            <v>-8.75</v>
          </cell>
          <cell r="L552">
            <v>14</v>
          </cell>
          <cell r="M552">
            <v>93.75</v>
          </cell>
          <cell r="N552">
            <v>1312.5</v>
          </cell>
          <cell r="O552">
            <v>0</v>
          </cell>
          <cell r="P552">
            <v>7.5</v>
          </cell>
          <cell r="Q552">
            <v>0</v>
          </cell>
          <cell r="R552">
            <v>0</v>
          </cell>
          <cell r="S552">
            <v>97.5</v>
          </cell>
          <cell r="T552">
            <v>0</v>
          </cell>
          <cell r="U552">
            <v>0</v>
          </cell>
          <cell r="V552">
            <v>126.75</v>
          </cell>
          <cell r="W552">
            <v>0</v>
          </cell>
          <cell r="X552">
            <v>0</v>
          </cell>
          <cell r="Y552">
            <v>9.75</v>
          </cell>
          <cell r="Z552">
            <v>0</v>
          </cell>
          <cell r="AA552">
            <v>0</v>
          </cell>
          <cell r="AB552">
            <v>112.5</v>
          </cell>
          <cell r="AC552">
            <v>0</v>
          </cell>
          <cell r="AD552">
            <v>0</v>
          </cell>
          <cell r="AE552">
            <v>146.25</v>
          </cell>
          <cell r="AF552">
            <v>0</v>
          </cell>
          <cell r="AG552">
            <v>0</v>
          </cell>
          <cell r="AH552">
            <v>11.25</v>
          </cell>
          <cell r="AI552">
            <v>0</v>
          </cell>
          <cell r="AJ552">
            <v>0</v>
          </cell>
          <cell r="AK552">
            <v>97.5</v>
          </cell>
          <cell r="AL552">
            <v>0</v>
          </cell>
          <cell r="AM552">
            <v>0</v>
          </cell>
          <cell r="AN552">
            <v>126.75</v>
          </cell>
          <cell r="AO552">
            <v>0</v>
          </cell>
          <cell r="AP552">
            <v>0</v>
          </cell>
          <cell r="AQ552">
            <v>9.75</v>
          </cell>
          <cell r="AR552">
            <v>0</v>
          </cell>
          <cell r="AS552">
            <v>0</v>
          </cell>
          <cell r="AT552">
            <v>150</v>
          </cell>
          <cell r="AU552">
            <v>0</v>
          </cell>
          <cell r="AV552">
            <v>0</v>
          </cell>
          <cell r="AW552">
            <v>195</v>
          </cell>
          <cell r="AX552">
            <v>0</v>
          </cell>
          <cell r="AY552">
            <v>0</v>
          </cell>
          <cell r="AZ552">
            <v>15</v>
          </cell>
          <cell r="BA552">
            <v>0</v>
          </cell>
          <cell r="BB552">
            <v>0</v>
          </cell>
          <cell r="BC552">
            <v>75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6703.75</v>
          </cell>
        </row>
        <row r="553">
          <cell r="C553">
            <v>14959</v>
          </cell>
          <cell r="D553" t="str">
            <v>Panis, Jay Corporal</v>
          </cell>
          <cell r="E553">
            <v>80</v>
          </cell>
          <cell r="F553">
            <v>10</v>
          </cell>
          <cell r="G553">
            <v>600</v>
          </cell>
          <cell r="H553">
            <v>6000</v>
          </cell>
          <cell r="I553">
            <v>0</v>
          </cell>
          <cell r="J553">
            <v>1.25</v>
          </cell>
          <cell r="K553">
            <v>0</v>
          </cell>
          <cell r="L553">
            <v>12</v>
          </cell>
          <cell r="M553">
            <v>93.75</v>
          </cell>
          <cell r="N553">
            <v>1125</v>
          </cell>
          <cell r="O553">
            <v>0</v>
          </cell>
          <cell r="P553">
            <v>7.5</v>
          </cell>
          <cell r="Q553">
            <v>0</v>
          </cell>
          <cell r="R553">
            <v>0</v>
          </cell>
          <cell r="S553">
            <v>97.5</v>
          </cell>
          <cell r="T553">
            <v>0</v>
          </cell>
          <cell r="U553">
            <v>0</v>
          </cell>
          <cell r="V553">
            <v>126.75</v>
          </cell>
          <cell r="W553">
            <v>0</v>
          </cell>
          <cell r="X553">
            <v>0</v>
          </cell>
          <cell r="Y553">
            <v>9.75</v>
          </cell>
          <cell r="Z553">
            <v>0</v>
          </cell>
          <cell r="AA553">
            <v>0</v>
          </cell>
          <cell r="AB553">
            <v>112.5</v>
          </cell>
          <cell r="AC553">
            <v>0</v>
          </cell>
          <cell r="AD553">
            <v>0</v>
          </cell>
          <cell r="AE553">
            <v>146.25</v>
          </cell>
          <cell r="AF553">
            <v>0</v>
          </cell>
          <cell r="AG553">
            <v>0</v>
          </cell>
          <cell r="AH553">
            <v>11.25</v>
          </cell>
          <cell r="AI553">
            <v>0</v>
          </cell>
          <cell r="AJ553">
            <v>0</v>
          </cell>
          <cell r="AK553">
            <v>97.5</v>
          </cell>
          <cell r="AL553">
            <v>0</v>
          </cell>
          <cell r="AM553">
            <v>0</v>
          </cell>
          <cell r="AN553">
            <v>126.75</v>
          </cell>
          <cell r="AO553">
            <v>0</v>
          </cell>
          <cell r="AP553">
            <v>0</v>
          </cell>
          <cell r="AQ553">
            <v>9.75</v>
          </cell>
          <cell r="AR553">
            <v>0</v>
          </cell>
          <cell r="AS553">
            <v>0</v>
          </cell>
          <cell r="AT553">
            <v>150</v>
          </cell>
          <cell r="AU553">
            <v>0</v>
          </cell>
          <cell r="AV553">
            <v>0</v>
          </cell>
          <cell r="AW553">
            <v>195</v>
          </cell>
          <cell r="AX553">
            <v>0</v>
          </cell>
          <cell r="AY553">
            <v>0</v>
          </cell>
          <cell r="AZ553">
            <v>15</v>
          </cell>
          <cell r="BA553">
            <v>0</v>
          </cell>
          <cell r="BB553">
            <v>0</v>
          </cell>
          <cell r="BC553">
            <v>75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7125</v>
          </cell>
        </row>
        <row r="554">
          <cell r="C554">
            <v>30770</v>
          </cell>
          <cell r="D554" t="str">
            <v>Razon, Jordan Mendoza</v>
          </cell>
          <cell r="E554">
            <v>80</v>
          </cell>
          <cell r="F554">
            <v>10</v>
          </cell>
          <cell r="G554">
            <v>600</v>
          </cell>
          <cell r="H554">
            <v>6000</v>
          </cell>
          <cell r="I554">
            <v>0</v>
          </cell>
          <cell r="J554">
            <v>1.25</v>
          </cell>
          <cell r="K554">
            <v>0</v>
          </cell>
          <cell r="L554">
            <v>14</v>
          </cell>
          <cell r="M554">
            <v>93.75</v>
          </cell>
          <cell r="N554">
            <v>1312.5</v>
          </cell>
          <cell r="O554">
            <v>0</v>
          </cell>
          <cell r="P554">
            <v>7.5</v>
          </cell>
          <cell r="Q554">
            <v>0</v>
          </cell>
          <cell r="R554">
            <v>0</v>
          </cell>
          <cell r="S554">
            <v>97.5</v>
          </cell>
          <cell r="T554">
            <v>0</v>
          </cell>
          <cell r="U554">
            <v>0</v>
          </cell>
          <cell r="V554">
            <v>126.75</v>
          </cell>
          <cell r="W554">
            <v>0</v>
          </cell>
          <cell r="X554">
            <v>0</v>
          </cell>
          <cell r="Y554">
            <v>9.75</v>
          </cell>
          <cell r="Z554">
            <v>0</v>
          </cell>
          <cell r="AA554">
            <v>0</v>
          </cell>
          <cell r="AB554">
            <v>112.5</v>
          </cell>
          <cell r="AC554">
            <v>0</v>
          </cell>
          <cell r="AD554">
            <v>0</v>
          </cell>
          <cell r="AE554">
            <v>146.25</v>
          </cell>
          <cell r="AF554">
            <v>0</v>
          </cell>
          <cell r="AG554">
            <v>0</v>
          </cell>
          <cell r="AH554">
            <v>11.25</v>
          </cell>
          <cell r="AI554">
            <v>0</v>
          </cell>
          <cell r="AJ554">
            <v>0</v>
          </cell>
          <cell r="AK554">
            <v>97.5</v>
          </cell>
          <cell r="AL554">
            <v>0</v>
          </cell>
          <cell r="AM554">
            <v>0</v>
          </cell>
          <cell r="AN554">
            <v>126.75</v>
          </cell>
          <cell r="AO554">
            <v>0</v>
          </cell>
          <cell r="AP554">
            <v>0</v>
          </cell>
          <cell r="AQ554">
            <v>9.75</v>
          </cell>
          <cell r="AR554">
            <v>0</v>
          </cell>
          <cell r="AS554">
            <v>0</v>
          </cell>
          <cell r="AT554">
            <v>150</v>
          </cell>
          <cell r="AU554">
            <v>0</v>
          </cell>
          <cell r="AV554">
            <v>0</v>
          </cell>
          <cell r="AW554">
            <v>195</v>
          </cell>
          <cell r="AX554">
            <v>0</v>
          </cell>
          <cell r="AY554">
            <v>0</v>
          </cell>
          <cell r="AZ554">
            <v>15</v>
          </cell>
          <cell r="BA554">
            <v>0</v>
          </cell>
          <cell r="BB554">
            <v>0</v>
          </cell>
          <cell r="BC554">
            <v>75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7312.5</v>
          </cell>
        </row>
        <row r="555">
          <cell r="C555">
            <v>8766</v>
          </cell>
          <cell r="D555" t="str">
            <v>Ruiz, Rose Ann Alvarez</v>
          </cell>
          <cell r="E555">
            <v>80</v>
          </cell>
          <cell r="F555">
            <v>10</v>
          </cell>
          <cell r="G555">
            <v>600</v>
          </cell>
          <cell r="H555">
            <v>6000</v>
          </cell>
          <cell r="I555">
            <v>24</v>
          </cell>
          <cell r="J555">
            <v>1.25</v>
          </cell>
          <cell r="K555">
            <v>-30</v>
          </cell>
          <cell r="L555">
            <v>12</v>
          </cell>
          <cell r="M555">
            <v>93.75</v>
          </cell>
          <cell r="N555">
            <v>1125</v>
          </cell>
          <cell r="O555">
            <v>0</v>
          </cell>
          <cell r="P555">
            <v>7.5</v>
          </cell>
          <cell r="Q555">
            <v>0</v>
          </cell>
          <cell r="R555">
            <v>0</v>
          </cell>
          <cell r="S555">
            <v>97.5</v>
          </cell>
          <cell r="T555">
            <v>0</v>
          </cell>
          <cell r="U555">
            <v>0</v>
          </cell>
          <cell r="V555">
            <v>126.75</v>
          </cell>
          <cell r="W555">
            <v>0</v>
          </cell>
          <cell r="X555">
            <v>0</v>
          </cell>
          <cell r="Y555">
            <v>9.75</v>
          </cell>
          <cell r="Z555">
            <v>0</v>
          </cell>
          <cell r="AA555">
            <v>0</v>
          </cell>
          <cell r="AB555">
            <v>112.5</v>
          </cell>
          <cell r="AC555">
            <v>0</v>
          </cell>
          <cell r="AD555">
            <v>0</v>
          </cell>
          <cell r="AE555">
            <v>146.25</v>
          </cell>
          <cell r="AF555">
            <v>0</v>
          </cell>
          <cell r="AG555">
            <v>0</v>
          </cell>
          <cell r="AH555">
            <v>11.25</v>
          </cell>
          <cell r="AI555">
            <v>0</v>
          </cell>
          <cell r="AJ555">
            <v>0</v>
          </cell>
          <cell r="AK555">
            <v>97.5</v>
          </cell>
          <cell r="AL555">
            <v>0</v>
          </cell>
          <cell r="AM555">
            <v>0</v>
          </cell>
          <cell r="AN555">
            <v>126.75</v>
          </cell>
          <cell r="AO555">
            <v>0</v>
          </cell>
          <cell r="AP555">
            <v>0</v>
          </cell>
          <cell r="AQ555">
            <v>9.75</v>
          </cell>
          <cell r="AR555">
            <v>0</v>
          </cell>
          <cell r="AS555">
            <v>0</v>
          </cell>
          <cell r="AT555">
            <v>150</v>
          </cell>
          <cell r="AU555">
            <v>0</v>
          </cell>
          <cell r="AV555">
            <v>0</v>
          </cell>
          <cell r="AW555">
            <v>195</v>
          </cell>
          <cell r="AX555">
            <v>0</v>
          </cell>
          <cell r="AY555">
            <v>0</v>
          </cell>
          <cell r="AZ555">
            <v>15</v>
          </cell>
          <cell r="BA555">
            <v>0</v>
          </cell>
          <cell r="BB555">
            <v>0</v>
          </cell>
          <cell r="BC555">
            <v>75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7095</v>
          </cell>
        </row>
        <row r="556">
          <cell r="C556">
            <v>14394</v>
          </cell>
          <cell r="D556" t="str">
            <v>Sanchez, Nely Rose Roldan</v>
          </cell>
          <cell r="E556">
            <v>80</v>
          </cell>
          <cell r="F556">
            <v>10</v>
          </cell>
          <cell r="G556">
            <v>600</v>
          </cell>
          <cell r="H556">
            <v>6000</v>
          </cell>
          <cell r="I556">
            <v>8</v>
          </cell>
          <cell r="J556">
            <v>1.25</v>
          </cell>
          <cell r="K556">
            <v>-10</v>
          </cell>
          <cell r="L556">
            <v>14</v>
          </cell>
          <cell r="M556">
            <v>93.75</v>
          </cell>
          <cell r="N556">
            <v>1312.5</v>
          </cell>
          <cell r="O556">
            <v>0</v>
          </cell>
          <cell r="P556">
            <v>7.5</v>
          </cell>
          <cell r="Q556">
            <v>0</v>
          </cell>
          <cell r="R556">
            <v>0</v>
          </cell>
          <cell r="S556">
            <v>97.5</v>
          </cell>
          <cell r="T556">
            <v>0</v>
          </cell>
          <cell r="U556">
            <v>0</v>
          </cell>
          <cell r="V556">
            <v>126.75</v>
          </cell>
          <cell r="W556">
            <v>0</v>
          </cell>
          <cell r="X556">
            <v>0</v>
          </cell>
          <cell r="Y556">
            <v>9.75</v>
          </cell>
          <cell r="Z556">
            <v>0</v>
          </cell>
          <cell r="AA556">
            <v>0</v>
          </cell>
          <cell r="AB556">
            <v>112.5</v>
          </cell>
          <cell r="AC556">
            <v>0</v>
          </cell>
          <cell r="AD556">
            <v>0</v>
          </cell>
          <cell r="AE556">
            <v>146.25</v>
          </cell>
          <cell r="AF556">
            <v>0</v>
          </cell>
          <cell r="AG556">
            <v>0</v>
          </cell>
          <cell r="AH556">
            <v>11.25</v>
          </cell>
          <cell r="AI556">
            <v>0</v>
          </cell>
          <cell r="AJ556">
            <v>0</v>
          </cell>
          <cell r="AK556">
            <v>97.5</v>
          </cell>
          <cell r="AL556">
            <v>0</v>
          </cell>
          <cell r="AM556">
            <v>0</v>
          </cell>
          <cell r="AN556">
            <v>126.75</v>
          </cell>
          <cell r="AO556">
            <v>0</v>
          </cell>
          <cell r="AP556">
            <v>0</v>
          </cell>
          <cell r="AQ556">
            <v>9.75</v>
          </cell>
          <cell r="AR556">
            <v>0</v>
          </cell>
          <cell r="AS556">
            <v>0</v>
          </cell>
          <cell r="AT556">
            <v>150</v>
          </cell>
          <cell r="AU556">
            <v>0</v>
          </cell>
          <cell r="AV556">
            <v>0</v>
          </cell>
          <cell r="AW556">
            <v>195</v>
          </cell>
          <cell r="AX556">
            <v>0</v>
          </cell>
          <cell r="AY556">
            <v>0</v>
          </cell>
          <cell r="AZ556">
            <v>15</v>
          </cell>
          <cell r="BA556">
            <v>0</v>
          </cell>
          <cell r="BB556">
            <v>0</v>
          </cell>
          <cell r="BC556">
            <v>75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7302.5</v>
          </cell>
        </row>
        <row r="557">
          <cell r="C557">
            <v>30071</v>
          </cell>
          <cell r="D557" t="str">
            <v>Titular, Haizel Ann Patano</v>
          </cell>
          <cell r="E557">
            <v>80</v>
          </cell>
          <cell r="F557">
            <v>10</v>
          </cell>
          <cell r="G557">
            <v>600</v>
          </cell>
          <cell r="H557">
            <v>6000</v>
          </cell>
          <cell r="I557">
            <v>50</v>
          </cell>
          <cell r="J557">
            <v>1.25</v>
          </cell>
          <cell r="K557">
            <v>-62.5</v>
          </cell>
          <cell r="L557">
            <v>10</v>
          </cell>
          <cell r="M557">
            <v>93.75</v>
          </cell>
          <cell r="N557">
            <v>937.5</v>
          </cell>
          <cell r="O557">
            <v>0</v>
          </cell>
          <cell r="P557">
            <v>7.5</v>
          </cell>
          <cell r="Q557">
            <v>0</v>
          </cell>
          <cell r="R557">
            <v>0</v>
          </cell>
          <cell r="S557">
            <v>97.5</v>
          </cell>
          <cell r="T557">
            <v>0</v>
          </cell>
          <cell r="U557">
            <v>0</v>
          </cell>
          <cell r="V557">
            <v>126.75</v>
          </cell>
          <cell r="W557">
            <v>0</v>
          </cell>
          <cell r="X557">
            <v>0</v>
          </cell>
          <cell r="Y557">
            <v>9.75</v>
          </cell>
          <cell r="Z557">
            <v>0</v>
          </cell>
          <cell r="AA557">
            <v>0</v>
          </cell>
          <cell r="AB557">
            <v>112.5</v>
          </cell>
          <cell r="AC557">
            <v>0</v>
          </cell>
          <cell r="AD557">
            <v>0</v>
          </cell>
          <cell r="AE557">
            <v>146.25</v>
          </cell>
          <cell r="AF557">
            <v>0</v>
          </cell>
          <cell r="AG557">
            <v>0</v>
          </cell>
          <cell r="AH557">
            <v>11.25</v>
          </cell>
          <cell r="AI557">
            <v>0</v>
          </cell>
          <cell r="AJ557">
            <v>0</v>
          </cell>
          <cell r="AK557">
            <v>97.5</v>
          </cell>
          <cell r="AL557">
            <v>0</v>
          </cell>
          <cell r="AM557">
            <v>0</v>
          </cell>
          <cell r="AN557">
            <v>126.75</v>
          </cell>
          <cell r="AO557">
            <v>0</v>
          </cell>
          <cell r="AP557">
            <v>0</v>
          </cell>
          <cell r="AQ557">
            <v>9.75</v>
          </cell>
          <cell r="AR557">
            <v>0</v>
          </cell>
          <cell r="AS557">
            <v>0</v>
          </cell>
          <cell r="AT557">
            <v>150</v>
          </cell>
          <cell r="AU557">
            <v>0</v>
          </cell>
          <cell r="AV557">
            <v>0</v>
          </cell>
          <cell r="AW557">
            <v>195</v>
          </cell>
          <cell r="AX557">
            <v>0</v>
          </cell>
          <cell r="AY557">
            <v>0</v>
          </cell>
          <cell r="AZ557">
            <v>15</v>
          </cell>
          <cell r="BA557">
            <v>0</v>
          </cell>
          <cell r="BB557">
            <v>0</v>
          </cell>
          <cell r="BC557">
            <v>75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6875</v>
          </cell>
        </row>
        <row r="558">
          <cell r="C558">
            <v>0</v>
          </cell>
          <cell r="D558">
            <v>0</v>
          </cell>
          <cell r="E558">
            <v>1436</v>
          </cell>
          <cell r="F558">
            <v>179.5</v>
          </cell>
          <cell r="G558">
            <v>11400</v>
          </cell>
          <cell r="H558">
            <v>107700</v>
          </cell>
          <cell r="I558">
            <v>148</v>
          </cell>
          <cell r="J558">
            <v>23.75</v>
          </cell>
          <cell r="K558">
            <v>-185</v>
          </cell>
          <cell r="L558">
            <v>236</v>
          </cell>
          <cell r="M558">
            <v>1781.25</v>
          </cell>
          <cell r="N558">
            <v>22125</v>
          </cell>
          <cell r="O558">
            <v>0</v>
          </cell>
          <cell r="P558">
            <v>142.5</v>
          </cell>
          <cell r="Q558">
            <v>0</v>
          </cell>
          <cell r="R558">
            <v>0</v>
          </cell>
          <cell r="S558">
            <v>1852.5</v>
          </cell>
          <cell r="T558">
            <v>0</v>
          </cell>
          <cell r="U558">
            <v>0</v>
          </cell>
          <cell r="V558">
            <v>2408.25</v>
          </cell>
          <cell r="W558">
            <v>0</v>
          </cell>
          <cell r="X558">
            <v>0</v>
          </cell>
          <cell r="Y558">
            <v>185.25</v>
          </cell>
          <cell r="Z558">
            <v>0</v>
          </cell>
          <cell r="AA558">
            <v>0</v>
          </cell>
          <cell r="AB558">
            <v>2137.5</v>
          </cell>
          <cell r="AC558">
            <v>0</v>
          </cell>
          <cell r="AD558">
            <v>0</v>
          </cell>
          <cell r="AE558">
            <v>2778.75</v>
          </cell>
          <cell r="AF558">
            <v>0</v>
          </cell>
          <cell r="AG558">
            <v>0</v>
          </cell>
          <cell r="AH558">
            <v>213.75</v>
          </cell>
          <cell r="AI558">
            <v>0</v>
          </cell>
          <cell r="AJ558">
            <v>0</v>
          </cell>
          <cell r="AK558">
            <v>1852.5</v>
          </cell>
          <cell r="AL558">
            <v>0</v>
          </cell>
          <cell r="AM558">
            <v>0</v>
          </cell>
          <cell r="AN558">
            <v>2408.25</v>
          </cell>
          <cell r="AO558">
            <v>0</v>
          </cell>
          <cell r="AP558">
            <v>0</v>
          </cell>
          <cell r="AQ558">
            <v>185.25</v>
          </cell>
          <cell r="AR558">
            <v>0</v>
          </cell>
          <cell r="AS558">
            <v>0</v>
          </cell>
          <cell r="AT558">
            <v>2850</v>
          </cell>
          <cell r="AU558">
            <v>0</v>
          </cell>
          <cell r="AV558">
            <v>0</v>
          </cell>
          <cell r="AW558">
            <v>3705</v>
          </cell>
          <cell r="AX558">
            <v>0</v>
          </cell>
          <cell r="AY558">
            <v>0</v>
          </cell>
          <cell r="AZ558">
            <v>285</v>
          </cell>
          <cell r="BA558">
            <v>0</v>
          </cell>
          <cell r="BB558">
            <v>0</v>
          </cell>
          <cell r="BC558">
            <v>1425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129640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</row>
        <row r="560">
          <cell r="C560">
            <v>12837</v>
          </cell>
          <cell r="D560" t="str">
            <v>Ariento, Elmar Alamag</v>
          </cell>
          <cell r="E560">
            <v>64</v>
          </cell>
          <cell r="F560">
            <v>8</v>
          </cell>
          <cell r="G560">
            <v>600</v>
          </cell>
          <cell r="H560">
            <v>4800</v>
          </cell>
          <cell r="I560">
            <v>3</v>
          </cell>
          <cell r="J560">
            <v>1.25</v>
          </cell>
          <cell r="K560">
            <v>-3.75</v>
          </cell>
          <cell r="L560">
            <v>37</v>
          </cell>
          <cell r="M560">
            <v>93.75</v>
          </cell>
          <cell r="N560">
            <v>3468.75</v>
          </cell>
          <cell r="O560">
            <v>61</v>
          </cell>
          <cell r="P560">
            <v>7.5</v>
          </cell>
          <cell r="Q560">
            <v>457.5</v>
          </cell>
          <cell r="R560">
            <v>0</v>
          </cell>
          <cell r="S560">
            <v>97.5</v>
          </cell>
          <cell r="T560">
            <v>0</v>
          </cell>
          <cell r="U560">
            <v>0</v>
          </cell>
          <cell r="V560">
            <v>126.75</v>
          </cell>
          <cell r="W560">
            <v>0</v>
          </cell>
          <cell r="X560">
            <v>0</v>
          </cell>
          <cell r="Y560">
            <v>9.75</v>
          </cell>
          <cell r="Z560">
            <v>0</v>
          </cell>
          <cell r="AA560">
            <v>0</v>
          </cell>
          <cell r="AB560">
            <v>112.5</v>
          </cell>
          <cell r="AC560">
            <v>0</v>
          </cell>
          <cell r="AD560">
            <v>0</v>
          </cell>
          <cell r="AE560">
            <v>146.25</v>
          </cell>
          <cell r="AF560">
            <v>0</v>
          </cell>
          <cell r="AG560">
            <v>0</v>
          </cell>
          <cell r="AH560">
            <v>11.25</v>
          </cell>
          <cell r="AI560">
            <v>0</v>
          </cell>
          <cell r="AJ560">
            <v>0</v>
          </cell>
          <cell r="AK560">
            <v>97.5</v>
          </cell>
          <cell r="AL560">
            <v>0</v>
          </cell>
          <cell r="AM560">
            <v>0</v>
          </cell>
          <cell r="AN560">
            <v>126.75</v>
          </cell>
          <cell r="AO560">
            <v>0</v>
          </cell>
          <cell r="AP560">
            <v>0</v>
          </cell>
          <cell r="AQ560">
            <v>9.75</v>
          </cell>
          <cell r="AR560">
            <v>0</v>
          </cell>
          <cell r="AS560">
            <v>0</v>
          </cell>
          <cell r="AT560">
            <v>150</v>
          </cell>
          <cell r="AU560">
            <v>0</v>
          </cell>
          <cell r="AV560">
            <v>0</v>
          </cell>
          <cell r="AW560">
            <v>195</v>
          </cell>
          <cell r="AX560">
            <v>0</v>
          </cell>
          <cell r="AY560">
            <v>0</v>
          </cell>
          <cell r="AZ560">
            <v>15</v>
          </cell>
          <cell r="BA560">
            <v>0</v>
          </cell>
          <cell r="BB560">
            <v>0</v>
          </cell>
          <cell r="BC560">
            <v>75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8722.5</v>
          </cell>
        </row>
        <row r="561">
          <cell r="C561">
            <v>12915</v>
          </cell>
          <cell r="D561" t="str">
            <v>Colinares, Louieje Bancolmo</v>
          </cell>
          <cell r="E561">
            <v>80</v>
          </cell>
          <cell r="F561">
            <v>10</v>
          </cell>
          <cell r="G561">
            <v>600</v>
          </cell>
          <cell r="H561">
            <v>6000</v>
          </cell>
          <cell r="I561">
            <v>0</v>
          </cell>
          <cell r="J561">
            <v>1.25</v>
          </cell>
          <cell r="K561">
            <v>0</v>
          </cell>
          <cell r="L561">
            <v>29</v>
          </cell>
          <cell r="M561">
            <v>93.75</v>
          </cell>
          <cell r="N561">
            <v>2718.75</v>
          </cell>
          <cell r="O561">
            <v>0</v>
          </cell>
          <cell r="P561">
            <v>7.5</v>
          </cell>
          <cell r="Q561">
            <v>0</v>
          </cell>
          <cell r="R561">
            <v>8</v>
          </cell>
          <cell r="S561">
            <v>97.5</v>
          </cell>
          <cell r="T561">
            <v>780</v>
          </cell>
          <cell r="U561">
            <v>0</v>
          </cell>
          <cell r="V561">
            <v>126.75</v>
          </cell>
          <cell r="W561">
            <v>0</v>
          </cell>
          <cell r="X561">
            <v>0</v>
          </cell>
          <cell r="Y561">
            <v>9.75</v>
          </cell>
          <cell r="Z561">
            <v>0</v>
          </cell>
          <cell r="AA561">
            <v>0</v>
          </cell>
          <cell r="AB561">
            <v>112.5</v>
          </cell>
          <cell r="AC561">
            <v>0</v>
          </cell>
          <cell r="AD561">
            <v>0</v>
          </cell>
          <cell r="AE561">
            <v>146.25</v>
          </cell>
          <cell r="AF561">
            <v>0</v>
          </cell>
          <cell r="AG561">
            <v>0</v>
          </cell>
          <cell r="AH561">
            <v>11.25</v>
          </cell>
          <cell r="AI561">
            <v>0</v>
          </cell>
          <cell r="AJ561">
            <v>8</v>
          </cell>
          <cell r="AK561">
            <v>97.5</v>
          </cell>
          <cell r="AL561">
            <v>780</v>
          </cell>
          <cell r="AM561">
            <v>1.5</v>
          </cell>
          <cell r="AN561">
            <v>126.75</v>
          </cell>
          <cell r="AO561">
            <v>190.125</v>
          </cell>
          <cell r="AP561">
            <v>0</v>
          </cell>
          <cell r="AQ561">
            <v>9.75</v>
          </cell>
          <cell r="AR561">
            <v>0</v>
          </cell>
          <cell r="AS561">
            <v>0</v>
          </cell>
          <cell r="AT561">
            <v>150</v>
          </cell>
          <cell r="AU561">
            <v>0</v>
          </cell>
          <cell r="AV561">
            <v>0</v>
          </cell>
          <cell r="AW561">
            <v>195</v>
          </cell>
          <cell r="AX561">
            <v>0</v>
          </cell>
          <cell r="AY561">
            <v>0</v>
          </cell>
          <cell r="AZ561">
            <v>15</v>
          </cell>
          <cell r="BA561">
            <v>0</v>
          </cell>
          <cell r="BB561">
            <v>0</v>
          </cell>
          <cell r="BC561">
            <v>75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10468.875</v>
          </cell>
        </row>
        <row r="562">
          <cell r="C562">
            <v>12931</v>
          </cell>
          <cell r="D562" t="str">
            <v>De Las Alas, Jymboy Morales</v>
          </cell>
          <cell r="E562">
            <v>80</v>
          </cell>
          <cell r="F562">
            <v>10</v>
          </cell>
          <cell r="G562">
            <v>600</v>
          </cell>
          <cell r="H562">
            <v>6000</v>
          </cell>
          <cell r="I562">
            <v>41</v>
          </cell>
          <cell r="J562">
            <v>1.25</v>
          </cell>
          <cell r="K562">
            <v>-51.25</v>
          </cell>
          <cell r="L562">
            <v>26</v>
          </cell>
          <cell r="M562">
            <v>93.75</v>
          </cell>
          <cell r="N562">
            <v>2437.5</v>
          </cell>
          <cell r="O562">
            <v>0</v>
          </cell>
          <cell r="P562">
            <v>7.5</v>
          </cell>
          <cell r="Q562">
            <v>0</v>
          </cell>
          <cell r="R562">
            <v>0</v>
          </cell>
          <cell r="S562">
            <v>97.5</v>
          </cell>
          <cell r="T562">
            <v>0</v>
          </cell>
          <cell r="U562">
            <v>0</v>
          </cell>
          <cell r="V562">
            <v>126.75</v>
          </cell>
          <cell r="W562">
            <v>0</v>
          </cell>
          <cell r="X562">
            <v>0</v>
          </cell>
          <cell r="Y562">
            <v>9.75</v>
          </cell>
          <cell r="Z562">
            <v>0</v>
          </cell>
          <cell r="AA562">
            <v>0</v>
          </cell>
          <cell r="AB562">
            <v>112.5</v>
          </cell>
          <cell r="AC562">
            <v>0</v>
          </cell>
          <cell r="AD562">
            <v>0</v>
          </cell>
          <cell r="AE562">
            <v>146.25</v>
          </cell>
          <cell r="AF562">
            <v>0</v>
          </cell>
          <cell r="AG562">
            <v>0</v>
          </cell>
          <cell r="AH562">
            <v>11.25</v>
          </cell>
          <cell r="AI562">
            <v>0</v>
          </cell>
          <cell r="AJ562">
            <v>0</v>
          </cell>
          <cell r="AK562">
            <v>97.5</v>
          </cell>
          <cell r="AL562">
            <v>0</v>
          </cell>
          <cell r="AM562">
            <v>0</v>
          </cell>
          <cell r="AN562">
            <v>126.75</v>
          </cell>
          <cell r="AO562">
            <v>0</v>
          </cell>
          <cell r="AP562">
            <v>0</v>
          </cell>
          <cell r="AQ562">
            <v>9.75</v>
          </cell>
          <cell r="AR562">
            <v>0</v>
          </cell>
          <cell r="AS562">
            <v>0</v>
          </cell>
          <cell r="AT562">
            <v>150</v>
          </cell>
          <cell r="AU562">
            <v>0</v>
          </cell>
          <cell r="AV562">
            <v>0</v>
          </cell>
          <cell r="AW562">
            <v>195</v>
          </cell>
          <cell r="AX562">
            <v>0</v>
          </cell>
          <cell r="AY562">
            <v>0</v>
          </cell>
          <cell r="AZ562">
            <v>15</v>
          </cell>
          <cell r="BA562">
            <v>0</v>
          </cell>
          <cell r="BB562">
            <v>0</v>
          </cell>
          <cell r="BC562">
            <v>75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8386.25</v>
          </cell>
        </row>
        <row r="563">
          <cell r="C563">
            <v>14288</v>
          </cell>
          <cell r="D563" t="str">
            <v>Mangariales, GerardoJr Campos</v>
          </cell>
          <cell r="E563">
            <v>77</v>
          </cell>
          <cell r="F563">
            <v>9.625</v>
          </cell>
          <cell r="G563">
            <v>600</v>
          </cell>
          <cell r="H563">
            <v>5775</v>
          </cell>
          <cell r="I563">
            <v>0</v>
          </cell>
          <cell r="J563">
            <v>1.25</v>
          </cell>
          <cell r="K563">
            <v>0</v>
          </cell>
          <cell r="L563">
            <v>43</v>
          </cell>
          <cell r="M563">
            <v>93.75</v>
          </cell>
          <cell r="N563">
            <v>4031.25</v>
          </cell>
          <cell r="O563">
            <v>73</v>
          </cell>
          <cell r="P563">
            <v>7.5</v>
          </cell>
          <cell r="Q563">
            <v>547.5</v>
          </cell>
          <cell r="R563">
            <v>0</v>
          </cell>
          <cell r="S563">
            <v>97.5</v>
          </cell>
          <cell r="T563">
            <v>0</v>
          </cell>
          <cell r="U563">
            <v>0</v>
          </cell>
          <cell r="V563">
            <v>126.75</v>
          </cell>
          <cell r="W563">
            <v>0</v>
          </cell>
          <cell r="X563">
            <v>0</v>
          </cell>
          <cell r="Y563">
            <v>9.75</v>
          </cell>
          <cell r="Z563">
            <v>0</v>
          </cell>
          <cell r="AA563">
            <v>0</v>
          </cell>
          <cell r="AB563">
            <v>112.5</v>
          </cell>
          <cell r="AC563">
            <v>0</v>
          </cell>
          <cell r="AD563">
            <v>0</v>
          </cell>
          <cell r="AE563">
            <v>146.25</v>
          </cell>
          <cell r="AF563">
            <v>0</v>
          </cell>
          <cell r="AG563">
            <v>0</v>
          </cell>
          <cell r="AH563">
            <v>11.25</v>
          </cell>
          <cell r="AI563">
            <v>0</v>
          </cell>
          <cell r="AJ563">
            <v>0</v>
          </cell>
          <cell r="AK563">
            <v>97.5</v>
          </cell>
          <cell r="AL563">
            <v>0</v>
          </cell>
          <cell r="AM563">
            <v>0</v>
          </cell>
          <cell r="AN563">
            <v>126.75</v>
          </cell>
          <cell r="AO563">
            <v>0</v>
          </cell>
          <cell r="AP563">
            <v>0</v>
          </cell>
          <cell r="AQ563">
            <v>9.75</v>
          </cell>
          <cell r="AR563">
            <v>0</v>
          </cell>
          <cell r="AS563">
            <v>0</v>
          </cell>
          <cell r="AT563">
            <v>150</v>
          </cell>
          <cell r="AU563">
            <v>0</v>
          </cell>
          <cell r="AV563">
            <v>0</v>
          </cell>
          <cell r="AW563">
            <v>195</v>
          </cell>
          <cell r="AX563">
            <v>0</v>
          </cell>
          <cell r="AY563">
            <v>0</v>
          </cell>
          <cell r="AZ563">
            <v>15</v>
          </cell>
          <cell r="BA563">
            <v>0</v>
          </cell>
          <cell r="BB563">
            <v>0</v>
          </cell>
          <cell r="BC563">
            <v>75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10353.75</v>
          </cell>
        </row>
        <row r="564">
          <cell r="C564">
            <v>14383</v>
          </cell>
          <cell r="D564" t="str">
            <v>Ricafrente, Aldion Valerio</v>
          </cell>
          <cell r="E564">
            <v>88</v>
          </cell>
          <cell r="F564">
            <v>11</v>
          </cell>
          <cell r="G564">
            <v>600</v>
          </cell>
          <cell r="H564">
            <v>6600</v>
          </cell>
          <cell r="I564">
            <v>2</v>
          </cell>
          <cell r="J564">
            <v>1.25</v>
          </cell>
          <cell r="K564">
            <v>-2.5</v>
          </cell>
          <cell r="L564">
            <v>64</v>
          </cell>
          <cell r="M564">
            <v>93.75</v>
          </cell>
          <cell r="N564">
            <v>6000</v>
          </cell>
          <cell r="O564">
            <v>57</v>
          </cell>
          <cell r="P564">
            <v>7.5</v>
          </cell>
          <cell r="Q564">
            <v>427.5</v>
          </cell>
          <cell r="R564">
            <v>0</v>
          </cell>
          <cell r="S564">
            <v>97.5</v>
          </cell>
          <cell r="T564">
            <v>0</v>
          </cell>
          <cell r="U564">
            <v>0</v>
          </cell>
          <cell r="V564">
            <v>126.75</v>
          </cell>
          <cell r="W564">
            <v>0</v>
          </cell>
          <cell r="X564">
            <v>0</v>
          </cell>
          <cell r="Y564">
            <v>9.75</v>
          </cell>
          <cell r="Z564">
            <v>0</v>
          </cell>
          <cell r="AA564">
            <v>0</v>
          </cell>
          <cell r="AB564">
            <v>112.5</v>
          </cell>
          <cell r="AC564">
            <v>0</v>
          </cell>
          <cell r="AD564">
            <v>0</v>
          </cell>
          <cell r="AE564">
            <v>146.25</v>
          </cell>
          <cell r="AF564">
            <v>0</v>
          </cell>
          <cell r="AG564">
            <v>0</v>
          </cell>
          <cell r="AH564">
            <v>11.25</v>
          </cell>
          <cell r="AI564">
            <v>0</v>
          </cell>
          <cell r="AJ564">
            <v>8</v>
          </cell>
          <cell r="AK564">
            <v>97.5</v>
          </cell>
          <cell r="AL564">
            <v>780</v>
          </cell>
          <cell r="AM564">
            <v>9.5</v>
          </cell>
          <cell r="AN564">
            <v>126.75</v>
          </cell>
          <cell r="AO564">
            <v>1204.125</v>
          </cell>
          <cell r="AP564">
            <v>4</v>
          </cell>
          <cell r="AQ564">
            <v>9.75</v>
          </cell>
          <cell r="AR564">
            <v>39</v>
          </cell>
          <cell r="AS564">
            <v>0</v>
          </cell>
          <cell r="AT564">
            <v>150</v>
          </cell>
          <cell r="AU564">
            <v>0</v>
          </cell>
          <cell r="AV564">
            <v>0</v>
          </cell>
          <cell r="AW564">
            <v>195</v>
          </cell>
          <cell r="AX564">
            <v>0</v>
          </cell>
          <cell r="AY564">
            <v>0</v>
          </cell>
          <cell r="AZ564">
            <v>15</v>
          </cell>
          <cell r="BA564">
            <v>0</v>
          </cell>
          <cell r="BB564">
            <v>0</v>
          </cell>
          <cell r="BC564">
            <v>75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15048.125</v>
          </cell>
        </row>
        <row r="565">
          <cell r="C565">
            <v>14400</v>
          </cell>
          <cell r="D565" t="str">
            <v>Sayat, Herwin Barbacena</v>
          </cell>
          <cell r="E565">
            <v>88</v>
          </cell>
          <cell r="F565">
            <v>11</v>
          </cell>
          <cell r="G565">
            <v>600</v>
          </cell>
          <cell r="H565">
            <v>6600</v>
          </cell>
          <cell r="I565">
            <v>0</v>
          </cell>
          <cell r="J565">
            <v>1.25</v>
          </cell>
          <cell r="K565">
            <v>0</v>
          </cell>
          <cell r="L565">
            <v>64</v>
          </cell>
          <cell r="M565">
            <v>93.75</v>
          </cell>
          <cell r="N565">
            <v>6000</v>
          </cell>
          <cell r="O565">
            <v>21.5</v>
          </cell>
          <cell r="P565">
            <v>7.5</v>
          </cell>
          <cell r="Q565">
            <v>161.25</v>
          </cell>
          <cell r="R565">
            <v>0</v>
          </cell>
          <cell r="S565">
            <v>97.5</v>
          </cell>
          <cell r="T565">
            <v>0</v>
          </cell>
          <cell r="U565">
            <v>0</v>
          </cell>
          <cell r="V565">
            <v>126.75</v>
          </cell>
          <cell r="W565">
            <v>0</v>
          </cell>
          <cell r="X565">
            <v>0</v>
          </cell>
          <cell r="Y565">
            <v>9.75</v>
          </cell>
          <cell r="Z565">
            <v>0</v>
          </cell>
          <cell r="AA565">
            <v>0</v>
          </cell>
          <cell r="AB565">
            <v>112.5</v>
          </cell>
          <cell r="AC565">
            <v>0</v>
          </cell>
          <cell r="AD565">
            <v>0</v>
          </cell>
          <cell r="AE565">
            <v>146.25</v>
          </cell>
          <cell r="AF565">
            <v>0</v>
          </cell>
          <cell r="AG565">
            <v>0</v>
          </cell>
          <cell r="AH565">
            <v>11.25</v>
          </cell>
          <cell r="AI565">
            <v>0</v>
          </cell>
          <cell r="AJ565">
            <v>0</v>
          </cell>
          <cell r="AK565">
            <v>97.5</v>
          </cell>
          <cell r="AL565">
            <v>0</v>
          </cell>
          <cell r="AM565">
            <v>0</v>
          </cell>
          <cell r="AN565">
            <v>126.75</v>
          </cell>
          <cell r="AO565">
            <v>0</v>
          </cell>
          <cell r="AP565">
            <v>0</v>
          </cell>
          <cell r="AQ565">
            <v>9.75</v>
          </cell>
          <cell r="AR565">
            <v>0</v>
          </cell>
          <cell r="AS565">
            <v>0</v>
          </cell>
          <cell r="AT565">
            <v>150</v>
          </cell>
          <cell r="AU565">
            <v>0</v>
          </cell>
          <cell r="AV565">
            <v>0</v>
          </cell>
          <cell r="AW565">
            <v>195</v>
          </cell>
          <cell r="AX565">
            <v>0</v>
          </cell>
          <cell r="AY565">
            <v>0</v>
          </cell>
          <cell r="AZ565">
            <v>15</v>
          </cell>
          <cell r="BA565">
            <v>0</v>
          </cell>
          <cell r="BB565">
            <v>0</v>
          </cell>
          <cell r="BC565">
            <v>75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12761.25</v>
          </cell>
        </row>
        <row r="566">
          <cell r="C566">
            <v>0</v>
          </cell>
          <cell r="D566">
            <v>0</v>
          </cell>
          <cell r="E566">
            <v>477</v>
          </cell>
          <cell r="F566">
            <v>59.625</v>
          </cell>
          <cell r="G566">
            <v>3600</v>
          </cell>
          <cell r="H566">
            <v>35775</v>
          </cell>
          <cell r="I566">
            <v>46</v>
          </cell>
          <cell r="J566">
            <v>7.5</v>
          </cell>
          <cell r="K566">
            <v>-57.5</v>
          </cell>
          <cell r="L566">
            <v>263</v>
          </cell>
          <cell r="M566">
            <v>562.5</v>
          </cell>
          <cell r="N566">
            <v>24656.25</v>
          </cell>
          <cell r="O566">
            <v>212.5</v>
          </cell>
          <cell r="P566">
            <v>45</v>
          </cell>
          <cell r="Q566">
            <v>1593.75</v>
          </cell>
          <cell r="R566">
            <v>8</v>
          </cell>
          <cell r="S566">
            <v>585</v>
          </cell>
          <cell r="T566">
            <v>780</v>
          </cell>
          <cell r="U566">
            <v>0</v>
          </cell>
          <cell r="V566">
            <v>760.5</v>
          </cell>
          <cell r="W566">
            <v>0</v>
          </cell>
          <cell r="X566">
            <v>0</v>
          </cell>
          <cell r="Y566">
            <v>58.5</v>
          </cell>
          <cell r="Z566">
            <v>0</v>
          </cell>
          <cell r="AA566">
            <v>0</v>
          </cell>
          <cell r="AB566">
            <v>675</v>
          </cell>
          <cell r="AC566">
            <v>0</v>
          </cell>
          <cell r="AD566">
            <v>0</v>
          </cell>
          <cell r="AE566">
            <v>877.5</v>
          </cell>
          <cell r="AF566">
            <v>0</v>
          </cell>
          <cell r="AG566">
            <v>0</v>
          </cell>
          <cell r="AH566">
            <v>67.5</v>
          </cell>
          <cell r="AI566">
            <v>0</v>
          </cell>
          <cell r="AJ566">
            <v>16</v>
          </cell>
          <cell r="AK566">
            <v>585</v>
          </cell>
          <cell r="AL566">
            <v>1560</v>
          </cell>
          <cell r="AM566">
            <v>11</v>
          </cell>
          <cell r="AN566">
            <v>760.5</v>
          </cell>
          <cell r="AO566">
            <v>1394.25</v>
          </cell>
          <cell r="AP566">
            <v>4</v>
          </cell>
          <cell r="AQ566">
            <v>58.5</v>
          </cell>
          <cell r="AR566">
            <v>39</v>
          </cell>
          <cell r="AS566">
            <v>0</v>
          </cell>
          <cell r="AT566">
            <v>900</v>
          </cell>
          <cell r="AU566">
            <v>0</v>
          </cell>
          <cell r="AV566">
            <v>0</v>
          </cell>
          <cell r="AW566">
            <v>1170</v>
          </cell>
          <cell r="AX566">
            <v>0</v>
          </cell>
          <cell r="AY566">
            <v>0</v>
          </cell>
          <cell r="AZ566">
            <v>90</v>
          </cell>
          <cell r="BA566">
            <v>0</v>
          </cell>
          <cell r="BB566">
            <v>0</v>
          </cell>
          <cell r="BC566">
            <v>450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65740.75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</row>
        <row r="568">
          <cell r="C568">
            <v>30579</v>
          </cell>
          <cell r="D568" t="str">
            <v>Agno, Eduardo</v>
          </cell>
          <cell r="E568">
            <v>80</v>
          </cell>
          <cell r="F568">
            <v>10</v>
          </cell>
          <cell r="G568">
            <v>600</v>
          </cell>
          <cell r="H568">
            <v>6000</v>
          </cell>
          <cell r="I568">
            <v>0</v>
          </cell>
          <cell r="J568">
            <v>1.25</v>
          </cell>
          <cell r="K568">
            <v>0</v>
          </cell>
          <cell r="L568">
            <v>27</v>
          </cell>
          <cell r="M568">
            <v>93.75</v>
          </cell>
          <cell r="N568">
            <v>2531.25</v>
          </cell>
          <cell r="O568">
            <v>46</v>
          </cell>
          <cell r="P568">
            <v>7.5</v>
          </cell>
          <cell r="Q568">
            <v>345</v>
          </cell>
          <cell r="R568">
            <v>0</v>
          </cell>
          <cell r="S568">
            <v>97.5</v>
          </cell>
          <cell r="T568">
            <v>0</v>
          </cell>
          <cell r="U568">
            <v>0</v>
          </cell>
          <cell r="V568">
            <v>126.75</v>
          </cell>
          <cell r="W568">
            <v>0</v>
          </cell>
          <cell r="X568">
            <v>0</v>
          </cell>
          <cell r="Y568">
            <v>9.75</v>
          </cell>
          <cell r="Z568">
            <v>0</v>
          </cell>
          <cell r="AA568">
            <v>0</v>
          </cell>
          <cell r="AB568">
            <v>112.5</v>
          </cell>
          <cell r="AC568">
            <v>0</v>
          </cell>
          <cell r="AD568">
            <v>0</v>
          </cell>
          <cell r="AE568">
            <v>146.25</v>
          </cell>
          <cell r="AF568">
            <v>0</v>
          </cell>
          <cell r="AG568">
            <v>0</v>
          </cell>
          <cell r="AH568">
            <v>11.25</v>
          </cell>
          <cell r="AI568">
            <v>0</v>
          </cell>
          <cell r="AJ568">
            <v>0</v>
          </cell>
          <cell r="AK568">
            <v>97.5</v>
          </cell>
          <cell r="AL568">
            <v>0</v>
          </cell>
          <cell r="AM568">
            <v>0</v>
          </cell>
          <cell r="AN568">
            <v>126.75</v>
          </cell>
          <cell r="AO568">
            <v>0</v>
          </cell>
          <cell r="AP568">
            <v>0</v>
          </cell>
          <cell r="AQ568">
            <v>9.75</v>
          </cell>
          <cell r="AR568">
            <v>0</v>
          </cell>
          <cell r="AS568">
            <v>0</v>
          </cell>
          <cell r="AT568">
            <v>150</v>
          </cell>
          <cell r="AU568">
            <v>0</v>
          </cell>
          <cell r="AV568">
            <v>0</v>
          </cell>
          <cell r="AW568">
            <v>195</v>
          </cell>
          <cell r="AX568">
            <v>0</v>
          </cell>
          <cell r="AY568">
            <v>0</v>
          </cell>
          <cell r="AZ568">
            <v>15</v>
          </cell>
          <cell r="BA568">
            <v>0</v>
          </cell>
          <cell r="BB568">
            <v>0</v>
          </cell>
          <cell r="BC568">
            <v>75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8876.25</v>
          </cell>
        </row>
        <row r="569">
          <cell r="C569">
            <v>30576</v>
          </cell>
          <cell r="D569" t="str">
            <v>Aguilar, Nikki Mae</v>
          </cell>
          <cell r="E569">
            <v>64</v>
          </cell>
          <cell r="F569">
            <v>8</v>
          </cell>
          <cell r="G569">
            <v>600</v>
          </cell>
          <cell r="H569">
            <v>4800</v>
          </cell>
          <cell r="I569">
            <v>17</v>
          </cell>
          <cell r="J569">
            <v>1.25</v>
          </cell>
          <cell r="K569">
            <v>-21.25</v>
          </cell>
          <cell r="L569">
            <v>21</v>
          </cell>
          <cell r="M569">
            <v>93.75</v>
          </cell>
          <cell r="N569">
            <v>1968.75</v>
          </cell>
          <cell r="O569">
            <v>16</v>
          </cell>
          <cell r="P569">
            <v>7.5</v>
          </cell>
          <cell r="Q569">
            <v>120</v>
          </cell>
          <cell r="R569">
            <v>0</v>
          </cell>
          <cell r="S569">
            <v>97.5</v>
          </cell>
          <cell r="T569">
            <v>0</v>
          </cell>
          <cell r="U569">
            <v>0</v>
          </cell>
          <cell r="V569">
            <v>126.75</v>
          </cell>
          <cell r="W569">
            <v>0</v>
          </cell>
          <cell r="X569">
            <v>0</v>
          </cell>
          <cell r="Y569">
            <v>9.75</v>
          </cell>
          <cell r="Z569">
            <v>0</v>
          </cell>
          <cell r="AA569">
            <v>0</v>
          </cell>
          <cell r="AB569">
            <v>112.5</v>
          </cell>
          <cell r="AC569">
            <v>0</v>
          </cell>
          <cell r="AD569">
            <v>0</v>
          </cell>
          <cell r="AE569">
            <v>146.25</v>
          </cell>
          <cell r="AF569">
            <v>0</v>
          </cell>
          <cell r="AG569">
            <v>0</v>
          </cell>
          <cell r="AH569">
            <v>11.25</v>
          </cell>
          <cell r="AI569">
            <v>0</v>
          </cell>
          <cell r="AJ569">
            <v>0</v>
          </cell>
          <cell r="AK569">
            <v>97.5</v>
          </cell>
          <cell r="AL569">
            <v>0</v>
          </cell>
          <cell r="AM569">
            <v>0</v>
          </cell>
          <cell r="AN569">
            <v>126.75</v>
          </cell>
          <cell r="AO569">
            <v>0</v>
          </cell>
          <cell r="AP569">
            <v>0</v>
          </cell>
          <cell r="AQ569">
            <v>9.75</v>
          </cell>
          <cell r="AR569">
            <v>0</v>
          </cell>
          <cell r="AS569">
            <v>0</v>
          </cell>
          <cell r="AT569">
            <v>150</v>
          </cell>
          <cell r="AU569">
            <v>0</v>
          </cell>
          <cell r="AV569">
            <v>0</v>
          </cell>
          <cell r="AW569">
            <v>195</v>
          </cell>
          <cell r="AX569">
            <v>0</v>
          </cell>
          <cell r="AY569">
            <v>0</v>
          </cell>
          <cell r="AZ569">
            <v>15</v>
          </cell>
          <cell r="BA569">
            <v>0</v>
          </cell>
          <cell r="BB569">
            <v>0</v>
          </cell>
          <cell r="BC569">
            <v>75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6867.5</v>
          </cell>
        </row>
        <row r="570">
          <cell r="C570">
            <v>30413</v>
          </cell>
          <cell r="D570" t="str">
            <v>Alberca, Charmaine Grace Quiambao</v>
          </cell>
          <cell r="E570">
            <v>72</v>
          </cell>
          <cell r="F570">
            <v>9</v>
          </cell>
          <cell r="G570">
            <v>600</v>
          </cell>
          <cell r="H570">
            <v>5400</v>
          </cell>
          <cell r="I570">
            <v>0</v>
          </cell>
          <cell r="J570">
            <v>1.25</v>
          </cell>
          <cell r="K570">
            <v>0</v>
          </cell>
          <cell r="L570">
            <v>21</v>
          </cell>
          <cell r="M570">
            <v>93.75</v>
          </cell>
          <cell r="N570">
            <v>1968.75</v>
          </cell>
          <cell r="O570">
            <v>30</v>
          </cell>
          <cell r="P570">
            <v>7.5</v>
          </cell>
          <cell r="Q570">
            <v>225</v>
          </cell>
          <cell r="R570">
            <v>0</v>
          </cell>
          <cell r="S570">
            <v>97.5</v>
          </cell>
          <cell r="T570">
            <v>0</v>
          </cell>
          <cell r="U570">
            <v>0</v>
          </cell>
          <cell r="V570">
            <v>126.75</v>
          </cell>
          <cell r="W570">
            <v>0</v>
          </cell>
          <cell r="X570">
            <v>0</v>
          </cell>
          <cell r="Y570">
            <v>9.75</v>
          </cell>
          <cell r="Z570">
            <v>0</v>
          </cell>
          <cell r="AA570">
            <v>0</v>
          </cell>
          <cell r="AB570">
            <v>112.5</v>
          </cell>
          <cell r="AC570">
            <v>0</v>
          </cell>
          <cell r="AD570">
            <v>0</v>
          </cell>
          <cell r="AE570">
            <v>146.25</v>
          </cell>
          <cell r="AF570">
            <v>0</v>
          </cell>
          <cell r="AG570">
            <v>0</v>
          </cell>
          <cell r="AH570">
            <v>11.25</v>
          </cell>
          <cell r="AI570">
            <v>0</v>
          </cell>
          <cell r="AJ570">
            <v>0</v>
          </cell>
          <cell r="AK570">
            <v>97.5</v>
          </cell>
          <cell r="AL570">
            <v>0</v>
          </cell>
          <cell r="AM570">
            <v>0</v>
          </cell>
          <cell r="AN570">
            <v>126.75</v>
          </cell>
          <cell r="AO570">
            <v>0</v>
          </cell>
          <cell r="AP570">
            <v>0</v>
          </cell>
          <cell r="AQ570">
            <v>9.75</v>
          </cell>
          <cell r="AR570">
            <v>0</v>
          </cell>
          <cell r="AS570">
            <v>0</v>
          </cell>
          <cell r="AT570">
            <v>150</v>
          </cell>
          <cell r="AU570">
            <v>0</v>
          </cell>
          <cell r="AV570">
            <v>0</v>
          </cell>
          <cell r="AW570">
            <v>195</v>
          </cell>
          <cell r="AX570">
            <v>0</v>
          </cell>
          <cell r="AY570">
            <v>0</v>
          </cell>
          <cell r="AZ570">
            <v>15</v>
          </cell>
          <cell r="BA570">
            <v>0</v>
          </cell>
          <cell r="BB570">
            <v>0</v>
          </cell>
          <cell r="BC570">
            <v>75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7593.75</v>
          </cell>
        </row>
        <row r="571">
          <cell r="C571">
            <v>30578</v>
          </cell>
          <cell r="D571" t="str">
            <v>Artocillo, Sunshine</v>
          </cell>
          <cell r="E571">
            <v>80</v>
          </cell>
          <cell r="F571">
            <v>10</v>
          </cell>
          <cell r="G571">
            <v>600</v>
          </cell>
          <cell r="H571">
            <v>6000</v>
          </cell>
          <cell r="I571">
            <v>6</v>
          </cell>
          <cell r="J571">
            <v>1.25</v>
          </cell>
          <cell r="K571">
            <v>-7.5</v>
          </cell>
          <cell r="L571">
            <v>24</v>
          </cell>
          <cell r="M571">
            <v>93.75</v>
          </cell>
          <cell r="N571">
            <v>2250</v>
          </cell>
          <cell r="O571">
            <v>30</v>
          </cell>
          <cell r="P571">
            <v>7.5</v>
          </cell>
          <cell r="Q571">
            <v>225</v>
          </cell>
          <cell r="R571">
            <v>0</v>
          </cell>
          <cell r="S571">
            <v>97.5</v>
          </cell>
          <cell r="T571">
            <v>0</v>
          </cell>
          <cell r="U571">
            <v>0</v>
          </cell>
          <cell r="V571">
            <v>126.75</v>
          </cell>
          <cell r="W571">
            <v>0</v>
          </cell>
          <cell r="X571">
            <v>0</v>
          </cell>
          <cell r="Y571">
            <v>9.75</v>
          </cell>
          <cell r="Z571">
            <v>0</v>
          </cell>
          <cell r="AA571">
            <v>0</v>
          </cell>
          <cell r="AB571">
            <v>112.5</v>
          </cell>
          <cell r="AC571">
            <v>0</v>
          </cell>
          <cell r="AD571">
            <v>0</v>
          </cell>
          <cell r="AE571">
            <v>146.25</v>
          </cell>
          <cell r="AF571">
            <v>0</v>
          </cell>
          <cell r="AG571">
            <v>0</v>
          </cell>
          <cell r="AH571">
            <v>11.25</v>
          </cell>
          <cell r="AI571">
            <v>0</v>
          </cell>
          <cell r="AJ571">
            <v>0</v>
          </cell>
          <cell r="AK571">
            <v>97.5</v>
          </cell>
          <cell r="AL571">
            <v>0</v>
          </cell>
          <cell r="AM571">
            <v>0</v>
          </cell>
          <cell r="AN571">
            <v>126.75</v>
          </cell>
          <cell r="AO571">
            <v>0</v>
          </cell>
          <cell r="AP571">
            <v>0</v>
          </cell>
          <cell r="AQ571">
            <v>9.75</v>
          </cell>
          <cell r="AR571">
            <v>0</v>
          </cell>
          <cell r="AS571">
            <v>0</v>
          </cell>
          <cell r="AT571">
            <v>150</v>
          </cell>
          <cell r="AU571">
            <v>0</v>
          </cell>
          <cell r="AV571">
            <v>0</v>
          </cell>
          <cell r="AW571">
            <v>195</v>
          </cell>
          <cell r="AX571">
            <v>0</v>
          </cell>
          <cell r="AY571">
            <v>0</v>
          </cell>
          <cell r="AZ571">
            <v>15</v>
          </cell>
          <cell r="BA571">
            <v>0</v>
          </cell>
          <cell r="BB571">
            <v>0</v>
          </cell>
          <cell r="BC571">
            <v>75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8467.5</v>
          </cell>
        </row>
        <row r="572">
          <cell r="C572">
            <v>4751</v>
          </cell>
          <cell r="D572" t="str">
            <v>Atienza, Maureen Joy Ramos</v>
          </cell>
          <cell r="E572">
            <v>72</v>
          </cell>
          <cell r="F572">
            <v>9</v>
          </cell>
          <cell r="G572">
            <v>600</v>
          </cell>
          <cell r="H572">
            <v>5400</v>
          </cell>
          <cell r="I572">
            <v>0</v>
          </cell>
          <cell r="J572">
            <v>1.25</v>
          </cell>
          <cell r="K572">
            <v>0</v>
          </cell>
          <cell r="L572">
            <v>9</v>
          </cell>
          <cell r="M572">
            <v>93.75</v>
          </cell>
          <cell r="N572">
            <v>843.75</v>
          </cell>
          <cell r="O572">
            <v>0</v>
          </cell>
          <cell r="P572">
            <v>7.5</v>
          </cell>
          <cell r="Q572">
            <v>0</v>
          </cell>
          <cell r="R572">
            <v>0</v>
          </cell>
          <cell r="S572">
            <v>97.5</v>
          </cell>
          <cell r="T572">
            <v>0</v>
          </cell>
          <cell r="U572">
            <v>0</v>
          </cell>
          <cell r="V572">
            <v>126.75</v>
          </cell>
          <cell r="W572">
            <v>0</v>
          </cell>
          <cell r="X572">
            <v>0</v>
          </cell>
          <cell r="Y572">
            <v>9.75</v>
          </cell>
          <cell r="Z572">
            <v>0</v>
          </cell>
          <cell r="AA572">
            <v>0</v>
          </cell>
          <cell r="AB572">
            <v>112.5</v>
          </cell>
          <cell r="AC572">
            <v>0</v>
          </cell>
          <cell r="AD572">
            <v>0</v>
          </cell>
          <cell r="AE572">
            <v>146.25</v>
          </cell>
          <cell r="AF572">
            <v>0</v>
          </cell>
          <cell r="AG572">
            <v>0</v>
          </cell>
          <cell r="AH572">
            <v>11.25</v>
          </cell>
          <cell r="AI572">
            <v>0</v>
          </cell>
          <cell r="AJ572">
            <v>0</v>
          </cell>
          <cell r="AK572">
            <v>97.5</v>
          </cell>
          <cell r="AL572">
            <v>0</v>
          </cell>
          <cell r="AM572">
            <v>0</v>
          </cell>
          <cell r="AN572">
            <v>126.75</v>
          </cell>
          <cell r="AO572">
            <v>0</v>
          </cell>
          <cell r="AP572">
            <v>0</v>
          </cell>
          <cell r="AQ572">
            <v>9.75</v>
          </cell>
          <cell r="AR572">
            <v>0</v>
          </cell>
          <cell r="AS572">
            <v>0</v>
          </cell>
          <cell r="AT572">
            <v>150</v>
          </cell>
          <cell r="AU572">
            <v>0</v>
          </cell>
          <cell r="AV572">
            <v>0</v>
          </cell>
          <cell r="AW572">
            <v>195</v>
          </cell>
          <cell r="AX572">
            <v>0</v>
          </cell>
          <cell r="AY572">
            <v>0</v>
          </cell>
          <cell r="AZ572">
            <v>15</v>
          </cell>
          <cell r="BA572">
            <v>0</v>
          </cell>
          <cell r="BB572">
            <v>0</v>
          </cell>
          <cell r="BC572">
            <v>75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6243.75</v>
          </cell>
        </row>
        <row r="573">
          <cell r="C573">
            <v>30588</v>
          </cell>
          <cell r="D573" t="str">
            <v>Balmas, Abegail</v>
          </cell>
          <cell r="E573">
            <v>88</v>
          </cell>
          <cell r="F573">
            <v>11</v>
          </cell>
          <cell r="G573">
            <v>600</v>
          </cell>
          <cell r="H573">
            <v>6600</v>
          </cell>
          <cell r="I573">
            <v>0</v>
          </cell>
          <cell r="J573">
            <v>1.25</v>
          </cell>
          <cell r="K573">
            <v>0</v>
          </cell>
          <cell r="L573">
            <v>26.5</v>
          </cell>
          <cell r="M573">
            <v>93.75</v>
          </cell>
          <cell r="N573">
            <v>2484.375</v>
          </cell>
          <cell r="O573">
            <v>52</v>
          </cell>
          <cell r="P573">
            <v>7.5</v>
          </cell>
          <cell r="Q573">
            <v>390</v>
          </cell>
          <cell r="R573">
            <v>0</v>
          </cell>
          <cell r="S573">
            <v>97.5</v>
          </cell>
          <cell r="T573">
            <v>0</v>
          </cell>
          <cell r="U573">
            <v>0</v>
          </cell>
          <cell r="V573">
            <v>126.75</v>
          </cell>
          <cell r="W573">
            <v>0</v>
          </cell>
          <cell r="X573">
            <v>0</v>
          </cell>
          <cell r="Y573">
            <v>9.75</v>
          </cell>
          <cell r="Z573">
            <v>0</v>
          </cell>
          <cell r="AA573">
            <v>0</v>
          </cell>
          <cell r="AB573">
            <v>112.5</v>
          </cell>
          <cell r="AC573">
            <v>0</v>
          </cell>
          <cell r="AD573">
            <v>0</v>
          </cell>
          <cell r="AE573">
            <v>146.25</v>
          </cell>
          <cell r="AF573">
            <v>0</v>
          </cell>
          <cell r="AG573">
            <v>0</v>
          </cell>
          <cell r="AH573">
            <v>11.25</v>
          </cell>
          <cell r="AI573">
            <v>0</v>
          </cell>
          <cell r="AJ573">
            <v>0</v>
          </cell>
          <cell r="AK573">
            <v>97.5</v>
          </cell>
          <cell r="AL573">
            <v>0</v>
          </cell>
          <cell r="AM573">
            <v>0</v>
          </cell>
          <cell r="AN573">
            <v>126.75</v>
          </cell>
          <cell r="AO573">
            <v>0</v>
          </cell>
          <cell r="AP573">
            <v>0</v>
          </cell>
          <cell r="AQ573">
            <v>9.75</v>
          </cell>
          <cell r="AR573">
            <v>0</v>
          </cell>
          <cell r="AS573">
            <v>0</v>
          </cell>
          <cell r="AT573">
            <v>150</v>
          </cell>
          <cell r="AU573">
            <v>0</v>
          </cell>
          <cell r="AV573">
            <v>0</v>
          </cell>
          <cell r="AW573">
            <v>195</v>
          </cell>
          <cell r="AX573">
            <v>0</v>
          </cell>
          <cell r="AY573">
            <v>0</v>
          </cell>
          <cell r="AZ573">
            <v>15</v>
          </cell>
          <cell r="BA573">
            <v>0</v>
          </cell>
          <cell r="BB573">
            <v>0</v>
          </cell>
          <cell r="BC573">
            <v>75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9474.375</v>
          </cell>
        </row>
        <row r="574">
          <cell r="C574">
            <v>30977</v>
          </cell>
          <cell r="D574" t="str">
            <v>Bantal, Marlie Dacuno</v>
          </cell>
          <cell r="E574">
            <v>88</v>
          </cell>
          <cell r="F574">
            <v>11</v>
          </cell>
          <cell r="G574">
            <v>600</v>
          </cell>
          <cell r="H574">
            <v>6600</v>
          </cell>
          <cell r="I574">
            <v>0</v>
          </cell>
          <cell r="J574">
            <v>1.25</v>
          </cell>
          <cell r="K574">
            <v>0</v>
          </cell>
          <cell r="L574">
            <v>27</v>
          </cell>
          <cell r="M574">
            <v>93.75</v>
          </cell>
          <cell r="N574">
            <v>2531.25</v>
          </cell>
          <cell r="O574">
            <v>54</v>
          </cell>
          <cell r="P574">
            <v>7.5</v>
          </cell>
          <cell r="Q574">
            <v>405</v>
          </cell>
          <cell r="R574">
            <v>0</v>
          </cell>
          <cell r="S574">
            <v>97.5</v>
          </cell>
          <cell r="T574">
            <v>0</v>
          </cell>
          <cell r="U574">
            <v>0</v>
          </cell>
          <cell r="V574">
            <v>126.75</v>
          </cell>
          <cell r="W574">
            <v>0</v>
          </cell>
          <cell r="X574">
            <v>0</v>
          </cell>
          <cell r="Y574">
            <v>9.75</v>
          </cell>
          <cell r="Z574">
            <v>0</v>
          </cell>
          <cell r="AA574">
            <v>0</v>
          </cell>
          <cell r="AB574">
            <v>112.5</v>
          </cell>
          <cell r="AC574">
            <v>0</v>
          </cell>
          <cell r="AD574">
            <v>0</v>
          </cell>
          <cell r="AE574">
            <v>146.25</v>
          </cell>
          <cell r="AF574">
            <v>0</v>
          </cell>
          <cell r="AG574">
            <v>0</v>
          </cell>
          <cell r="AH574">
            <v>11.25</v>
          </cell>
          <cell r="AI574">
            <v>0</v>
          </cell>
          <cell r="AJ574">
            <v>0</v>
          </cell>
          <cell r="AK574">
            <v>97.5</v>
          </cell>
          <cell r="AL574">
            <v>0</v>
          </cell>
          <cell r="AM574">
            <v>0</v>
          </cell>
          <cell r="AN574">
            <v>126.75</v>
          </cell>
          <cell r="AO574">
            <v>0</v>
          </cell>
          <cell r="AP574">
            <v>0</v>
          </cell>
          <cell r="AQ574">
            <v>9.75</v>
          </cell>
          <cell r="AR574">
            <v>0</v>
          </cell>
          <cell r="AS574">
            <v>0</v>
          </cell>
          <cell r="AT574">
            <v>150</v>
          </cell>
          <cell r="AU574">
            <v>0</v>
          </cell>
          <cell r="AV574">
            <v>0</v>
          </cell>
          <cell r="AW574">
            <v>195</v>
          </cell>
          <cell r="AX574">
            <v>0</v>
          </cell>
          <cell r="AY574">
            <v>0</v>
          </cell>
          <cell r="AZ574">
            <v>15</v>
          </cell>
          <cell r="BA574">
            <v>0</v>
          </cell>
          <cell r="BB574">
            <v>0</v>
          </cell>
          <cell r="BC574">
            <v>75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9536.25</v>
          </cell>
        </row>
        <row r="575">
          <cell r="C575">
            <v>11567</v>
          </cell>
          <cell r="D575" t="str">
            <v>Bantang, Sarah</v>
          </cell>
          <cell r="E575">
            <v>80</v>
          </cell>
          <cell r="F575">
            <v>10</v>
          </cell>
          <cell r="G575">
            <v>600</v>
          </cell>
          <cell r="H575">
            <v>6000</v>
          </cell>
          <cell r="I575">
            <v>0</v>
          </cell>
          <cell r="J575">
            <v>1.25</v>
          </cell>
          <cell r="K575">
            <v>0</v>
          </cell>
          <cell r="L575">
            <v>24</v>
          </cell>
          <cell r="M575">
            <v>93.75</v>
          </cell>
          <cell r="N575">
            <v>2250</v>
          </cell>
          <cell r="O575">
            <v>30</v>
          </cell>
          <cell r="P575">
            <v>7.5</v>
          </cell>
          <cell r="Q575">
            <v>225</v>
          </cell>
          <cell r="R575">
            <v>0</v>
          </cell>
          <cell r="S575">
            <v>97.5</v>
          </cell>
          <cell r="T575">
            <v>0</v>
          </cell>
          <cell r="U575">
            <v>0</v>
          </cell>
          <cell r="V575">
            <v>126.75</v>
          </cell>
          <cell r="W575">
            <v>0</v>
          </cell>
          <cell r="X575">
            <v>0</v>
          </cell>
          <cell r="Y575">
            <v>9.75</v>
          </cell>
          <cell r="Z575">
            <v>0</v>
          </cell>
          <cell r="AA575">
            <v>0</v>
          </cell>
          <cell r="AB575">
            <v>112.5</v>
          </cell>
          <cell r="AC575">
            <v>0</v>
          </cell>
          <cell r="AD575">
            <v>0</v>
          </cell>
          <cell r="AE575">
            <v>146.25</v>
          </cell>
          <cell r="AF575">
            <v>0</v>
          </cell>
          <cell r="AG575">
            <v>0</v>
          </cell>
          <cell r="AH575">
            <v>11.25</v>
          </cell>
          <cell r="AI575">
            <v>0</v>
          </cell>
          <cell r="AJ575">
            <v>0</v>
          </cell>
          <cell r="AK575">
            <v>97.5</v>
          </cell>
          <cell r="AL575">
            <v>0</v>
          </cell>
          <cell r="AM575">
            <v>0</v>
          </cell>
          <cell r="AN575">
            <v>126.75</v>
          </cell>
          <cell r="AO575">
            <v>0</v>
          </cell>
          <cell r="AP575">
            <v>0</v>
          </cell>
          <cell r="AQ575">
            <v>9.75</v>
          </cell>
          <cell r="AR575">
            <v>0</v>
          </cell>
          <cell r="AS575">
            <v>0</v>
          </cell>
          <cell r="AT575">
            <v>150</v>
          </cell>
          <cell r="AU575">
            <v>0</v>
          </cell>
          <cell r="AV575">
            <v>0</v>
          </cell>
          <cell r="AW575">
            <v>195</v>
          </cell>
          <cell r="AX575">
            <v>0</v>
          </cell>
          <cell r="AY575">
            <v>0</v>
          </cell>
          <cell r="AZ575">
            <v>15</v>
          </cell>
          <cell r="BA575">
            <v>0</v>
          </cell>
          <cell r="BB575">
            <v>0</v>
          </cell>
          <cell r="BC575">
            <v>75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8475</v>
          </cell>
        </row>
        <row r="576">
          <cell r="C576">
            <v>30317</v>
          </cell>
          <cell r="D576" t="str">
            <v>Baobaw, Caren Tagod</v>
          </cell>
          <cell r="E576">
            <v>80</v>
          </cell>
          <cell r="F576">
            <v>10</v>
          </cell>
          <cell r="G576">
            <v>600</v>
          </cell>
          <cell r="H576">
            <v>6000</v>
          </cell>
          <cell r="I576">
            <v>144</v>
          </cell>
          <cell r="J576">
            <v>1.25</v>
          </cell>
          <cell r="K576">
            <v>-180</v>
          </cell>
          <cell r="L576">
            <v>19</v>
          </cell>
          <cell r="M576">
            <v>93.75</v>
          </cell>
          <cell r="N576">
            <v>1781.25</v>
          </cell>
          <cell r="O576">
            <v>29</v>
          </cell>
          <cell r="P576">
            <v>7.5</v>
          </cell>
          <cell r="Q576">
            <v>217.5</v>
          </cell>
          <cell r="R576">
            <v>0</v>
          </cell>
          <cell r="S576">
            <v>97.5</v>
          </cell>
          <cell r="T576">
            <v>0</v>
          </cell>
          <cell r="U576">
            <v>0</v>
          </cell>
          <cell r="V576">
            <v>126.75</v>
          </cell>
          <cell r="W576">
            <v>0</v>
          </cell>
          <cell r="X576">
            <v>0</v>
          </cell>
          <cell r="Y576">
            <v>9.75</v>
          </cell>
          <cell r="Z576">
            <v>0</v>
          </cell>
          <cell r="AA576">
            <v>0</v>
          </cell>
          <cell r="AB576">
            <v>112.5</v>
          </cell>
          <cell r="AC576">
            <v>0</v>
          </cell>
          <cell r="AD576">
            <v>0</v>
          </cell>
          <cell r="AE576">
            <v>146.25</v>
          </cell>
          <cell r="AF576">
            <v>0</v>
          </cell>
          <cell r="AG576">
            <v>0</v>
          </cell>
          <cell r="AH576">
            <v>11.25</v>
          </cell>
          <cell r="AI576">
            <v>0</v>
          </cell>
          <cell r="AJ576">
            <v>0</v>
          </cell>
          <cell r="AK576">
            <v>97.5</v>
          </cell>
          <cell r="AL576">
            <v>0</v>
          </cell>
          <cell r="AM576">
            <v>0</v>
          </cell>
          <cell r="AN576">
            <v>126.75</v>
          </cell>
          <cell r="AO576">
            <v>0</v>
          </cell>
          <cell r="AP576">
            <v>0</v>
          </cell>
          <cell r="AQ576">
            <v>9.75</v>
          </cell>
          <cell r="AR576">
            <v>0</v>
          </cell>
          <cell r="AS576">
            <v>0</v>
          </cell>
          <cell r="AT576">
            <v>150</v>
          </cell>
          <cell r="AU576">
            <v>0</v>
          </cell>
          <cell r="AV576">
            <v>0</v>
          </cell>
          <cell r="AW576">
            <v>195</v>
          </cell>
          <cell r="AX576">
            <v>0</v>
          </cell>
          <cell r="AY576">
            <v>0</v>
          </cell>
          <cell r="AZ576">
            <v>15</v>
          </cell>
          <cell r="BA576">
            <v>0</v>
          </cell>
          <cell r="BB576">
            <v>0</v>
          </cell>
          <cell r="BC576">
            <v>75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7818.75</v>
          </cell>
        </row>
        <row r="577">
          <cell r="C577">
            <v>11509</v>
          </cell>
          <cell r="D577" t="str">
            <v>Bastatas, Marife</v>
          </cell>
          <cell r="E577">
            <v>32</v>
          </cell>
          <cell r="F577">
            <v>4</v>
          </cell>
          <cell r="G577">
            <v>600</v>
          </cell>
          <cell r="H577">
            <v>2400</v>
          </cell>
          <cell r="I577">
            <v>0</v>
          </cell>
          <cell r="J577">
            <v>1.25</v>
          </cell>
          <cell r="K577">
            <v>0</v>
          </cell>
          <cell r="L577">
            <v>12</v>
          </cell>
          <cell r="M577">
            <v>93.75</v>
          </cell>
          <cell r="N577">
            <v>1125</v>
          </cell>
          <cell r="O577">
            <v>0</v>
          </cell>
          <cell r="P577">
            <v>7.5</v>
          </cell>
          <cell r="Q577">
            <v>0</v>
          </cell>
          <cell r="R577">
            <v>0</v>
          </cell>
          <cell r="S577">
            <v>97.5</v>
          </cell>
          <cell r="T577">
            <v>0</v>
          </cell>
          <cell r="U577">
            <v>0</v>
          </cell>
          <cell r="V577">
            <v>126.75</v>
          </cell>
          <cell r="W577">
            <v>0</v>
          </cell>
          <cell r="X577">
            <v>0</v>
          </cell>
          <cell r="Y577">
            <v>9.75</v>
          </cell>
          <cell r="Z577">
            <v>0</v>
          </cell>
          <cell r="AA577">
            <v>0</v>
          </cell>
          <cell r="AB577">
            <v>112.5</v>
          </cell>
          <cell r="AC577">
            <v>0</v>
          </cell>
          <cell r="AD577">
            <v>0</v>
          </cell>
          <cell r="AE577">
            <v>146.25</v>
          </cell>
          <cell r="AF577">
            <v>0</v>
          </cell>
          <cell r="AG577">
            <v>0</v>
          </cell>
          <cell r="AH577">
            <v>11.25</v>
          </cell>
          <cell r="AI577">
            <v>0</v>
          </cell>
          <cell r="AJ577">
            <v>0</v>
          </cell>
          <cell r="AK577">
            <v>97.5</v>
          </cell>
          <cell r="AL577">
            <v>0</v>
          </cell>
          <cell r="AM577">
            <v>0</v>
          </cell>
          <cell r="AN577">
            <v>126.75</v>
          </cell>
          <cell r="AO577">
            <v>0</v>
          </cell>
          <cell r="AP577">
            <v>0</v>
          </cell>
          <cell r="AQ577">
            <v>9.75</v>
          </cell>
          <cell r="AR577">
            <v>0</v>
          </cell>
          <cell r="AS577">
            <v>0</v>
          </cell>
          <cell r="AT577">
            <v>150</v>
          </cell>
          <cell r="AU577">
            <v>0</v>
          </cell>
          <cell r="AV577">
            <v>0</v>
          </cell>
          <cell r="AW577">
            <v>195</v>
          </cell>
          <cell r="AX577">
            <v>0</v>
          </cell>
          <cell r="AY577">
            <v>0</v>
          </cell>
          <cell r="AZ577">
            <v>15</v>
          </cell>
          <cell r="BA577">
            <v>0</v>
          </cell>
          <cell r="BB577">
            <v>0</v>
          </cell>
          <cell r="BC577">
            <v>75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3525</v>
          </cell>
        </row>
        <row r="578">
          <cell r="C578">
            <v>13223</v>
          </cell>
          <cell r="D578" t="str">
            <v>Bequillo, Angela Novela</v>
          </cell>
          <cell r="E578">
            <v>80</v>
          </cell>
          <cell r="F578">
            <v>10</v>
          </cell>
          <cell r="G578">
            <v>600</v>
          </cell>
          <cell r="H578">
            <v>6000</v>
          </cell>
          <cell r="I578">
            <v>49</v>
          </cell>
          <cell r="J578">
            <v>1.25</v>
          </cell>
          <cell r="K578">
            <v>-61.25</v>
          </cell>
          <cell r="L578">
            <v>27</v>
          </cell>
          <cell r="M578">
            <v>93.75</v>
          </cell>
          <cell r="N578">
            <v>2531.25</v>
          </cell>
          <cell r="O578">
            <v>0</v>
          </cell>
          <cell r="P578">
            <v>7.5</v>
          </cell>
          <cell r="Q578">
            <v>0</v>
          </cell>
          <cell r="R578">
            <v>0</v>
          </cell>
          <cell r="S578">
            <v>97.5</v>
          </cell>
          <cell r="T578">
            <v>0</v>
          </cell>
          <cell r="U578">
            <v>0</v>
          </cell>
          <cell r="V578">
            <v>126.75</v>
          </cell>
          <cell r="W578">
            <v>0</v>
          </cell>
          <cell r="X578">
            <v>0</v>
          </cell>
          <cell r="Y578">
            <v>9.75</v>
          </cell>
          <cell r="Z578">
            <v>0</v>
          </cell>
          <cell r="AA578">
            <v>0</v>
          </cell>
          <cell r="AB578">
            <v>112.5</v>
          </cell>
          <cell r="AC578">
            <v>0</v>
          </cell>
          <cell r="AD578">
            <v>0</v>
          </cell>
          <cell r="AE578">
            <v>146.25</v>
          </cell>
          <cell r="AF578">
            <v>0</v>
          </cell>
          <cell r="AG578">
            <v>0</v>
          </cell>
          <cell r="AH578">
            <v>11.25</v>
          </cell>
          <cell r="AI578">
            <v>0</v>
          </cell>
          <cell r="AJ578">
            <v>0</v>
          </cell>
          <cell r="AK578">
            <v>97.5</v>
          </cell>
          <cell r="AL578">
            <v>0</v>
          </cell>
          <cell r="AM578">
            <v>0</v>
          </cell>
          <cell r="AN578">
            <v>126.75</v>
          </cell>
          <cell r="AO578">
            <v>0</v>
          </cell>
          <cell r="AP578">
            <v>0</v>
          </cell>
          <cell r="AQ578">
            <v>9.75</v>
          </cell>
          <cell r="AR578">
            <v>0</v>
          </cell>
          <cell r="AS578">
            <v>0</v>
          </cell>
          <cell r="AT578">
            <v>150</v>
          </cell>
          <cell r="AU578">
            <v>0</v>
          </cell>
          <cell r="AV578">
            <v>0</v>
          </cell>
          <cell r="AW578">
            <v>195</v>
          </cell>
          <cell r="AX578">
            <v>0</v>
          </cell>
          <cell r="AY578">
            <v>0</v>
          </cell>
          <cell r="AZ578">
            <v>15</v>
          </cell>
          <cell r="BA578">
            <v>0</v>
          </cell>
          <cell r="BB578">
            <v>0</v>
          </cell>
          <cell r="BC578">
            <v>75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8470</v>
          </cell>
        </row>
        <row r="579">
          <cell r="C579">
            <v>30566</v>
          </cell>
          <cell r="D579" t="str">
            <v>Caceres, Angelo</v>
          </cell>
          <cell r="E579">
            <v>88</v>
          </cell>
          <cell r="F579">
            <v>11</v>
          </cell>
          <cell r="G579">
            <v>600</v>
          </cell>
          <cell r="H579">
            <v>6600</v>
          </cell>
          <cell r="I579">
            <v>0</v>
          </cell>
          <cell r="J579">
            <v>1.25</v>
          </cell>
          <cell r="K579">
            <v>0</v>
          </cell>
          <cell r="L579">
            <v>30</v>
          </cell>
          <cell r="M579">
            <v>93.75</v>
          </cell>
          <cell r="N579">
            <v>2812.5</v>
          </cell>
          <cell r="O579">
            <v>48</v>
          </cell>
          <cell r="P579">
            <v>7.5</v>
          </cell>
          <cell r="Q579">
            <v>360</v>
          </cell>
          <cell r="R579">
            <v>0</v>
          </cell>
          <cell r="S579">
            <v>97.5</v>
          </cell>
          <cell r="T579">
            <v>0</v>
          </cell>
          <cell r="U579">
            <v>0</v>
          </cell>
          <cell r="V579">
            <v>126.75</v>
          </cell>
          <cell r="W579">
            <v>0</v>
          </cell>
          <cell r="X579">
            <v>0</v>
          </cell>
          <cell r="Y579">
            <v>9.75</v>
          </cell>
          <cell r="Z579">
            <v>0</v>
          </cell>
          <cell r="AA579">
            <v>0</v>
          </cell>
          <cell r="AB579">
            <v>112.5</v>
          </cell>
          <cell r="AC579">
            <v>0</v>
          </cell>
          <cell r="AD579">
            <v>0</v>
          </cell>
          <cell r="AE579">
            <v>146.25</v>
          </cell>
          <cell r="AF579">
            <v>0</v>
          </cell>
          <cell r="AG579">
            <v>0</v>
          </cell>
          <cell r="AH579">
            <v>11.25</v>
          </cell>
          <cell r="AI579">
            <v>0</v>
          </cell>
          <cell r="AJ579">
            <v>0</v>
          </cell>
          <cell r="AK579">
            <v>97.5</v>
          </cell>
          <cell r="AL579">
            <v>0</v>
          </cell>
          <cell r="AM579">
            <v>0</v>
          </cell>
          <cell r="AN579">
            <v>126.75</v>
          </cell>
          <cell r="AO579">
            <v>0</v>
          </cell>
          <cell r="AP579">
            <v>0</v>
          </cell>
          <cell r="AQ579">
            <v>9.75</v>
          </cell>
          <cell r="AR579">
            <v>0</v>
          </cell>
          <cell r="AS579">
            <v>0</v>
          </cell>
          <cell r="AT579">
            <v>150</v>
          </cell>
          <cell r="AU579">
            <v>0</v>
          </cell>
          <cell r="AV579">
            <v>0</v>
          </cell>
          <cell r="AW579">
            <v>195</v>
          </cell>
          <cell r="AX579">
            <v>0</v>
          </cell>
          <cell r="AY579">
            <v>0</v>
          </cell>
          <cell r="AZ579">
            <v>15</v>
          </cell>
          <cell r="BA579">
            <v>0</v>
          </cell>
          <cell r="BB579">
            <v>0</v>
          </cell>
          <cell r="BC579">
            <v>75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9772.5</v>
          </cell>
        </row>
        <row r="580">
          <cell r="C580">
            <v>30976</v>
          </cell>
          <cell r="D580" t="str">
            <v>Calla, Arlene Bocaya</v>
          </cell>
          <cell r="E580">
            <v>56</v>
          </cell>
          <cell r="F580">
            <v>7</v>
          </cell>
          <cell r="G580">
            <v>600</v>
          </cell>
          <cell r="H580">
            <v>4200</v>
          </cell>
          <cell r="I580">
            <v>17</v>
          </cell>
          <cell r="J580">
            <v>1.25</v>
          </cell>
          <cell r="K580">
            <v>-21.25</v>
          </cell>
          <cell r="L580">
            <v>19</v>
          </cell>
          <cell r="M580">
            <v>93.75</v>
          </cell>
          <cell r="N580">
            <v>1781.25</v>
          </cell>
          <cell r="O580">
            <v>23</v>
          </cell>
          <cell r="P580">
            <v>7.5</v>
          </cell>
          <cell r="Q580">
            <v>172.5</v>
          </cell>
          <cell r="R580">
            <v>0</v>
          </cell>
          <cell r="S580">
            <v>97.5</v>
          </cell>
          <cell r="T580">
            <v>0</v>
          </cell>
          <cell r="U580">
            <v>0</v>
          </cell>
          <cell r="V580">
            <v>126.75</v>
          </cell>
          <cell r="W580">
            <v>0</v>
          </cell>
          <cell r="X580">
            <v>0</v>
          </cell>
          <cell r="Y580">
            <v>9.75</v>
          </cell>
          <cell r="Z580">
            <v>0</v>
          </cell>
          <cell r="AA580">
            <v>0</v>
          </cell>
          <cell r="AB580">
            <v>112.5</v>
          </cell>
          <cell r="AC580">
            <v>0</v>
          </cell>
          <cell r="AD580">
            <v>0</v>
          </cell>
          <cell r="AE580">
            <v>146.25</v>
          </cell>
          <cell r="AF580">
            <v>0</v>
          </cell>
          <cell r="AG580">
            <v>0</v>
          </cell>
          <cell r="AH580">
            <v>11.25</v>
          </cell>
          <cell r="AI580">
            <v>0</v>
          </cell>
          <cell r="AJ580">
            <v>0</v>
          </cell>
          <cell r="AK580">
            <v>97.5</v>
          </cell>
          <cell r="AL580">
            <v>0</v>
          </cell>
          <cell r="AM580">
            <v>0</v>
          </cell>
          <cell r="AN580">
            <v>126.75</v>
          </cell>
          <cell r="AO580">
            <v>0</v>
          </cell>
          <cell r="AP580">
            <v>0</v>
          </cell>
          <cell r="AQ580">
            <v>9.75</v>
          </cell>
          <cell r="AR580">
            <v>0</v>
          </cell>
          <cell r="AS580">
            <v>0</v>
          </cell>
          <cell r="AT580">
            <v>150</v>
          </cell>
          <cell r="AU580">
            <v>0</v>
          </cell>
          <cell r="AV580">
            <v>0</v>
          </cell>
          <cell r="AW580">
            <v>195</v>
          </cell>
          <cell r="AX580">
            <v>0</v>
          </cell>
          <cell r="AY580">
            <v>0</v>
          </cell>
          <cell r="AZ580">
            <v>15</v>
          </cell>
          <cell r="BA580">
            <v>0</v>
          </cell>
          <cell r="BB580">
            <v>0</v>
          </cell>
          <cell r="BC580">
            <v>75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6132.5</v>
          </cell>
        </row>
        <row r="581">
          <cell r="C581">
            <v>30561</v>
          </cell>
          <cell r="D581" t="str">
            <v>Camacho, Whenshell</v>
          </cell>
          <cell r="E581">
            <v>74</v>
          </cell>
          <cell r="F581">
            <v>9.25</v>
          </cell>
          <cell r="G581">
            <v>600</v>
          </cell>
          <cell r="H581">
            <v>5550</v>
          </cell>
          <cell r="I581">
            <v>9</v>
          </cell>
          <cell r="J581">
            <v>1.25</v>
          </cell>
          <cell r="K581">
            <v>-11.25</v>
          </cell>
          <cell r="L581">
            <v>21</v>
          </cell>
          <cell r="M581">
            <v>93.75</v>
          </cell>
          <cell r="N581">
            <v>1968.75</v>
          </cell>
          <cell r="O581">
            <v>22</v>
          </cell>
          <cell r="P581">
            <v>7.5</v>
          </cell>
          <cell r="Q581">
            <v>165</v>
          </cell>
          <cell r="R581">
            <v>0</v>
          </cell>
          <cell r="S581">
            <v>97.5</v>
          </cell>
          <cell r="T581">
            <v>0</v>
          </cell>
          <cell r="U581">
            <v>0</v>
          </cell>
          <cell r="V581">
            <v>126.75</v>
          </cell>
          <cell r="W581">
            <v>0</v>
          </cell>
          <cell r="X581">
            <v>0</v>
          </cell>
          <cell r="Y581">
            <v>9.75</v>
          </cell>
          <cell r="Z581">
            <v>0</v>
          </cell>
          <cell r="AA581">
            <v>0</v>
          </cell>
          <cell r="AB581">
            <v>112.5</v>
          </cell>
          <cell r="AC581">
            <v>0</v>
          </cell>
          <cell r="AD581">
            <v>0</v>
          </cell>
          <cell r="AE581">
            <v>146.25</v>
          </cell>
          <cell r="AF581">
            <v>0</v>
          </cell>
          <cell r="AG581">
            <v>0</v>
          </cell>
          <cell r="AH581">
            <v>11.25</v>
          </cell>
          <cell r="AI581">
            <v>0</v>
          </cell>
          <cell r="AJ581">
            <v>0</v>
          </cell>
          <cell r="AK581">
            <v>97.5</v>
          </cell>
          <cell r="AL581">
            <v>0</v>
          </cell>
          <cell r="AM581">
            <v>0</v>
          </cell>
          <cell r="AN581">
            <v>126.75</v>
          </cell>
          <cell r="AO581">
            <v>0</v>
          </cell>
          <cell r="AP581">
            <v>0</v>
          </cell>
          <cell r="AQ581">
            <v>9.75</v>
          </cell>
          <cell r="AR581">
            <v>0</v>
          </cell>
          <cell r="AS581">
            <v>0</v>
          </cell>
          <cell r="AT581">
            <v>150</v>
          </cell>
          <cell r="AU581">
            <v>0</v>
          </cell>
          <cell r="AV581">
            <v>0</v>
          </cell>
          <cell r="AW581">
            <v>195</v>
          </cell>
          <cell r="AX581">
            <v>0</v>
          </cell>
          <cell r="AY581">
            <v>0</v>
          </cell>
          <cell r="AZ581">
            <v>15</v>
          </cell>
          <cell r="BA581">
            <v>0</v>
          </cell>
          <cell r="BB581">
            <v>0</v>
          </cell>
          <cell r="BC581">
            <v>75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7672.5</v>
          </cell>
        </row>
        <row r="582">
          <cell r="C582">
            <v>11565</v>
          </cell>
          <cell r="D582" t="str">
            <v>Carlos, Annie Macario</v>
          </cell>
          <cell r="E582">
            <v>64</v>
          </cell>
          <cell r="F582">
            <v>8</v>
          </cell>
          <cell r="G582">
            <v>600</v>
          </cell>
          <cell r="H582">
            <v>4800</v>
          </cell>
          <cell r="I582">
            <v>0</v>
          </cell>
          <cell r="J582">
            <v>1.25</v>
          </cell>
          <cell r="K582">
            <v>0</v>
          </cell>
          <cell r="L582">
            <v>18</v>
          </cell>
          <cell r="M582">
            <v>93.75</v>
          </cell>
          <cell r="N582">
            <v>1687.5</v>
          </cell>
          <cell r="O582">
            <v>22</v>
          </cell>
          <cell r="P582">
            <v>7.5</v>
          </cell>
          <cell r="Q582">
            <v>165</v>
          </cell>
          <cell r="R582">
            <v>0</v>
          </cell>
          <cell r="S582">
            <v>97.5</v>
          </cell>
          <cell r="T582">
            <v>0</v>
          </cell>
          <cell r="U582">
            <v>0</v>
          </cell>
          <cell r="V582">
            <v>126.75</v>
          </cell>
          <cell r="W582">
            <v>0</v>
          </cell>
          <cell r="X582">
            <v>0</v>
          </cell>
          <cell r="Y582">
            <v>9.75</v>
          </cell>
          <cell r="Z582">
            <v>0</v>
          </cell>
          <cell r="AA582">
            <v>0</v>
          </cell>
          <cell r="AB582">
            <v>112.5</v>
          </cell>
          <cell r="AC582">
            <v>0</v>
          </cell>
          <cell r="AD582">
            <v>0</v>
          </cell>
          <cell r="AE582">
            <v>146.25</v>
          </cell>
          <cell r="AF582">
            <v>0</v>
          </cell>
          <cell r="AG582">
            <v>0</v>
          </cell>
          <cell r="AH582">
            <v>11.25</v>
          </cell>
          <cell r="AI582">
            <v>0</v>
          </cell>
          <cell r="AJ582">
            <v>0</v>
          </cell>
          <cell r="AK582">
            <v>97.5</v>
          </cell>
          <cell r="AL582">
            <v>0</v>
          </cell>
          <cell r="AM582">
            <v>0</v>
          </cell>
          <cell r="AN582">
            <v>126.75</v>
          </cell>
          <cell r="AO582">
            <v>0</v>
          </cell>
          <cell r="AP582">
            <v>0</v>
          </cell>
          <cell r="AQ582">
            <v>9.75</v>
          </cell>
          <cell r="AR582">
            <v>0</v>
          </cell>
          <cell r="AS582">
            <v>0</v>
          </cell>
          <cell r="AT582">
            <v>150</v>
          </cell>
          <cell r="AU582">
            <v>0</v>
          </cell>
          <cell r="AV582">
            <v>0</v>
          </cell>
          <cell r="AW582">
            <v>195</v>
          </cell>
          <cell r="AX582">
            <v>0</v>
          </cell>
          <cell r="AY582">
            <v>0</v>
          </cell>
          <cell r="AZ582">
            <v>15</v>
          </cell>
          <cell r="BA582">
            <v>0</v>
          </cell>
          <cell r="BB582">
            <v>0</v>
          </cell>
          <cell r="BC582">
            <v>75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6652.5</v>
          </cell>
        </row>
        <row r="583">
          <cell r="C583">
            <v>7131</v>
          </cell>
          <cell r="D583" t="str">
            <v>Casicas, Josie Mae Escabillas</v>
          </cell>
          <cell r="E583">
            <v>88</v>
          </cell>
          <cell r="F583">
            <v>11</v>
          </cell>
          <cell r="G583">
            <v>600</v>
          </cell>
          <cell r="H583">
            <v>6600</v>
          </cell>
          <cell r="I583">
            <v>0</v>
          </cell>
          <cell r="J583">
            <v>1.25</v>
          </cell>
          <cell r="K583">
            <v>0</v>
          </cell>
          <cell r="L583">
            <v>30</v>
          </cell>
          <cell r="M583">
            <v>93.75</v>
          </cell>
          <cell r="N583">
            <v>2812.5</v>
          </cell>
          <cell r="O583">
            <v>54</v>
          </cell>
          <cell r="P583">
            <v>7.5</v>
          </cell>
          <cell r="Q583">
            <v>405</v>
          </cell>
          <cell r="R583">
            <v>0</v>
          </cell>
          <cell r="S583">
            <v>97.5</v>
          </cell>
          <cell r="T583">
            <v>0</v>
          </cell>
          <cell r="U583">
            <v>0</v>
          </cell>
          <cell r="V583">
            <v>126.75</v>
          </cell>
          <cell r="W583">
            <v>0</v>
          </cell>
          <cell r="X583">
            <v>0</v>
          </cell>
          <cell r="Y583">
            <v>9.75</v>
          </cell>
          <cell r="Z583">
            <v>0</v>
          </cell>
          <cell r="AA583">
            <v>0</v>
          </cell>
          <cell r="AB583">
            <v>112.5</v>
          </cell>
          <cell r="AC583">
            <v>0</v>
          </cell>
          <cell r="AD583">
            <v>0</v>
          </cell>
          <cell r="AE583">
            <v>146.25</v>
          </cell>
          <cell r="AF583">
            <v>0</v>
          </cell>
          <cell r="AG583">
            <v>0</v>
          </cell>
          <cell r="AH583">
            <v>11.25</v>
          </cell>
          <cell r="AI583">
            <v>0</v>
          </cell>
          <cell r="AJ583">
            <v>0</v>
          </cell>
          <cell r="AK583">
            <v>97.5</v>
          </cell>
          <cell r="AL583">
            <v>0</v>
          </cell>
          <cell r="AM583">
            <v>0</v>
          </cell>
          <cell r="AN583">
            <v>126.75</v>
          </cell>
          <cell r="AO583">
            <v>0</v>
          </cell>
          <cell r="AP583">
            <v>0</v>
          </cell>
          <cell r="AQ583">
            <v>9.75</v>
          </cell>
          <cell r="AR583">
            <v>0</v>
          </cell>
          <cell r="AS583">
            <v>0</v>
          </cell>
          <cell r="AT583">
            <v>150</v>
          </cell>
          <cell r="AU583">
            <v>0</v>
          </cell>
          <cell r="AV583">
            <v>0</v>
          </cell>
          <cell r="AW583">
            <v>195</v>
          </cell>
          <cell r="AX583">
            <v>0</v>
          </cell>
          <cell r="AY583">
            <v>0</v>
          </cell>
          <cell r="AZ583">
            <v>15</v>
          </cell>
          <cell r="BA583">
            <v>0</v>
          </cell>
          <cell r="BB583">
            <v>0</v>
          </cell>
          <cell r="BC583">
            <v>75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9817.5</v>
          </cell>
        </row>
        <row r="584">
          <cell r="C584">
            <v>30786</v>
          </cell>
          <cell r="D584" t="str">
            <v>Casing, Julianna Enopia</v>
          </cell>
          <cell r="E584">
            <v>64</v>
          </cell>
          <cell r="F584">
            <v>8</v>
          </cell>
          <cell r="G584">
            <v>600</v>
          </cell>
          <cell r="H584">
            <v>4800</v>
          </cell>
          <cell r="I584">
            <v>0</v>
          </cell>
          <cell r="J584">
            <v>1.25</v>
          </cell>
          <cell r="K584">
            <v>0</v>
          </cell>
          <cell r="L584">
            <v>18</v>
          </cell>
          <cell r="M584">
            <v>93.75</v>
          </cell>
          <cell r="N584">
            <v>1687.5</v>
          </cell>
          <cell r="O584">
            <v>30</v>
          </cell>
          <cell r="P584">
            <v>7.5</v>
          </cell>
          <cell r="Q584">
            <v>225</v>
          </cell>
          <cell r="R584">
            <v>0</v>
          </cell>
          <cell r="S584">
            <v>97.5</v>
          </cell>
          <cell r="T584">
            <v>0</v>
          </cell>
          <cell r="U584">
            <v>0</v>
          </cell>
          <cell r="V584">
            <v>126.75</v>
          </cell>
          <cell r="W584">
            <v>0</v>
          </cell>
          <cell r="X584">
            <v>0</v>
          </cell>
          <cell r="Y584">
            <v>9.75</v>
          </cell>
          <cell r="Z584">
            <v>0</v>
          </cell>
          <cell r="AA584">
            <v>0</v>
          </cell>
          <cell r="AB584">
            <v>112.5</v>
          </cell>
          <cell r="AC584">
            <v>0</v>
          </cell>
          <cell r="AD584">
            <v>0</v>
          </cell>
          <cell r="AE584">
            <v>146.25</v>
          </cell>
          <cell r="AF584">
            <v>0</v>
          </cell>
          <cell r="AG584">
            <v>0</v>
          </cell>
          <cell r="AH584">
            <v>11.25</v>
          </cell>
          <cell r="AI584">
            <v>0</v>
          </cell>
          <cell r="AJ584">
            <v>0</v>
          </cell>
          <cell r="AK584">
            <v>97.5</v>
          </cell>
          <cell r="AL584">
            <v>0</v>
          </cell>
          <cell r="AM584">
            <v>0</v>
          </cell>
          <cell r="AN584">
            <v>126.75</v>
          </cell>
          <cell r="AO584">
            <v>0</v>
          </cell>
          <cell r="AP584">
            <v>0</v>
          </cell>
          <cell r="AQ584">
            <v>9.75</v>
          </cell>
          <cell r="AR584">
            <v>0</v>
          </cell>
          <cell r="AS584">
            <v>0</v>
          </cell>
          <cell r="AT584">
            <v>150</v>
          </cell>
          <cell r="AU584">
            <v>0</v>
          </cell>
          <cell r="AV584">
            <v>0</v>
          </cell>
          <cell r="AW584">
            <v>195</v>
          </cell>
          <cell r="AX584">
            <v>0</v>
          </cell>
          <cell r="AY584">
            <v>0</v>
          </cell>
          <cell r="AZ584">
            <v>15</v>
          </cell>
          <cell r="BA584">
            <v>0</v>
          </cell>
          <cell r="BB584">
            <v>0</v>
          </cell>
          <cell r="BC584">
            <v>75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6712.5</v>
          </cell>
        </row>
        <row r="585">
          <cell r="C585">
            <v>12901</v>
          </cell>
          <cell r="D585" t="str">
            <v>Casta, Jhereme Rivera</v>
          </cell>
          <cell r="E585">
            <v>80</v>
          </cell>
          <cell r="F585">
            <v>10</v>
          </cell>
          <cell r="G585">
            <v>600</v>
          </cell>
          <cell r="H585">
            <v>6000</v>
          </cell>
          <cell r="I585">
            <v>189</v>
          </cell>
          <cell r="J585">
            <v>1.25</v>
          </cell>
          <cell r="K585">
            <v>-236.25</v>
          </cell>
          <cell r="L585">
            <v>29</v>
          </cell>
          <cell r="M585">
            <v>93.75</v>
          </cell>
          <cell r="N585">
            <v>2718.75</v>
          </cell>
          <cell r="O585">
            <v>0</v>
          </cell>
          <cell r="P585">
            <v>7.5</v>
          </cell>
          <cell r="Q585">
            <v>0</v>
          </cell>
          <cell r="R585">
            <v>0</v>
          </cell>
          <cell r="S585">
            <v>97.5</v>
          </cell>
          <cell r="T585">
            <v>0</v>
          </cell>
          <cell r="U585">
            <v>0</v>
          </cell>
          <cell r="V585">
            <v>126.75</v>
          </cell>
          <cell r="W585">
            <v>0</v>
          </cell>
          <cell r="X585">
            <v>0</v>
          </cell>
          <cell r="Y585">
            <v>9.75</v>
          </cell>
          <cell r="Z585">
            <v>0</v>
          </cell>
          <cell r="AA585">
            <v>0</v>
          </cell>
          <cell r="AB585">
            <v>112.5</v>
          </cell>
          <cell r="AC585">
            <v>0</v>
          </cell>
          <cell r="AD585">
            <v>0</v>
          </cell>
          <cell r="AE585">
            <v>146.25</v>
          </cell>
          <cell r="AF585">
            <v>0</v>
          </cell>
          <cell r="AG585">
            <v>0</v>
          </cell>
          <cell r="AH585">
            <v>11.25</v>
          </cell>
          <cell r="AI585">
            <v>0</v>
          </cell>
          <cell r="AJ585">
            <v>0</v>
          </cell>
          <cell r="AK585">
            <v>97.5</v>
          </cell>
          <cell r="AL585">
            <v>0</v>
          </cell>
          <cell r="AM585">
            <v>0</v>
          </cell>
          <cell r="AN585">
            <v>126.75</v>
          </cell>
          <cell r="AO585">
            <v>0</v>
          </cell>
          <cell r="AP585">
            <v>0</v>
          </cell>
          <cell r="AQ585">
            <v>9.75</v>
          </cell>
          <cell r="AR585">
            <v>0</v>
          </cell>
          <cell r="AS585">
            <v>0</v>
          </cell>
          <cell r="AT585">
            <v>150</v>
          </cell>
          <cell r="AU585">
            <v>0</v>
          </cell>
          <cell r="AV585">
            <v>0</v>
          </cell>
          <cell r="AW585">
            <v>195</v>
          </cell>
          <cell r="AX585">
            <v>0</v>
          </cell>
          <cell r="AY585">
            <v>0</v>
          </cell>
          <cell r="AZ585">
            <v>15</v>
          </cell>
          <cell r="BA585">
            <v>0</v>
          </cell>
          <cell r="BB585">
            <v>0</v>
          </cell>
          <cell r="BC585">
            <v>75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8482.5</v>
          </cell>
        </row>
        <row r="586">
          <cell r="C586">
            <v>12911</v>
          </cell>
          <cell r="D586" t="str">
            <v>Cipriano, Aiza Ramos</v>
          </cell>
          <cell r="E586">
            <v>72</v>
          </cell>
          <cell r="F586">
            <v>9</v>
          </cell>
          <cell r="G586">
            <v>600</v>
          </cell>
          <cell r="H586">
            <v>5400</v>
          </cell>
          <cell r="I586">
            <v>146</v>
          </cell>
          <cell r="J586">
            <v>1.25</v>
          </cell>
          <cell r="K586">
            <v>-182.5</v>
          </cell>
          <cell r="L586">
            <v>21</v>
          </cell>
          <cell r="M586">
            <v>93.75</v>
          </cell>
          <cell r="N586">
            <v>1968.75</v>
          </cell>
          <cell r="O586">
            <v>30</v>
          </cell>
          <cell r="P586">
            <v>7.5</v>
          </cell>
          <cell r="Q586">
            <v>225</v>
          </cell>
          <cell r="R586">
            <v>0</v>
          </cell>
          <cell r="S586">
            <v>97.5</v>
          </cell>
          <cell r="T586">
            <v>0</v>
          </cell>
          <cell r="U586">
            <v>0</v>
          </cell>
          <cell r="V586">
            <v>126.75</v>
          </cell>
          <cell r="W586">
            <v>0</v>
          </cell>
          <cell r="X586">
            <v>0</v>
          </cell>
          <cell r="Y586">
            <v>9.75</v>
          </cell>
          <cell r="Z586">
            <v>0</v>
          </cell>
          <cell r="AA586">
            <v>0</v>
          </cell>
          <cell r="AB586">
            <v>112.5</v>
          </cell>
          <cell r="AC586">
            <v>0</v>
          </cell>
          <cell r="AD586">
            <v>0</v>
          </cell>
          <cell r="AE586">
            <v>146.25</v>
          </cell>
          <cell r="AF586">
            <v>0</v>
          </cell>
          <cell r="AG586">
            <v>0</v>
          </cell>
          <cell r="AH586">
            <v>11.25</v>
          </cell>
          <cell r="AI586">
            <v>0</v>
          </cell>
          <cell r="AJ586">
            <v>0</v>
          </cell>
          <cell r="AK586">
            <v>97.5</v>
          </cell>
          <cell r="AL586">
            <v>0</v>
          </cell>
          <cell r="AM586">
            <v>0</v>
          </cell>
          <cell r="AN586">
            <v>126.75</v>
          </cell>
          <cell r="AO586">
            <v>0</v>
          </cell>
          <cell r="AP586">
            <v>0</v>
          </cell>
          <cell r="AQ586">
            <v>9.75</v>
          </cell>
          <cell r="AR586">
            <v>0</v>
          </cell>
          <cell r="AS586">
            <v>0</v>
          </cell>
          <cell r="AT586">
            <v>150</v>
          </cell>
          <cell r="AU586">
            <v>0</v>
          </cell>
          <cell r="AV586">
            <v>0</v>
          </cell>
          <cell r="AW586">
            <v>195</v>
          </cell>
          <cell r="AX586">
            <v>0</v>
          </cell>
          <cell r="AY586">
            <v>0</v>
          </cell>
          <cell r="AZ586">
            <v>15</v>
          </cell>
          <cell r="BA586">
            <v>0</v>
          </cell>
          <cell r="BB586">
            <v>0</v>
          </cell>
          <cell r="BC586">
            <v>75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7411.25</v>
          </cell>
        </row>
        <row r="587">
          <cell r="C587">
            <v>11581</v>
          </cell>
          <cell r="D587" t="str">
            <v>Consulta, Julian</v>
          </cell>
          <cell r="E587">
            <v>72</v>
          </cell>
          <cell r="F587">
            <v>9</v>
          </cell>
          <cell r="G587">
            <v>600</v>
          </cell>
          <cell r="H587">
            <v>5400</v>
          </cell>
          <cell r="I587">
            <v>0</v>
          </cell>
          <cell r="J587">
            <v>1.25</v>
          </cell>
          <cell r="K587">
            <v>0</v>
          </cell>
          <cell r="L587">
            <v>24</v>
          </cell>
          <cell r="M587">
            <v>93.75</v>
          </cell>
          <cell r="N587">
            <v>2250</v>
          </cell>
          <cell r="O587">
            <v>0</v>
          </cell>
          <cell r="P587">
            <v>7.5</v>
          </cell>
          <cell r="Q587">
            <v>0</v>
          </cell>
          <cell r="R587">
            <v>0</v>
          </cell>
          <cell r="S587">
            <v>97.5</v>
          </cell>
          <cell r="T587">
            <v>0</v>
          </cell>
          <cell r="U587">
            <v>0</v>
          </cell>
          <cell r="V587">
            <v>126.75</v>
          </cell>
          <cell r="W587">
            <v>0</v>
          </cell>
          <cell r="X587">
            <v>0</v>
          </cell>
          <cell r="Y587">
            <v>9.75</v>
          </cell>
          <cell r="Z587">
            <v>0</v>
          </cell>
          <cell r="AA587">
            <v>0</v>
          </cell>
          <cell r="AB587">
            <v>112.5</v>
          </cell>
          <cell r="AC587">
            <v>0</v>
          </cell>
          <cell r="AD587">
            <v>0</v>
          </cell>
          <cell r="AE587">
            <v>146.25</v>
          </cell>
          <cell r="AF587">
            <v>0</v>
          </cell>
          <cell r="AG587">
            <v>0</v>
          </cell>
          <cell r="AH587">
            <v>11.25</v>
          </cell>
          <cell r="AI587">
            <v>0</v>
          </cell>
          <cell r="AJ587">
            <v>0</v>
          </cell>
          <cell r="AK587">
            <v>97.5</v>
          </cell>
          <cell r="AL587">
            <v>0</v>
          </cell>
          <cell r="AM587">
            <v>0</v>
          </cell>
          <cell r="AN587">
            <v>126.75</v>
          </cell>
          <cell r="AO587">
            <v>0</v>
          </cell>
          <cell r="AP587">
            <v>0</v>
          </cell>
          <cell r="AQ587">
            <v>9.75</v>
          </cell>
          <cell r="AR587">
            <v>0</v>
          </cell>
          <cell r="AS587">
            <v>0</v>
          </cell>
          <cell r="AT587">
            <v>150</v>
          </cell>
          <cell r="AU587">
            <v>0</v>
          </cell>
          <cell r="AV587">
            <v>0</v>
          </cell>
          <cell r="AW587">
            <v>195</v>
          </cell>
          <cell r="AX587">
            <v>0</v>
          </cell>
          <cell r="AY587">
            <v>0</v>
          </cell>
          <cell r="AZ587">
            <v>15</v>
          </cell>
          <cell r="BA587">
            <v>0</v>
          </cell>
          <cell r="BB587">
            <v>0</v>
          </cell>
          <cell r="BC587">
            <v>75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7650</v>
          </cell>
        </row>
        <row r="588">
          <cell r="C588">
            <v>11499</v>
          </cell>
          <cell r="D588" t="str">
            <v>Cornejo, Justin M</v>
          </cell>
          <cell r="E588">
            <v>80</v>
          </cell>
          <cell r="F588">
            <v>10</v>
          </cell>
          <cell r="G588">
            <v>600</v>
          </cell>
          <cell r="H588">
            <v>6000</v>
          </cell>
          <cell r="I588">
            <v>35</v>
          </cell>
          <cell r="J588">
            <v>1.25</v>
          </cell>
          <cell r="K588">
            <v>-43.75</v>
          </cell>
          <cell r="L588">
            <v>30</v>
          </cell>
          <cell r="M588">
            <v>93.75</v>
          </cell>
          <cell r="N588">
            <v>2812.5</v>
          </cell>
          <cell r="O588">
            <v>0</v>
          </cell>
          <cell r="P588">
            <v>7.5</v>
          </cell>
          <cell r="Q588">
            <v>0</v>
          </cell>
          <cell r="R588">
            <v>0</v>
          </cell>
          <cell r="S588">
            <v>97.5</v>
          </cell>
          <cell r="T588">
            <v>0</v>
          </cell>
          <cell r="U588">
            <v>0</v>
          </cell>
          <cell r="V588">
            <v>126.75</v>
          </cell>
          <cell r="W588">
            <v>0</v>
          </cell>
          <cell r="X588">
            <v>0</v>
          </cell>
          <cell r="Y588">
            <v>9.75</v>
          </cell>
          <cell r="Z588">
            <v>0</v>
          </cell>
          <cell r="AA588">
            <v>0</v>
          </cell>
          <cell r="AB588">
            <v>112.5</v>
          </cell>
          <cell r="AC588">
            <v>0</v>
          </cell>
          <cell r="AD588">
            <v>0</v>
          </cell>
          <cell r="AE588">
            <v>146.25</v>
          </cell>
          <cell r="AF588">
            <v>0</v>
          </cell>
          <cell r="AG588">
            <v>0</v>
          </cell>
          <cell r="AH588">
            <v>11.25</v>
          </cell>
          <cell r="AI588">
            <v>0</v>
          </cell>
          <cell r="AJ588">
            <v>0</v>
          </cell>
          <cell r="AK588">
            <v>97.5</v>
          </cell>
          <cell r="AL588">
            <v>0</v>
          </cell>
          <cell r="AM588">
            <v>0</v>
          </cell>
          <cell r="AN588">
            <v>126.75</v>
          </cell>
          <cell r="AO588">
            <v>0</v>
          </cell>
          <cell r="AP588">
            <v>0</v>
          </cell>
          <cell r="AQ588">
            <v>9.75</v>
          </cell>
          <cell r="AR588">
            <v>0</v>
          </cell>
          <cell r="AS588">
            <v>0</v>
          </cell>
          <cell r="AT588">
            <v>150</v>
          </cell>
          <cell r="AU588">
            <v>0</v>
          </cell>
          <cell r="AV588">
            <v>0</v>
          </cell>
          <cell r="AW588">
            <v>195</v>
          </cell>
          <cell r="AX588">
            <v>0</v>
          </cell>
          <cell r="AY588">
            <v>0</v>
          </cell>
          <cell r="AZ588">
            <v>15</v>
          </cell>
          <cell r="BA588">
            <v>0</v>
          </cell>
          <cell r="BB588">
            <v>0</v>
          </cell>
          <cell r="BC588">
            <v>75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8768.75</v>
          </cell>
        </row>
        <row r="589">
          <cell r="C589">
            <v>13334</v>
          </cell>
          <cell r="D589" t="str">
            <v>Cortas, Elenor Dimacuha</v>
          </cell>
          <cell r="E589">
            <v>80</v>
          </cell>
          <cell r="F589">
            <v>10</v>
          </cell>
          <cell r="G589">
            <v>600</v>
          </cell>
          <cell r="H589">
            <v>6000</v>
          </cell>
          <cell r="I589">
            <v>0</v>
          </cell>
          <cell r="J589">
            <v>1.25</v>
          </cell>
          <cell r="K589">
            <v>0</v>
          </cell>
          <cell r="L589">
            <v>25</v>
          </cell>
          <cell r="M589">
            <v>93.75</v>
          </cell>
          <cell r="N589">
            <v>2343.75</v>
          </cell>
          <cell r="O589">
            <v>38</v>
          </cell>
          <cell r="P589">
            <v>7.5</v>
          </cell>
          <cell r="Q589">
            <v>285</v>
          </cell>
          <cell r="R589">
            <v>0</v>
          </cell>
          <cell r="S589">
            <v>97.5</v>
          </cell>
          <cell r="T589">
            <v>0</v>
          </cell>
          <cell r="U589">
            <v>0</v>
          </cell>
          <cell r="V589">
            <v>126.75</v>
          </cell>
          <cell r="W589">
            <v>0</v>
          </cell>
          <cell r="X589">
            <v>0</v>
          </cell>
          <cell r="Y589">
            <v>9.75</v>
          </cell>
          <cell r="Z589">
            <v>0</v>
          </cell>
          <cell r="AA589">
            <v>0</v>
          </cell>
          <cell r="AB589">
            <v>112.5</v>
          </cell>
          <cell r="AC589">
            <v>0</v>
          </cell>
          <cell r="AD589">
            <v>0</v>
          </cell>
          <cell r="AE589">
            <v>146.25</v>
          </cell>
          <cell r="AF589">
            <v>0</v>
          </cell>
          <cell r="AG589">
            <v>0</v>
          </cell>
          <cell r="AH589">
            <v>11.25</v>
          </cell>
          <cell r="AI589">
            <v>0</v>
          </cell>
          <cell r="AJ589">
            <v>0</v>
          </cell>
          <cell r="AK589">
            <v>97.5</v>
          </cell>
          <cell r="AL589">
            <v>0</v>
          </cell>
          <cell r="AM589">
            <v>0</v>
          </cell>
          <cell r="AN589">
            <v>126.75</v>
          </cell>
          <cell r="AO589">
            <v>0</v>
          </cell>
          <cell r="AP589">
            <v>0</v>
          </cell>
          <cell r="AQ589">
            <v>9.75</v>
          </cell>
          <cell r="AR589">
            <v>0</v>
          </cell>
          <cell r="AS589">
            <v>0</v>
          </cell>
          <cell r="AT589">
            <v>150</v>
          </cell>
          <cell r="AU589">
            <v>0</v>
          </cell>
          <cell r="AV589">
            <v>0</v>
          </cell>
          <cell r="AW589">
            <v>195</v>
          </cell>
          <cell r="AX589">
            <v>0</v>
          </cell>
          <cell r="AY589">
            <v>0</v>
          </cell>
          <cell r="AZ589">
            <v>15</v>
          </cell>
          <cell r="BA589">
            <v>0</v>
          </cell>
          <cell r="BB589">
            <v>0</v>
          </cell>
          <cell r="BC589">
            <v>75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8628.75</v>
          </cell>
        </row>
        <row r="590">
          <cell r="C590">
            <v>13338</v>
          </cell>
          <cell r="D590" t="str">
            <v>Cortas, John Lloyd Gunay</v>
          </cell>
          <cell r="E590">
            <v>80</v>
          </cell>
          <cell r="F590">
            <v>10</v>
          </cell>
          <cell r="G590">
            <v>600</v>
          </cell>
          <cell r="H590">
            <v>6000</v>
          </cell>
          <cell r="I590">
            <v>23</v>
          </cell>
          <cell r="J590">
            <v>1.25</v>
          </cell>
          <cell r="K590">
            <v>-28.75</v>
          </cell>
          <cell r="L590">
            <v>24</v>
          </cell>
          <cell r="M590">
            <v>93.75</v>
          </cell>
          <cell r="N590">
            <v>2250</v>
          </cell>
          <cell r="O590">
            <v>30</v>
          </cell>
          <cell r="P590">
            <v>7.5</v>
          </cell>
          <cell r="Q590">
            <v>225</v>
          </cell>
          <cell r="R590">
            <v>0</v>
          </cell>
          <cell r="S590">
            <v>97.5</v>
          </cell>
          <cell r="T590">
            <v>0</v>
          </cell>
          <cell r="U590">
            <v>0</v>
          </cell>
          <cell r="V590">
            <v>126.75</v>
          </cell>
          <cell r="W590">
            <v>0</v>
          </cell>
          <cell r="X590">
            <v>0</v>
          </cell>
          <cell r="Y590">
            <v>9.75</v>
          </cell>
          <cell r="Z590">
            <v>0</v>
          </cell>
          <cell r="AA590">
            <v>0</v>
          </cell>
          <cell r="AB590">
            <v>112.5</v>
          </cell>
          <cell r="AC590">
            <v>0</v>
          </cell>
          <cell r="AD590">
            <v>0</v>
          </cell>
          <cell r="AE590">
            <v>146.25</v>
          </cell>
          <cell r="AF590">
            <v>0</v>
          </cell>
          <cell r="AG590">
            <v>0</v>
          </cell>
          <cell r="AH590">
            <v>11.25</v>
          </cell>
          <cell r="AI590">
            <v>0</v>
          </cell>
          <cell r="AJ590">
            <v>0</v>
          </cell>
          <cell r="AK590">
            <v>97.5</v>
          </cell>
          <cell r="AL590">
            <v>0</v>
          </cell>
          <cell r="AM590">
            <v>0</v>
          </cell>
          <cell r="AN590">
            <v>126.75</v>
          </cell>
          <cell r="AO590">
            <v>0</v>
          </cell>
          <cell r="AP590">
            <v>0</v>
          </cell>
          <cell r="AQ590">
            <v>9.75</v>
          </cell>
          <cell r="AR590">
            <v>0</v>
          </cell>
          <cell r="AS590">
            <v>0</v>
          </cell>
          <cell r="AT590">
            <v>150</v>
          </cell>
          <cell r="AU590">
            <v>0</v>
          </cell>
          <cell r="AV590">
            <v>0</v>
          </cell>
          <cell r="AW590">
            <v>195</v>
          </cell>
          <cell r="AX590">
            <v>0</v>
          </cell>
          <cell r="AY590">
            <v>0</v>
          </cell>
          <cell r="AZ590">
            <v>15</v>
          </cell>
          <cell r="BA590">
            <v>0</v>
          </cell>
          <cell r="BB590">
            <v>0</v>
          </cell>
          <cell r="BC590">
            <v>75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8446.25</v>
          </cell>
        </row>
        <row r="591">
          <cell r="C591">
            <v>13396</v>
          </cell>
          <cell r="D591" t="str">
            <v>Cortas, Joven Dimacuha</v>
          </cell>
          <cell r="E591">
            <v>56</v>
          </cell>
          <cell r="F591">
            <v>7</v>
          </cell>
          <cell r="G591">
            <v>600</v>
          </cell>
          <cell r="H591">
            <v>4200</v>
          </cell>
          <cell r="I591">
            <v>0</v>
          </cell>
          <cell r="J591">
            <v>1.25</v>
          </cell>
          <cell r="K591">
            <v>0</v>
          </cell>
          <cell r="L591">
            <v>18</v>
          </cell>
          <cell r="M591">
            <v>93.75</v>
          </cell>
          <cell r="N591">
            <v>1687.5</v>
          </cell>
          <cell r="O591">
            <v>30</v>
          </cell>
          <cell r="P591">
            <v>7.5</v>
          </cell>
          <cell r="Q591">
            <v>225</v>
          </cell>
          <cell r="R591">
            <v>0</v>
          </cell>
          <cell r="S591">
            <v>97.5</v>
          </cell>
          <cell r="T591">
            <v>0</v>
          </cell>
          <cell r="U591">
            <v>0</v>
          </cell>
          <cell r="V591">
            <v>126.75</v>
          </cell>
          <cell r="W591">
            <v>0</v>
          </cell>
          <cell r="X591">
            <v>0</v>
          </cell>
          <cell r="Y591">
            <v>9.75</v>
          </cell>
          <cell r="Z591">
            <v>0</v>
          </cell>
          <cell r="AA591">
            <v>0</v>
          </cell>
          <cell r="AB591">
            <v>112.5</v>
          </cell>
          <cell r="AC591">
            <v>0</v>
          </cell>
          <cell r="AD591">
            <v>0</v>
          </cell>
          <cell r="AE591">
            <v>146.25</v>
          </cell>
          <cell r="AF591">
            <v>0</v>
          </cell>
          <cell r="AG591">
            <v>0</v>
          </cell>
          <cell r="AH591">
            <v>11.25</v>
          </cell>
          <cell r="AI591">
            <v>0</v>
          </cell>
          <cell r="AJ591">
            <v>0</v>
          </cell>
          <cell r="AK591">
            <v>97.5</v>
          </cell>
          <cell r="AL591">
            <v>0</v>
          </cell>
          <cell r="AM591">
            <v>0</v>
          </cell>
          <cell r="AN591">
            <v>126.75</v>
          </cell>
          <cell r="AO591">
            <v>0</v>
          </cell>
          <cell r="AP591">
            <v>0</v>
          </cell>
          <cell r="AQ591">
            <v>9.75</v>
          </cell>
          <cell r="AR591">
            <v>0</v>
          </cell>
          <cell r="AS591">
            <v>0</v>
          </cell>
          <cell r="AT591">
            <v>150</v>
          </cell>
          <cell r="AU591">
            <v>0</v>
          </cell>
          <cell r="AV591">
            <v>0</v>
          </cell>
          <cell r="AW591">
            <v>195</v>
          </cell>
          <cell r="AX591">
            <v>0</v>
          </cell>
          <cell r="AY591">
            <v>0</v>
          </cell>
          <cell r="AZ591">
            <v>15</v>
          </cell>
          <cell r="BA591">
            <v>0</v>
          </cell>
          <cell r="BB591">
            <v>0</v>
          </cell>
          <cell r="BC591">
            <v>75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6112.5</v>
          </cell>
        </row>
        <row r="592">
          <cell r="C592">
            <v>30185</v>
          </cell>
          <cell r="D592" t="str">
            <v>De Mesa, Anjonelle Agquiz</v>
          </cell>
          <cell r="E592">
            <v>64</v>
          </cell>
          <cell r="F592">
            <v>8</v>
          </cell>
          <cell r="G592">
            <v>600</v>
          </cell>
          <cell r="H592">
            <v>4800</v>
          </cell>
          <cell r="I592">
            <v>0</v>
          </cell>
          <cell r="J592">
            <v>1.25</v>
          </cell>
          <cell r="K592">
            <v>0</v>
          </cell>
          <cell r="L592">
            <v>18</v>
          </cell>
          <cell r="M592">
            <v>93.75</v>
          </cell>
          <cell r="N592">
            <v>1687.5</v>
          </cell>
          <cell r="O592">
            <v>24</v>
          </cell>
          <cell r="P592">
            <v>7.5</v>
          </cell>
          <cell r="Q592">
            <v>180</v>
          </cell>
          <cell r="R592">
            <v>0</v>
          </cell>
          <cell r="S592">
            <v>97.5</v>
          </cell>
          <cell r="T592">
            <v>0</v>
          </cell>
          <cell r="U592">
            <v>0</v>
          </cell>
          <cell r="V592">
            <v>126.75</v>
          </cell>
          <cell r="W592">
            <v>0</v>
          </cell>
          <cell r="X592">
            <v>0</v>
          </cell>
          <cell r="Y592">
            <v>9.75</v>
          </cell>
          <cell r="Z592">
            <v>0</v>
          </cell>
          <cell r="AA592">
            <v>0</v>
          </cell>
          <cell r="AB592">
            <v>112.5</v>
          </cell>
          <cell r="AC592">
            <v>0</v>
          </cell>
          <cell r="AD592">
            <v>0</v>
          </cell>
          <cell r="AE592">
            <v>146.25</v>
          </cell>
          <cell r="AF592">
            <v>0</v>
          </cell>
          <cell r="AG592">
            <v>0</v>
          </cell>
          <cell r="AH592">
            <v>11.25</v>
          </cell>
          <cell r="AI592">
            <v>0</v>
          </cell>
          <cell r="AJ592">
            <v>0</v>
          </cell>
          <cell r="AK592">
            <v>97.5</v>
          </cell>
          <cell r="AL592">
            <v>0</v>
          </cell>
          <cell r="AM592">
            <v>0</v>
          </cell>
          <cell r="AN592">
            <v>126.75</v>
          </cell>
          <cell r="AO592">
            <v>0</v>
          </cell>
          <cell r="AP592">
            <v>0</v>
          </cell>
          <cell r="AQ592">
            <v>9.75</v>
          </cell>
          <cell r="AR592">
            <v>0</v>
          </cell>
          <cell r="AS592">
            <v>0</v>
          </cell>
          <cell r="AT592">
            <v>150</v>
          </cell>
          <cell r="AU592">
            <v>0</v>
          </cell>
          <cell r="AV592">
            <v>0</v>
          </cell>
          <cell r="AW592">
            <v>195</v>
          </cell>
          <cell r="AX592">
            <v>0</v>
          </cell>
          <cell r="AY592">
            <v>0</v>
          </cell>
          <cell r="AZ592">
            <v>15</v>
          </cell>
          <cell r="BA592">
            <v>0</v>
          </cell>
          <cell r="BB592">
            <v>0</v>
          </cell>
          <cell r="BC592">
            <v>75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6667.5</v>
          </cell>
        </row>
        <row r="593">
          <cell r="C593">
            <v>30864</v>
          </cell>
          <cell r="D593" t="str">
            <v>Del Rosario, Riet Chei Molina</v>
          </cell>
          <cell r="E593">
            <v>0</v>
          </cell>
          <cell r="F593">
            <v>0</v>
          </cell>
          <cell r="G593">
            <v>600</v>
          </cell>
          <cell r="H593">
            <v>0</v>
          </cell>
          <cell r="I593">
            <v>0</v>
          </cell>
          <cell r="J593">
            <v>1.25</v>
          </cell>
          <cell r="K593">
            <v>0</v>
          </cell>
          <cell r="L593">
            <v>0</v>
          </cell>
          <cell r="M593">
            <v>93.75</v>
          </cell>
          <cell r="N593">
            <v>0</v>
          </cell>
          <cell r="O593">
            <v>0</v>
          </cell>
          <cell r="P593">
            <v>7.5</v>
          </cell>
          <cell r="Q593">
            <v>0</v>
          </cell>
          <cell r="R593">
            <v>0</v>
          </cell>
          <cell r="S593">
            <v>97.5</v>
          </cell>
          <cell r="T593">
            <v>0</v>
          </cell>
          <cell r="U593">
            <v>0</v>
          </cell>
          <cell r="V593">
            <v>126.75</v>
          </cell>
          <cell r="W593">
            <v>0</v>
          </cell>
          <cell r="X593">
            <v>0</v>
          </cell>
          <cell r="Y593">
            <v>9.75</v>
          </cell>
          <cell r="Z593">
            <v>0</v>
          </cell>
          <cell r="AA593">
            <v>0</v>
          </cell>
          <cell r="AB593">
            <v>112.5</v>
          </cell>
          <cell r="AC593">
            <v>0</v>
          </cell>
          <cell r="AD593">
            <v>0</v>
          </cell>
          <cell r="AE593">
            <v>146.25</v>
          </cell>
          <cell r="AF593">
            <v>0</v>
          </cell>
          <cell r="AG593">
            <v>0</v>
          </cell>
          <cell r="AH593">
            <v>11.25</v>
          </cell>
          <cell r="AI593">
            <v>0</v>
          </cell>
          <cell r="AJ593">
            <v>0</v>
          </cell>
          <cell r="AK593">
            <v>97.5</v>
          </cell>
          <cell r="AL593">
            <v>0</v>
          </cell>
          <cell r="AM593">
            <v>0</v>
          </cell>
          <cell r="AN593">
            <v>126.75</v>
          </cell>
          <cell r="AO593">
            <v>0</v>
          </cell>
          <cell r="AP593">
            <v>0</v>
          </cell>
          <cell r="AQ593">
            <v>9.75</v>
          </cell>
          <cell r="AR593">
            <v>0</v>
          </cell>
          <cell r="AS593">
            <v>0</v>
          </cell>
          <cell r="AT593">
            <v>150</v>
          </cell>
          <cell r="AU593">
            <v>0</v>
          </cell>
          <cell r="AV593">
            <v>0</v>
          </cell>
          <cell r="AW593">
            <v>195</v>
          </cell>
          <cell r="AX593">
            <v>0</v>
          </cell>
          <cell r="AY593">
            <v>0</v>
          </cell>
          <cell r="AZ593">
            <v>15</v>
          </cell>
          <cell r="BA593">
            <v>0</v>
          </cell>
          <cell r="BB593">
            <v>0</v>
          </cell>
          <cell r="BC593">
            <v>75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</row>
        <row r="594">
          <cell r="C594">
            <v>30213</v>
          </cell>
          <cell r="D594" t="str">
            <v>Delos Santos, Greg Credo</v>
          </cell>
          <cell r="E594">
            <v>80</v>
          </cell>
          <cell r="F594">
            <v>10</v>
          </cell>
          <cell r="G594">
            <v>600</v>
          </cell>
          <cell r="H594">
            <v>6000</v>
          </cell>
          <cell r="I594">
            <v>0</v>
          </cell>
          <cell r="J594">
            <v>1.25</v>
          </cell>
          <cell r="K594">
            <v>0</v>
          </cell>
          <cell r="L594">
            <v>28</v>
          </cell>
          <cell r="M594">
            <v>93.75</v>
          </cell>
          <cell r="N594">
            <v>2625</v>
          </cell>
          <cell r="O594">
            <v>47</v>
          </cell>
          <cell r="P594">
            <v>7.5</v>
          </cell>
          <cell r="Q594">
            <v>352.5</v>
          </cell>
          <cell r="R594">
            <v>0</v>
          </cell>
          <cell r="S594">
            <v>97.5</v>
          </cell>
          <cell r="T594">
            <v>0</v>
          </cell>
          <cell r="U594">
            <v>0</v>
          </cell>
          <cell r="V594">
            <v>126.75</v>
          </cell>
          <cell r="W594">
            <v>0</v>
          </cell>
          <cell r="X594">
            <v>0</v>
          </cell>
          <cell r="Y594">
            <v>9.75</v>
          </cell>
          <cell r="Z594">
            <v>0</v>
          </cell>
          <cell r="AA594">
            <v>0</v>
          </cell>
          <cell r="AB594">
            <v>112.5</v>
          </cell>
          <cell r="AC594">
            <v>0</v>
          </cell>
          <cell r="AD594">
            <v>0</v>
          </cell>
          <cell r="AE594">
            <v>146.25</v>
          </cell>
          <cell r="AF594">
            <v>0</v>
          </cell>
          <cell r="AG594">
            <v>0</v>
          </cell>
          <cell r="AH594">
            <v>11.25</v>
          </cell>
          <cell r="AI594">
            <v>0</v>
          </cell>
          <cell r="AJ594">
            <v>0</v>
          </cell>
          <cell r="AK594">
            <v>97.5</v>
          </cell>
          <cell r="AL594">
            <v>0</v>
          </cell>
          <cell r="AM594">
            <v>0</v>
          </cell>
          <cell r="AN594">
            <v>126.75</v>
          </cell>
          <cell r="AO594">
            <v>0</v>
          </cell>
          <cell r="AP594">
            <v>0</v>
          </cell>
          <cell r="AQ594">
            <v>9.75</v>
          </cell>
          <cell r="AR594">
            <v>0</v>
          </cell>
          <cell r="AS594">
            <v>0</v>
          </cell>
          <cell r="AT594">
            <v>150</v>
          </cell>
          <cell r="AU594">
            <v>0</v>
          </cell>
          <cell r="AV594">
            <v>0</v>
          </cell>
          <cell r="AW594">
            <v>195</v>
          </cell>
          <cell r="AX594">
            <v>0</v>
          </cell>
          <cell r="AY594">
            <v>0</v>
          </cell>
          <cell r="AZ594">
            <v>15</v>
          </cell>
          <cell r="BA594">
            <v>0</v>
          </cell>
          <cell r="BB594">
            <v>0</v>
          </cell>
          <cell r="BC594">
            <v>75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8977.5</v>
          </cell>
        </row>
        <row r="595">
          <cell r="C595">
            <v>14614</v>
          </cell>
          <cell r="D595" t="str">
            <v>Dimaano, Xylona Faye De Las Alas</v>
          </cell>
          <cell r="E595">
            <v>72</v>
          </cell>
          <cell r="F595">
            <v>9</v>
          </cell>
          <cell r="G595">
            <v>600</v>
          </cell>
          <cell r="H595">
            <v>5400</v>
          </cell>
          <cell r="I595">
            <v>6</v>
          </cell>
          <cell r="J595">
            <v>1.25</v>
          </cell>
          <cell r="K595">
            <v>-7.5</v>
          </cell>
          <cell r="L595">
            <v>9</v>
          </cell>
          <cell r="M595">
            <v>93.75</v>
          </cell>
          <cell r="N595">
            <v>843.75</v>
          </cell>
          <cell r="O595">
            <v>0</v>
          </cell>
          <cell r="P595">
            <v>7.5</v>
          </cell>
          <cell r="Q595">
            <v>0</v>
          </cell>
          <cell r="R595">
            <v>0</v>
          </cell>
          <cell r="S595">
            <v>97.5</v>
          </cell>
          <cell r="T595">
            <v>0</v>
          </cell>
          <cell r="U595">
            <v>0</v>
          </cell>
          <cell r="V595">
            <v>126.75</v>
          </cell>
          <cell r="W595">
            <v>0</v>
          </cell>
          <cell r="X595">
            <v>0</v>
          </cell>
          <cell r="Y595">
            <v>9.75</v>
          </cell>
          <cell r="Z595">
            <v>0</v>
          </cell>
          <cell r="AA595">
            <v>0</v>
          </cell>
          <cell r="AB595">
            <v>112.5</v>
          </cell>
          <cell r="AC595">
            <v>0</v>
          </cell>
          <cell r="AD595">
            <v>0</v>
          </cell>
          <cell r="AE595">
            <v>146.25</v>
          </cell>
          <cell r="AF595">
            <v>0</v>
          </cell>
          <cell r="AG595">
            <v>0</v>
          </cell>
          <cell r="AH595">
            <v>11.25</v>
          </cell>
          <cell r="AI595">
            <v>0</v>
          </cell>
          <cell r="AJ595">
            <v>0</v>
          </cell>
          <cell r="AK595">
            <v>97.5</v>
          </cell>
          <cell r="AL595">
            <v>0</v>
          </cell>
          <cell r="AM595">
            <v>0</v>
          </cell>
          <cell r="AN595">
            <v>126.75</v>
          </cell>
          <cell r="AO595">
            <v>0</v>
          </cell>
          <cell r="AP595">
            <v>0</v>
          </cell>
          <cell r="AQ595">
            <v>9.75</v>
          </cell>
          <cell r="AR595">
            <v>0</v>
          </cell>
          <cell r="AS595">
            <v>0</v>
          </cell>
          <cell r="AT595">
            <v>150</v>
          </cell>
          <cell r="AU595">
            <v>0</v>
          </cell>
          <cell r="AV595">
            <v>0</v>
          </cell>
          <cell r="AW595">
            <v>195</v>
          </cell>
          <cell r="AX595">
            <v>0</v>
          </cell>
          <cell r="AY595">
            <v>0</v>
          </cell>
          <cell r="AZ595">
            <v>15</v>
          </cell>
          <cell r="BA595">
            <v>0</v>
          </cell>
          <cell r="BB595">
            <v>0</v>
          </cell>
          <cell r="BC595">
            <v>75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6236.25</v>
          </cell>
        </row>
        <row r="596">
          <cell r="C596">
            <v>30565</v>
          </cell>
          <cell r="D596" t="str">
            <v>Dioneda, Rex</v>
          </cell>
          <cell r="E596">
            <v>72</v>
          </cell>
          <cell r="F596">
            <v>9</v>
          </cell>
          <cell r="G596">
            <v>600</v>
          </cell>
          <cell r="H596">
            <v>5400</v>
          </cell>
          <cell r="I596">
            <v>0</v>
          </cell>
          <cell r="J596">
            <v>1.25</v>
          </cell>
          <cell r="K596">
            <v>0</v>
          </cell>
          <cell r="L596">
            <v>24</v>
          </cell>
          <cell r="M596">
            <v>93.75</v>
          </cell>
          <cell r="N596">
            <v>2250</v>
          </cell>
          <cell r="O596">
            <v>48</v>
          </cell>
          <cell r="P596">
            <v>7.5</v>
          </cell>
          <cell r="Q596">
            <v>360</v>
          </cell>
          <cell r="R596">
            <v>0</v>
          </cell>
          <cell r="S596">
            <v>97.5</v>
          </cell>
          <cell r="T596">
            <v>0</v>
          </cell>
          <cell r="U596">
            <v>0</v>
          </cell>
          <cell r="V596">
            <v>126.75</v>
          </cell>
          <cell r="W596">
            <v>0</v>
          </cell>
          <cell r="X596">
            <v>0</v>
          </cell>
          <cell r="Y596">
            <v>9.75</v>
          </cell>
          <cell r="Z596">
            <v>0</v>
          </cell>
          <cell r="AA596">
            <v>0</v>
          </cell>
          <cell r="AB596">
            <v>112.5</v>
          </cell>
          <cell r="AC596">
            <v>0</v>
          </cell>
          <cell r="AD596">
            <v>0</v>
          </cell>
          <cell r="AE596">
            <v>146.25</v>
          </cell>
          <cell r="AF596">
            <v>0</v>
          </cell>
          <cell r="AG596">
            <v>0</v>
          </cell>
          <cell r="AH596">
            <v>11.25</v>
          </cell>
          <cell r="AI596">
            <v>0</v>
          </cell>
          <cell r="AJ596">
            <v>0</v>
          </cell>
          <cell r="AK596">
            <v>97.5</v>
          </cell>
          <cell r="AL596">
            <v>0</v>
          </cell>
          <cell r="AM596">
            <v>0</v>
          </cell>
          <cell r="AN596">
            <v>126.75</v>
          </cell>
          <cell r="AO596">
            <v>0</v>
          </cell>
          <cell r="AP596">
            <v>0</v>
          </cell>
          <cell r="AQ596">
            <v>9.75</v>
          </cell>
          <cell r="AR596">
            <v>0</v>
          </cell>
          <cell r="AS596">
            <v>0</v>
          </cell>
          <cell r="AT596">
            <v>150</v>
          </cell>
          <cell r="AU596">
            <v>0</v>
          </cell>
          <cell r="AV596">
            <v>0</v>
          </cell>
          <cell r="AW596">
            <v>195</v>
          </cell>
          <cell r="AX596">
            <v>0</v>
          </cell>
          <cell r="AY596">
            <v>0</v>
          </cell>
          <cell r="AZ596">
            <v>15</v>
          </cell>
          <cell r="BA596">
            <v>0</v>
          </cell>
          <cell r="BB596">
            <v>0</v>
          </cell>
          <cell r="BC596">
            <v>75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8010</v>
          </cell>
        </row>
        <row r="597">
          <cell r="C597">
            <v>14942</v>
          </cell>
          <cell r="D597" t="str">
            <v>Elago, Maria sheena Medina</v>
          </cell>
          <cell r="E597">
            <v>80</v>
          </cell>
          <cell r="F597">
            <v>10</v>
          </cell>
          <cell r="G597">
            <v>600</v>
          </cell>
          <cell r="H597">
            <v>6000</v>
          </cell>
          <cell r="I597">
            <v>20</v>
          </cell>
          <cell r="J597">
            <v>1.25</v>
          </cell>
          <cell r="K597">
            <v>-25</v>
          </cell>
          <cell r="L597">
            <v>27</v>
          </cell>
          <cell r="M597">
            <v>93.75</v>
          </cell>
          <cell r="N597">
            <v>2531.25</v>
          </cell>
          <cell r="O597">
            <v>54</v>
          </cell>
          <cell r="P597">
            <v>7.5</v>
          </cell>
          <cell r="Q597">
            <v>405</v>
          </cell>
          <cell r="R597">
            <v>0</v>
          </cell>
          <cell r="S597">
            <v>97.5</v>
          </cell>
          <cell r="T597">
            <v>0</v>
          </cell>
          <cell r="U597">
            <v>0</v>
          </cell>
          <cell r="V597">
            <v>126.75</v>
          </cell>
          <cell r="W597">
            <v>0</v>
          </cell>
          <cell r="X597">
            <v>0</v>
          </cell>
          <cell r="Y597">
            <v>9.75</v>
          </cell>
          <cell r="Z597">
            <v>0</v>
          </cell>
          <cell r="AA597">
            <v>0</v>
          </cell>
          <cell r="AB597">
            <v>112.5</v>
          </cell>
          <cell r="AC597">
            <v>0</v>
          </cell>
          <cell r="AD597">
            <v>0</v>
          </cell>
          <cell r="AE597">
            <v>146.25</v>
          </cell>
          <cell r="AF597">
            <v>0</v>
          </cell>
          <cell r="AG597">
            <v>0</v>
          </cell>
          <cell r="AH597">
            <v>11.25</v>
          </cell>
          <cell r="AI597">
            <v>0</v>
          </cell>
          <cell r="AJ597">
            <v>0</v>
          </cell>
          <cell r="AK597">
            <v>97.5</v>
          </cell>
          <cell r="AL597">
            <v>0</v>
          </cell>
          <cell r="AM597">
            <v>0</v>
          </cell>
          <cell r="AN597">
            <v>126.75</v>
          </cell>
          <cell r="AO597">
            <v>0</v>
          </cell>
          <cell r="AP597">
            <v>0</v>
          </cell>
          <cell r="AQ597">
            <v>9.75</v>
          </cell>
          <cell r="AR597">
            <v>0</v>
          </cell>
          <cell r="AS597">
            <v>0</v>
          </cell>
          <cell r="AT597">
            <v>150</v>
          </cell>
          <cell r="AU597">
            <v>0</v>
          </cell>
          <cell r="AV597">
            <v>0</v>
          </cell>
          <cell r="AW597">
            <v>195</v>
          </cell>
          <cell r="AX597">
            <v>0</v>
          </cell>
          <cell r="AY597">
            <v>0</v>
          </cell>
          <cell r="AZ597">
            <v>15</v>
          </cell>
          <cell r="BA597">
            <v>0</v>
          </cell>
          <cell r="BB597">
            <v>0</v>
          </cell>
          <cell r="BC597">
            <v>75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8911.25</v>
          </cell>
        </row>
        <row r="598">
          <cell r="C598">
            <v>12980</v>
          </cell>
          <cell r="D598" t="str">
            <v>Estrada, Avryl Krish Grave</v>
          </cell>
          <cell r="E598">
            <v>56</v>
          </cell>
          <cell r="F598">
            <v>7</v>
          </cell>
          <cell r="G598">
            <v>600</v>
          </cell>
          <cell r="H598">
            <v>4200</v>
          </cell>
          <cell r="I598">
            <v>14</v>
          </cell>
          <cell r="J598">
            <v>1.25</v>
          </cell>
          <cell r="K598">
            <v>-17.5</v>
          </cell>
          <cell r="L598">
            <v>16</v>
          </cell>
          <cell r="M598">
            <v>93.75</v>
          </cell>
          <cell r="N598">
            <v>1500</v>
          </cell>
          <cell r="O598">
            <v>38</v>
          </cell>
          <cell r="P598">
            <v>7.5</v>
          </cell>
          <cell r="Q598">
            <v>285</v>
          </cell>
          <cell r="R598">
            <v>0</v>
          </cell>
          <cell r="S598">
            <v>97.5</v>
          </cell>
          <cell r="T598">
            <v>0</v>
          </cell>
          <cell r="U598">
            <v>0</v>
          </cell>
          <cell r="V598">
            <v>126.75</v>
          </cell>
          <cell r="W598">
            <v>0</v>
          </cell>
          <cell r="X598">
            <v>0</v>
          </cell>
          <cell r="Y598">
            <v>9.75</v>
          </cell>
          <cell r="Z598">
            <v>0</v>
          </cell>
          <cell r="AA598">
            <v>0</v>
          </cell>
          <cell r="AB598">
            <v>112.5</v>
          </cell>
          <cell r="AC598">
            <v>0</v>
          </cell>
          <cell r="AD598">
            <v>0</v>
          </cell>
          <cell r="AE598">
            <v>146.25</v>
          </cell>
          <cell r="AF598">
            <v>0</v>
          </cell>
          <cell r="AG598">
            <v>0</v>
          </cell>
          <cell r="AH598">
            <v>11.25</v>
          </cell>
          <cell r="AI598">
            <v>0</v>
          </cell>
          <cell r="AJ598">
            <v>0</v>
          </cell>
          <cell r="AK598">
            <v>97.5</v>
          </cell>
          <cell r="AL598">
            <v>0</v>
          </cell>
          <cell r="AM598">
            <v>0</v>
          </cell>
          <cell r="AN598">
            <v>126.75</v>
          </cell>
          <cell r="AO598">
            <v>0</v>
          </cell>
          <cell r="AP598">
            <v>0</v>
          </cell>
          <cell r="AQ598">
            <v>9.75</v>
          </cell>
          <cell r="AR598">
            <v>0</v>
          </cell>
          <cell r="AS598">
            <v>0</v>
          </cell>
          <cell r="AT598">
            <v>150</v>
          </cell>
          <cell r="AU598">
            <v>0</v>
          </cell>
          <cell r="AV598">
            <v>0</v>
          </cell>
          <cell r="AW598">
            <v>195</v>
          </cell>
          <cell r="AX598">
            <v>0</v>
          </cell>
          <cell r="AY598">
            <v>0</v>
          </cell>
          <cell r="AZ598">
            <v>15</v>
          </cell>
          <cell r="BA598">
            <v>0</v>
          </cell>
          <cell r="BB598">
            <v>0</v>
          </cell>
          <cell r="BC598">
            <v>75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5967.5</v>
          </cell>
        </row>
        <row r="599">
          <cell r="C599">
            <v>30914</v>
          </cell>
          <cell r="D599" t="str">
            <v>Fallarme, Mc Aison</v>
          </cell>
          <cell r="E599">
            <v>64</v>
          </cell>
          <cell r="F599">
            <v>8</v>
          </cell>
          <cell r="G599">
            <v>600</v>
          </cell>
          <cell r="H599">
            <v>4800</v>
          </cell>
          <cell r="I599">
            <v>101</v>
          </cell>
          <cell r="J599">
            <v>1.25</v>
          </cell>
          <cell r="K599">
            <v>-126.25</v>
          </cell>
          <cell r="L599">
            <v>21</v>
          </cell>
          <cell r="M599">
            <v>93.75</v>
          </cell>
          <cell r="N599">
            <v>1968.75</v>
          </cell>
          <cell r="O599">
            <v>38</v>
          </cell>
          <cell r="P599">
            <v>7.5</v>
          </cell>
          <cell r="Q599">
            <v>285</v>
          </cell>
          <cell r="R599">
            <v>0</v>
          </cell>
          <cell r="S599">
            <v>97.5</v>
          </cell>
          <cell r="T599">
            <v>0</v>
          </cell>
          <cell r="U599">
            <v>0</v>
          </cell>
          <cell r="V599">
            <v>126.75</v>
          </cell>
          <cell r="W599">
            <v>0</v>
          </cell>
          <cell r="X599">
            <v>0</v>
          </cell>
          <cell r="Y599">
            <v>9.75</v>
          </cell>
          <cell r="Z599">
            <v>0</v>
          </cell>
          <cell r="AA599">
            <v>0</v>
          </cell>
          <cell r="AB599">
            <v>112.5</v>
          </cell>
          <cell r="AC599">
            <v>0</v>
          </cell>
          <cell r="AD599">
            <v>0</v>
          </cell>
          <cell r="AE599">
            <v>146.25</v>
          </cell>
          <cell r="AF599">
            <v>0</v>
          </cell>
          <cell r="AG599">
            <v>0</v>
          </cell>
          <cell r="AH599">
            <v>11.25</v>
          </cell>
          <cell r="AI599">
            <v>0</v>
          </cell>
          <cell r="AJ599">
            <v>0</v>
          </cell>
          <cell r="AK599">
            <v>97.5</v>
          </cell>
          <cell r="AL599">
            <v>0</v>
          </cell>
          <cell r="AM599">
            <v>0</v>
          </cell>
          <cell r="AN599">
            <v>126.75</v>
          </cell>
          <cell r="AO599">
            <v>0</v>
          </cell>
          <cell r="AP599">
            <v>0</v>
          </cell>
          <cell r="AQ599">
            <v>9.75</v>
          </cell>
          <cell r="AR599">
            <v>0</v>
          </cell>
          <cell r="AS599">
            <v>0</v>
          </cell>
          <cell r="AT599">
            <v>150</v>
          </cell>
          <cell r="AU599">
            <v>0</v>
          </cell>
          <cell r="AV599">
            <v>0</v>
          </cell>
          <cell r="AW599">
            <v>195</v>
          </cell>
          <cell r="AX599">
            <v>0</v>
          </cell>
          <cell r="AY599">
            <v>0</v>
          </cell>
          <cell r="AZ599">
            <v>15</v>
          </cell>
          <cell r="BA599">
            <v>0</v>
          </cell>
          <cell r="BB599">
            <v>0</v>
          </cell>
          <cell r="BC599">
            <v>75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6927.5</v>
          </cell>
        </row>
        <row r="600">
          <cell r="C600">
            <v>12986</v>
          </cell>
          <cell r="D600" t="str">
            <v>Flores, ManolitoJr Dacillo</v>
          </cell>
          <cell r="E600">
            <v>80</v>
          </cell>
          <cell r="F600">
            <v>10</v>
          </cell>
          <cell r="G600">
            <v>600</v>
          </cell>
          <cell r="H600">
            <v>6000</v>
          </cell>
          <cell r="I600">
            <v>0</v>
          </cell>
          <cell r="J600">
            <v>1.25</v>
          </cell>
          <cell r="K600">
            <v>0</v>
          </cell>
          <cell r="L600">
            <v>20</v>
          </cell>
          <cell r="M600">
            <v>93.75</v>
          </cell>
          <cell r="N600">
            <v>1875</v>
          </cell>
          <cell r="O600">
            <v>0</v>
          </cell>
          <cell r="P600">
            <v>7.5</v>
          </cell>
          <cell r="Q600">
            <v>0</v>
          </cell>
          <cell r="R600">
            <v>0</v>
          </cell>
          <cell r="S600">
            <v>97.5</v>
          </cell>
          <cell r="T600">
            <v>0</v>
          </cell>
          <cell r="U600">
            <v>0</v>
          </cell>
          <cell r="V600">
            <v>126.75</v>
          </cell>
          <cell r="W600">
            <v>0</v>
          </cell>
          <cell r="X600">
            <v>0</v>
          </cell>
          <cell r="Y600">
            <v>9.75</v>
          </cell>
          <cell r="Z600">
            <v>0</v>
          </cell>
          <cell r="AA600">
            <v>0</v>
          </cell>
          <cell r="AB600">
            <v>112.5</v>
          </cell>
          <cell r="AC600">
            <v>0</v>
          </cell>
          <cell r="AD600">
            <v>0</v>
          </cell>
          <cell r="AE600">
            <v>146.25</v>
          </cell>
          <cell r="AF600">
            <v>0</v>
          </cell>
          <cell r="AG600">
            <v>0</v>
          </cell>
          <cell r="AH600">
            <v>11.25</v>
          </cell>
          <cell r="AI600">
            <v>0</v>
          </cell>
          <cell r="AJ600">
            <v>0</v>
          </cell>
          <cell r="AK600">
            <v>97.5</v>
          </cell>
          <cell r="AL600">
            <v>0</v>
          </cell>
          <cell r="AM600">
            <v>0</v>
          </cell>
          <cell r="AN600">
            <v>126.75</v>
          </cell>
          <cell r="AO600">
            <v>0</v>
          </cell>
          <cell r="AP600">
            <v>0</v>
          </cell>
          <cell r="AQ600">
            <v>9.75</v>
          </cell>
          <cell r="AR600">
            <v>0</v>
          </cell>
          <cell r="AS600">
            <v>0</v>
          </cell>
          <cell r="AT600">
            <v>150</v>
          </cell>
          <cell r="AU600">
            <v>0</v>
          </cell>
          <cell r="AV600">
            <v>0</v>
          </cell>
          <cell r="AW600">
            <v>195</v>
          </cell>
          <cell r="AX600">
            <v>0</v>
          </cell>
          <cell r="AY600">
            <v>0</v>
          </cell>
          <cell r="AZ600">
            <v>15</v>
          </cell>
          <cell r="BA600">
            <v>0</v>
          </cell>
          <cell r="BB600">
            <v>0</v>
          </cell>
          <cell r="BC600">
            <v>75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7875</v>
          </cell>
        </row>
        <row r="601">
          <cell r="C601">
            <v>30013</v>
          </cell>
          <cell r="D601" t="str">
            <v>Garofil, Gerald Dedase</v>
          </cell>
          <cell r="E601">
            <v>72</v>
          </cell>
          <cell r="F601">
            <v>9</v>
          </cell>
          <cell r="G601">
            <v>600</v>
          </cell>
          <cell r="H601">
            <v>5400</v>
          </cell>
          <cell r="I601">
            <v>41</v>
          </cell>
          <cell r="J601">
            <v>1.25</v>
          </cell>
          <cell r="K601">
            <v>-51.25</v>
          </cell>
          <cell r="L601">
            <v>22</v>
          </cell>
          <cell r="M601">
            <v>93.75</v>
          </cell>
          <cell r="N601">
            <v>2062.5</v>
          </cell>
          <cell r="O601">
            <v>0</v>
          </cell>
          <cell r="P601">
            <v>7.5</v>
          </cell>
          <cell r="Q601">
            <v>0</v>
          </cell>
          <cell r="R601">
            <v>0</v>
          </cell>
          <cell r="S601">
            <v>97.5</v>
          </cell>
          <cell r="T601">
            <v>0</v>
          </cell>
          <cell r="U601">
            <v>0</v>
          </cell>
          <cell r="V601">
            <v>126.75</v>
          </cell>
          <cell r="W601">
            <v>0</v>
          </cell>
          <cell r="X601">
            <v>0</v>
          </cell>
          <cell r="Y601">
            <v>9.75</v>
          </cell>
          <cell r="Z601">
            <v>0</v>
          </cell>
          <cell r="AA601">
            <v>0</v>
          </cell>
          <cell r="AB601">
            <v>112.5</v>
          </cell>
          <cell r="AC601">
            <v>0</v>
          </cell>
          <cell r="AD601">
            <v>0</v>
          </cell>
          <cell r="AE601">
            <v>146.25</v>
          </cell>
          <cell r="AF601">
            <v>0</v>
          </cell>
          <cell r="AG601">
            <v>0</v>
          </cell>
          <cell r="AH601">
            <v>11.25</v>
          </cell>
          <cell r="AI601">
            <v>0</v>
          </cell>
          <cell r="AJ601">
            <v>0</v>
          </cell>
          <cell r="AK601">
            <v>97.5</v>
          </cell>
          <cell r="AL601">
            <v>0</v>
          </cell>
          <cell r="AM601">
            <v>0</v>
          </cell>
          <cell r="AN601">
            <v>126.75</v>
          </cell>
          <cell r="AO601">
            <v>0</v>
          </cell>
          <cell r="AP601">
            <v>0</v>
          </cell>
          <cell r="AQ601">
            <v>9.75</v>
          </cell>
          <cell r="AR601">
            <v>0</v>
          </cell>
          <cell r="AS601">
            <v>0</v>
          </cell>
          <cell r="AT601">
            <v>150</v>
          </cell>
          <cell r="AU601">
            <v>0</v>
          </cell>
          <cell r="AV601">
            <v>0</v>
          </cell>
          <cell r="AW601">
            <v>195</v>
          </cell>
          <cell r="AX601">
            <v>0</v>
          </cell>
          <cell r="AY601">
            <v>0</v>
          </cell>
          <cell r="AZ601">
            <v>15</v>
          </cell>
          <cell r="BA601">
            <v>0</v>
          </cell>
          <cell r="BB601">
            <v>0</v>
          </cell>
          <cell r="BC601">
            <v>75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7411.25</v>
          </cell>
        </row>
        <row r="602">
          <cell r="C602">
            <v>11500</v>
          </cell>
          <cell r="D602" t="str">
            <v>Gervacio, Andre B</v>
          </cell>
          <cell r="E602">
            <v>64</v>
          </cell>
          <cell r="F602">
            <v>8</v>
          </cell>
          <cell r="G602">
            <v>600</v>
          </cell>
          <cell r="H602">
            <v>4800</v>
          </cell>
          <cell r="I602">
            <v>0</v>
          </cell>
          <cell r="J602">
            <v>1.25</v>
          </cell>
          <cell r="K602">
            <v>0</v>
          </cell>
          <cell r="L602">
            <v>12</v>
          </cell>
          <cell r="M602">
            <v>93.75</v>
          </cell>
          <cell r="N602">
            <v>1125</v>
          </cell>
          <cell r="O602">
            <v>0</v>
          </cell>
          <cell r="P602">
            <v>7.5</v>
          </cell>
          <cell r="Q602">
            <v>0</v>
          </cell>
          <cell r="R602">
            <v>0</v>
          </cell>
          <cell r="S602">
            <v>97.5</v>
          </cell>
          <cell r="T602">
            <v>0</v>
          </cell>
          <cell r="U602">
            <v>0</v>
          </cell>
          <cell r="V602">
            <v>126.75</v>
          </cell>
          <cell r="W602">
            <v>0</v>
          </cell>
          <cell r="X602">
            <v>0</v>
          </cell>
          <cell r="Y602">
            <v>9.75</v>
          </cell>
          <cell r="Z602">
            <v>0</v>
          </cell>
          <cell r="AA602">
            <v>0</v>
          </cell>
          <cell r="AB602">
            <v>112.5</v>
          </cell>
          <cell r="AC602">
            <v>0</v>
          </cell>
          <cell r="AD602">
            <v>0</v>
          </cell>
          <cell r="AE602">
            <v>146.25</v>
          </cell>
          <cell r="AF602">
            <v>0</v>
          </cell>
          <cell r="AG602">
            <v>0</v>
          </cell>
          <cell r="AH602">
            <v>11.25</v>
          </cell>
          <cell r="AI602">
            <v>0</v>
          </cell>
          <cell r="AJ602">
            <v>0</v>
          </cell>
          <cell r="AK602">
            <v>97.5</v>
          </cell>
          <cell r="AL602">
            <v>0</v>
          </cell>
          <cell r="AM602">
            <v>0</v>
          </cell>
          <cell r="AN602">
            <v>126.75</v>
          </cell>
          <cell r="AO602">
            <v>0</v>
          </cell>
          <cell r="AP602">
            <v>0</v>
          </cell>
          <cell r="AQ602">
            <v>9.75</v>
          </cell>
          <cell r="AR602">
            <v>0</v>
          </cell>
          <cell r="AS602">
            <v>0</v>
          </cell>
          <cell r="AT602">
            <v>150</v>
          </cell>
          <cell r="AU602">
            <v>0</v>
          </cell>
          <cell r="AV602">
            <v>0</v>
          </cell>
          <cell r="AW602">
            <v>195</v>
          </cell>
          <cell r="AX602">
            <v>0</v>
          </cell>
          <cell r="AY602">
            <v>0</v>
          </cell>
          <cell r="AZ602">
            <v>15</v>
          </cell>
          <cell r="BA602">
            <v>0</v>
          </cell>
          <cell r="BB602">
            <v>0</v>
          </cell>
          <cell r="BC602">
            <v>75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5925</v>
          </cell>
        </row>
        <row r="603">
          <cell r="C603">
            <v>30647</v>
          </cell>
          <cell r="D603" t="str">
            <v>Gonzales, Rica Tipan</v>
          </cell>
          <cell r="E603">
            <v>72</v>
          </cell>
          <cell r="F603">
            <v>9</v>
          </cell>
          <cell r="G603">
            <v>600</v>
          </cell>
          <cell r="H603">
            <v>5400</v>
          </cell>
          <cell r="I603">
            <v>38</v>
          </cell>
          <cell r="J603">
            <v>1.25</v>
          </cell>
          <cell r="K603">
            <v>-47.5</v>
          </cell>
          <cell r="L603">
            <v>24</v>
          </cell>
          <cell r="M603">
            <v>93.75</v>
          </cell>
          <cell r="N603">
            <v>2250</v>
          </cell>
          <cell r="O603">
            <v>30</v>
          </cell>
          <cell r="P603">
            <v>7.5</v>
          </cell>
          <cell r="Q603">
            <v>225</v>
          </cell>
          <cell r="R603">
            <v>0</v>
          </cell>
          <cell r="S603">
            <v>97.5</v>
          </cell>
          <cell r="T603">
            <v>0</v>
          </cell>
          <cell r="U603">
            <v>0</v>
          </cell>
          <cell r="V603">
            <v>126.75</v>
          </cell>
          <cell r="W603">
            <v>0</v>
          </cell>
          <cell r="X603">
            <v>0</v>
          </cell>
          <cell r="Y603">
            <v>9.75</v>
          </cell>
          <cell r="Z603">
            <v>0</v>
          </cell>
          <cell r="AA603">
            <v>0</v>
          </cell>
          <cell r="AB603">
            <v>112.5</v>
          </cell>
          <cell r="AC603">
            <v>0</v>
          </cell>
          <cell r="AD603">
            <v>0</v>
          </cell>
          <cell r="AE603">
            <v>146.25</v>
          </cell>
          <cell r="AF603">
            <v>0</v>
          </cell>
          <cell r="AG603">
            <v>0</v>
          </cell>
          <cell r="AH603">
            <v>11.25</v>
          </cell>
          <cell r="AI603">
            <v>0</v>
          </cell>
          <cell r="AJ603">
            <v>0</v>
          </cell>
          <cell r="AK603">
            <v>97.5</v>
          </cell>
          <cell r="AL603">
            <v>0</v>
          </cell>
          <cell r="AM603">
            <v>0</v>
          </cell>
          <cell r="AN603">
            <v>126.75</v>
          </cell>
          <cell r="AO603">
            <v>0</v>
          </cell>
          <cell r="AP603">
            <v>0</v>
          </cell>
          <cell r="AQ603">
            <v>9.75</v>
          </cell>
          <cell r="AR603">
            <v>0</v>
          </cell>
          <cell r="AS603">
            <v>0</v>
          </cell>
          <cell r="AT603">
            <v>150</v>
          </cell>
          <cell r="AU603">
            <v>0</v>
          </cell>
          <cell r="AV603">
            <v>0</v>
          </cell>
          <cell r="AW603">
            <v>195</v>
          </cell>
          <cell r="AX603">
            <v>0</v>
          </cell>
          <cell r="AY603">
            <v>0</v>
          </cell>
          <cell r="AZ603">
            <v>15</v>
          </cell>
          <cell r="BA603">
            <v>0</v>
          </cell>
          <cell r="BB603">
            <v>0</v>
          </cell>
          <cell r="BC603">
            <v>75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7827.5</v>
          </cell>
        </row>
        <row r="604">
          <cell r="C604">
            <v>30715</v>
          </cell>
          <cell r="D604" t="str">
            <v>Guevarra, Alexa Culla</v>
          </cell>
          <cell r="E604">
            <v>80</v>
          </cell>
          <cell r="F604">
            <v>10</v>
          </cell>
          <cell r="G604">
            <v>600</v>
          </cell>
          <cell r="H604">
            <v>6000</v>
          </cell>
          <cell r="I604">
            <v>60</v>
          </cell>
          <cell r="J604">
            <v>1.25</v>
          </cell>
          <cell r="K604">
            <v>-75</v>
          </cell>
          <cell r="L604">
            <v>24</v>
          </cell>
          <cell r="M604">
            <v>93.75</v>
          </cell>
          <cell r="N604">
            <v>2250</v>
          </cell>
          <cell r="O604">
            <v>44</v>
          </cell>
          <cell r="P604">
            <v>7.5</v>
          </cell>
          <cell r="Q604">
            <v>330</v>
          </cell>
          <cell r="R604">
            <v>0</v>
          </cell>
          <cell r="S604">
            <v>97.5</v>
          </cell>
          <cell r="T604">
            <v>0</v>
          </cell>
          <cell r="U604">
            <v>0</v>
          </cell>
          <cell r="V604">
            <v>126.75</v>
          </cell>
          <cell r="W604">
            <v>0</v>
          </cell>
          <cell r="X604">
            <v>0</v>
          </cell>
          <cell r="Y604">
            <v>9.75</v>
          </cell>
          <cell r="Z604">
            <v>0</v>
          </cell>
          <cell r="AA604">
            <v>0</v>
          </cell>
          <cell r="AB604">
            <v>112.5</v>
          </cell>
          <cell r="AC604">
            <v>0</v>
          </cell>
          <cell r="AD604">
            <v>0</v>
          </cell>
          <cell r="AE604">
            <v>146.25</v>
          </cell>
          <cell r="AF604">
            <v>0</v>
          </cell>
          <cell r="AG604">
            <v>0</v>
          </cell>
          <cell r="AH604">
            <v>11.25</v>
          </cell>
          <cell r="AI604">
            <v>0</v>
          </cell>
          <cell r="AJ604">
            <v>0</v>
          </cell>
          <cell r="AK604">
            <v>97.5</v>
          </cell>
          <cell r="AL604">
            <v>0</v>
          </cell>
          <cell r="AM604">
            <v>0</v>
          </cell>
          <cell r="AN604">
            <v>126.75</v>
          </cell>
          <cell r="AO604">
            <v>0</v>
          </cell>
          <cell r="AP604">
            <v>0</v>
          </cell>
          <cell r="AQ604">
            <v>9.75</v>
          </cell>
          <cell r="AR604">
            <v>0</v>
          </cell>
          <cell r="AS604">
            <v>0</v>
          </cell>
          <cell r="AT604">
            <v>150</v>
          </cell>
          <cell r="AU604">
            <v>0</v>
          </cell>
          <cell r="AV604">
            <v>0</v>
          </cell>
          <cell r="AW604">
            <v>195</v>
          </cell>
          <cell r="AX604">
            <v>0</v>
          </cell>
          <cell r="AY604">
            <v>0</v>
          </cell>
          <cell r="AZ604">
            <v>15</v>
          </cell>
          <cell r="BA604">
            <v>0</v>
          </cell>
          <cell r="BB604">
            <v>0</v>
          </cell>
          <cell r="BC604">
            <v>75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8505</v>
          </cell>
        </row>
        <row r="605">
          <cell r="C605">
            <v>13248</v>
          </cell>
          <cell r="D605" t="str">
            <v>Gunay, Hazel Cortas</v>
          </cell>
          <cell r="E605">
            <v>72</v>
          </cell>
          <cell r="F605">
            <v>9</v>
          </cell>
          <cell r="G605">
            <v>600</v>
          </cell>
          <cell r="H605">
            <v>5400</v>
          </cell>
          <cell r="I605">
            <v>22</v>
          </cell>
          <cell r="J605">
            <v>1.25</v>
          </cell>
          <cell r="K605">
            <v>-27.5</v>
          </cell>
          <cell r="L605">
            <v>21</v>
          </cell>
          <cell r="M605">
            <v>93.75</v>
          </cell>
          <cell r="N605">
            <v>1968.75</v>
          </cell>
          <cell r="O605">
            <v>30</v>
          </cell>
          <cell r="P605">
            <v>7.5</v>
          </cell>
          <cell r="Q605">
            <v>225</v>
          </cell>
          <cell r="R605">
            <v>0</v>
          </cell>
          <cell r="S605">
            <v>97.5</v>
          </cell>
          <cell r="T605">
            <v>0</v>
          </cell>
          <cell r="U605">
            <v>0</v>
          </cell>
          <cell r="V605">
            <v>126.75</v>
          </cell>
          <cell r="W605">
            <v>0</v>
          </cell>
          <cell r="X605">
            <v>0</v>
          </cell>
          <cell r="Y605">
            <v>9.75</v>
          </cell>
          <cell r="Z605">
            <v>0</v>
          </cell>
          <cell r="AA605">
            <v>0</v>
          </cell>
          <cell r="AB605">
            <v>112.5</v>
          </cell>
          <cell r="AC605">
            <v>0</v>
          </cell>
          <cell r="AD605">
            <v>0</v>
          </cell>
          <cell r="AE605">
            <v>146.25</v>
          </cell>
          <cell r="AF605">
            <v>0</v>
          </cell>
          <cell r="AG605">
            <v>0</v>
          </cell>
          <cell r="AH605">
            <v>11.25</v>
          </cell>
          <cell r="AI605">
            <v>0</v>
          </cell>
          <cell r="AJ605">
            <v>0</v>
          </cell>
          <cell r="AK605">
            <v>97.5</v>
          </cell>
          <cell r="AL605">
            <v>0</v>
          </cell>
          <cell r="AM605">
            <v>0</v>
          </cell>
          <cell r="AN605">
            <v>126.75</v>
          </cell>
          <cell r="AO605">
            <v>0</v>
          </cell>
          <cell r="AP605">
            <v>0</v>
          </cell>
          <cell r="AQ605">
            <v>9.75</v>
          </cell>
          <cell r="AR605">
            <v>0</v>
          </cell>
          <cell r="AS605">
            <v>0</v>
          </cell>
          <cell r="AT605">
            <v>150</v>
          </cell>
          <cell r="AU605">
            <v>0</v>
          </cell>
          <cell r="AV605">
            <v>0</v>
          </cell>
          <cell r="AW605">
            <v>195</v>
          </cell>
          <cell r="AX605">
            <v>0</v>
          </cell>
          <cell r="AY605">
            <v>0</v>
          </cell>
          <cell r="AZ605">
            <v>15</v>
          </cell>
          <cell r="BA605">
            <v>0</v>
          </cell>
          <cell r="BB605">
            <v>0</v>
          </cell>
          <cell r="BC605">
            <v>75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7566.25</v>
          </cell>
        </row>
        <row r="606">
          <cell r="C606">
            <v>30377</v>
          </cell>
          <cell r="D606" t="str">
            <v>Ilagan, Mary Jane Hernandez</v>
          </cell>
          <cell r="E606">
            <v>80</v>
          </cell>
          <cell r="F606">
            <v>10</v>
          </cell>
          <cell r="G606">
            <v>600</v>
          </cell>
          <cell r="H606">
            <v>6000</v>
          </cell>
          <cell r="I606">
            <v>6</v>
          </cell>
          <cell r="J606">
            <v>1.25</v>
          </cell>
          <cell r="K606">
            <v>-7.5</v>
          </cell>
          <cell r="L606">
            <v>24</v>
          </cell>
          <cell r="M606">
            <v>93.75</v>
          </cell>
          <cell r="N606">
            <v>2250</v>
          </cell>
          <cell r="O606">
            <v>30</v>
          </cell>
          <cell r="P606">
            <v>7.5</v>
          </cell>
          <cell r="Q606">
            <v>225</v>
          </cell>
          <cell r="R606">
            <v>0</v>
          </cell>
          <cell r="S606">
            <v>97.5</v>
          </cell>
          <cell r="T606">
            <v>0</v>
          </cell>
          <cell r="U606">
            <v>0</v>
          </cell>
          <cell r="V606">
            <v>126.75</v>
          </cell>
          <cell r="W606">
            <v>0</v>
          </cell>
          <cell r="X606">
            <v>0</v>
          </cell>
          <cell r="Y606">
            <v>9.75</v>
          </cell>
          <cell r="Z606">
            <v>0</v>
          </cell>
          <cell r="AA606">
            <v>0</v>
          </cell>
          <cell r="AB606">
            <v>112.5</v>
          </cell>
          <cell r="AC606">
            <v>0</v>
          </cell>
          <cell r="AD606">
            <v>0</v>
          </cell>
          <cell r="AE606">
            <v>146.25</v>
          </cell>
          <cell r="AF606">
            <v>0</v>
          </cell>
          <cell r="AG606">
            <v>0</v>
          </cell>
          <cell r="AH606">
            <v>11.25</v>
          </cell>
          <cell r="AI606">
            <v>0</v>
          </cell>
          <cell r="AJ606">
            <v>0</v>
          </cell>
          <cell r="AK606">
            <v>97.5</v>
          </cell>
          <cell r="AL606">
            <v>0</v>
          </cell>
          <cell r="AM606">
            <v>0</v>
          </cell>
          <cell r="AN606">
            <v>126.75</v>
          </cell>
          <cell r="AO606">
            <v>0</v>
          </cell>
          <cell r="AP606">
            <v>0</v>
          </cell>
          <cell r="AQ606">
            <v>9.75</v>
          </cell>
          <cell r="AR606">
            <v>0</v>
          </cell>
          <cell r="AS606">
            <v>0</v>
          </cell>
          <cell r="AT606">
            <v>150</v>
          </cell>
          <cell r="AU606">
            <v>0</v>
          </cell>
          <cell r="AV606">
            <v>0</v>
          </cell>
          <cell r="AW606">
            <v>195</v>
          </cell>
          <cell r="AX606">
            <v>0</v>
          </cell>
          <cell r="AY606">
            <v>0</v>
          </cell>
          <cell r="AZ606">
            <v>15</v>
          </cell>
          <cell r="BA606">
            <v>0</v>
          </cell>
          <cell r="BB606">
            <v>0</v>
          </cell>
          <cell r="BC606">
            <v>75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8467.5</v>
          </cell>
        </row>
        <row r="607">
          <cell r="C607">
            <v>14244</v>
          </cell>
          <cell r="D607" t="str">
            <v>Latag, Justine Maralit</v>
          </cell>
          <cell r="E607">
            <v>0</v>
          </cell>
          <cell r="F607">
            <v>0</v>
          </cell>
          <cell r="G607">
            <v>600</v>
          </cell>
          <cell r="H607">
            <v>0</v>
          </cell>
          <cell r="I607">
            <v>0</v>
          </cell>
          <cell r="J607">
            <v>1.25</v>
          </cell>
          <cell r="K607">
            <v>0</v>
          </cell>
          <cell r="L607">
            <v>0</v>
          </cell>
          <cell r="M607">
            <v>93.75</v>
          </cell>
          <cell r="N607">
            <v>0</v>
          </cell>
          <cell r="O607">
            <v>0</v>
          </cell>
          <cell r="P607">
            <v>7.5</v>
          </cell>
          <cell r="Q607">
            <v>0</v>
          </cell>
          <cell r="R607">
            <v>0</v>
          </cell>
          <cell r="S607">
            <v>97.5</v>
          </cell>
          <cell r="T607">
            <v>0</v>
          </cell>
          <cell r="U607">
            <v>0</v>
          </cell>
          <cell r="V607">
            <v>126.75</v>
          </cell>
          <cell r="W607">
            <v>0</v>
          </cell>
          <cell r="X607">
            <v>0</v>
          </cell>
          <cell r="Y607">
            <v>9.75</v>
          </cell>
          <cell r="Z607">
            <v>0</v>
          </cell>
          <cell r="AA607">
            <v>0</v>
          </cell>
          <cell r="AB607">
            <v>112.5</v>
          </cell>
          <cell r="AC607">
            <v>0</v>
          </cell>
          <cell r="AD607">
            <v>0</v>
          </cell>
          <cell r="AE607">
            <v>146.25</v>
          </cell>
          <cell r="AF607">
            <v>0</v>
          </cell>
          <cell r="AG607">
            <v>0</v>
          </cell>
          <cell r="AH607">
            <v>11.25</v>
          </cell>
          <cell r="AI607">
            <v>0</v>
          </cell>
          <cell r="AJ607">
            <v>0</v>
          </cell>
          <cell r="AK607">
            <v>97.5</v>
          </cell>
          <cell r="AL607">
            <v>0</v>
          </cell>
          <cell r="AM607">
            <v>0</v>
          </cell>
          <cell r="AN607">
            <v>126.75</v>
          </cell>
          <cell r="AO607">
            <v>0</v>
          </cell>
          <cell r="AP607">
            <v>0</v>
          </cell>
          <cell r="AQ607">
            <v>9.75</v>
          </cell>
          <cell r="AR607">
            <v>0</v>
          </cell>
          <cell r="AS607">
            <v>0</v>
          </cell>
          <cell r="AT607">
            <v>150</v>
          </cell>
          <cell r="AU607">
            <v>0</v>
          </cell>
          <cell r="AV607">
            <v>0</v>
          </cell>
          <cell r="AW607">
            <v>195</v>
          </cell>
          <cell r="AX607">
            <v>0</v>
          </cell>
          <cell r="AY607">
            <v>0</v>
          </cell>
          <cell r="AZ607">
            <v>15</v>
          </cell>
          <cell r="BA607">
            <v>0</v>
          </cell>
          <cell r="BB607">
            <v>0</v>
          </cell>
          <cell r="BC607">
            <v>75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</row>
        <row r="608">
          <cell r="C608">
            <v>30168</v>
          </cell>
          <cell r="D608" t="str">
            <v>Lauriaga, Allyn Joy</v>
          </cell>
          <cell r="E608">
            <v>80</v>
          </cell>
          <cell r="F608">
            <v>10</v>
          </cell>
          <cell r="G608">
            <v>600</v>
          </cell>
          <cell r="H608">
            <v>6000</v>
          </cell>
          <cell r="I608">
            <v>0</v>
          </cell>
          <cell r="J608">
            <v>1.25</v>
          </cell>
          <cell r="K608">
            <v>0</v>
          </cell>
          <cell r="L608">
            <v>24</v>
          </cell>
          <cell r="M608">
            <v>93.75</v>
          </cell>
          <cell r="N608">
            <v>2250</v>
          </cell>
          <cell r="O608">
            <v>30</v>
          </cell>
          <cell r="P608">
            <v>7.5</v>
          </cell>
          <cell r="Q608">
            <v>225</v>
          </cell>
          <cell r="R608">
            <v>0</v>
          </cell>
          <cell r="S608">
            <v>97.5</v>
          </cell>
          <cell r="T608">
            <v>0</v>
          </cell>
          <cell r="U608">
            <v>0</v>
          </cell>
          <cell r="V608">
            <v>126.75</v>
          </cell>
          <cell r="W608">
            <v>0</v>
          </cell>
          <cell r="X608">
            <v>0</v>
          </cell>
          <cell r="Y608">
            <v>9.75</v>
          </cell>
          <cell r="Z608">
            <v>0</v>
          </cell>
          <cell r="AA608">
            <v>0</v>
          </cell>
          <cell r="AB608">
            <v>112.5</v>
          </cell>
          <cell r="AC608">
            <v>0</v>
          </cell>
          <cell r="AD608">
            <v>0</v>
          </cell>
          <cell r="AE608">
            <v>146.25</v>
          </cell>
          <cell r="AF608">
            <v>0</v>
          </cell>
          <cell r="AG608">
            <v>0</v>
          </cell>
          <cell r="AH608">
            <v>11.25</v>
          </cell>
          <cell r="AI608">
            <v>0</v>
          </cell>
          <cell r="AJ608">
            <v>0</v>
          </cell>
          <cell r="AK608">
            <v>97.5</v>
          </cell>
          <cell r="AL608">
            <v>0</v>
          </cell>
          <cell r="AM608">
            <v>0</v>
          </cell>
          <cell r="AN608">
            <v>126.75</v>
          </cell>
          <cell r="AO608">
            <v>0</v>
          </cell>
          <cell r="AP608">
            <v>0</v>
          </cell>
          <cell r="AQ608">
            <v>9.75</v>
          </cell>
          <cell r="AR608">
            <v>0</v>
          </cell>
          <cell r="AS608">
            <v>0</v>
          </cell>
          <cell r="AT608">
            <v>150</v>
          </cell>
          <cell r="AU608">
            <v>0</v>
          </cell>
          <cell r="AV608">
            <v>0</v>
          </cell>
          <cell r="AW608">
            <v>195</v>
          </cell>
          <cell r="AX608">
            <v>0</v>
          </cell>
          <cell r="AY608">
            <v>0</v>
          </cell>
          <cell r="AZ608">
            <v>15</v>
          </cell>
          <cell r="BA608">
            <v>0</v>
          </cell>
          <cell r="BB608">
            <v>0</v>
          </cell>
          <cell r="BC608">
            <v>75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8475</v>
          </cell>
        </row>
        <row r="609">
          <cell r="C609">
            <v>14249</v>
          </cell>
          <cell r="D609" t="str">
            <v>Leg , Van Arasa</v>
          </cell>
          <cell r="E609">
            <v>72</v>
          </cell>
          <cell r="F609">
            <v>9</v>
          </cell>
          <cell r="G609">
            <v>600</v>
          </cell>
          <cell r="H609">
            <v>5400</v>
          </cell>
          <cell r="I609">
            <v>76</v>
          </cell>
          <cell r="J609">
            <v>1.25</v>
          </cell>
          <cell r="K609">
            <v>-95</v>
          </cell>
          <cell r="L609">
            <v>9</v>
          </cell>
          <cell r="M609">
            <v>93.75</v>
          </cell>
          <cell r="N609">
            <v>843.75</v>
          </cell>
          <cell r="O609">
            <v>0</v>
          </cell>
          <cell r="P609">
            <v>7.5</v>
          </cell>
          <cell r="Q609">
            <v>0</v>
          </cell>
          <cell r="R609">
            <v>0</v>
          </cell>
          <cell r="S609">
            <v>97.5</v>
          </cell>
          <cell r="T609">
            <v>0</v>
          </cell>
          <cell r="U609">
            <v>0</v>
          </cell>
          <cell r="V609">
            <v>126.75</v>
          </cell>
          <cell r="W609">
            <v>0</v>
          </cell>
          <cell r="X609">
            <v>0</v>
          </cell>
          <cell r="Y609">
            <v>9.75</v>
          </cell>
          <cell r="Z609">
            <v>0</v>
          </cell>
          <cell r="AA609">
            <v>0</v>
          </cell>
          <cell r="AB609">
            <v>112.5</v>
          </cell>
          <cell r="AC609">
            <v>0</v>
          </cell>
          <cell r="AD609">
            <v>0</v>
          </cell>
          <cell r="AE609">
            <v>146.25</v>
          </cell>
          <cell r="AF609">
            <v>0</v>
          </cell>
          <cell r="AG609">
            <v>0</v>
          </cell>
          <cell r="AH609">
            <v>11.25</v>
          </cell>
          <cell r="AI609">
            <v>0</v>
          </cell>
          <cell r="AJ609">
            <v>0</v>
          </cell>
          <cell r="AK609">
            <v>97.5</v>
          </cell>
          <cell r="AL609">
            <v>0</v>
          </cell>
          <cell r="AM609">
            <v>0</v>
          </cell>
          <cell r="AN609">
            <v>126.75</v>
          </cell>
          <cell r="AO609">
            <v>0</v>
          </cell>
          <cell r="AP609">
            <v>0</v>
          </cell>
          <cell r="AQ609">
            <v>9.75</v>
          </cell>
          <cell r="AR609">
            <v>0</v>
          </cell>
          <cell r="AS609">
            <v>0</v>
          </cell>
          <cell r="AT609">
            <v>150</v>
          </cell>
          <cell r="AU609">
            <v>0</v>
          </cell>
          <cell r="AV609">
            <v>0</v>
          </cell>
          <cell r="AW609">
            <v>195</v>
          </cell>
          <cell r="AX609">
            <v>0</v>
          </cell>
          <cell r="AY609">
            <v>0</v>
          </cell>
          <cell r="AZ609">
            <v>15</v>
          </cell>
          <cell r="BA609">
            <v>0</v>
          </cell>
          <cell r="BB609">
            <v>0</v>
          </cell>
          <cell r="BC609">
            <v>75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6148.75</v>
          </cell>
        </row>
        <row r="610">
          <cell r="C610">
            <v>30792</v>
          </cell>
          <cell r="D610" t="str">
            <v>Lorredo, Mark Angelo Trinidad</v>
          </cell>
          <cell r="E610">
            <v>72</v>
          </cell>
          <cell r="F610">
            <v>9</v>
          </cell>
          <cell r="G610">
            <v>600</v>
          </cell>
          <cell r="H610">
            <v>5400</v>
          </cell>
          <cell r="I610">
            <v>223</v>
          </cell>
          <cell r="J610">
            <v>1.25</v>
          </cell>
          <cell r="K610">
            <v>-278.75</v>
          </cell>
          <cell r="L610">
            <v>21</v>
          </cell>
          <cell r="M610">
            <v>93.75</v>
          </cell>
          <cell r="N610">
            <v>1968.75</v>
          </cell>
          <cell r="O610">
            <v>38</v>
          </cell>
          <cell r="P610">
            <v>7.5</v>
          </cell>
          <cell r="Q610">
            <v>285</v>
          </cell>
          <cell r="R610">
            <v>0</v>
          </cell>
          <cell r="S610">
            <v>97.5</v>
          </cell>
          <cell r="T610">
            <v>0</v>
          </cell>
          <cell r="U610">
            <v>0</v>
          </cell>
          <cell r="V610">
            <v>126.75</v>
          </cell>
          <cell r="W610">
            <v>0</v>
          </cell>
          <cell r="X610">
            <v>0</v>
          </cell>
          <cell r="Y610">
            <v>9.75</v>
          </cell>
          <cell r="Z610">
            <v>0</v>
          </cell>
          <cell r="AA610">
            <v>0</v>
          </cell>
          <cell r="AB610">
            <v>112.5</v>
          </cell>
          <cell r="AC610">
            <v>0</v>
          </cell>
          <cell r="AD610">
            <v>0</v>
          </cell>
          <cell r="AE610">
            <v>146.25</v>
          </cell>
          <cell r="AF610">
            <v>0</v>
          </cell>
          <cell r="AG610">
            <v>0</v>
          </cell>
          <cell r="AH610">
            <v>11.25</v>
          </cell>
          <cell r="AI610">
            <v>0</v>
          </cell>
          <cell r="AJ610">
            <v>0</v>
          </cell>
          <cell r="AK610">
            <v>97.5</v>
          </cell>
          <cell r="AL610">
            <v>0</v>
          </cell>
          <cell r="AM610">
            <v>0</v>
          </cell>
          <cell r="AN610">
            <v>126.75</v>
          </cell>
          <cell r="AO610">
            <v>0</v>
          </cell>
          <cell r="AP610">
            <v>0</v>
          </cell>
          <cell r="AQ610">
            <v>9.75</v>
          </cell>
          <cell r="AR610">
            <v>0</v>
          </cell>
          <cell r="AS610">
            <v>0</v>
          </cell>
          <cell r="AT610">
            <v>150</v>
          </cell>
          <cell r="AU610">
            <v>0</v>
          </cell>
          <cell r="AV610">
            <v>0</v>
          </cell>
          <cell r="AW610">
            <v>195</v>
          </cell>
          <cell r="AX610">
            <v>0</v>
          </cell>
          <cell r="AY610">
            <v>0</v>
          </cell>
          <cell r="AZ610">
            <v>15</v>
          </cell>
          <cell r="BA610">
            <v>0</v>
          </cell>
          <cell r="BB610">
            <v>0</v>
          </cell>
          <cell r="BC610">
            <v>75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7375</v>
          </cell>
        </row>
        <row r="611">
          <cell r="C611">
            <v>14909</v>
          </cell>
          <cell r="D611" t="str">
            <v>Macaraig, Jhun Mark Madrigal</v>
          </cell>
          <cell r="E611">
            <v>72</v>
          </cell>
          <cell r="F611">
            <v>9</v>
          </cell>
          <cell r="G611">
            <v>600</v>
          </cell>
          <cell r="H611">
            <v>5400</v>
          </cell>
          <cell r="I611">
            <v>12</v>
          </cell>
          <cell r="J611">
            <v>1.25</v>
          </cell>
          <cell r="K611">
            <v>-15</v>
          </cell>
          <cell r="L611">
            <v>24</v>
          </cell>
          <cell r="M611">
            <v>93.75</v>
          </cell>
          <cell r="N611">
            <v>2250</v>
          </cell>
          <cell r="O611">
            <v>30</v>
          </cell>
          <cell r="P611">
            <v>7.5</v>
          </cell>
          <cell r="Q611">
            <v>225</v>
          </cell>
          <cell r="R611">
            <v>0</v>
          </cell>
          <cell r="S611">
            <v>97.5</v>
          </cell>
          <cell r="T611">
            <v>0</v>
          </cell>
          <cell r="U611">
            <v>0</v>
          </cell>
          <cell r="V611">
            <v>126.75</v>
          </cell>
          <cell r="W611">
            <v>0</v>
          </cell>
          <cell r="X611">
            <v>0</v>
          </cell>
          <cell r="Y611">
            <v>9.75</v>
          </cell>
          <cell r="Z611">
            <v>0</v>
          </cell>
          <cell r="AA611">
            <v>0</v>
          </cell>
          <cell r="AB611">
            <v>112.5</v>
          </cell>
          <cell r="AC611">
            <v>0</v>
          </cell>
          <cell r="AD611">
            <v>0</v>
          </cell>
          <cell r="AE611">
            <v>146.25</v>
          </cell>
          <cell r="AF611">
            <v>0</v>
          </cell>
          <cell r="AG611">
            <v>0</v>
          </cell>
          <cell r="AH611">
            <v>11.25</v>
          </cell>
          <cell r="AI611">
            <v>0</v>
          </cell>
          <cell r="AJ611">
            <v>0</v>
          </cell>
          <cell r="AK611">
            <v>97.5</v>
          </cell>
          <cell r="AL611">
            <v>0</v>
          </cell>
          <cell r="AM611">
            <v>0</v>
          </cell>
          <cell r="AN611">
            <v>126.75</v>
          </cell>
          <cell r="AO611">
            <v>0</v>
          </cell>
          <cell r="AP611">
            <v>0</v>
          </cell>
          <cell r="AQ611">
            <v>9.75</v>
          </cell>
          <cell r="AR611">
            <v>0</v>
          </cell>
          <cell r="AS611">
            <v>0</v>
          </cell>
          <cell r="AT611">
            <v>150</v>
          </cell>
          <cell r="AU611">
            <v>0</v>
          </cell>
          <cell r="AV611">
            <v>0</v>
          </cell>
          <cell r="AW611">
            <v>195</v>
          </cell>
          <cell r="AX611">
            <v>0</v>
          </cell>
          <cell r="AY611">
            <v>0</v>
          </cell>
          <cell r="AZ611">
            <v>15</v>
          </cell>
          <cell r="BA611">
            <v>0</v>
          </cell>
          <cell r="BB611">
            <v>0</v>
          </cell>
          <cell r="BC611">
            <v>75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7860</v>
          </cell>
        </row>
        <row r="612">
          <cell r="C612">
            <v>30553</v>
          </cell>
          <cell r="D612" t="str">
            <v>Macaraig, Maricel</v>
          </cell>
          <cell r="E612">
            <v>72</v>
          </cell>
          <cell r="F612">
            <v>9</v>
          </cell>
          <cell r="G612">
            <v>600</v>
          </cell>
          <cell r="H612">
            <v>5400</v>
          </cell>
          <cell r="I612">
            <v>33</v>
          </cell>
          <cell r="J612">
            <v>1.25</v>
          </cell>
          <cell r="K612">
            <v>-41.25</v>
          </cell>
          <cell r="L612">
            <v>18</v>
          </cell>
          <cell r="M612">
            <v>93.75</v>
          </cell>
          <cell r="N612">
            <v>1687.5</v>
          </cell>
          <cell r="O612">
            <v>30</v>
          </cell>
          <cell r="P612">
            <v>7.5</v>
          </cell>
          <cell r="Q612">
            <v>225</v>
          </cell>
          <cell r="R612">
            <v>0</v>
          </cell>
          <cell r="S612">
            <v>97.5</v>
          </cell>
          <cell r="T612">
            <v>0</v>
          </cell>
          <cell r="U612">
            <v>0</v>
          </cell>
          <cell r="V612">
            <v>126.75</v>
          </cell>
          <cell r="W612">
            <v>0</v>
          </cell>
          <cell r="X612">
            <v>0</v>
          </cell>
          <cell r="Y612">
            <v>9.75</v>
          </cell>
          <cell r="Z612">
            <v>0</v>
          </cell>
          <cell r="AA612">
            <v>0</v>
          </cell>
          <cell r="AB612">
            <v>112.5</v>
          </cell>
          <cell r="AC612">
            <v>0</v>
          </cell>
          <cell r="AD612">
            <v>0</v>
          </cell>
          <cell r="AE612">
            <v>146.25</v>
          </cell>
          <cell r="AF612">
            <v>0</v>
          </cell>
          <cell r="AG612">
            <v>0</v>
          </cell>
          <cell r="AH612">
            <v>11.25</v>
          </cell>
          <cell r="AI612">
            <v>0</v>
          </cell>
          <cell r="AJ612">
            <v>0</v>
          </cell>
          <cell r="AK612">
            <v>97.5</v>
          </cell>
          <cell r="AL612">
            <v>0</v>
          </cell>
          <cell r="AM612">
            <v>0</v>
          </cell>
          <cell r="AN612">
            <v>126.75</v>
          </cell>
          <cell r="AO612">
            <v>0</v>
          </cell>
          <cell r="AP612">
            <v>0</v>
          </cell>
          <cell r="AQ612">
            <v>9.75</v>
          </cell>
          <cell r="AR612">
            <v>0</v>
          </cell>
          <cell r="AS612">
            <v>0</v>
          </cell>
          <cell r="AT612">
            <v>150</v>
          </cell>
          <cell r="AU612">
            <v>0</v>
          </cell>
          <cell r="AV612">
            <v>0</v>
          </cell>
          <cell r="AW612">
            <v>195</v>
          </cell>
          <cell r="AX612">
            <v>0</v>
          </cell>
          <cell r="AY612">
            <v>0</v>
          </cell>
          <cell r="AZ612">
            <v>15</v>
          </cell>
          <cell r="BA612">
            <v>0</v>
          </cell>
          <cell r="BB612">
            <v>0</v>
          </cell>
          <cell r="BC612">
            <v>75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7271.25</v>
          </cell>
        </row>
        <row r="613">
          <cell r="C613">
            <v>70714</v>
          </cell>
          <cell r="D613" t="str">
            <v>Magaro, Dave Bernados</v>
          </cell>
          <cell r="E613">
            <v>80</v>
          </cell>
          <cell r="F613">
            <v>10</v>
          </cell>
          <cell r="G613">
            <v>600</v>
          </cell>
          <cell r="H613">
            <v>6000</v>
          </cell>
          <cell r="I613">
            <v>64</v>
          </cell>
          <cell r="J613">
            <v>1.25</v>
          </cell>
          <cell r="K613">
            <v>-80</v>
          </cell>
          <cell r="L613">
            <v>24</v>
          </cell>
          <cell r="M613">
            <v>93.75</v>
          </cell>
          <cell r="N613">
            <v>2250</v>
          </cell>
          <cell r="O613">
            <v>44</v>
          </cell>
          <cell r="P613">
            <v>7.5</v>
          </cell>
          <cell r="Q613">
            <v>330</v>
          </cell>
          <cell r="R613">
            <v>0</v>
          </cell>
          <cell r="S613">
            <v>97.5</v>
          </cell>
          <cell r="T613">
            <v>0</v>
          </cell>
          <cell r="U613">
            <v>0</v>
          </cell>
          <cell r="V613">
            <v>126.75</v>
          </cell>
          <cell r="W613">
            <v>0</v>
          </cell>
          <cell r="X613">
            <v>0</v>
          </cell>
          <cell r="Y613">
            <v>9.75</v>
          </cell>
          <cell r="Z613">
            <v>0</v>
          </cell>
          <cell r="AA613">
            <v>0</v>
          </cell>
          <cell r="AB613">
            <v>112.5</v>
          </cell>
          <cell r="AC613">
            <v>0</v>
          </cell>
          <cell r="AD613">
            <v>0</v>
          </cell>
          <cell r="AE613">
            <v>146.25</v>
          </cell>
          <cell r="AF613">
            <v>0</v>
          </cell>
          <cell r="AG613">
            <v>0</v>
          </cell>
          <cell r="AH613">
            <v>11.25</v>
          </cell>
          <cell r="AI613">
            <v>0</v>
          </cell>
          <cell r="AJ613">
            <v>0</v>
          </cell>
          <cell r="AK613">
            <v>97.5</v>
          </cell>
          <cell r="AL613">
            <v>0</v>
          </cell>
          <cell r="AM613">
            <v>0</v>
          </cell>
          <cell r="AN613">
            <v>126.75</v>
          </cell>
          <cell r="AO613">
            <v>0</v>
          </cell>
          <cell r="AP613">
            <v>0</v>
          </cell>
          <cell r="AQ613">
            <v>9.75</v>
          </cell>
          <cell r="AR613">
            <v>0</v>
          </cell>
          <cell r="AS613">
            <v>0</v>
          </cell>
          <cell r="AT613">
            <v>150</v>
          </cell>
          <cell r="AU613">
            <v>0</v>
          </cell>
          <cell r="AV613">
            <v>0</v>
          </cell>
          <cell r="AW613">
            <v>195</v>
          </cell>
          <cell r="AX613">
            <v>0</v>
          </cell>
          <cell r="AY613">
            <v>0</v>
          </cell>
          <cell r="AZ613">
            <v>15</v>
          </cell>
          <cell r="BA613">
            <v>0</v>
          </cell>
          <cell r="BB613">
            <v>0</v>
          </cell>
          <cell r="BC613">
            <v>75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8500</v>
          </cell>
        </row>
        <row r="614">
          <cell r="C614">
            <v>10464</v>
          </cell>
          <cell r="D614" t="str">
            <v>Mago, Cristina Morcon</v>
          </cell>
          <cell r="E614">
            <v>72</v>
          </cell>
          <cell r="F614">
            <v>9</v>
          </cell>
          <cell r="G614">
            <v>600</v>
          </cell>
          <cell r="H614">
            <v>5400</v>
          </cell>
          <cell r="I614">
            <v>51</v>
          </cell>
          <cell r="J614">
            <v>1.25</v>
          </cell>
          <cell r="K614">
            <v>-63.75</v>
          </cell>
          <cell r="L614">
            <v>15</v>
          </cell>
          <cell r="M614">
            <v>93.75</v>
          </cell>
          <cell r="N614">
            <v>1406.25</v>
          </cell>
          <cell r="O614">
            <v>0</v>
          </cell>
          <cell r="P614">
            <v>7.5</v>
          </cell>
          <cell r="Q614">
            <v>0</v>
          </cell>
          <cell r="R614">
            <v>0</v>
          </cell>
          <cell r="S614">
            <v>97.5</v>
          </cell>
          <cell r="T614">
            <v>0</v>
          </cell>
          <cell r="U614">
            <v>0</v>
          </cell>
          <cell r="V614">
            <v>126.75</v>
          </cell>
          <cell r="W614">
            <v>0</v>
          </cell>
          <cell r="X614">
            <v>0</v>
          </cell>
          <cell r="Y614">
            <v>9.75</v>
          </cell>
          <cell r="Z614">
            <v>0</v>
          </cell>
          <cell r="AA614">
            <v>0</v>
          </cell>
          <cell r="AB614">
            <v>112.5</v>
          </cell>
          <cell r="AC614">
            <v>0</v>
          </cell>
          <cell r="AD614">
            <v>0</v>
          </cell>
          <cell r="AE614">
            <v>146.25</v>
          </cell>
          <cell r="AF614">
            <v>0</v>
          </cell>
          <cell r="AG614">
            <v>0</v>
          </cell>
          <cell r="AH614">
            <v>11.25</v>
          </cell>
          <cell r="AI614">
            <v>0</v>
          </cell>
          <cell r="AJ614">
            <v>0</v>
          </cell>
          <cell r="AK614">
            <v>97.5</v>
          </cell>
          <cell r="AL614">
            <v>0</v>
          </cell>
          <cell r="AM614">
            <v>0</v>
          </cell>
          <cell r="AN614">
            <v>126.75</v>
          </cell>
          <cell r="AO614">
            <v>0</v>
          </cell>
          <cell r="AP614">
            <v>0</v>
          </cell>
          <cell r="AQ614">
            <v>9.75</v>
          </cell>
          <cell r="AR614">
            <v>0</v>
          </cell>
          <cell r="AS614">
            <v>0</v>
          </cell>
          <cell r="AT614">
            <v>150</v>
          </cell>
          <cell r="AU614">
            <v>0</v>
          </cell>
          <cell r="AV614">
            <v>0</v>
          </cell>
          <cell r="AW614">
            <v>195</v>
          </cell>
          <cell r="AX614">
            <v>0</v>
          </cell>
          <cell r="AY614">
            <v>0</v>
          </cell>
          <cell r="AZ614">
            <v>15</v>
          </cell>
          <cell r="BA614">
            <v>0</v>
          </cell>
          <cell r="BB614">
            <v>0</v>
          </cell>
          <cell r="BC614">
            <v>75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6742.5</v>
          </cell>
        </row>
        <row r="615">
          <cell r="C615">
            <v>30521</v>
          </cell>
          <cell r="D615" t="str">
            <v>Maristela, Lesly Anne</v>
          </cell>
          <cell r="E615">
            <v>72</v>
          </cell>
          <cell r="F615">
            <v>9</v>
          </cell>
          <cell r="G615">
            <v>600</v>
          </cell>
          <cell r="H615">
            <v>5400</v>
          </cell>
          <cell r="I615">
            <v>0</v>
          </cell>
          <cell r="J615">
            <v>1.25</v>
          </cell>
          <cell r="K615">
            <v>0</v>
          </cell>
          <cell r="L615">
            <v>24</v>
          </cell>
          <cell r="M615">
            <v>93.75</v>
          </cell>
          <cell r="N615">
            <v>2250</v>
          </cell>
          <cell r="O615">
            <v>24</v>
          </cell>
          <cell r="P615">
            <v>7.5</v>
          </cell>
          <cell r="Q615">
            <v>180</v>
          </cell>
          <cell r="R615">
            <v>0</v>
          </cell>
          <cell r="S615">
            <v>97.5</v>
          </cell>
          <cell r="T615">
            <v>0</v>
          </cell>
          <cell r="U615">
            <v>0</v>
          </cell>
          <cell r="V615">
            <v>126.75</v>
          </cell>
          <cell r="W615">
            <v>0</v>
          </cell>
          <cell r="X615">
            <v>0</v>
          </cell>
          <cell r="Y615">
            <v>9.75</v>
          </cell>
          <cell r="Z615">
            <v>0</v>
          </cell>
          <cell r="AA615">
            <v>0</v>
          </cell>
          <cell r="AB615">
            <v>112.5</v>
          </cell>
          <cell r="AC615">
            <v>0</v>
          </cell>
          <cell r="AD615">
            <v>0</v>
          </cell>
          <cell r="AE615">
            <v>146.25</v>
          </cell>
          <cell r="AF615">
            <v>0</v>
          </cell>
          <cell r="AG615">
            <v>0</v>
          </cell>
          <cell r="AH615">
            <v>11.25</v>
          </cell>
          <cell r="AI615">
            <v>0</v>
          </cell>
          <cell r="AJ615">
            <v>0</v>
          </cell>
          <cell r="AK615">
            <v>97.5</v>
          </cell>
          <cell r="AL615">
            <v>0</v>
          </cell>
          <cell r="AM615">
            <v>0</v>
          </cell>
          <cell r="AN615">
            <v>126.75</v>
          </cell>
          <cell r="AO615">
            <v>0</v>
          </cell>
          <cell r="AP615">
            <v>0</v>
          </cell>
          <cell r="AQ615">
            <v>9.75</v>
          </cell>
          <cell r="AR615">
            <v>0</v>
          </cell>
          <cell r="AS615">
            <v>0</v>
          </cell>
          <cell r="AT615">
            <v>150</v>
          </cell>
          <cell r="AU615">
            <v>0</v>
          </cell>
          <cell r="AV615">
            <v>0</v>
          </cell>
          <cell r="AW615">
            <v>195</v>
          </cell>
          <cell r="AX615">
            <v>0</v>
          </cell>
          <cell r="AY615">
            <v>0</v>
          </cell>
          <cell r="AZ615">
            <v>15</v>
          </cell>
          <cell r="BA615">
            <v>0</v>
          </cell>
          <cell r="BB615">
            <v>0</v>
          </cell>
          <cell r="BC615">
            <v>75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7830</v>
          </cell>
        </row>
        <row r="616">
          <cell r="C616">
            <v>14637</v>
          </cell>
          <cell r="D616" t="str">
            <v>Marquez, Mark Anthony Capillo</v>
          </cell>
          <cell r="E616">
            <v>8</v>
          </cell>
          <cell r="F616">
            <v>1</v>
          </cell>
          <cell r="G616">
            <v>600</v>
          </cell>
          <cell r="H616">
            <v>600</v>
          </cell>
          <cell r="I616">
            <v>7</v>
          </cell>
          <cell r="J616">
            <v>1.25</v>
          </cell>
          <cell r="K616">
            <v>-8.75</v>
          </cell>
          <cell r="L616">
            <v>3</v>
          </cell>
          <cell r="M616">
            <v>93.75</v>
          </cell>
          <cell r="N616">
            <v>281.25</v>
          </cell>
          <cell r="O616">
            <v>0</v>
          </cell>
          <cell r="P616">
            <v>7.5</v>
          </cell>
          <cell r="Q616">
            <v>0</v>
          </cell>
          <cell r="R616">
            <v>0</v>
          </cell>
          <cell r="S616">
            <v>97.5</v>
          </cell>
          <cell r="T616">
            <v>0</v>
          </cell>
          <cell r="U616">
            <v>0</v>
          </cell>
          <cell r="V616">
            <v>126.75</v>
          </cell>
          <cell r="W616">
            <v>0</v>
          </cell>
          <cell r="X616">
            <v>0</v>
          </cell>
          <cell r="Y616">
            <v>9.75</v>
          </cell>
          <cell r="Z616">
            <v>0</v>
          </cell>
          <cell r="AA616">
            <v>0</v>
          </cell>
          <cell r="AB616">
            <v>112.5</v>
          </cell>
          <cell r="AC616">
            <v>0</v>
          </cell>
          <cell r="AD616">
            <v>0</v>
          </cell>
          <cell r="AE616">
            <v>146.25</v>
          </cell>
          <cell r="AF616">
            <v>0</v>
          </cell>
          <cell r="AG616">
            <v>0</v>
          </cell>
          <cell r="AH616">
            <v>11.25</v>
          </cell>
          <cell r="AI616">
            <v>0</v>
          </cell>
          <cell r="AJ616">
            <v>0</v>
          </cell>
          <cell r="AK616">
            <v>97.5</v>
          </cell>
          <cell r="AL616">
            <v>0</v>
          </cell>
          <cell r="AM616">
            <v>0</v>
          </cell>
          <cell r="AN616">
            <v>126.75</v>
          </cell>
          <cell r="AO616">
            <v>0</v>
          </cell>
          <cell r="AP616">
            <v>0</v>
          </cell>
          <cell r="AQ616">
            <v>9.75</v>
          </cell>
          <cell r="AR616">
            <v>0</v>
          </cell>
          <cell r="AS616">
            <v>0</v>
          </cell>
          <cell r="AT616">
            <v>150</v>
          </cell>
          <cell r="AU616">
            <v>0</v>
          </cell>
          <cell r="AV616">
            <v>0</v>
          </cell>
          <cell r="AW616">
            <v>195</v>
          </cell>
          <cell r="AX616">
            <v>0</v>
          </cell>
          <cell r="AY616">
            <v>0</v>
          </cell>
          <cell r="AZ616">
            <v>15</v>
          </cell>
          <cell r="BA616">
            <v>0</v>
          </cell>
          <cell r="BB616">
            <v>0</v>
          </cell>
          <cell r="BC616">
            <v>75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872.5</v>
          </cell>
        </row>
        <row r="617">
          <cell r="C617">
            <v>30811</v>
          </cell>
          <cell r="D617" t="str">
            <v>Medrano, Mary Joy Cudiamat</v>
          </cell>
          <cell r="E617">
            <v>80</v>
          </cell>
          <cell r="F617">
            <v>10</v>
          </cell>
          <cell r="G617">
            <v>600</v>
          </cell>
          <cell r="H617">
            <v>6000</v>
          </cell>
          <cell r="I617">
            <v>0</v>
          </cell>
          <cell r="J617">
            <v>1.25</v>
          </cell>
          <cell r="K617">
            <v>0</v>
          </cell>
          <cell r="L617">
            <v>27</v>
          </cell>
          <cell r="M617">
            <v>93.75</v>
          </cell>
          <cell r="N617">
            <v>2531.25</v>
          </cell>
          <cell r="O617">
            <v>46</v>
          </cell>
          <cell r="P617">
            <v>7.5</v>
          </cell>
          <cell r="Q617">
            <v>345</v>
          </cell>
          <cell r="R617">
            <v>0</v>
          </cell>
          <cell r="S617">
            <v>97.5</v>
          </cell>
          <cell r="T617">
            <v>0</v>
          </cell>
          <cell r="U617">
            <v>0</v>
          </cell>
          <cell r="V617">
            <v>126.75</v>
          </cell>
          <cell r="W617">
            <v>0</v>
          </cell>
          <cell r="X617">
            <v>0</v>
          </cell>
          <cell r="Y617">
            <v>9.75</v>
          </cell>
          <cell r="Z617">
            <v>0</v>
          </cell>
          <cell r="AA617">
            <v>0</v>
          </cell>
          <cell r="AB617">
            <v>112.5</v>
          </cell>
          <cell r="AC617">
            <v>0</v>
          </cell>
          <cell r="AD617">
            <v>0</v>
          </cell>
          <cell r="AE617">
            <v>146.25</v>
          </cell>
          <cell r="AF617">
            <v>0</v>
          </cell>
          <cell r="AG617">
            <v>0</v>
          </cell>
          <cell r="AH617">
            <v>11.25</v>
          </cell>
          <cell r="AI617">
            <v>0</v>
          </cell>
          <cell r="AJ617">
            <v>0</v>
          </cell>
          <cell r="AK617">
            <v>97.5</v>
          </cell>
          <cell r="AL617">
            <v>0</v>
          </cell>
          <cell r="AM617">
            <v>0</v>
          </cell>
          <cell r="AN617">
            <v>126.75</v>
          </cell>
          <cell r="AO617">
            <v>0</v>
          </cell>
          <cell r="AP617">
            <v>0</v>
          </cell>
          <cell r="AQ617">
            <v>9.75</v>
          </cell>
          <cell r="AR617">
            <v>0</v>
          </cell>
          <cell r="AS617">
            <v>0</v>
          </cell>
          <cell r="AT617">
            <v>150</v>
          </cell>
          <cell r="AU617">
            <v>0</v>
          </cell>
          <cell r="AV617">
            <v>0</v>
          </cell>
          <cell r="AW617">
            <v>195</v>
          </cell>
          <cell r="AX617">
            <v>0</v>
          </cell>
          <cell r="AY617">
            <v>0</v>
          </cell>
          <cell r="AZ617">
            <v>15</v>
          </cell>
          <cell r="BA617">
            <v>0</v>
          </cell>
          <cell r="BB617">
            <v>0</v>
          </cell>
          <cell r="BC617">
            <v>75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8876.25</v>
          </cell>
        </row>
        <row r="618">
          <cell r="C618">
            <v>3299</v>
          </cell>
          <cell r="D618" t="str">
            <v>Metrillo, Arvie Maureen Borabon</v>
          </cell>
          <cell r="E618">
            <v>80</v>
          </cell>
          <cell r="F618">
            <v>10</v>
          </cell>
          <cell r="G618">
            <v>600</v>
          </cell>
          <cell r="H618">
            <v>6000</v>
          </cell>
          <cell r="I618">
            <v>206</v>
          </cell>
          <cell r="J618">
            <v>1.25</v>
          </cell>
          <cell r="K618">
            <v>-257.5</v>
          </cell>
          <cell r="L618">
            <v>16</v>
          </cell>
          <cell r="M618">
            <v>93.75</v>
          </cell>
          <cell r="N618">
            <v>1500</v>
          </cell>
          <cell r="O618">
            <v>0</v>
          </cell>
          <cell r="P618">
            <v>7.5</v>
          </cell>
          <cell r="Q618">
            <v>0</v>
          </cell>
          <cell r="R618">
            <v>0</v>
          </cell>
          <cell r="S618">
            <v>97.5</v>
          </cell>
          <cell r="T618">
            <v>0</v>
          </cell>
          <cell r="U618">
            <v>0</v>
          </cell>
          <cell r="V618">
            <v>126.75</v>
          </cell>
          <cell r="W618">
            <v>0</v>
          </cell>
          <cell r="X618">
            <v>0</v>
          </cell>
          <cell r="Y618">
            <v>9.75</v>
          </cell>
          <cell r="Z618">
            <v>0</v>
          </cell>
          <cell r="AA618">
            <v>0</v>
          </cell>
          <cell r="AB618">
            <v>112.5</v>
          </cell>
          <cell r="AC618">
            <v>0</v>
          </cell>
          <cell r="AD618">
            <v>0</v>
          </cell>
          <cell r="AE618">
            <v>146.25</v>
          </cell>
          <cell r="AF618">
            <v>0</v>
          </cell>
          <cell r="AG618">
            <v>0</v>
          </cell>
          <cell r="AH618">
            <v>11.25</v>
          </cell>
          <cell r="AI618">
            <v>0</v>
          </cell>
          <cell r="AJ618">
            <v>0</v>
          </cell>
          <cell r="AK618">
            <v>97.5</v>
          </cell>
          <cell r="AL618">
            <v>0</v>
          </cell>
          <cell r="AM618">
            <v>0</v>
          </cell>
          <cell r="AN618">
            <v>126.75</v>
          </cell>
          <cell r="AO618">
            <v>0</v>
          </cell>
          <cell r="AP618">
            <v>0</v>
          </cell>
          <cell r="AQ618">
            <v>9.75</v>
          </cell>
          <cell r="AR618">
            <v>0</v>
          </cell>
          <cell r="AS618">
            <v>0</v>
          </cell>
          <cell r="AT618">
            <v>150</v>
          </cell>
          <cell r="AU618">
            <v>0</v>
          </cell>
          <cell r="AV618">
            <v>0</v>
          </cell>
          <cell r="AW618">
            <v>195</v>
          </cell>
          <cell r="AX618">
            <v>0</v>
          </cell>
          <cell r="AY618">
            <v>0</v>
          </cell>
          <cell r="AZ618">
            <v>15</v>
          </cell>
          <cell r="BA618">
            <v>0</v>
          </cell>
          <cell r="BB618">
            <v>0</v>
          </cell>
          <cell r="BC618">
            <v>75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7242.5</v>
          </cell>
        </row>
        <row r="619">
          <cell r="C619">
            <v>30303</v>
          </cell>
          <cell r="D619" t="str">
            <v>Morales, Jonathan</v>
          </cell>
          <cell r="E619">
            <v>80</v>
          </cell>
          <cell r="F619">
            <v>10</v>
          </cell>
          <cell r="G619">
            <v>600</v>
          </cell>
          <cell r="H619">
            <v>6000</v>
          </cell>
          <cell r="I619">
            <v>190</v>
          </cell>
          <cell r="J619">
            <v>1.25</v>
          </cell>
          <cell r="K619">
            <v>-237.5</v>
          </cell>
          <cell r="L619">
            <v>27</v>
          </cell>
          <cell r="M619">
            <v>93.75</v>
          </cell>
          <cell r="N619">
            <v>2531.25</v>
          </cell>
          <cell r="O619">
            <v>0</v>
          </cell>
          <cell r="P619">
            <v>7.5</v>
          </cell>
          <cell r="Q619">
            <v>0</v>
          </cell>
          <cell r="R619">
            <v>0</v>
          </cell>
          <cell r="S619">
            <v>97.5</v>
          </cell>
          <cell r="T619">
            <v>0</v>
          </cell>
          <cell r="U619">
            <v>0</v>
          </cell>
          <cell r="V619">
            <v>126.75</v>
          </cell>
          <cell r="W619">
            <v>0</v>
          </cell>
          <cell r="X619">
            <v>0</v>
          </cell>
          <cell r="Y619">
            <v>9.75</v>
          </cell>
          <cell r="Z619">
            <v>0</v>
          </cell>
          <cell r="AA619">
            <v>0</v>
          </cell>
          <cell r="AB619">
            <v>112.5</v>
          </cell>
          <cell r="AC619">
            <v>0</v>
          </cell>
          <cell r="AD619">
            <v>0</v>
          </cell>
          <cell r="AE619">
            <v>146.25</v>
          </cell>
          <cell r="AF619">
            <v>0</v>
          </cell>
          <cell r="AG619">
            <v>0</v>
          </cell>
          <cell r="AH619">
            <v>11.25</v>
          </cell>
          <cell r="AI619">
            <v>0</v>
          </cell>
          <cell r="AJ619">
            <v>0</v>
          </cell>
          <cell r="AK619">
            <v>97.5</v>
          </cell>
          <cell r="AL619">
            <v>0</v>
          </cell>
          <cell r="AM619">
            <v>0</v>
          </cell>
          <cell r="AN619">
            <v>126.75</v>
          </cell>
          <cell r="AO619">
            <v>0</v>
          </cell>
          <cell r="AP619">
            <v>0</v>
          </cell>
          <cell r="AQ619">
            <v>9.75</v>
          </cell>
          <cell r="AR619">
            <v>0</v>
          </cell>
          <cell r="AS619">
            <v>0</v>
          </cell>
          <cell r="AT619">
            <v>150</v>
          </cell>
          <cell r="AU619">
            <v>0</v>
          </cell>
          <cell r="AV619">
            <v>0</v>
          </cell>
          <cell r="AW619">
            <v>195</v>
          </cell>
          <cell r="AX619">
            <v>0</v>
          </cell>
          <cell r="AY619">
            <v>0</v>
          </cell>
          <cell r="AZ619">
            <v>15</v>
          </cell>
          <cell r="BA619">
            <v>0</v>
          </cell>
          <cell r="BB619">
            <v>0</v>
          </cell>
          <cell r="BC619">
            <v>75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8293.75</v>
          </cell>
        </row>
        <row r="620">
          <cell r="C620">
            <v>13216</v>
          </cell>
          <cell r="D620" t="str">
            <v>Narito, SebastianJr Olarte</v>
          </cell>
          <cell r="E620">
            <v>80</v>
          </cell>
          <cell r="F620">
            <v>10</v>
          </cell>
          <cell r="G620">
            <v>600</v>
          </cell>
          <cell r="H620">
            <v>6000</v>
          </cell>
          <cell r="I620">
            <v>226</v>
          </cell>
          <cell r="J620">
            <v>1.25</v>
          </cell>
          <cell r="K620">
            <v>-282.5</v>
          </cell>
          <cell r="L620">
            <v>23</v>
          </cell>
          <cell r="M620">
            <v>93.75</v>
          </cell>
          <cell r="N620">
            <v>2156.25</v>
          </cell>
          <cell r="O620">
            <v>0</v>
          </cell>
          <cell r="P620">
            <v>7.5</v>
          </cell>
          <cell r="Q620">
            <v>0</v>
          </cell>
          <cell r="R620">
            <v>0</v>
          </cell>
          <cell r="S620">
            <v>97.5</v>
          </cell>
          <cell r="T620">
            <v>0</v>
          </cell>
          <cell r="U620">
            <v>0</v>
          </cell>
          <cell r="V620">
            <v>126.75</v>
          </cell>
          <cell r="W620">
            <v>0</v>
          </cell>
          <cell r="X620">
            <v>0</v>
          </cell>
          <cell r="Y620">
            <v>9.75</v>
          </cell>
          <cell r="Z620">
            <v>0</v>
          </cell>
          <cell r="AA620">
            <v>0</v>
          </cell>
          <cell r="AB620">
            <v>112.5</v>
          </cell>
          <cell r="AC620">
            <v>0</v>
          </cell>
          <cell r="AD620">
            <v>0</v>
          </cell>
          <cell r="AE620">
            <v>146.25</v>
          </cell>
          <cell r="AF620">
            <v>0</v>
          </cell>
          <cell r="AG620">
            <v>0</v>
          </cell>
          <cell r="AH620">
            <v>11.25</v>
          </cell>
          <cell r="AI620">
            <v>0</v>
          </cell>
          <cell r="AJ620">
            <v>0</v>
          </cell>
          <cell r="AK620">
            <v>97.5</v>
          </cell>
          <cell r="AL620">
            <v>0</v>
          </cell>
          <cell r="AM620">
            <v>0</v>
          </cell>
          <cell r="AN620">
            <v>126.75</v>
          </cell>
          <cell r="AO620">
            <v>0</v>
          </cell>
          <cell r="AP620">
            <v>0</v>
          </cell>
          <cell r="AQ620">
            <v>9.75</v>
          </cell>
          <cell r="AR620">
            <v>0</v>
          </cell>
          <cell r="AS620">
            <v>0</v>
          </cell>
          <cell r="AT620">
            <v>150</v>
          </cell>
          <cell r="AU620">
            <v>0</v>
          </cell>
          <cell r="AV620">
            <v>0</v>
          </cell>
          <cell r="AW620">
            <v>195</v>
          </cell>
          <cell r="AX620">
            <v>0</v>
          </cell>
          <cell r="AY620">
            <v>0</v>
          </cell>
          <cell r="AZ620">
            <v>15</v>
          </cell>
          <cell r="BA620">
            <v>0</v>
          </cell>
          <cell r="BB620">
            <v>0</v>
          </cell>
          <cell r="BC620">
            <v>75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7873.75</v>
          </cell>
        </row>
        <row r="621">
          <cell r="C621">
            <v>10244</v>
          </cell>
          <cell r="D621" t="str">
            <v>Oas, Ariette Brazal</v>
          </cell>
          <cell r="E621">
            <v>72</v>
          </cell>
          <cell r="F621">
            <v>9</v>
          </cell>
          <cell r="G621">
            <v>600</v>
          </cell>
          <cell r="H621">
            <v>5400</v>
          </cell>
          <cell r="I621">
            <v>14</v>
          </cell>
          <cell r="J621">
            <v>1.25</v>
          </cell>
          <cell r="K621">
            <v>-17.5</v>
          </cell>
          <cell r="L621">
            <v>24</v>
          </cell>
          <cell r="M621">
            <v>93.75</v>
          </cell>
          <cell r="N621">
            <v>2250</v>
          </cell>
          <cell r="O621">
            <v>38</v>
          </cell>
          <cell r="P621">
            <v>7.5</v>
          </cell>
          <cell r="Q621">
            <v>285</v>
          </cell>
          <cell r="R621">
            <v>0</v>
          </cell>
          <cell r="S621">
            <v>97.5</v>
          </cell>
          <cell r="T621">
            <v>0</v>
          </cell>
          <cell r="U621">
            <v>0</v>
          </cell>
          <cell r="V621">
            <v>126.75</v>
          </cell>
          <cell r="W621">
            <v>0</v>
          </cell>
          <cell r="X621">
            <v>0</v>
          </cell>
          <cell r="Y621">
            <v>9.75</v>
          </cell>
          <cell r="Z621">
            <v>0</v>
          </cell>
          <cell r="AA621">
            <v>0</v>
          </cell>
          <cell r="AB621">
            <v>112.5</v>
          </cell>
          <cell r="AC621">
            <v>0</v>
          </cell>
          <cell r="AD621">
            <v>0</v>
          </cell>
          <cell r="AE621">
            <v>146.25</v>
          </cell>
          <cell r="AF621">
            <v>0</v>
          </cell>
          <cell r="AG621">
            <v>0</v>
          </cell>
          <cell r="AH621">
            <v>11.25</v>
          </cell>
          <cell r="AI621">
            <v>0</v>
          </cell>
          <cell r="AJ621">
            <v>0</v>
          </cell>
          <cell r="AK621">
            <v>97.5</v>
          </cell>
          <cell r="AL621">
            <v>0</v>
          </cell>
          <cell r="AM621">
            <v>0</v>
          </cell>
          <cell r="AN621">
            <v>126.75</v>
          </cell>
          <cell r="AO621">
            <v>0</v>
          </cell>
          <cell r="AP621">
            <v>0</v>
          </cell>
          <cell r="AQ621">
            <v>9.75</v>
          </cell>
          <cell r="AR621">
            <v>0</v>
          </cell>
          <cell r="AS621">
            <v>0</v>
          </cell>
          <cell r="AT621">
            <v>150</v>
          </cell>
          <cell r="AU621">
            <v>0</v>
          </cell>
          <cell r="AV621">
            <v>0</v>
          </cell>
          <cell r="AW621">
            <v>195</v>
          </cell>
          <cell r="AX621">
            <v>0</v>
          </cell>
          <cell r="AY621">
            <v>0</v>
          </cell>
          <cell r="AZ621">
            <v>15</v>
          </cell>
          <cell r="BA621">
            <v>0</v>
          </cell>
          <cell r="BB621">
            <v>0</v>
          </cell>
          <cell r="BC621">
            <v>75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7917.5</v>
          </cell>
        </row>
        <row r="622">
          <cell r="C622">
            <v>11832</v>
          </cell>
          <cell r="D622" t="str">
            <v>Panganiban, Janice De Castro</v>
          </cell>
          <cell r="E622">
            <v>72</v>
          </cell>
          <cell r="F622">
            <v>9</v>
          </cell>
          <cell r="G622">
            <v>600</v>
          </cell>
          <cell r="H622">
            <v>5400</v>
          </cell>
          <cell r="I622">
            <v>0</v>
          </cell>
          <cell r="J622">
            <v>1.25</v>
          </cell>
          <cell r="K622">
            <v>0</v>
          </cell>
          <cell r="L622">
            <v>24</v>
          </cell>
          <cell r="M622">
            <v>93.75</v>
          </cell>
          <cell r="N622">
            <v>2250</v>
          </cell>
          <cell r="O622">
            <v>38</v>
          </cell>
          <cell r="P622">
            <v>7.5</v>
          </cell>
          <cell r="Q622">
            <v>285</v>
          </cell>
          <cell r="R622">
            <v>0</v>
          </cell>
          <cell r="S622">
            <v>97.5</v>
          </cell>
          <cell r="T622">
            <v>0</v>
          </cell>
          <cell r="U622">
            <v>0</v>
          </cell>
          <cell r="V622">
            <v>126.75</v>
          </cell>
          <cell r="W622">
            <v>0</v>
          </cell>
          <cell r="X622">
            <v>0</v>
          </cell>
          <cell r="Y622">
            <v>9.75</v>
          </cell>
          <cell r="Z622">
            <v>0</v>
          </cell>
          <cell r="AA622">
            <v>0</v>
          </cell>
          <cell r="AB622">
            <v>112.5</v>
          </cell>
          <cell r="AC622">
            <v>0</v>
          </cell>
          <cell r="AD622">
            <v>0</v>
          </cell>
          <cell r="AE622">
            <v>146.25</v>
          </cell>
          <cell r="AF622">
            <v>0</v>
          </cell>
          <cell r="AG622">
            <v>0</v>
          </cell>
          <cell r="AH622">
            <v>11.25</v>
          </cell>
          <cell r="AI622">
            <v>0</v>
          </cell>
          <cell r="AJ622">
            <v>0</v>
          </cell>
          <cell r="AK622">
            <v>97.5</v>
          </cell>
          <cell r="AL622">
            <v>0</v>
          </cell>
          <cell r="AM622">
            <v>0</v>
          </cell>
          <cell r="AN622">
            <v>126.75</v>
          </cell>
          <cell r="AO622">
            <v>0</v>
          </cell>
          <cell r="AP622">
            <v>0</v>
          </cell>
          <cell r="AQ622">
            <v>9.75</v>
          </cell>
          <cell r="AR622">
            <v>0</v>
          </cell>
          <cell r="AS622">
            <v>0</v>
          </cell>
          <cell r="AT622">
            <v>150</v>
          </cell>
          <cell r="AU622">
            <v>0</v>
          </cell>
          <cell r="AV622">
            <v>0</v>
          </cell>
          <cell r="AW622">
            <v>195</v>
          </cell>
          <cell r="AX622">
            <v>0</v>
          </cell>
          <cell r="AY622">
            <v>0</v>
          </cell>
          <cell r="AZ622">
            <v>15</v>
          </cell>
          <cell r="BA622">
            <v>0</v>
          </cell>
          <cell r="BB622">
            <v>0</v>
          </cell>
          <cell r="BC622">
            <v>75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7935</v>
          </cell>
        </row>
        <row r="623">
          <cell r="C623">
            <v>14562</v>
          </cell>
          <cell r="D623" t="str">
            <v>Pastrana, Eloisa</v>
          </cell>
          <cell r="E623">
            <v>80</v>
          </cell>
          <cell r="F623">
            <v>10</v>
          </cell>
          <cell r="G623">
            <v>600</v>
          </cell>
          <cell r="H623">
            <v>6000</v>
          </cell>
          <cell r="I623">
            <v>0</v>
          </cell>
          <cell r="J623">
            <v>1.25</v>
          </cell>
          <cell r="K623">
            <v>0</v>
          </cell>
          <cell r="L623">
            <v>24</v>
          </cell>
          <cell r="M623">
            <v>93.75</v>
          </cell>
          <cell r="N623">
            <v>2250</v>
          </cell>
          <cell r="O623">
            <v>0</v>
          </cell>
          <cell r="P623">
            <v>7.5</v>
          </cell>
          <cell r="Q623">
            <v>0</v>
          </cell>
          <cell r="R623">
            <v>0</v>
          </cell>
          <cell r="S623">
            <v>97.5</v>
          </cell>
          <cell r="T623">
            <v>0</v>
          </cell>
          <cell r="U623">
            <v>0</v>
          </cell>
          <cell r="V623">
            <v>126.75</v>
          </cell>
          <cell r="W623">
            <v>0</v>
          </cell>
          <cell r="X623">
            <v>0</v>
          </cell>
          <cell r="Y623">
            <v>9.75</v>
          </cell>
          <cell r="Z623">
            <v>0</v>
          </cell>
          <cell r="AA623">
            <v>0</v>
          </cell>
          <cell r="AB623">
            <v>112.5</v>
          </cell>
          <cell r="AC623">
            <v>0</v>
          </cell>
          <cell r="AD623">
            <v>0</v>
          </cell>
          <cell r="AE623">
            <v>146.25</v>
          </cell>
          <cell r="AF623">
            <v>0</v>
          </cell>
          <cell r="AG623">
            <v>0</v>
          </cell>
          <cell r="AH623">
            <v>11.25</v>
          </cell>
          <cell r="AI623">
            <v>0</v>
          </cell>
          <cell r="AJ623">
            <v>0</v>
          </cell>
          <cell r="AK623">
            <v>97.5</v>
          </cell>
          <cell r="AL623">
            <v>0</v>
          </cell>
          <cell r="AM623">
            <v>0</v>
          </cell>
          <cell r="AN623">
            <v>126.75</v>
          </cell>
          <cell r="AO623">
            <v>0</v>
          </cell>
          <cell r="AP623">
            <v>0</v>
          </cell>
          <cell r="AQ623">
            <v>9.75</v>
          </cell>
          <cell r="AR623">
            <v>0</v>
          </cell>
          <cell r="AS623">
            <v>0</v>
          </cell>
          <cell r="AT623">
            <v>150</v>
          </cell>
          <cell r="AU623">
            <v>0</v>
          </cell>
          <cell r="AV623">
            <v>0</v>
          </cell>
          <cell r="AW623">
            <v>195</v>
          </cell>
          <cell r="AX623">
            <v>0</v>
          </cell>
          <cell r="AY623">
            <v>0</v>
          </cell>
          <cell r="AZ623">
            <v>15</v>
          </cell>
          <cell r="BA623">
            <v>0</v>
          </cell>
          <cell r="BB623">
            <v>0</v>
          </cell>
          <cell r="BC623">
            <v>75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8250</v>
          </cell>
        </row>
        <row r="624">
          <cell r="C624">
            <v>14355</v>
          </cell>
          <cell r="D624" t="str">
            <v>Patinggo, Michael Nino Permintilla</v>
          </cell>
          <cell r="E624">
            <v>64</v>
          </cell>
          <cell r="F624">
            <v>8</v>
          </cell>
          <cell r="G624">
            <v>600</v>
          </cell>
          <cell r="H624">
            <v>4800</v>
          </cell>
          <cell r="I624">
            <v>262</v>
          </cell>
          <cell r="J624">
            <v>1.25</v>
          </cell>
          <cell r="K624">
            <v>-327.5</v>
          </cell>
          <cell r="L624">
            <v>14</v>
          </cell>
          <cell r="M624">
            <v>93.75</v>
          </cell>
          <cell r="N624">
            <v>1312.5</v>
          </cell>
          <cell r="O624">
            <v>0</v>
          </cell>
          <cell r="P624">
            <v>7.5</v>
          </cell>
          <cell r="Q624">
            <v>0</v>
          </cell>
          <cell r="R624">
            <v>0</v>
          </cell>
          <cell r="S624">
            <v>97.5</v>
          </cell>
          <cell r="T624">
            <v>0</v>
          </cell>
          <cell r="U624">
            <v>0</v>
          </cell>
          <cell r="V624">
            <v>126.75</v>
          </cell>
          <cell r="W624">
            <v>0</v>
          </cell>
          <cell r="X624">
            <v>0</v>
          </cell>
          <cell r="Y624">
            <v>9.75</v>
          </cell>
          <cell r="Z624">
            <v>0</v>
          </cell>
          <cell r="AA624">
            <v>0</v>
          </cell>
          <cell r="AB624">
            <v>112.5</v>
          </cell>
          <cell r="AC624">
            <v>0</v>
          </cell>
          <cell r="AD624">
            <v>0</v>
          </cell>
          <cell r="AE624">
            <v>146.25</v>
          </cell>
          <cell r="AF624">
            <v>0</v>
          </cell>
          <cell r="AG624">
            <v>0</v>
          </cell>
          <cell r="AH624">
            <v>11.25</v>
          </cell>
          <cell r="AI624">
            <v>0</v>
          </cell>
          <cell r="AJ624">
            <v>0</v>
          </cell>
          <cell r="AK624">
            <v>97.5</v>
          </cell>
          <cell r="AL624">
            <v>0</v>
          </cell>
          <cell r="AM624">
            <v>0</v>
          </cell>
          <cell r="AN624">
            <v>126.75</v>
          </cell>
          <cell r="AO624">
            <v>0</v>
          </cell>
          <cell r="AP624">
            <v>0</v>
          </cell>
          <cell r="AQ624">
            <v>9.75</v>
          </cell>
          <cell r="AR624">
            <v>0</v>
          </cell>
          <cell r="AS624">
            <v>0</v>
          </cell>
          <cell r="AT624">
            <v>150</v>
          </cell>
          <cell r="AU624">
            <v>0</v>
          </cell>
          <cell r="AV624">
            <v>0</v>
          </cell>
          <cell r="AW624">
            <v>195</v>
          </cell>
          <cell r="AX624">
            <v>0</v>
          </cell>
          <cell r="AY624">
            <v>0</v>
          </cell>
          <cell r="AZ624">
            <v>15</v>
          </cell>
          <cell r="BA624">
            <v>0</v>
          </cell>
          <cell r="BB624">
            <v>0</v>
          </cell>
          <cell r="BC624">
            <v>75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5785</v>
          </cell>
        </row>
        <row r="625">
          <cell r="C625">
            <v>30855</v>
          </cell>
          <cell r="D625" t="str">
            <v>Peliglorio, John Rey Vibar</v>
          </cell>
          <cell r="E625">
            <v>80</v>
          </cell>
          <cell r="F625">
            <v>10</v>
          </cell>
          <cell r="G625">
            <v>600</v>
          </cell>
          <cell r="H625">
            <v>6000</v>
          </cell>
          <cell r="I625">
            <v>0</v>
          </cell>
          <cell r="J625">
            <v>1.25</v>
          </cell>
          <cell r="K625">
            <v>0</v>
          </cell>
          <cell r="L625">
            <v>27</v>
          </cell>
          <cell r="M625">
            <v>93.75</v>
          </cell>
          <cell r="N625">
            <v>2531.25</v>
          </cell>
          <cell r="O625">
            <v>30</v>
          </cell>
          <cell r="P625">
            <v>7.5</v>
          </cell>
          <cell r="Q625">
            <v>225</v>
          </cell>
          <cell r="R625">
            <v>0</v>
          </cell>
          <cell r="S625">
            <v>97.5</v>
          </cell>
          <cell r="T625">
            <v>0</v>
          </cell>
          <cell r="U625">
            <v>0</v>
          </cell>
          <cell r="V625">
            <v>126.75</v>
          </cell>
          <cell r="W625">
            <v>0</v>
          </cell>
          <cell r="X625">
            <v>0</v>
          </cell>
          <cell r="Y625">
            <v>9.75</v>
          </cell>
          <cell r="Z625">
            <v>0</v>
          </cell>
          <cell r="AA625">
            <v>0</v>
          </cell>
          <cell r="AB625">
            <v>112.5</v>
          </cell>
          <cell r="AC625">
            <v>0</v>
          </cell>
          <cell r="AD625">
            <v>0</v>
          </cell>
          <cell r="AE625">
            <v>146.25</v>
          </cell>
          <cell r="AF625">
            <v>0</v>
          </cell>
          <cell r="AG625">
            <v>0</v>
          </cell>
          <cell r="AH625">
            <v>11.25</v>
          </cell>
          <cell r="AI625">
            <v>0</v>
          </cell>
          <cell r="AJ625">
            <v>0</v>
          </cell>
          <cell r="AK625">
            <v>97.5</v>
          </cell>
          <cell r="AL625">
            <v>0</v>
          </cell>
          <cell r="AM625">
            <v>0</v>
          </cell>
          <cell r="AN625">
            <v>126.75</v>
          </cell>
          <cell r="AO625">
            <v>0</v>
          </cell>
          <cell r="AP625">
            <v>0</v>
          </cell>
          <cell r="AQ625">
            <v>9.75</v>
          </cell>
          <cell r="AR625">
            <v>0</v>
          </cell>
          <cell r="AS625">
            <v>0</v>
          </cell>
          <cell r="AT625">
            <v>150</v>
          </cell>
          <cell r="AU625">
            <v>0</v>
          </cell>
          <cell r="AV625">
            <v>0</v>
          </cell>
          <cell r="AW625">
            <v>195</v>
          </cell>
          <cell r="AX625">
            <v>0</v>
          </cell>
          <cell r="AY625">
            <v>0</v>
          </cell>
          <cell r="AZ625">
            <v>15</v>
          </cell>
          <cell r="BA625">
            <v>0</v>
          </cell>
          <cell r="BB625">
            <v>0</v>
          </cell>
          <cell r="BC625">
            <v>75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8756.25</v>
          </cell>
        </row>
        <row r="626">
          <cell r="C626">
            <v>30378</v>
          </cell>
          <cell r="D626" t="str">
            <v>Peralta, Ericka Galicia</v>
          </cell>
          <cell r="E626">
            <v>48</v>
          </cell>
          <cell r="F626">
            <v>6</v>
          </cell>
          <cell r="G626">
            <v>600</v>
          </cell>
          <cell r="H626">
            <v>3600</v>
          </cell>
          <cell r="I626">
            <v>43</v>
          </cell>
          <cell r="J626">
            <v>1.25</v>
          </cell>
          <cell r="K626">
            <v>-53.75</v>
          </cell>
          <cell r="L626">
            <v>14</v>
          </cell>
          <cell r="M626">
            <v>93.75</v>
          </cell>
          <cell r="N626">
            <v>1312.5</v>
          </cell>
          <cell r="O626">
            <v>0</v>
          </cell>
          <cell r="P626">
            <v>7.5</v>
          </cell>
          <cell r="Q626">
            <v>0</v>
          </cell>
          <cell r="R626">
            <v>0</v>
          </cell>
          <cell r="S626">
            <v>97.5</v>
          </cell>
          <cell r="T626">
            <v>0</v>
          </cell>
          <cell r="U626">
            <v>0</v>
          </cell>
          <cell r="V626">
            <v>126.75</v>
          </cell>
          <cell r="W626">
            <v>0</v>
          </cell>
          <cell r="X626">
            <v>0</v>
          </cell>
          <cell r="Y626">
            <v>9.75</v>
          </cell>
          <cell r="Z626">
            <v>0</v>
          </cell>
          <cell r="AA626">
            <v>0</v>
          </cell>
          <cell r="AB626">
            <v>112.5</v>
          </cell>
          <cell r="AC626">
            <v>0</v>
          </cell>
          <cell r="AD626">
            <v>0</v>
          </cell>
          <cell r="AE626">
            <v>146.25</v>
          </cell>
          <cell r="AF626">
            <v>0</v>
          </cell>
          <cell r="AG626">
            <v>0</v>
          </cell>
          <cell r="AH626">
            <v>11.25</v>
          </cell>
          <cell r="AI626">
            <v>0</v>
          </cell>
          <cell r="AJ626">
            <v>0</v>
          </cell>
          <cell r="AK626">
            <v>97.5</v>
          </cell>
          <cell r="AL626">
            <v>0</v>
          </cell>
          <cell r="AM626">
            <v>0</v>
          </cell>
          <cell r="AN626">
            <v>126.75</v>
          </cell>
          <cell r="AO626">
            <v>0</v>
          </cell>
          <cell r="AP626">
            <v>0</v>
          </cell>
          <cell r="AQ626">
            <v>9.75</v>
          </cell>
          <cell r="AR626">
            <v>0</v>
          </cell>
          <cell r="AS626">
            <v>0</v>
          </cell>
          <cell r="AT626">
            <v>150</v>
          </cell>
          <cell r="AU626">
            <v>0</v>
          </cell>
          <cell r="AV626">
            <v>0</v>
          </cell>
          <cell r="AW626">
            <v>195</v>
          </cell>
          <cell r="AX626">
            <v>0</v>
          </cell>
          <cell r="AY626">
            <v>0</v>
          </cell>
          <cell r="AZ626">
            <v>15</v>
          </cell>
          <cell r="BA626">
            <v>0</v>
          </cell>
          <cell r="BB626">
            <v>0</v>
          </cell>
          <cell r="BC626">
            <v>75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4858.75</v>
          </cell>
        </row>
        <row r="627">
          <cell r="C627">
            <v>14363</v>
          </cell>
          <cell r="D627" t="str">
            <v>Pona, Randulfh Rivera</v>
          </cell>
          <cell r="E627">
            <v>72</v>
          </cell>
          <cell r="F627">
            <v>9</v>
          </cell>
          <cell r="G627">
            <v>600</v>
          </cell>
          <cell r="H627">
            <v>5400</v>
          </cell>
          <cell r="I627">
            <v>0</v>
          </cell>
          <cell r="J627">
            <v>1.25</v>
          </cell>
          <cell r="K627">
            <v>0</v>
          </cell>
          <cell r="L627">
            <v>24</v>
          </cell>
          <cell r="M627">
            <v>93.75</v>
          </cell>
          <cell r="N627">
            <v>2250</v>
          </cell>
          <cell r="O627">
            <v>46</v>
          </cell>
          <cell r="P627">
            <v>7.5</v>
          </cell>
          <cell r="Q627">
            <v>345</v>
          </cell>
          <cell r="R627">
            <v>0</v>
          </cell>
          <cell r="S627">
            <v>97.5</v>
          </cell>
          <cell r="T627">
            <v>0</v>
          </cell>
          <cell r="U627">
            <v>0</v>
          </cell>
          <cell r="V627">
            <v>126.75</v>
          </cell>
          <cell r="W627">
            <v>0</v>
          </cell>
          <cell r="X627">
            <v>0</v>
          </cell>
          <cell r="Y627">
            <v>9.75</v>
          </cell>
          <cell r="Z627">
            <v>0</v>
          </cell>
          <cell r="AA627">
            <v>0</v>
          </cell>
          <cell r="AB627">
            <v>112.5</v>
          </cell>
          <cell r="AC627">
            <v>0</v>
          </cell>
          <cell r="AD627">
            <v>0</v>
          </cell>
          <cell r="AE627">
            <v>146.25</v>
          </cell>
          <cell r="AF627">
            <v>0</v>
          </cell>
          <cell r="AG627">
            <v>0</v>
          </cell>
          <cell r="AH627">
            <v>11.25</v>
          </cell>
          <cell r="AI627">
            <v>0</v>
          </cell>
          <cell r="AJ627">
            <v>0</v>
          </cell>
          <cell r="AK627">
            <v>97.5</v>
          </cell>
          <cell r="AL627">
            <v>0</v>
          </cell>
          <cell r="AM627">
            <v>0</v>
          </cell>
          <cell r="AN627">
            <v>126.75</v>
          </cell>
          <cell r="AO627">
            <v>0</v>
          </cell>
          <cell r="AP627">
            <v>0</v>
          </cell>
          <cell r="AQ627">
            <v>9.75</v>
          </cell>
          <cell r="AR627">
            <v>0</v>
          </cell>
          <cell r="AS627">
            <v>0</v>
          </cell>
          <cell r="AT627">
            <v>150</v>
          </cell>
          <cell r="AU627">
            <v>0</v>
          </cell>
          <cell r="AV627">
            <v>0</v>
          </cell>
          <cell r="AW627">
            <v>195</v>
          </cell>
          <cell r="AX627">
            <v>0</v>
          </cell>
          <cell r="AY627">
            <v>0</v>
          </cell>
          <cell r="AZ627">
            <v>15</v>
          </cell>
          <cell r="BA627">
            <v>0</v>
          </cell>
          <cell r="BB627">
            <v>0</v>
          </cell>
          <cell r="BC627">
            <v>75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7995</v>
          </cell>
        </row>
        <row r="628">
          <cell r="C628">
            <v>30570</v>
          </cell>
          <cell r="D628" t="str">
            <v>Ramos, Rniz</v>
          </cell>
          <cell r="E628">
            <v>64</v>
          </cell>
          <cell r="F628">
            <v>8</v>
          </cell>
          <cell r="G628">
            <v>600</v>
          </cell>
          <cell r="H628">
            <v>4800</v>
          </cell>
          <cell r="I628">
            <v>0</v>
          </cell>
          <cell r="J628">
            <v>1.25</v>
          </cell>
          <cell r="K628">
            <v>0</v>
          </cell>
          <cell r="L628">
            <v>21</v>
          </cell>
          <cell r="M628">
            <v>93.75</v>
          </cell>
          <cell r="N628">
            <v>1968.75</v>
          </cell>
          <cell r="O628">
            <v>38</v>
          </cell>
          <cell r="P628">
            <v>7.5</v>
          </cell>
          <cell r="Q628">
            <v>285</v>
          </cell>
          <cell r="R628">
            <v>0</v>
          </cell>
          <cell r="S628">
            <v>97.5</v>
          </cell>
          <cell r="T628">
            <v>0</v>
          </cell>
          <cell r="U628">
            <v>0</v>
          </cell>
          <cell r="V628">
            <v>126.75</v>
          </cell>
          <cell r="W628">
            <v>0</v>
          </cell>
          <cell r="X628">
            <v>0</v>
          </cell>
          <cell r="Y628">
            <v>9.75</v>
          </cell>
          <cell r="Z628">
            <v>0</v>
          </cell>
          <cell r="AA628">
            <v>0</v>
          </cell>
          <cell r="AB628">
            <v>112.5</v>
          </cell>
          <cell r="AC628">
            <v>0</v>
          </cell>
          <cell r="AD628">
            <v>0</v>
          </cell>
          <cell r="AE628">
            <v>146.25</v>
          </cell>
          <cell r="AF628">
            <v>0</v>
          </cell>
          <cell r="AG628">
            <v>0</v>
          </cell>
          <cell r="AH628">
            <v>11.25</v>
          </cell>
          <cell r="AI628">
            <v>0</v>
          </cell>
          <cell r="AJ628">
            <v>0</v>
          </cell>
          <cell r="AK628">
            <v>97.5</v>
          </cell>
          <cell r="AL628">
            <v>0</v>
          </cell>
          <cell r="AM628">
            <v>0</v>
          </cell>
          <cell r="AN628">
            <v>126.75</v>
          </cell>
          <cell r="AO628">
            <v>0</v>
          </cell>
          <cell r="AP628">
            <v>0</v>
          </cell>
          <cell r="AQ628">
            <v>9.75</v>
          </cell>
          <cell r="AR628">
            <v>0</v>
          </cell>
          <cell r="AS628">
            <v>0</v>
          </cell>
          <cell r="AT628">
            <v>150</v>
          </cell>
          <cell r="AU628">
            <v>0</v>
          </cell>
          <cell r="AV628">
            <v>0</v>
          </cell>
          <cell r="AW628">
            <v>195</v>
          </cell>
          <cell r="AX628">
            <v>0</v>
          </cell>
          <cell r="AY628">
            <v>0</v>
          </cell>
          <cell r="AZ628">
            <v>15</v>
          </cell>
          <cell r="BA628">
            <v>0</v>
          </cell>
          <cell r="BB628">
            <v>0</v>
          </cell>
          <cell r="BC628">
            <v>75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7053.75</v>
          </cell>
        </row>
        <row r="629">
          <cell r="C629">
            <v>30560</v>
          </cell>
          <cell r="D629" t="str">
            <v>Reyes, Mike Angelo</v>
          </cell>
          <cell r="E629">
            <v>80</v>
          </cell>
          <cell r="F629">
            <v>10</v>
          </cell>
          <cell r="G629">
            <v>600</v>
          </cell>
          <cell r="H629">
            <v>6000</v>
          </cell>
          <cell r="I629">
            <v>9</v>
          </cell>
          <cell r="J629">
            <v>1.25</v>
          </cell>
          <cell r="K629">
            <v>-11.25</v>
          </cell>
          <cell r="L629">
            <v>27</v>
          </cell>
          <cell r="M629">
            <v>93.75</v>
          </cell>
          <cell r="N629">
            <v>2531.25</v>
          </cell>
          <cell r="O629">
            <v>30</v>
          </cell>
          <cell r="P629">
            <v>7.5</v>
          </cell>
          <cell r="Q629">
            <v>225</v>
          </cell>
          <cell r="R629">
            <v>0</v>
          </cell>
          <cell r="S629">
            <v>97.5</v>
          </cell>
          <cell r="T629">
            <v>0</v>
          </cell>
          <cell r="U629">
            <v>0</v>
          </cell>
          <cell r="V629">
            <v>126.75</v>
          </cell>
          <cell r="W629">
            <v>0</v>
          </cell>
          <cell r="X629">
            <v>0</v>
          </cell>
          <cell r="Y629">
            <v>9.75</v>
          </cell>
          <cell r="Z629">
            <v>0</v>
          </cell>
          <cell r="AA629">
            <v>0</v>
          </cell>
          <cell r="AB629">
            <v>112.5</v>
          </cell>
          <cell r="AC629">
            <v>0</v>
          </cell>
          <cell r="AD629">
            <v>0</v>
          </cell>
          <cell r="AE629">
            <v>146.25</v>
          </cell>
          <cell r="AF629">
            <v>0</v>
          </cell>
          <cell r="AG629">
            <v>0</v>
          </cell>
          <cell r="AH629">
            <v>11.25</v>
          </cell>
          <cell r="AI629">
            <v>0</v>
          </cell>
          <cell r="AJ629">
            <v>0</v>
          </cell>
          <cell r="AK629">
            <v>97.5</v>
          </cell>
          <cell r="AL629">
            <v>0</v>
          </cell>
          <cell r="AM629">
            <v>0</v>
          </cell>
          <cell r="AN629">
            <v>126.75</v>
          </cell>
          <cell r="AO629">
            <v>0</v>
          </cell>
          <cell r="AP629">
            <v>0</v>
          </cell>
          <cell r="AQ629">
            <v>9.75</v>
          </cell>
          <cell r="AR629">
            <v>0</v>
          </cell>
          <cell r="AS629">
            <v>0</v>
          </cell>
          <cell r="AT629">
            <v>150</v>
          </cell>
          <cell r="AU629">
            <v>0</v>
          </cell>
          <cell r="AV629">
            <v>0</v>
          </cell>
          <cell r="AW629">
            <v>195</v>
          </cell>
          <cell r="AX629">
            <v>0</v>
          </cell>
          <cell r="AY629">
            <v>0</v>
          </cell>
          <cell r="AZ629">
            <v>15</v>
          </cell>
          <cell r="BA629">
            <v>0</v>
          </cell>
          <cell r="BB629">
            <v>0</v>
          </cell>
          <cell r="BC629">
            <v>75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8745</v>
          </cell>
        </row>
        <row r="630">
          <cell r="C630">
            <v>30897</v>
          </cell>
          <cell r="D630" t="str">
            <v>Robles, Julie Ann Dela Cruz</v>
          </cell>
          <cell r="E630">
            <v>72</v>
          </cell>
          <cell r="F630">
            <v>9</v>
          </cell>
          <cell r="G630">
            <v>600</v>
          </cell>
          <cell r="H630">
            <v>5400</v>
          </cell>
          <cell r="I630">
            <v>61</v>
          </cell>
          <cell r="J630">
            <v>1.25</v>
          </cell>
          <cell r="K630">
            <v>-76.25</v>
          </cell>
          <cell r="L630">
            <v>21</v>
          </cell>
          <cell r="M630">
            <v>93.75</v>
          </cell>
          <cell r="N630">
            <v>1968.75</v>
          </cell>
          <cell r="O630">
            <v>0</v>
          </cell>
          <cell r="P630">
            <v>7.5</v>
          </cell>
          <cell r="Q630">
            <v>0</v>
          </cell>
          <cell r="R630">
            <v>0</v>
          </cell>
          <cell r="S630">
            <v>97.5</v>
          </cell>
          <cell r="T630">
            <v>0</v>
          </cell>
          <cell r="U630">
            <v>0</v>
          </cell>
          <cell r="V630">
            <v>126.75</v>
          </cell>
          <cell r="W630">
            <v>0</v>
          </cell>
          <cell r="X630">
            <v>0</v>
          </cell>
          <cell r="Y630">
            <v>9.75</v>
          </cell>
          <cell r="Z630">
            <v>0</v>
          </cell>
          <cell r="AA630">
            <v>0</v>
          </cell>
          <cell r="AB630">
            <v>112.5</v>
          </cell>
          <cell r="AC630">
            <v>0</v>
          </cell>
          <cell r="AD630">
            <v>0</v>
          </cell>
          <cell r="AE630">
            <v>146.25</v>
          </cell>
          <cell r="AF630">
            <v>0</v>
          </cell>
          <cell r="AG630">
            <v>0</v>
          </cell>
          <cell r="AH630">
            <v>11.25</v>
          </cell>
          <cell r="AI630">
            <v>0</v>
          </cell>
          <cell r="AJ630">
            <v>0</v>
          </cell>
          <cell r="AK630">
            <v>97.5</v>
          </cell>
          <cell r="AL630">
            <v>0</v>
          </cell>
          <cell r="AM630">
            <v>0</v>
          </cell>
          <cell r="AN630">
            <v>126.75</v>
          </cell>
          <cell r="AO630">
            <v>0</v>
          </cell>
          <cell r="AP630">
            <v>0</v>
          </cell>
          <cell r="AQ630">
            <v>9.75</v>
          </cell>
          <cell r="AR630">
            <v>0</v>
          </cell>
          <cell r="AS630">
            <v>0</v>
          </cell>
          <cell r="AT630">
            <v>150</v>
          </cell>
          <cell r="AU630">
            <v>0</v>
          </cell>
          <cell r="AV630">
            <v>0</v>
          </cell>
          <cell r="AW630">
            <v>195</v>
          </cell>
          <cell r="AX630">
            <v>0</v>
          </cell>
          <cell r="AY630">
            <v>0</v>
          </cell>
          <cell r="AZ630">
            <v>15</v>
          </cell>
          <cell r="BA630">
            <v>0</v>
          </cell>
          <cell r="BB630">
            <v>0</v>
          </cell>
          <cell r="BC630">
            <v>75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7292.5</v>
          </cell>
        </row>
        <row r="631">
          <cell r="C631">
            <v>30012</v>
          </cell>
          <cell r="D631" t="str">
            <v>Rocamora, Zoren Perez</v>
          </cell>
          <cell r="E631">
            <v>80</v>
          </cell>
          <cell r="F631">
            <v>10</v>
          </cell>
          <cell r="G631">
            <v>600</v>
          </cell>
          <cell r="H631">
            <v>6000</v>
          </cell>
          <cell r="I631">
            <v>0</v>
          </cell>
          <cell r="J631">
            <v>1.25</v>
          </cell>
          <cell r="K631">
            <v>0</v>
          </cell>
          <cell r="L631">
            <v>12</v>
          </cell>
          <cell r="M631">
            <v>93.75</v>
          </cell>
          <cell r="N631">
            <v>1125</v>
          </cell>
          <cell r="O631">
            <v>0</v>
          </cell>
          <cell r="P631">
            <v>7.5</v>
          </cell>
          <cell r="Q631">
            <v>0</v>
          </cell>
          <cell r="R631">
            <v>0</v>
          </cell>
          <cell r="S631">
            <v>97.5</v>
          </cell>
          <cell r="T631">
            <v>0</v>
          </cell>
          <cell r="U631">
            <v>0</v>
          </cell>
          <cell r="V631">
            <v>126.75</v>
          </cell>
          <cell r="W631">
            <v>0</v>
          </cell>
          <cell r="X631">
            <v>0</v>
          </cell>
          <cell r="Y631">
            <v>9.75</v>
          </cell>
          <cell r="Z631">
            <v>0</v>
          </cell>
          <cell r="AA631">
            <v>0</v>
          </cell>
          <cell r="AB631">
            <v>112.5</v>
          </cell>
          <cell r="AC631">
            <v>0</v>
          </cell>
          <cell r="AD631">
            <v>0</v>
          </cell>
          <cell r="AE631">
            <v>146.25</v>
          </cell>
          <cell r="AF631">
            <v>0</v>
          </cell>
          <cell r="AG631">
            <v>0</v>
          </cell>
          <cell r="AH631">
            <v>11.25</v>
          </cell>
          <cell r="AI631">
            <v>0</v>
          </cell>
          <cell r="AJ631">
            <v>0</v>
          </cell>
          <cell r="AK631">
            <v>97.5</v>
          </cell>
          <cell r="AL631">
            <v>0</v>
          </cell>
          <cell r="AM631">
            <v>0</v>
          </cell>
          <cell r="AN631">
            <v>126.75</v>
          </cell>
          <cell r="AO631">
            <v>0</v>
          </cell>
          <cell r="AP631">
            <v>0</v>
          </cell>
          <cell r="AQ631">
            <v>9.75</v>
          </cell>
          <cell r="AR631">
            <v>0</v>
          </cell>
          <cell r="AS631">
            <v>0</v>
          </cell>
          <cell r="AT631">
            <v>150</v>
          </cell>
          <cell r="AU631">
            <v>0</v>
          </cell>
          <cell r="AV631">
            <v>0</v>
          </cell>
          <cell r="AW631">
            <v>195</v>
          </cell>
          <cell r="AX631">
            <v>0</v>
          </cell>
          <cell r="AY631">
            <v>0</v>
          </cell>
          <cell r="AZ631">
            <v>15</v>
          </cell>
          <cell r="BA631">
            <v>0</v>
          </cell>
          <cell r="BB631">
            <v>0</v>
          </cell>
          <cell r="BC631">
            <v>75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7125</v>
          </cell>
        </row>
        <row r="632">
          <cell r="C632">
            <v>30305</v>
          </cell>
          <cell r="D632" t="str">
            <v>Romero, JayLord</v>
          </cell>
          <cell r="E632">
            <v>80</v>
          </cell>
          <cell r="F632">
            <v>10</v>
          </cell>
          <cell r="G632">
            <v>600</v>
          </cell>
          <cell r="H632">
            <v>6000</v>
          </cell>
          <cell r="I632">
            <v>0</v>
          </cell>
          <cell r="J632">
            <v>1.25</v>
          </cell>
          <cell r="K632">
            <v>0</v>
          </cell>
          <cell r="L632">
            <v>27</v>
          </cell>
          <cell r="M632">
            <v>93.75</v>
          </cell>
          <cell r="N632">
            <v>2531.25</v>
          </cell>
          <cell r="O632">
            <v>30</v>
          </cell>
          <cell r="P632">
            <v>7.5</v>
          </cell>
          <cell r="Q632">
            <v>225</v>
          </cell>
          <cell r="R632">
            <v>0</v>
          </cell>
          <cell r="S632">
            <v>97.5</v>
          </cell>
          <cell r="T632">
            <v>0</v>
          </cell>
          <cell r="U632">
            <v>0</v>
          </cell>
          <cell r="V632">
            <v>126.75</v>
          </cell>
          <cell r="W632">
            <v>0</v>
          </cell>
          <cell r="X632">
            <v>0</v>
          </cell>
          <cell r="Y632">
            <v>9.75</v>
          </cell>
          <cell r="Z632">
            <v>0</v>
          </cell>
          <cell r="AA632">
            <v>0</v>
          </cell>
          <cell r="AB632">
            <v>112.5</v>
          </cell>
          <cell r="AC632">
            <v>0</v>
          </cell>
          <cell r="AD632">
            <v>0</v>
          </cell>
          <cell r="AE632">
            <v>146.25</v>
          </cell>
          <cell r="AF632">
            <v>0</v>
          </cell>
          <cell r="AG632">
            <v>0</v>
          </cell>
          <cell r="AH632">
            <v>11.25</v>
          </cell>
          <cell r="AI632">
            <v>0</v>
          </cell>
          <cell r="AJ632">
            <v>0</v>
          </cell>
          <cell r="AK632">
            <v>97.5</v>
          </cell>
          <cell r="AL632">
            <v>0</v>
          </cell>
          <cell r="AM632">
            <v>0</v>
          </cell>
          <cell r="AN632">
            <v>126.75</v>
          </cell>
          <cell r="AO632">
            <v>0</v>
          </cell>
          <cell r="AP632">
            <v>0</v>
          </cell>
          <cell r="AQ632">
            <v>9.75</v>
          </cell>
          <cell r="AR632">
            <v>0</v>
          </cell>
          <cell r="AS632">
            <v>0</v>
          </cell>
          <cell r="AT632">
            <v>150</v>
          </cell>
          <cell r="AU632">
            <v>0</v>
          </cell>
          <cell r="AV632">
            <v>0</v>
          </cell>
          <cell r="AW632">
            <v>195</v>
          </cell>
          <cell r="AX632">
            <v>0</v>
          </cell>
          <cell r="AY632">
            <v>0</v>
          </cell>
          <cell r="AZ632">
            <v>15</v>
          </cell>
          <cell r="BA632">
            <v>0</v>
          </cell>
          <cell r="BB632">
            <v>0</v>
          </cell>
          <cell r="BC632">
            <v>75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8756.25</v>
          </cell>
        </row>
        <row r="633">
          <cell r="C633">
            <v>11450</v>
          </cell>
          <cell r="D633" t="str">
            <v>Sabuco, Earl Jones C.</v>
          </cell>
          <cell r="E633">
            <v>88</v>
          </cell>
          <cell r="F633">
            <v>11</v>
          </cell>
          <cell r="G633">
            <v>600</v>
          </cell>
          <cell r="H633">
            <v>6600</v>
          </cell>
          <cell r="I633">
            <v>18</v>
          </cell>
          <cell r="J633">
            <v>1.25</v>
          </cell>
          <cell r="K633">
            <v>-22.5</v>
          </cell>
          <cell r="L633">
            <v>27</v>
          </cell>
          <cell r="M633">
            <v>93.75</v>
          </cell>
          <cell r="N633">
            <v>2531.25</v>
          </cell>
          <cell r="O633">
            <v>52</v>
          </cell>
          <cell r="P633">
            <v>7.5</v>
          </cell>
          <cell r="Q633">
            <v>390</v>
          </cell>
          <cell r="R633">
            <v>0</v>
          </cell>
          <cell r="S633">
            <v>97.5</v>
          </cell>
          <cell r="T633">
            <v>0</v>
          </cell>
          <cell r="U633">
            <v>0</v>
          </cell>
          <cell r="V633">
            <v>126.75</v>
          </cell>
          <cell r="W633">
            <v>0</v>
          </cell>
          <cell r="X633">
            <v>0</v>
          </cell>
          <cell r="Y633">
            <v>9.75</v>
          </cell>
          <cell r="Z633">
            <v>0</v>
          </cell>
          <cell r="AA633">
            <v>0</v>
          </cell>
          <cell r="AB633">
            <v>112.5</v>
          </cell>
          <cell r="AC633">
            <v>0</v>
          </cell>
          <cell r="AD633">
            <v>0</v>
          </cell>
          <cell r="AE633">
            <v>146.25</v>
          </cell>
          <cell r="AF633">
            <v>0</v>
          </cell>
          <cell r="AG633">
            <v>0</v>
          </cell>
          <cell r="AH633">
            <v>11.25</v>
          </cell>
          <cell r="AI633">
            <v>0</v>
          </cell>
          <cell r="AJ633">
            <v>0</v>
          </cell>
          <cell r="AK633">
            <v>97.5</v>
          </cell>
          <cell r="AL633">
            <v>0</v>
          </cell>
          <cell r="AM633">
            <v>0</v>
          </cell>
          <cell r="AN633">
            <v>126.75</v>
          </cell>
          <cell r="AO633">
            <v>0</v>
          </cell>
          <cell r="AP633">
            <v>0</v>
          </cell>
          <cell r="AQ633">
            <v>9.75</v>
          </cell>
          <cell r="AR633">
            <v>0</v>
          </cell>
          <cell r="AS633">
            <v>0</v>
          </cell>
          <cell r="AT633">
            <v>150</v>
          </cell>
          <cell r="AU633">
            <v>0</v>
          </cell>
          <cell r="AV633">
            <v>0</v>
          </cell>
          <cell r="AW633">
            <v>195</v>
          </cell>
          <cell r="AX633">
            <v>0</v>
          </cell>
          <cell r="AY633">
            <v>0</v>
          </cell>
          <cell r="AZ633">
            <v>15</v>
          </cell>
          <cell r="BA633">
            <v>0</v>
          </cell>
          <cell r="BB633">
            <v>0</v>
          </cell>
          <cell r="BC633">
            <v>75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9498.75</v>
          </cell>
        </row>
        <row r="634">
          <cell r="C634">
            <v>30746</v>
          </cell>
          <cell r="D634" t="str">
            <v xml:space="preserve">Santiago Demetrio </v>
          </cell>
          <cell r="E634">
            <v>64</v>
          </cell>
          <cell r="F634">
            <v>8</v>
          </cell>
          <cell r="G634">
            <v>600</v>
          </cell>
          <cell r="H634">
            <v>4800</v>
          </cell>
          <cell r="I634">
            <v>0</v>
          </cell>
          <cell r="J634">
            <v>1.25</v>
          </cell>
          <cell r="K634">
            <v>0</v>
          </cell>
          <cell r="L634">
            <v>18</v>
          </cell>
          <cell r="M634">
            <v>93.75</v>
          </cell>
          <cell r="N634">
            <v>1687.5</v>
          </cell>
          <cell r="O634">
            <v>22</v>
          </cell>
          <cell r="P634">
            <v>7.5</v>
          </cell>
          <cell r="Q634">
            <v>165</v>
          </cell>
          <cell r="R634">
            <v>0</v>
          </cell>
          <cell r="S634">
            <v>97.5</v>
          </cell>
          <cell r="T634">
            <v>0</v>
          </cell>
          <cell r="U634">
            <v>0</v>
          </cell>
          <cell r="V634">
            <v>126.75</v>
          </cell>
          <cell r="W634">
            <v>0</v>
          </cell>
          <cell r="X634">
            <v>0</v>
          </cell>
          <cell r="Y634">
            <v>9.75</v>
          </cell>
          <cell r="Z634">
            <v>0</v>
          </cell>
          <cell r="AA634">
            <v>0</v>
          </cell>
          <cell r="AB634">
            <v>112.5</v>
          </cell>
          <cell r="AC634">
            <v>0</v>
          </cell>
          <cell r="AD634">
            <v>0</v>
          </cell>
          <cell r="AE634">
            <v>146.25</v>
          </cell>
          <cell r="AF634">
            <v>0</v>
          </cell>
          <cell r="AG634">
            <v>0</v>
          </cell>
          <cell r="AH634">
            <v>11.25</v>
          </cell>
          <cell r="AI634">
            <v>0</v>
          </cell>
          <cell r="AJ634">
            <v>0</v>
          </cell>
          <cell r="AK634">
            <v>97.5</v>
          </cell>
          <cell r="AL634">
            <v>0</v>
          </cell>
          <cell r="AM634">
            <v>0</v>
          </cell>
          <cell r="AN634">
            <v>126.75</v>
          </cell>
          <cell r="AO634">
            <v>0</v>
          </cell>
          <cell r="AP634">
            <v>0</v>
          </cell>
          <cell r="AQ634">
            <v>9.75</v>
          </cell>
          <cell r="AR634">
            <v>0</v>
          </cell>
          <cell r="AS634">
            <v>0</v>
          </cell>
          <cell r="AT634">
            <v>150</v>
          </cell>
          <cell r="AU634">
            <v>0</v>
          </cell>
          <cell r="AV634">
            <v>0</v>
          </cell>
          <cell r="AW634">
            <v>195</v>
          </cell>
          <cell r="AX634">
            <v>0</v>
          </cell>
          <cell r="AY634">
            <v>0</v>
          </cell>
          <cell r="AZ634">
            <v>15</v>
          </cell>
          <cell r="BA634">
            <v>0</v>
          </cell>
          <cell r="BB634">
            <v>0</v>
          </cell>
          <cell r="BC634">
            <v>75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6652.5</v>
          </cell>
        </row>
        <row r="635">
          <cell r="C635">
            <v>30468</v>
          </cell>
          <cell r="D635" t="str">
            <v>Sibuco, Harold Jay R</v>
          </cell>
          <cell r="E635">
            <v>72</v>
          </cell>
          <cell r="F635">
            <v>9</v>
          </cell>
          <cell r="G635">
            <v>600</v>
          </cell>
          <cell r="H635">
            <v>5400</v>
          </cell>
          <cell r="I635">
            <v>0</v>
          </cell>
          <cell r="J635">
            <v>1.25</v>
          </cell>
          <cell r="K635">
            <v>0</v>
          </cell>
          <cell r="L635">
            <v>15</v>
          </cell>
          <cell r="M635">
            <v>93.75</v>
          </cell>
          <cell r="N635">
            <v>1406.25</v>
          </cell>
          <cell r="O635">
            <v>58</v>
          </cell>
          <cell r="P635">
            <v>7.5</v>
          </cell>
          <cell r="Q635">
            <v>435</v>
          </cell>
          <cell r="R635">
            <v>0</v>
          </cell>
          <cell r="S635">
            <v>97.5</v>
          </cell>
          <cell r="T635">
            <v>0</v>
          </cell>
          <cell r="U635">
            <v>0</v>
          </cell>
          <cell r="V635">
            <v>126.75</v>
          </cell>
          <cell r="W635">
            <v>0</v>
          </cell>
          <cell r="X635">
            <v>0</v>
          </cell>
          <cell r="Y635">
            <v>9.75</v>
          </cell>
          <cell r="Z635">
            <v>0</v>
          </cell>
          <cell r="AA635">
            <v>0</v>
          </cell>
          <cell r="AB635">
            <v>112.5</v>
          </cell>
          <cell r="AC635">
            <v>0</v>
          </cell>
          <cell r="AD635">
            <v>0</v>
          </cell>
          <cell r="AE635">
            <v>146.25</v>
          </cell>
          <cell r="AF635">
            <v>0</v>
          </cell>
          <cell r="AG635">
            <v>0</v>
          </cell>
          <cell r="AH635">
            <v>11.25</v>
          </cell>
          <cell r="AI635">
            <v>0</v>
          </cell>
          <cell r="AJ635">
            <v>0</v>
          </cell>
          <cell r="AK635">
            <v>97.5</v>
          </cell>
          <cell r="AL635">
            <v>0</v>
          </cell>
          <cell r="AM635">
            <v>0</v>
          </cell>
          <cell r="AN635">
            <v>126.75</v>
          </cell>
          <cell r="AO635">
            <v>0</v>
          </cell>
          <cell r="AP635">
            <v>0</v>
          </cell>
          <cell r="AQ635">
            <v>9.75</v>
          </cell>
          <cell r="AR635">
            <v>0</v>
          </cell>
          <cell r="AS635">
            <v>0</v>
          </cell>
          <cell r="AT635">
            <v>150</v>
          </cell>
          <cell r="AU635">
            <v>0</v>
          </cell>
          <cell r="AV635">
            <v>0</v>
          </cell>
          <cell r="AW635">
            <v>195</v>
          </cell>
          <cell r="AX635">
            <v>0</v>
          </cell>
          <cell r="AY635">
            <v>0</v>
          </cell>
          <cell r="AZ635">
            <v>15</v>
          </cell>
          <cell r="BA635">
            <v>0</v>
          </cell>
          <cell r="BB635">
            <v>0</v>
          </cell>
          <cell r="BC635">
            <v>75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7241.25</v>
          </cell>
        </row>
        <row r="636">
          <cell r="C636">
            <v>30467</v>
          </cell>
          <cell r="D636" t="str">
            <v>Taeza,Lee Waine C</v>
          </cell>
          <cell r="E636">
            <v>80</v>
          </cell>
          <cell r="F636">
            <v>10</v>
          </cell>
          <cell r="G636">
            <v>600</v>
          </cell>
          <cell r="H636">
            <v>6000</v>
          </cell>
          <cell r="I636">
            <v>261</v>
          </cell>
          <cell r="J636">
            <v>1.25</v>
          </cell>
          <cell r="K636">
            <v>-326.25</v>
          </cell>
          <cell r="L636">
            <v>12</v>
          </cell>
          <cell r="M636">
            <v>93.75</v>
          </cell>
          <cell r="N636">
            <v>1125</v>
          </cell>
          <cell r="O636">
            <v>0</v>
          </cell>
          <cell r="P636">
            <v>7.5</v>
          </cell>
          <cell r="Q636">
            <v>0</v>
          </cell>
          <cell r="R636">
            <v>0</v>
          </cell>
          <cell r="S636">
            <v>97.5</v>
          </cell>
          <cell r="T636">
            <v>0</v>
          </cell>
          <cell r="U636">
            <v>0</v>
          </cell>
          <cell r="V636">
            <v>126.75</v>
          </cell>
          <cell r="W636">
            <v>0</v>
          </cell>
          <cell r="X636">
            <v>0</v>
          </cell>
          <cell r="Y636">
            <v>9.75</v>
          </cell>
          <cell r="Z636">
            <v>0</v>
          </cell>
          <cell r="AA636">
            <v>0</v>
          </cell>
          <cell r="AB636">
            <v>112.5</v>
          </cell>
          <cell r="AC636">
            <v>0</v>
          </cell>
          <cell r="AD636">
            <v>0</v>
          </cell>
          <cell r="AE636">
            <v>146.25</v>
          </cell>
          <cell r="AF636">
            <v>0</v>
          </cell>
          <cell r="AG636">
            <v>0</v>
          </cell>
          <cell r="AH636">
            <v>11.25</v>
          </cell>
          <cell r="AI636">
            <v>0</v>
          </cell>
          <cell r="AJ636">
            <v>0</v>
          </cell>
          <cell r="AK636">
            <v>97.5</v>
          </cell>
          <cell r="AL636">
            <v>0</v>
          </cell>
          <cell r="AM636">
            <v>0</v>
          </cell>
          <cell r="AN636">
            <v>126.75</v>
          </cell>
          <cell r="AO636">
            <v>0</v>
          </cell>
          <cell r="AP636">
            <v>0</v>
          </cell>
          <cell r="AQ636">
            <v>9.75</v>
          </cell>
          <cell r="AR636">
            <v>0</v>
          </cell>
          <cell r="AS636">
            <v>0</v>
          </cell>
          <cell r="AT636">
            <v>150</v>
          </cell>
          <cell r="AU636">
            <v>0</v>
          </cell>
          <cell r="AV636">
            <v>0</v>
          </cell>
          <cell r="AW636">
            <v>195</v>
          </cell>
          <cell r="AX636">
            <v>0</v>
          </cell>
          <cell r="AY636">
            <v>0</v>
          </cell>
          <cell r="AZ636">
            <v>15</v>
          </cell>
          <cell r="BA636">
            <v>0</v>
          </cell>
          <cell r="BB636">
            <v>0</v>
          </cell>
          <cell r="BC636">
            <v>75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6798.75</v>
          </cell>
        </row>
        <row r="637">
          <cell r="C637">
            <v>7134</v>
          </cell>
          <cell r="D637" t="str">
            <v>Taugan, Kim Nelson Matias</v>
          </cell>
          <cell r="E637">
            <v>80</v>
          </cell>
          <cell r="F637">
            <v>10</v>
          </cell>
          <cell r="G637">
            <v>600</v>
          </cell>
          <cell r="H637">
            <v>6000</v>
          </cell>
          <cell r="I637">
            <v>19</v>
          </cell>
          <cell r="J637">
            <v>1.25</v>
          </cell>
          <cell r="K637">
            <v>-23.75</v>
          </cell>
          <cell r="L637">
            <v>27</v>
          </cell>
          <cell r="M637">
            <v>93.75</v>
          </cell>
          <cell r="N637">
            <v>2531.25</v>
          </cell>
          <cell r="O637">
            <v>8</v>
          </cell>
          <cell r="P637">
            <v>7.5</v>
          </cell>
          <cell r="Q637">
            <v>60</v>
          </cell>
          <cell r="R637">
            <v>0</v>
          </cell>
          <cell r="S637">
            <v>97.5</v>
          </cell>
          <cell r="T637">
            <v>0</v>
          </cell>
          <cell r="U637">
            <v>0</v>
          </cell>
          <cell r="V637">
            <v>126.75</v>
          </cell>
          <cell r="W637">
            <v>0</v>
          </cell>
          <cell r="X637">
            <v>0</v>
          </cell>
          <cell r="Y637">
            <v>9.75</v>
          </cell>
          <cell r="Z637">
            <v>0</v>
          </cell>
          <cell r="AA637">
            <v>0</v>
          </cell>
          <cell r="AB637">
            <v>112.5</v>
          </cell>
          <cell r="AC637">
            <v>0</v>
          </cell>
          <cell r="AD637">
            <v>0</v>
          </cell>
          <cell r="AE637">
            <v>146.25</v>
          </cell>
          <cell r="AF637">
            <v>0</v>
          </cell>
          <cell r="AG637">
            <v>0</v>
          </cell>
          <cell r="AH637">
            <v>11.25</v>
          </cell>
          <cell r="AI637">
            <v>0</v>
          </cell>
          <cell r="AJ637">
            <v>0</v>
          </cell>
          <cell r="AK637">
            <v>97.5</v>
          </cell>
          <cell r="AL637">
            <v>0</v>
          </cell>
          <cell r="AM637">
            <v>0</v>
          </cell>
          <cell r="AN637">
            <v>126.75</v>
          </cell>
          <cell r="AO637">
            <v>0</v>
          </cell>
          <cell r="AP637">
            <v>0</v>
          </cell>
          <cell r="AQ637">
            <v>9.75</v>
          </cell>
          <cell r="AR637">
            <v>0</v>
          </cell>
          <cell r="AS637">
            <v>0</v>
          </cell>
          <cell r="AT637">
            <v>150</v>
          </cell>
          <cell r="AU637">
            <v>0</v>
          </cell>
          <cell r="AV637">
            <v>0</v>
          </cell>
          <cell r="AW637">
            <v>195</v>
          </cell>
          <cell r="AX637">
            <v>0</v>
          </cell>
          <cell r="AY637">
            <v>0</v>
          </cell>
          <cell r="AZ637">
            <v>15</v>
          </cell>
          <cell r="BA637">
            <v>0</v>
          </cell>
          <cell r="BB637">
            <v>0</v>
          </cell>
          <cell r="BC637">
            <v>75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8567.5</v>
          </cell>
        </row>
        <row r="638">
          <cell r="C638">
            <v>30569</v>
          </cell>
          <cell r="D638" t="str">
            <v>Toledo, June Rey</v>
          </cell>
          <cell r="E638">
            <v>72</v>
          </cell>
          <cell r="F638">
            <v>9</v>
          </cell>
          <cell r="G638">
            <v>600</v>
          </cell>
          <cell r="H638">
            <v>5400</v>
          </cell>
          <cell r="I638">
            <v>5</v>
          </cell>
          <cell r="J638">
            <v>1.25</v>
          </cell>
          <cell r="K638">
            <v>-6.25</v>
          </cell>
          <cell r="L638">
            <v>21</v>
          </cell>
          <cell r="M638">
            <v>93.75</v>
          </cell>
          <cell r="N638">
            <v>1968.75</v>
          </cell>
          <cell r="O638">
            <v>44</v>
          </cell>
          <cell r="P638">
            <v>7.5</v>
          </cell>
          <cell r="Q638">
            <v>330</v>
          </cell>
          <cell r="R638">
            <v>0</v>
          </cell>
          <cell r="S638">
            <v>97.5</v>
          </cell>
          <cell r="T638">
            <v>0</v>
          </cell>
          <cell r="U638">
            <v>0</v>
          </cell>
          <cell r="V638">
            <v>126.75</v>
          </cell>
          <cell r="W638">
            <v>0</v>
          </cell>
          <cell r="X638">
            <v>0</v>
          </cell>
          <cell r="Y638">
            <v>9.75</v>
          </cell>
          <cell r="Z638">
            <v>0</v>
          </cell>
          <cell r="AA638">
            <v>0</v>
          </cell>
          <cell r="AB638">
            <v>112.5</v>
          </cell>
          <cell r="AC638">
            <v>0</v>
          </cell>
          <cell r="AD638">
            <v>0</v>
          </cell>
          <cell r="AE638">
            <v>146.25</v>
          </cell>
          <cell r="AF638">
            <v>0</v>
          </cell>
          <cell r="AG638">
            <v>0</v>
          </cell>
          <cell r="AH638">
            <v>11.25</v>
          </cell>
          <cell r="AI638">
            <v>0</v>
          </cell>
          <cell r="AJ638">
            <v>0</v>
          </cell>
          <cell r="AK638">
            <v>97.5</v>
          </cell>
          <cell r="AL638">
            <v>0</v>
          </cell>
          <cell r="AM638">
            <v>0</v>
          </cell>
          <cell r="AN638">
            <v>126.75</v>
          </cell>
          <cell r="AO638">
            <v>0</v>
          </cell>
          <cell r="AP638">
            <v>0</v>
          </cell>
          <cell r="AQ638">
            <v>9.75</v>
          </cell>
          <cell r="AR638">
            <v>0</v>
          </cell>
          <cell r="AS638">
            <v>0</v>
          </cell>
          <cell r="AT638">
            <v>150</v>
          </cell>
          <cell r="AU638">
            <v>0</v>
          </cell>
          <cell r="AV638">
            <v>0</v>
          </cell>
          <cell r="AW638">
            <v>195</v>
          </cell>
          <cell r="AX638">
            <v>0</v>
          </cell>
          <cell r="AY638">
            <v>0</v>
          </cell>
          <cell r="AZ638">
            <v>15</v>
          </cell>
          <cell r="BA638">
            <v>0</v>
          </cell>
          <cell r="BB638">
            <v>0</v>
          </cell>
          <cell r="BC638">
            <v>75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7692.5</v>
          </cell>
        </row>
        <row r="639">
          <cell r="C639">
            <v>30813</v>
          </cell>
          <cell r="D639" t="str">
            <v>Trambulo, Raiza Mae Mendoza</v>
          </cell>
          <cell r="E639">
            <v>88</v>
          </cell>
          <cell r="F639">
            <v>11</v>
          </cell>
          <cell r="G639">
            <v>600</v>
          </cell>
          <cell r="H639">
            <v>6600</v>
          </cell>
          <cell r="I639">
            <v>0</v>
          </cell>
          <cell r="J639">
            <v>1.25</v>
          </cell>
          <cell r="K639">
            <v>0</v>
          </cell>
          <cell r="L639">
            <v>30</v>
          </cell>
          <cell r="M639">
            <v>93.75</v>
          </cell>
          <cell r="N639">
            <v>2812.5</v>
          </cell>
          <cell r="O639">
            <v>38</v>
          </cell>
          <cell r="P639">
            <v>7.5</v>
          </cell>
          <cell r="Q639">
            <v>285</v>
          </cell>
          <cell r="R639">
            <v>0</v>
          </cell>
          <cell r="S639">
            <v>97.5</v>
          </cell>
          <cell r="T639">
            <v>0</v>
          </cell>
          <cell r="U639">
            <v>0</v>
          </cell>
          <cell r="V639">
            <v>126.75</v>
          </cell>
          <cell r="W639">
            <v>0</v>
          </cell>
          <cell r="X639">
            <v>0</v>
          </cell>
          <cell r="Y639">
            <v>9.75</v>
          </cell>
          <cell r="Z639">
            <v>0</v>
          </cell>
          <cell r="AA639">
            <v>0</v>
          </cell>
          <cell r="AB639">
            <v>112.5</v>
          </cell>
          <cell r="AC639">
            <v>0</v>
          </cell>
          <cell r="AD639">
            <v>0</v>
          </cell>
          <cell r="AE639">
            <v>146.25</v>
          </cell>
          <cell r="AF639">
            <v>0</v>
          </cell>
          <cell r="AG639">
            <v>0</v>
          </cell>
          <cell r="AH639">
            <v>11.25</v>
          </cell>
          <cell r="AI639">
            <v>0</v>
          </cell>
          <cell r="AJ639">
            <v>0</v>
          </cell>
          <cell r="AK639">
            <v>97.5</v>
          </cell>
          <cell r="AL639">
            <v>0</v>
          </cell>
          <cell r="AM639">
            <v>0</v>
          </cell>
          <cell r="AN639">
            <v>126.75</v>
          </cell>
          <cell r="AO639">
            <v>0</v>
          </cell>
          <cell r="AP639">
            <v>0</v>
          </cell>
          <cell r="AQ639">
            <v>9.75</v>
          </cell>
          <cell r="AR639">
            <v>0</v>
          </cell>
          <cell r="AS639">
            <v>0</v>
          </cell>
          <cell r="AT639">
            <v>150</v>
          </cell>
          <cell r="AU639">
            <v>0</v>
          </cell>
          <cell r="AV639">
            <v>0</v>
          </cell>
          <cell r="AW639">
            <v>195</v>
          </cell>
          <cell r="AX639">
            <v>0</v>
          </cell>
          <cell r="AY639">
            <v>0</v>
          </cell>
          <cell r="AZ639">
            <v>15</v>
          </cell>
          <cell r="BA639">
            <v>0</v>
          </cell>
          <cell r="BB639">
            <v>0</v>
          </cell>
          <cell r="BC639">
            <v>75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9697.5</v>
          </cell>
        </row>
        <row r="640">
          <cell r="C640">
            <v>30595</v>
          </cell>
          <cell r="D640" t="str">
            <v>Valdez, Rodelyn Shane</v>
          </cell>
          <cell r="E640">
            <v>64</v>
          </cell>
          <cell r="F640">
            <v>8</v>
          </cell>
          <cell r="G640">
            <v>600</v>
          </cell>
          <cell r="H640">
            <v>4800</v>
          </cell>
          <cell r="I640">
            <v>82</v>
          </cell>
          <cell r="J640">
            <v>1.25</v>
          </cell>
          <cell r="K640">
            <v>-102.5</v>
          </cell>
          <cell r="L640">
            <v>21</v>
          </cell>
          <cell r="M640">
            <v>93.75</v>
          </cell>
          <cell r="N640">
            <v>1968.75</v>
          </cell>
          <cell r="O640">
            <v>38</v>
          </cell>
          <cell r="P640">
            <v>7.5</v>
          </cell>
          <cell r="Q640">
            <v>285</v>
          </cell>
          <cell r="R640">
            <v>0</v>
          </cell>
          <cell r="S640">
            <v>97.5</v>
          </cell>
          <cell r="T640">
            <v>0</v>
          </cell>
          <cell r="U640">
            <v>0</v>
          </cell>
          <cell r="V640">
            <v>126.75</v>
          </cell>
          <cell r="W640">
            <v>0</v>
          </cell>
          <cell r="X640">
            <v>0</v>
          </cell>
          <cell r="Y640">
            <v>9.75</v>
          </cell>
          <cell r="Z640">
            <v>0</v>
          </cell>
          <cell r="AA640">
            <v>0</v>
          </cell>
          <cell r="AB640">
            <v>112.5</v>
          </cell>
          <cell r="AC640">
            <v>0</v>
          </cell>
          <cell r="AD640">
            <v>0</v>
          </cell>
          <cell r="AE640">
            <v>146.25</v>
          </cell>
          <cell r="AF640">
            <v>0</v>
          </cell>
          <cell r="AG640">
            <v>0</v>
          </cell>
          <cell r="AH640">
            <v>11.25</v>
          </cell>
          <cell r="AI640">
            <v>0</v>
          </cell>
          <cell r="AJ640">
            <v>0</v>
          </cell>
          <cell r="AK640">
            <v>97.5</v>
          </cell>
          <cell r="AL640">
            <v>0</v>
          </cell>
          <cell r="AM640">
            <v>0</v>
          </cell>
          <cell r="AN640">
            <v>126.75</v>
          </cell>
          <cell r="AO640">
            <v>0</v>
          </cell>
          <cell r="AP640">
            <v>0</v>
          </cell>
          <cell r="AQ640">
            <v>9.75</v>
          </cell>
          <cell r="AR640">
            <v>0</v>
          </cell>
          <cell r="AS640">
            <v>0</v>
          </cell>
          <cell r="AT640">
            <v>150</v>
          </cell>
          <cell r="AU640">
            <v>0</v>
          </cell>
          <cell r="AV640">
            <v>0</v>
          </cell>
          <cell r="AW640">
            <v>195</v>
          </cell>
          <cell r="AX640">
            <v>0</v>
          </cell>
          <cell r="AY640">
            <v>0</v>
          </cell>
          <cell r="AZ640">
            <v>15</v>
          </cell>
          <cell r="BA640">
            <v>0</v>
          </cell>
          <cell r="BB640">
            <v>0</v>
          </cell>
          <cell r="BC640">
            <v>75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6951.25</v>
          </cell>
        </row>
        <row r="641">
          <cell r="C641">
            <v>0</v>
          </cell>
          <cell r="D641">
            <v>0</v>
          </cell>
          <cell r="E641">
            <v>5170</v>
          </cell>
          <cell r="F641">
            <v>646.25</v>
          </cell>
          <cell r="G641">
            <v>43800</v>
          </cell>
          <cell r="H641">
            <v>387750</v>
          </cell>
          <cell r="I641">
            <v>2805</v>
          </cell>
          <cell r="J641">
            <v>91.25</v>
          </cell>
          <cell r="K641">
            <v>-3506.25</v>
          </cell>
          <cell r="L641">
            <v>1519.5</v>
          </cell>
          <cell r="M641">
            <v>6843.75</v>
          </cell>
          <cell r="N641">
            <v>142453.125</v>
          </cell>
          <cell r="O641">
            <v>1749</v>
          </cell>
          <cell r="P641">
            <v>547.5</v>
          </cell>
          <cell r="Q641">
            <v>13117.5</v>
          </cell>
          <cell r="R641">
            <v>0</v>
          </cell>
          <cell r="S641">
            <v>7117.5</v>
          </cell>
          <cell r="T641">
            <v>0</v>
          </cell>
          <cell r="U641">
            <v>0</v>
          </cell>
          <cell r="V641">
            <v>9252.75</v>
          </cell>
          <cell r="W641">
            <v>0</v>
          </cell>
          <cell r="X641">
            <v>0</v>
          </cell>
          <cell r="Y641">
            <v>711.75</v>
          </cell>
          <cell r="Z641">
            <v>0</v>
          </cell>
          <cell r="AA641">
            <v>0</v>
          </cell>
          <cell r="AB641">
            <v>8212.5</v>
          </cell>
          <cell r="AC641">
            <v>0</v>
          </cell>
          <cell r="AD641">
            <v>0</v>
          </cell>
          <cell r="AE641">
            <v>10676.25</v>
          </cell>
          <cell r="AF641">
            <v>0</v>
          </cell>
          <cell r="AG641">
            <v>0</v>
          </cell>
          <cell r="AH641">
            <v>821.25</v>
          </cell>
          <cell r="AI641">
            <v>0</v>
          </cell>
          <cell r="AJ641">
            <v>0</v>
          </cell>
          <cell r="AK641">
            <v>7117.5</v>
          </cell>
          <cell r="AL641">
            <v>0</v>
          </cell>
          <cell r="AM641">
            <v>0</v>
          </cell>
          <cell r="AN641">
            <v>9252.75</v>
          </cell>
          <cell r="AO641">
            <v>0</v>
          </cell>
          <cell r="AP641">
            <v>0</v>
          </cell>
          <cell r="AQ641">
            <v>711.75</v>
          </cell>
          <cell r="AR641">
            <v>0</v>
          </cell>
          <cell r="AS641">
            <v>0</v>
          </cell>
          <cell r="AT641">
            <v>10950</v>
          </cell>
          <cell r="AU641">
            <v>0</v>
          </cell>
          <cell r="AV641">
            <v>0</v>
          </cell>
          <cell r="AW641">
            <v>14235</v>
          </cell>
          <cell r="AX641">
            <v>0</v>
          </cell>
          <cell r="AY641">
            <v>0</v>
          </cell>
          <cell r="AZ641">
            <v>1095</v>
          </cell>
          <cell r="BA641">
            <v>0</v>
          </cell>
          <cell r="BB641">
            <v>0</v>
          </cell>
          <cell r="BC641">
            <v>5475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539814.375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</row>
        <row r="643">
          <cell r="C643">
            <v>30198</v>
          </cell>
          <cell r="D643" t="str">
            <v>Abasolo, Joerge Arnaiz</v>
          </cell>
          <cell r="E643">
            <v>88</v>
          </cell>
          <cell r="F643">
            <v>11</v>
          </cell>
          <cell r="G643">
            <v>600</v>
          </cell>
          <cell r="H643">
            <v>6600</v>
          </cell>
          <cell r="I643">
            <v>0</v>
          </cell>
          <cell r="J643">
            <v>1.25</v>
          </cell>
          <cell r="K643">
            <v>0</v>
          </cell>
          <cell r="L643">
            <v>29</v>
          </cell>
          <cell r="M643">
            <v>93.75</v>
          </cell>
          <cell r="N643">
            <v>2718.75</v>
          </cell>
          <cell r="O643">
            <v>8</v>
          </cell>
          <cell r="P643">
            <v>7.5</v>
          </cell>
          <cell r="Q643">
            <v>60</v>
          </cell>
          <cell r="R643">
            <v>16</v>
          </cell>
          <cell r="S643">
            <v>97.5</v>
          </cell>
          <cell r="T643">
            <v>1560</v>
          </cell>
          <cell r="U643">
            <v>4</v>
          </cell>
          <cell r="V643">
            <v>126.75</v>
          </cell>
          <cell r="W643">
            <v>507</v>
          </cell>
          <cell r="X643">
            <v>0</v>
          </cell>
          <cell r="Y643">
            <v>9.75</v>
          </cell>
          <cell r="Z643">
            <v>0</v>
          </cell>
          <cell r="AA643">
            <v>0</v>
          </cell>
          <cell r="AB643">
            <v>112.5</v>
          </cell>
          <cell r="AC643">
            <v>0</v>
          </cell>
          <cell r="AD643">
            <v>0</v>
          </cell>
          <cell r="AE643">
            <v>146.25</v>
          </cell>
          <cell r="AF643">
            <v>0</v>
          </cell>
          <cell r="AG643">
            <v>0</v>
          </cell>
          <cell r="AH643">
            <v>11.25</v>
          </cell>
          <cell r="AI643">
            <v>0</v>
          </cell>
          <cell r="AJ643">
            <v>0</v>
          </cell>
          <cell r="AK643">
            <v>97.5</v>
          </cell>
          <cell r="AL643">
            <v>0</v>
          </cell>
          <cell r="AM643">
            <v>0</v>
          </cell>
          <cell r="AN643">
            <v>126.75</v>
          </cell>
          <cell r="AO643">
            <v>0</v>
          </cell>
          <cell r="AP643">
            <v>0</v>
          </cell>
          <cell r="AQ643">
            <v>9.75</v>
          </cell>
          <cell r="AR643">
            <v>0</v>
          </cell>
          <cell r="AS643">
            <v>0</v>
          </cell>
          <cell r="AT643">
            <v>150</v>
          </cell>
          <cell r="AU643">
            <v>0</v>
          </cell>
          <cell r="AV643">
            <v>0</v>
          </cell>
          <cell r="AW643">
            <v>195</v>
          </cell>
          <cell r="AX643">
            <v>0</v>
          </cell>
          <cell r="AY643">
            <v>0</v>
          </cell>
          <cell r="AZ643">
            <v>15</v>
          </cell>
          <cell r="BA643">
            <v>0</v>
          </cell>
          <cell r="BB643">
            <v>0</v>
          </cell>
          <cell r="BC643">
            <v>75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11445.75</v>
          </cell>
        </row>
        <row r="644">
          <cell r="C644">
            <v>30974</v>
          </cell>
          <cell r="D644" t="str">
            <v>Abordo, Ralph Ymanuel Paderes</v>
          </cell>
          <cell r="E644">
            <v>64</v>
          </cell>
          <cell r="F644">
            <v>8</v>
          </cell>
          <cell r="G644">
            <v>600</v>
          </cell>
          <cell r="H644">
            <v>4800</v>
          </cell>
          <cell r="I644">
            <v>60</v>
          </cell>
          <cell r="J644">
            <v>1.25</v>
          </cell>
          <cell r="K644">
            <v>-75</v>
          </cell>
          <cell r="L644">
            <v>22</v>
          </cell>
          <cell r="M644">
            <v>93.75</v>
          </cell>
          <cell r="N644">
            <v>2062.5</v>
          </cell>
          <cell r="O644">
            <v>0</v>
          </cell>
          <cell r="P644">
            <v>7.5</v>
          </cell>
          <cell r="Q644">
            <v>0</v>
          </cell>
          <cell r="R644">
            <v>8</v>
          </cell>
          <cell r="S644">
            <v>97.5</v>
          </cell>
          <cell r="T644">
            <v>780</v>
          </cell>
          <cell r="U644">
            <v>0</v>
          </cell>
          <cell r="V644">
            <v>126.75</v>
          </cell>
          <cell r="W644">
            <v>0</v>
          </cell>
          <cell r="X644">
            <v>0</v>
          </cell>
          <cell r="Y644">
            <v>9.75</v>
          </cell>
          <cell r="Z644">
            <v>0</v>
          </cell>
          <cell r="AA644">
            <v>0</v>
          </cell>
          <cell r="AB644">
            <v>112.5</v>
          </cell>
          <cell r="AC644">
            <v>0</v>
          </cell>
          <cell r="AD644">
            <v>0</v>
          </cell>
          <cell r="AE644">
            <v>146.25</v>
          </cell>
          <cell r="AF644">
            <v>0</v>
          </cell>
          <cell r="AG644">
            <v>0</v>
          </cell>
          <cell r="AH644">
            <v>11.25</v>
          </cell>
          <cell r="AI644">
            <v>0</v>
          </cell>
          <cell r="AJ644">
            <v>0</v>
          </cell>
          <cell r="AK644">
            <v>97.5</v>
          </cell>
          <cell r="AL644">
            <v>0</v>
          </cell>
          <cell r="AM644">
            <v>0</v>
          </cell>
          <cell r="AN644">
            <v>126.75</v>
          </cell>
          <cell r="AO644">
            <v>0</v>
          </cell>
          <cell r="AP644">
            <v>0</v>
          </cell>
          <cell r="AQ644">
            <v>9.75</v>
          </cell>
          <cell r="AR644">
            <v>0</v>
          </cell>
          <cell r="AS644">
            <v>0</v>
          </cell>
          <cell r="AT644">
            <v>150</v>
          </cell>
          <cell r="AU644">
            <v>0</v>
          </cell>
          <cell r="AV644">
            <v>0</v>
          </cell>
          <cell r="AW644">
            <v>195</v>
          </cell>
          <cell r="AX644">
            <v>0</v>
          </cell>
          <cell r="AY644">
            <v>0</v>
          </cell>
          <cell r="AZ644">
            <v>15</v>
          </cell>
          <cell r="BA644">
            <v>0</v>
          </cell>
          <cell r="BB644">
            <v>0</v>
          </cell>
          <cell r="BC644">
            <v>75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7567.5</v>
          </cell>
        </row>
        <row r="645">
          <cell r="C645">
            <v>30546</v>
          </cell>
          <cell r="D645" t="str">
            <v>Agustin, Clarissa E</v>
          </cell>
          <cell r="E645">
            <v>72</v>
          </cell>
          <cell r="F645">
            <v>9</v>
          </cell>
          <cell r="G645">
            <v>600</v>
          </cell>
          <cell r="H645">
            <v>5400</v>
          </cell>
          <cell r="I645">
            <v>0</v>
          </cell>
          <cell r="J645">
            <v>1.25</v>
          </cell>
          <cell r="K645">
            <v>0</v>
          </cell>
          <cell r="L645">
            <v>23</v>
          </cell>
          <cell r="M645">
            <v>93.75</v>
          </cell>
          <cell r="N645">
            <v>2156.25</v>
          </cell>
          <cell r="O645">
            <v>8</v>
          </cell>
          <cell r="P645">
            <v>7.5</v>
          </cell>
          <cell r="Q645">
            <v>60</v>
          </cell>
          <cell r="R645">
            <v>8</v>
          </cell>
          <cell r="S645">
            <v>97.5</v>
          </cell>
          <cell r="T645">
            <v>780</v>
          </cell>
          <cell r="U645">
            <v>4</v>
          </cell>
          <cell r="V645">
            <v>126.75</v>
          </cell>
          <cell r="W645">
            <v>507</v>
          </cell>
          <cell r="X645">
            <v>0</v>
          </cell>
          <cell r="Y645">
            <v>9.75</v>
          </cell>
          <cell r="Z645">
            <v>0</v>
          </cell>
          <cell r="AA645">
            <v>0</v>
          </cell>
          <cell r="AB645">
            <v>112.5</v>
          </cell>
          <cell r="AC645">
            <v>0</v>
          </cell>
          <cell r="AD645">
            <v>0</v>
          </cell>
          <cell r="AE645">
            <v>146.25</v>
          </cell>
          <cell r="AF645">
            <v>0</v>
          </cell>
          <cell r="AG645">
            <v>0</v>
          </cell>
          <cell r="AH645">
            <v>11.25</v>
          </cell>
          <cell r="AI645">
            <v>0</v>
          </cell>
          <cell r="AJ645">
            <v>0</v>
          </cell>
          <cell r="AK645">
            <v>97.5</v>
          </cell>
          <cell r="AL645">
            <v>0</v>
          </cell>
          <cell r="AM645">
            <v>0</v>
          </cell>
          <cell r="AN645">
            <v>126.75</v>
          </cell>
          <cell r="AO645">
            <v>0</v>
          </cell>
          <cell r="AP645">
            <v>0</v>
          </cell>
          <cell r="AQ645">
            <v>9.75</v>
          </cell>
          <cell r="AR645">
            <v>0</v>
          </cell>
          <cell r="AS645">
            <v>0</v>
          </cell>
          <cell r="AT645">
            <v>150</v>
          </cell>
          <cell r="AU645">
            <v>0</v>
          </cell>
          <cell r="AV645">
            <v>0</v>
          </cell>
          <cell r="AW645">
            <v>195</v>
          </cell>
          <cell r="AX645">
            <v>0</v>
          </cell>
          <cell r="AY645">
            <v>0</v>
          </cell>
          <cell r="AZ645">
            <v>15</v>
          </cell>
          <cell r="BA645">
            <v>0</v>
          </cell>
          <cell r="BB645">
            <v>0</v>
          </cell>
          <cell r="BC645">
            <v>75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8903.25</v>
          </cell>
        </row>
        <row r="646">
          <cell r="C646">
            <v>30543</v>
          </cell>
          <cell r="D646" t="str">
            <v>Baculo, Jennilyn V</v>
          </cell>
          <cell r="E646">
            <v>64</v>
          </cell>
          <cell r="F646">
            <v>8</v>
          </cell>
          <cell r="G646">
            <v>600</v>
          </cell>
          <cell r="H646">
            <v>4800</v>
          </cell>
          <cell r="I646">
            <v>0</v>
          </cell>
          <cell r="J646">
            <v>1.25</v>
          </cell>
          <cell r="K646">
            <v>0</v>
          </cell>
          <cell r="L646">
            <v>17</v>
          </cell>
          <cell r="M646">
            <v>93.75</v>
          </cell>
          <cell r="N646">
            <v>1593.75</v>
          </cell>
          <cell r="O646">
            <v>60</v>
          </cell>
          <cell r="P646">
            <v>7.5</v>
          </cell>
          <cell r="Q646">
            <v>450</v>
          </cell>
          <cell r="R646">
            <v>8</v>
          </cell>
          <cell r="S646">
            <v>97.5</v>
          </cell>
          <cell r="T646">
            <v>780</v>
          </cell>
          <cell r="U646">
            <v>4</v>
          </cell>
          <cell r="V646">
            <v>126.75</v>
          </cell>
          <cell r="W646">
            <v>507</v>
          </cell>
          <cell r="X646">
            <v>8</v>
          </cell>
          <cell r="Y646">
            <v>9.75</v>
          </cell>
          <cell r="Z646">
            <v>78</v>
          </cell>
          <cell r="AA646">
            <v>0</v>
          </cell>
          <cell r="AB646">
            <v>112.5</v>
          </cell>
          <cell r="AC646">
            <v>0</v>
          </cell>
          <cell r="AD646">
            <v>0</v>
          </cell>
          <cell r="AE646">
            <v>146.25</v>
          </cell>
          <cell r="AF646">
            <v>0</v>
          </cell>
          <cell r="AG646">
            <v>0</v>
          </cell>
          <cell r="AH646">
            <v>11.25</v>
          </cell>
          <cell r="AI646">
            <v>0</v>
          </cell>
          <cell r="AJ646">
            <v>0</v>
          </cell>
          <cell r="AK646">
            <v>97.5</v>
          </cell>
          <cell r="AL646">
            <v>0</v>
          </cell>
          <cell r="AM646">
            <v>0</v>
          </cell>
          <cell r="AN646">
            <v>126.75</v>
          </cell>
          <cell r="AO646">
            <v>0</v>
          </cell>
          <cell r="AP646">
            <v>0</v>
          </cell>
          <cell r="AQ646">
            <v>9.75</v>
          </cell>
          <cell r="AR646">
            <v>0</v>
          </cell>
          <cell r="AS646">
            <v>0</v>
          </cell>
          <cell r="AT646">
            <v>150</v>
          </cell>
          <cell r="AU646">
            <v>0</v>
          </cell>
          <cell r="AV646">
            <v>0</v>
          </cell>
          <cell r="AW646">
            <v>195</v>
          </cell>
          <cell r="AX646">
            <v>0</v>
          </cell>
          <cell r="AY646">
            <v>0</v>
          </cell>
          <cell r="AZ646">
            <v>15</v>
          </cell>
          <cell r="BA646">
            <v>0</v>
          </cell>
          <cell r="BB646">
            <v>0</v>
          </cell>
          <cell r="BC646">
            <v>75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8208.75</v>
          </cell>
        </row>
        <row r="647">
          <cell r="C647">
            <v>12867</v>
          </cell>
          <cell r="D647" t="str">
            <v>Bersaga, Alfredo Llamasares</v>
          </cell>
          <cell r="E647">
            <v>64</v>
          </cell>
          <cell r="F647">
            <v>8</v>
          </cell>
          <cell r="G647">
            <v>600</v>
          </cell>
          <cell r="H647">
            <v>4800</v>
          </cell>
          <cell r="I647">
            <v>11</v>
          </cell>
          <cell r="J647">
            <v>1.25</v>
          </cell>
          <cell r="K647">
            <v>-13.75</v>
          </cell>
          <cell r="L647">
            <v>18</v>
          </cell>
          <cell r="M647">
            <v>93.75</v>
          </cell>
          <cell r="N647">
            <v>1687.5</v>
          </cell>
          <cell r="O647">
            <v>8</v>
          </cell>
          <cell r="P647">
            <v>7.5</v>
          </cell>
          <cell r="Q647">
            <v>60</v>
          </cell>
          <cell r="R647">
            <v>0</v>
          </cell>
          <cell r="S647">
            <v>97.5</v>
          </cell>
          <cell r="T647">
            <v>0</v>
          </cell>
          <cell r="U647">
            <v>0</v>
          </cell>
          <cell r="V647">
            <v>126.75</v>
          </cell>
          <cell r="W647">
            <v>0</v>
          </cell>
          <cell r="X647">
            <v>0</v>
          </cell>
          <cell r="Y647">
            <v>9.75</v>
          </cell>
          <cell r="Z647">
            <v>0</v>
          </cell>
          <cell r="AA647">
            <v>0</v>
          </cell>
          <cell r="AB647">
            <v>112.5</v>
          </cell>
          <cell r="AC647">
            <v>0</v>
          </cell>
          <cell r="AD647">
            <v>0</v>
          </cell>
          <cell r="AE647">
            <v>146.25</v>
          </cell>
          <cell r="AF647">
            <v>0</v>
          </cell>
          <cell r="AG647">
            <v>0</v>
          </cell>
          <cell r="AH647">
            <v>11.25</v>
          </cell>
          <cell r="AI647">
            <v>0</v>
          </cell>
          <cell r="AJ647">
            <v>0</v>
          </cell>
          <cell r="AK647">
            <v>97.5</v>
          </cell>
          <cell r="AL647">
            <v>0</v>
          </cell>
          <cell r="AM647">
            <v>0</v>
          </cell>
          <cell r="AN647">
            <v>126.75</v>
          </cell>
          <cell r="AO647">
            <v>0</v>
          </cell>
          <cell r="AP647">
            <v>0</v>
          </cell>
          <cell r="AQ647">
            <v>9.75</v>
          </cell>
          <cell r="AR647">
            <v>0</v>
          </cell>
          <cell r="AS647">
            <v>0</v>
          </cell>
          <cell r="AT647">
            <v>150</v>
          </cell>
          <cell r="AU647">
            <v>0</v>
          </cell>
          <cell r="AV647">
            <v>0</v>
          </cell>
          <cell r="AW647">
            <v>195</v>
          </cell>
          <cell r="AX647">
            <v>0</v>
          </cell>
          <cell r="AY647">
            <v>0</v>
          </cell>
          <cell r="AZ647">
            <v>15</v>
          </cell>
          <cell r="BA647">
            <v>0</v>
          </cell>
          <cell r="BB647">
            <v>0</v>
          </cell>
          <cell r="BC647">
            <v>75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6533.75</v>
          </cell>
        </row>
        <row r="648">
          <cell r="C648">
            <v>30363</v>
          </cell>
          <cell r="D648" t="str">
            <v>Brugada, Jerwin Molato</v>
          </cell>
          <cell r="E648">
            <v>80</v>
          </cell>
          <cell r="F648">
            <v>10</v>
          </cell>
          <cell r="G648">
            <v>600</v>
          </cell>
          <cell r="H648">
            <v>6000</v>
          </cell>
          <cell r="I648">
            <v>0</v>
          </cell>
          <cell r="J648">
            <v>1.25</v>
          </cell>
          <cell r="K648">
            <v>0</v>
          </cell>
          <cell r="L648">
            <v>26</v>
          </cell>
          <cell r="M648">
            <v>93.75</v>
          </cell>
          <cell r="N648">
            <v>2437.5</v>
          </cell>
          <cell r="O648">
            <v>0</v>
          </cell>
          <cell r="P648">
            <v>7.5</v>
          </cell>
          <cell r="Q648">
            <v>0</v>
          </cell>
          <cell r="R648">
            <v>8</v>
          </cell>
          <cell r="S648">
            <v>97.5</v>
          </cell>
          <cell r="T648">
            <v>780</v>
          </cell>
          <cell r="U648">
            <v>4</v>
          </cell>
          <cell r="V648">
            <v>126.75</v>
          </cell>
          <cell r="W648">
            <v>507</v>
          </cell>
          <cell r="X648">
            <v>0</v>
          </cell>
          <cell r="Y648">
            <v>9.75</v>
          </cell>
          <cell r="Z648">
            <v>0</v>
          </cell>
          <cell r="AA648">
            <v>0</v>
          </cell>
          <cell r="AB648">
            <v>112.5</v>
          </cell>
          <cell r="AC648">
            <v>0</v>
          </cell>
          <cell r="AD648">
            <v>0</v>
          </cell>
          <cell r="AE648">
            <v>146.25</v>
          </cell>
          <cell r="AF648">
            <v>0</v>
          </cell>
          <cell r="AG648">
            <v>0</v>
          </cell>
          <cell r="AH648">
            <v>11.25</v>
          </cell>
          <cell r="AI648">
            <v>0</v>
          </cell>
          <cell r="AJ648">
            <v>0</v>
          </cell>
          <cell r="AK648">
            <v>97.5</v>
          </cell>
          <cell r="AL648">
            <v>0</v>
          </cell>
          <cell r="AM648">
            <v>0</v>
          </cell>
          <cell r="AN648">
            <v>126.75</v>
          </cell>
          <cell r="AO648">
            <v>0</v>
          </cell>
          <cell r="AP648">
            <v>0</v>
          </cell>
          <cell r="AQ648">
            <v>9.75</v>
          </cell>
          <cell r="AR648">
            <v>0</v>
          </cell>
          <cell r="AS648">
            <v>0</v>
          </cell>
          <cell r="AT648">
            <v>150</v>
          </cell>
          <cell r="AU648">
            <v>0</v>
          </cell>
          <cell r="AV648">
            <v>0</v>
          </cell>
          <cell r="AW648">
            <v>195</v>
          </cell>
          <cell r="AX648">
            <v>0</v>
          </cell>
          <cell r="AY648">
            <v>0</v>
          </cell>
          <cell r="AZ648">
            <v>15</v>
          </cell>
          <cell r="BA648">
            <v>0</v>
          </cell>
          <cell r="BB648">
            <v>0</v>
          </cell>
          <cell r="BC648">
            <v>75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9724.5</v>
          </cell>
        </row>
        <row r="649">
          <cell r="C649">
            <v>30975</v>
          </cell>
          <cell r="D649" t="str">
            <v>Buan, Neil Justine Chicote</v>
          </cell>
          <cell r="E649">
            <v>80</v>
          </cell>
          <cell r="F649">
            <v>10</v>
          </cell>
          <cell r="G649">
            <v>600</v>
          </cell>
          <cell r="H649">
            <v>6000</v>
          </cell>
          <cell r="I649">
            <v>14</v>
          </cell>
          <cell r="J649">
            <v>1.25</v>
          </cell>
          <cell r="K649">
            <v>-17.5</v>
          </cell>
          <cell r="L649">
            <v>22</v>
          </cell>
          <cell r="M649">
            <v>93.75</v>
          </cell>
          <cell r="N649">
            <v>2062.5</v>
          </cell>
          <cell r="O649">
            <v>23</v>
          </cell>
          <cell r="P649">
            <v>7.5</v>
          </cell>
          <cell r="Q649">
            <v>172.5</v>
          </cell>
          <cell r="R649">
            <v>0</v>
          </cell>
          <cell r="S649">
            <v>97.5</v>
          </cell>
          <cell r="T649">
            <v>0</v>
          </cell>
          <cell r="U649">
            <v>0</v>
          </cell>
          <cell r="V649">
            <v>126.75</v>
          </cell>
          <cell r="W649">
            <v>0</v>
          </cell>
          <cell r="X649">
            <v>0</v>
          </cell>
          <cell r="Y649">
            <v>9.75</v>
          </cell>
          <cell r="Z649">
            <v>0</v>
          </cell>
          <cell r="AA649">
            <v>0</v>
          </cell>
          <cell r="AB649">
            <v>112.5</v>
          </cell>
          <cell r="AC649">
            <v>0</v>
          </cell>
          <cell r="AD649">
            <v>0</v>
          </cell>
          <cell r="AE649">
            <v>146.25</v>
          </cell>
          <cell r="AF649">
            <v>0</v>
          </cell>
          <cell r="AG649">
            <v>0</v>
          </cell>
          <cell r="AH649">
            <v>11.25</v>
          </cell>
          <cell r="AI649">
            <v>0</v>
          </cell>
          <cell r="AJ649">
            <v>0</v>
          </cell>
          <cell r="AK649">
            <v>97.5</v>
          </cell>
          <cell r="AL649">
            <v>0</v>
          </cell>
          <cell r="AM649">
            <v>0</v>
          </cell>
          <cell r="AN649">
            <v>126.75</v>
          </cell>
          <cell r="AO649">
            <v>0</v>
          </cell>
          <cell r="AP649">
            <v>0</v>
          </cell>
          <cell r="AQ649">
            <v>9.75</v>
          </cell>
          <cell r="AR649">
            <v>0</v>
          </cell>
          <cell r="AS649">
            <v>0</v>
          </cell>
          <cell r="AT649">
            <v>150</v>
          </cell>
          <cell r="AU649">
            <v>0</v>
          </cell>
          <cell r="AV649">
            <v>0</v>
          </cell>
          <cell r="AW649">
            <v>195</v>
          </cell>
          <cell r="AX649">
            <v>0</v>
          </cell>
          <cell r="AY649">
            <v>0</v>
          </cell>
          <cell r="AZ649">
            <v>15</v>
          </cell>
          <cell r="BA649">
            <v>0</v>
          </cell>
          <cell r="BB649">
            <v>0</v>
          </cell>
          <cell r="BC649">
            <v>75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8217.5</v>
          </cell>
        </row>
        <row r="650">
          <cell r="C650">
            <v>30541</v>
          </cell>
          <cell r="D650" t="str">
            <v>Claveria, Argie B</v>
          </cell>
          <cell r="E650">
            <v>0</v>
          </cell>
          <cell r="F650">
            <v>0</v>
          </cell>
          <cell r="G650">
            <v>600</v>
          </cell>
          <cell r="H650">
            <v>0</v>
          </cell>
          <cell r="I650">
            <v>0</v>
          </cell>
          <cell r="J650">
            <v>1.25</v>
          </cell>
          <cell r="K650">
            <v>0</v>
          </cell>
          <cell r="L650">
            <v>0</v>
          </cell>
          <cell r="M650">
            <v>93.75</v>
          </cell>
          <cell r="N650">
            <v>0</v>
          </cell>
          <cell r="O650">
            <v>0</v>
          </cell>
          <cell r="P650">
            <v>7.5</v>
          </cell>
          <cell r="Q650">
            <v>0</v>
          </cell>
          <cell r="R650">
            <v>0</v>
          </cell>
          <cell r="S650">
            <v>97.5</v>
          </cell>
          <cell r="T650">
            <v>0</v>
          </cell>
          <cell r="U650">
            <v>0</v>
          </cell>
          <cell r="V650">
            <v>126.75</v>
          </cell>
          <cell r="W650">
            <v>0</v>
          </cell>
          <cell r="X650">
            <v>0</v>
          </cell>
          <cell r="Y650">
            <v>9.75</v>
          </cell>
          <cell r="Z650">
            <v>0</v>
          </cell>
          <cell r="AA650">
            <v>0</v>
          </cell>
          <cell r="AB650">
            <v>112.5</v>
          </cell>
          <cell r="AC650">
            <v>0</v>
          </cell>
          <cell r="AD650">
            <v>0</v>
          </cell>
          <cell r="AE650">
            <v>146.25</v>
          </cell>
          <cell r="AF650">
            <v>0</v>
          </cell>
          <cell r="AG650">
            <v>0</v>
          </cell>
          <cell r="AH650">
            <v>11.25</v>
          </cell>
          <cell r="AI650">
            <v>0</v>
          </cell>
          <cell r="AJ650">
            <v>0</v>
          </cell>
          <cell r="AK650">
            <v>97.5</v>
          </cell>
          <cell r="AL650">
            <v>0</v>
          </cell>
          <cell r="AM650">
            <v>0</v>
          </cell>
          <cell r="AN650">
            <v>126.75</v>
          </cell>
          <cell r="AO650">
            <v>0</v>
          </cell>
          <cell r="AP650">
            <v>0</v>
          </cell>
          <cell r="AQ650">
            <v>9.75</v>
          </cell>
          <cell r="AR650">
            <v>0</v>
          </cell>
          <cell r="AS650">
            <v>0</v>
          </cell>
          <cell r="AT650">
            <v>150</v>
          </cell>
          <cell r="AU650">
            <v>0</v>
          </cell>
          <cell r="AV650">
            <v>0</v>
          </cell>
          <cell r="AW650">
            <v>195</v>
          </cell>
          <cell r="AX650">
            <v>0</v>
          </cell>
          <cell r="AY650">
            <v>0</v>
          </cell>
          <cell r="AZ650">
            <v>15</v>
          </cell>
          <cell r="BA650">
            <v>0</v>
          </cell>
          <cell r="BB650">
            <v>0</v>
          </cell>
          <cell r="BC650">
            <v>75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</row>
        <row r="651">
          <cell r="C651">
            <v>1006</v>
          </cell>
          <cell r="D651" t="str">
            <v>Cristobal, Cristine Joy Dela Luna</v>
          </cell>
          <cell r="E651">
            <v>80</v>
          </cell>
          <cell r="F651">
            <v>10</v>
          </cell>
          <cell r="G651">
            <v>600</v>
          </cell>
          <cell r="H651">
            <v>6000</v>
          </cell>
          <cell r="I651">
            <v>0</v>
          </cell>
          <cell r="J651">
            <v>1.25</v>
          </cell>
          <cell r="K651">
            <v>0</v>
          </cell>
          <cell r="L651">
            <v>26</v>
          </cell>
          <cell r="M651">
            <v>93.75</v>
          </cell>
          <cell r="N651">
            <v>2437.5</v>
          </cell>
          <cell r="O651">
            <v>0</v>
          </cell>
          <cell r="P651">
            <v>7.5</v>
          </cell>
          <cell r="Q651">
            <v>0</v>
          </cell>
          <cell r="R651">
            <v>16</v>
          </cell>
          <cell r="S651">
            <v>97.5</v>
          </cell>
          <cell r="T651">
            <v>1560</v>
          </cell>
          <cell r="U651">
            <v>4</v>
          </cell>
          <cell r="V651">
            <v>126.75</v>
          </cell>
          <cell r="W651">
            <v>507</v>
          </cell>
          <cell r="X651">
            <v>0</v>
          </cell>
          <cell r="Y651">
            <v>9.75</v>
          </cell>
          <cell r="Z651">
            <v>0</v>
          </cell>
          <cell r="AA651">
            <v>0</v>
          </cell>
          <cell r="AB651">
            <v>112.5</v>
          </cell>
          <cell r="AC651">
            <v>0</v>
          </cell>
          <cell r="AD651">
            <v>0</v>
          </cell>
          <cell r="AE651">
            <v>146.25</v>
          </cell>
          <cell r="AF651">
            <v>0</v>
          </cell>
          <cell r="AG651">
            <v>0</v>
          </cell>
          <cell r="AH651">
            <v>11.25</v>
          </cell>
          <cell r="AI651">
            <v>0</v>
          </cell>
          <cell r="AJ651">
            <v>0</v>
          </cell>
          <cell r="AK651">
            <v>97.5</v>
          </cell>
          <cell r="AL651">
            <v>0</v>
          </cell>
          <cell r="AM651">
            <v>0</v>
          </cell>
          <cell r="AN651">
            <v>126.75</v>
          </cell>
          <cell r="AO651">
            <v>0</v>
          </cell>
          <cell r="AP651">
            <v>0</v>
          </cell>
          <cell r="AQ651">
            <v>9.75</v>
          </cell>
          <cell r="AR651">
            <v>0</v>
          </cell>
          <cell r="AS651">
            <v>0</v>
          </cell>
          <cell r="AT651">
            <v>150</v>
          </cell>
          <cell r="AU651">
            <v>0</v>
          </cell>
          <cell r="AV651">
            <v>0</v>
          </cell>
          <cell r="AW651">
            <v>195</v>
          </cell>
          <cell r="AX651">
            <v>0</v>
          </cell>
          <cell r="AY651">
            <v>0</v>
          </cell>
          <cell r="AZ651">
            <v>15</v>
          </cell>
          <cell r="BA651">
            <v>0</v>
          </cell>
          <cell r="BB651">
            <v>0</v>
          </cell>
          <cell r="BC651">
            <v>75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10504.5</v>
          </cell>
        </row>
        <row r="652">
          <cell r="C652">
            <v>12943</v>
          </cell>
          <cell r="D652" t="str">
            <v>Decillo, Desiree</v>
          </cell>
          <cell r="E652">
            <v>0</v>
          </cell>
          <cell r="F652">
            <v>0</v>
          </cell>
          <cell r="G652">
            <v>600</v>
          </cell>
          <cell r="H652">
            <v>0</v>
          </cell>
          <cell r="I652">
            <v>0</v>
          </cell>
          <cell r="J652">
            <v>1.25</v>
          </cell>
          <cell r="K652">
            <v>0</v>
          </cell>
          <cell r="L652">
            <v>0</v>
          </cell>
          <cell r="M652">
            <v>93.75</v>
          </cell>
          <cell r="N652">
            <v>0</v>
          </cell>
          <cell r="O652">
            <v>0</v>
          </cell>
          <cell r="P652">
            <v>7.5</v>
          </cell>
          <cell r="Q652">
            <v>0</v>
          </cell>
          <cell r="R652">
            <v>0</v>
          </cell>
          <cell r="S652">
            <v>97.5</v>
          </cell>
          <cell r="T652">
            <v>0</v>
          </cell>
          <cell r="U652">
            <v>0</v>
          </cell>
          <cell r="V652">
            <v>126.75</v>
          </cell>
          <cell r="W652">
            <v>0</v>
          </cell>
          <cell r="X652">
            <v>0</v>
          </cell>
          <cell r="Y652">
            <v>9.75</v>
          </cell>
          <cell r="Z652">
            <v>0</v>
          </cell>
          <cell r="AA652">
            <v>0</v>
          </cell>
          <cell r="AB652">
            <v>112.5</v>
          </cell>
          <cell r="AC652">
            <v>0</v>
          </cell>
          <cell r="AD652">
            <v>0</v>
          </cell>
          <cell r="AE652">
            <v>146.25</v>
          </cell>
          <cell r="AF652">
            <v>0</v>
          </cell>
          <cell r="AG652">
            <v>0</v>
          </cell>
          <cell r="AH652">
            <v>11.25</v>
          </cell>
          <cell r="AI652">
            <v>0</v>
          </cell>
          <cell r="AJ652">
            <v>0</v>
          </cell>
          <cell r="AK652">
            <v>97.5</v>
          </cell>
          <cell r="AL652">
            <v>0</v>
          </cell>
          <cell r="AM652">
            <v>0</v>
          </cell>
          <cell r="AN652">
            <v>126.75</v>
          </cell>
          <cell r="AO652">
            <v>0</v>
          </cell>
          <cell r="AP652">
            <v>0</v>
          </cell>
          <cell r="AQ652">
            <v>9.75</v>
          </cell>
          <cell r="AR652">
            <v>0</v>
          </cell>
          <cell r="AS652">
            <v>0</v>
          </cell>
          <cell r="AT652">
            <v>150</v>
          </cell>
          <cell r="AU652">
            <v>0</v>
          </cell>
          <cell r="AV652">
            <v>0</v>
          </cell>
          <cell r="AW652">
            <v>195</v>
          </cell>
          <cell r="AX652">
            <v>0</v>
          </cell>
          <cell r="AY652">
            <v>0</v>
          </cell>
          <cell r="AZ652">
            <v>15</v>
          </cell>
          <cell r="BA652">
            <v>0</v>
          </cell>
          <cell r="BB652">
            <v>0</v>
          </cell>
          <cell r="BC652">
            <v>75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</row>
        <row r="653">
          <cell r="C653">
            <v>30545</v>
          </cell>
          <cell r="D653" t="str">
            <v>Delfino, Shiena R</v>
          </cell>
          <cell r="E653">
            <v>80</v>
          </cell>
          <cell r="F653">
            <v>10</v>
          </cell>
          <cell r="G653">
            <v>600</v>
          </cell>
          <cell r="H653">
            <v>6000</v>
          </cell>
          <cell r="I653">
            <v>36</v>
          </cell>
          <cell r="J653">
            <v>1.25</v>
          </cell>
          <cell r="K653">
            <v>-45</v>
          </cell>
          <cell r="L653">
            <v>30</v>
          </cell>
          <cell r="M653">
            <v>93.75</v>
          </cell>
          <cell r="N653">
            <v>2812.5</v>
          </cell>
          <cell r="O653">
            <v>0</v>
          </cell>
          <cell r="P653">
            <v>7.5</v>
          </cell>
          <cell r="Q653">
            <v>0</v>
          </cell>
          <cell r="R653">
            <v>0</v>
          </cell>
          <cell r="S653">
            <v>97.5</v>
          </cell>
          <cell r="T653">
            <v>0</v>
          </cell>
          <cell r="U653">
            <v>0</v>
          </cell>
          <cell r="V653">
            <v>126.75</v>
          </cell>
          <cell r="W653">
            <v>0</v>
          </cell>
          <cell r="X653">
            <v>0</v>
          </cell>
          <cell r="Y653">
            <v>9.75</v>
          </cell>
          <cell r="Z653">
            <v>0</v>
          </cell>
          <cell r="AA653">
            <v>0</v>
          </cell>
          <cell r="AB653">
            <v>112.5</v>
          </cell>
          <cell r="AC653">
            <v>0</v>
          </cell>
          <cell r="AD653">
            <v>0</v>
          </cell>
          <cell r="AE653">
            <v>146.25</v>
          </cell>
          <cell r="AF653">
            <v>0</v>
          </cell>
          <cell r="AG653">
            <v>0</v>
          </cell>
          <cell r="AH653">
            <v>11.25</v>
          </cell>
          <cell r="AI653">
            <v>0</v>
          </cell>
          <cell r="AJ653">
            <v>0</v>
          </cell>
          <cell r="AK653">
            <v>97.5</v>
          </cell>
          <cell r="AL653">
            <v>0</v>
          </cell>
          <cell r="AM653">
            <v>0</v>
          </cell>
          <cell r="AN653">
            <v>126.75</v>
          </cell>
          <cell r="AO653">
            <v>0</v>
          </cell>
          <cell r="AP653">
            <v>0</v>
          </cell>
          <cell r="AQ653">
            <v>9.75</v>
          </cell>
          <cell r="AR653">
            <v>0</v>
          </cell>
          <cell r="AS653">
            <v>0</v>
          </cell>
          <cell r="AT653">
            <v>150</v>
          </cell>
          <cell r="AU653">
            <v>0</v>
          </cell>
          <cell r="AV653">
            <v>0</v>
          </cell>
          <cell r="AW653">
            <v>195</v>
          </cell>
          <cell r="AX653">
            <v>0</v>
          </cell>
          <cell r="AY653">
            <v>0</v>
          </cell>
          <cell r="AZ653">
            <v>15</v>
          </cell>
          <cell r="BA653">
            <v>0</v>
          </cell>
          <cell r="BB653">
            <v>0</v>
          </cell>
          <cell r="BC653">
            <v>75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8767.5</v>
          </cell>
        </row>
        <row r="654">
          <cell r="C654">
            <v>30848</v>
          </cell>
          <cell r="D654" t="str">
            <v>Dimasupil, Angelo Palmones</v>
          </cell>
          <cell r="E654">
            <v>56</v>
          </cell>
          <cell r="F654">
            <v>7</v>
          </cell>
          <cell r="G654">
            <v>600</v>
          </cell>
          <cell r="H654">
            <v>4200</v>
          </cell>
          <cell r="I654">
            <v>146</v>
          </cell>
          <cell r="J654">
            <v>1.25</v>
          </cell>
          <cell r="K654">
            <v>-182.5</v>
          </cell>
          <cell r="L654">
            <v>19</v>
          </cell>
          <cell r="M654">
            <v>93.75</v>
          </cell>
          <cell r="N654">
            <v>1781.25</v>
          </cell>
          <cell r="O654">
            <v>0</v>
          </cell>
          <cell r="P654">
            <v>7.5</v>
          </cell>
          <cell r="Q654">
            <v>0</v>
          </cell>
          <cell r="R654">
            <v>8</v>
          </cell>
          <cell r="S654">
            <v>97.5</v>
          </cell>
          <cell r="T654">
            <v>780</v>
          </cell>
          <cell r="U654">
            <v>0</v>
          </cell>
          <cell r="V654">
            <v>126.75</v>
          </cell>
          <cell r="W654">
            <v>0</v>
          </cell>
          <cell r="X654">
            <v>0</v>
          </cell>
          <cell r="Y654">
            <v>9.75</v>
          </cell>
          <cell r="Z654">
            <v>0</v>
          </cell>
          <cell r="AA654">
            <v>0</v>
          </cell>
          <cell r="AB654">
            <v>112.5</v>
          </cell>
          <cell r="AC654">
            <v>0</v>
          </cell>
          <cell r="AD654">
            <v>0</v>
          </cell>
          <cell r="AE654">
            <v>146.25</v>
          </cell>
          <cell r="AF654">
            <v>0</v>
          </cell>
          <cell r="AG654">
            <v>0</v>
          </cell>
          <cell r="AH654">
            <v>11.25</v>
          </cell>
          <cell r="AI654">
            <v>0</v>
          </cell>
          <cell r="AJ654">
            <v>0</v>
          </cell>
          <cell r="AK654">
            <v>97.5</v>
          </cell>
          <cell r="AL654">
            <v>0</v>
          </cell>
          <cell r="AM654">
            <v>0</v>
          </cell>
          <cell r="AN654">
            <v>126.75</v>
          </cell>
          <cell r="AO654">
            <v>0</v>
          </cell>
          <cell r="AP654">
            <v>0</v>
          </cell>
          <cell r="AQ654">
            <v>9.75</v>
          </cell>
          <cell r="AR654">
            <v>0</v>
          </cell>
          <cell r="AS654">
            <v>0</v>
          </cell>
          <cell r="AT654">
            <v>150</v>
          </cell>
          <cell r="AU654">
            <v>0</v>
          </cell>
          <cell r="AV654">
            <v>0</v>
          </cell>
          <cell r="AW654">
            <v>195</v>
          </cell>
          <cell r="AX654">
            <v>0</v>
          </cell>
          <cell r="AY654">
            <v>0</v>
          </cell>
          <cell r="AZ654">
            <v>15</v>
          </cell>
          <cell r="BA654">
            <v>0</v>
          </cell>
          <cell r="BB654">
            <v>0</v>
          </cell>
          <cell r="BC654">
            <v>75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6578.75</v>
          </cell>
        </row>
        <row r="655">
          <cell r="C655">
            <v>12981</v>
          </cell>
          <cell r="D655" t="str">
            <v>Evangelista, Glenda Mingo</v>
          </cell>
          <cell r="E655">
            <v>67</v>
          </cell>
          <cell r="F655">
            <v>8.375</v>
          </cell>
          <cell r="G655">
            <v>600</v>
          </cell>
          <cell r="H655">
            <v>5025</v>
          </cell>
          <cell r="I655">
            <v>0</v>
          </cell>
          <cell r="J655">
            <v>1.25</v>
          </cell>
          <cell r="K655">
            <v>0</v>
          </cell>
          <cell r="L655">
            <v>20</v>
          </cell>
          <cell r="M655">
            <v>93.75</v>
          </cell>
          <cell r="N655">
            <v>1875</v>
          </cell>
          <cell r="O655">
            <v>0</v>
          </cell>
          <cell r="P655">
            <v>7.5</v>
          </cell>
          <cell r="Q655">
            <v>0</v>
          </cell>
          <cell r="R655">
            <v>8</v>
          </cell>
          <cell r="S655">
            <v>97.5</v>
          </cell>
          <cell r="T655">
            <v>780</v>
          </cell>
          <cell r="U655">
            <v>4</v>
          </cell>
          <cell r="V655">
            <v>126.75</v>
          </cell>
          <cell r="W655">
            <v>507</v>
          </cell>
          <cell r="X655">
            <v>0</v>
          </cell>
          <cell r="Y655">
            <v>9.75</v>
          </cell>
          <cell r="Z655">
            <v>0</v>
          </cell>
          <cell r="AA655">
            <v>0</v>
          </cell>
          <cell r="AB655">
            <v>112.5</v>
          </cell>
          <cell r="AC655">
            <v>0</v>
          </cell>
          <cell r="AD655">
            <v>0</v>
          </cell>
          <cell r="AE655">
            <v>146.25</v>
          </cell>
          <cell r="AF655">
            <v>0</v>
          </cell>
          <cell r="AG655">
            <v>0</v>
          </cell>
          <cell r="AH655">
            <v>11.25</v>
          </cell>
          <cell r="AI655">
            <v>0</v>
          </cell>
          <cell r="AJ655">
            <v>0</v>
          </cell>
          <cell r="AK655">
            <v>97.5</v>
          </cell>
          <cell r="AL655">
            <v>0</v>
          </cell>
          <cell r="AM655">
            <v>0</v>
          </cell>
          <cell r="AN655">
            <v>126.75</v>
          </cell>
          <cell r="AO655">
            <v>0</v>
          </cell>
          <cell r="AP655">
            <v>0</v>
          </cell>
          <cell r="AQ655">
            <v>9.75</v>
          </cell>
          <cell r="AR655">
            <v>0</v>
          </cell>
          <cell r="AS655">
            <v>0</v>
          </cell>
          <cell r="AT655">
            <v>150</v>
          </cell>
          <cell r="AU655">
            <v>0</v>
          </cell>
          <cell r="AV655">
            <v>0</v>
          </cell>
          <cell r="AW655">
            <v>195</v>
          </cell>
          <cell r="AX655">
            <v>0</v>
          </cell>
          <cell r="AY655">
            <v>0</v>
          </cell>
          <cell r="AZ655">
            <v>15</v>
          </cell>
          <cell r="BA655">
            <v>0</v>
          </cell>
          <cell r="BB655">
            <v>0</v>
          </cell>
          <cell r="BC655">
            <v>75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8187</v>
          </cell>
        </row>
        <row r="656">
          <cell r="C656">
            <v>10363</v>
          </cell>
          <cell r="D656" t="str">
            <v>Fajardo, Analyn Bolima</v>
          </cell>
          <cell r="E656">
            <v>56</v>
          </cell>
          <cell r="F656">
            <v>7</v>
          </cell>
          <cell r="G656">
            <v>600</v>
          </cell>
          <cell r="H656">
            <v>4200</v>
          </cell>
          <cell r="I656">
            <v>0</v>
          </cell>
          <cell r="J656">
            <v>1.25</v>
          </cell>
          <cell r="K656">
            <v>0</v>
          </cell>
          <cell r="L656">
            <v>19</v>
          </cell>
          <cell r="M656">
            <v>93.75</v>
          </cell>
          <cell r="N656">
            <v>1781.25</v>
          </cell>
          <cell r="O656">
            <v>0</v>
          </cell>
          <cell r="P656">
            <v>7.5</v>
          </cell>
          <cell r="Q656">
            <v>0</v>
          </cell>
          <cell r="R656">
            <v>8</v>
          </cell>
          <cell r="S656">
            <v>97.5</v>
          </cell>
          <cell r="T656">
            <v>780</v>
          </cell>
          <cell r="U656">
            <v>0</v>
          </cell>
          <cell r="V656">
            <v>126.75</v>
          </cell>
          <cell r="W656">
            <v>0</v>
          </cell>
          <cell r="X656">
            <v>0</v>
          </cell>
          <cell r="Y656">
            <v>9.75</v>
          </cell>
          <cell r="Z656">
            <v>0</v>
          </cell>
          <cell r="AA656">
            <v>0</v>
          </cell>
          <cell r="AB656">
            <v>112.5</v>
          </cell>
          <cell r="AC656">
            <v>0</v>
          </cell>
          <cell r="AD656">
            <v>0</v>
          </cell>
          <cell r="AE656">
            <v>146.25</v>
          </cell>
          <cell r="AF656">
            <v>0</v>
          </cell>
          <cell r="AG656">
            <v>0</v>
          </cell>
          <cell r="AH656">
            <v>11.25</v>
          </cell>
          <cell r="AI656">
            <v>0</v>
          </cell>
          <cell r="AJ656">
            <v>0</v>
          </cell>
          <cell r="AK656">
            <v>97.5</v>
          </cell>
          <cell r="AL656">
            <v>0</v>
          </cell>
          <cell r="AM656">
            <v>0</v>
          </cell>
          <cell r="AN656">
            <v>126.75</v>
          </cell>
          <cell r="AO656">
            <v>0</v>
          </cell>
          <cell r="AP656">
            <v>0</v>
          </cell>
          <cell r="AQ656">
            <v>9.75</v>
          </cell>
          <cell r="AR656">
            <v>0</v>
          </cell>
          <cell r="AS656">
            <v>0</v>
          </cell>
          <cell r="AT656">
            <v>150</v>
          </cell>
          <cell r="AU656">
            <v>0</v>
          </cell>
          <cell r="AV656">
            <v>0</v>
          </cell>
          <cell r="AW656">
            <v>195</v>
          </cell>
          <cell r="AX656">
            <v>0</v>
          </cell>
          <cell r="AY656">
            <v>0</v>
          </cell>
          <cell r="AZ656">
            <v>15</v>
          </cell>
          <cell r="BA656">
            <v>0</v>
          </cell>
          <cell r="BB656">
            <v>0</v>
          </cell>
          <cell r="BC656">
            <v>75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6761.25</v>
          </cell>
        </row>
        <row r="657">
          <cell r="C657">
            <v>30911</v>
          </cell>
          <cell r="D657" t="str">
            <v>Fernandez, Janzel</v>
          </cell>
          <cell r="E657">
            <v>56</v>
          </cell>
          <cell r="F657">
            <v>7</v>
          </cell>
          <cell r="G657">
            <v>600</v>
          </cell>
          <cell r="H657">
            <v>4200</v>
          </cell>
          <cell r="I657">
            <v>219</v>
          </cell>
          <cell r="J657">
            <v>1.25</v>
          </cell>
          <cell r="K657">
            <v>-273.75</v>
          </cell>
          <cell r="L657">
            <v>14</v>
          </cell>
          <cell r="M657">
            <v>93.75</v>
          </cell>
          <cell r="N657">
            <v>1312.5</v>
          </cell>
          <cell r="O657">
            <v>0</v>
          </cell>
          <cell r="P657">
            <v>7.5</v>
          </cell>
          <cell r="Q657">
            <v>0</v>
          </cell>
          <cell r="R657">
            <v>0</v>
          </cell>
          <cell r="S657">
            <v>97.5</v>
          </cell>
          <cell r="T657">
            <v>0</v>
          </cell>
          <cell r="U657">
            <v>0</v>
          </cell>
          <cell r="V657">
            <v>126.75</v>
          </cell>
          <cell r="W657">
            <v>0</v>
          </cell>
          <cell r="X657">
            <v>0</v>
          </cell>
          <cell r="Y657">
            <v>9.75</v>
          </cell>
          <cell r="Z657">
            <v>0</v>
          </cell>
          <cell r="AA657">
            <v>0</v>
          </cell>
          <cell r="AB657">
            <v>112.5</v>
          </cell>
          <cell r="AC657">
            <v>0</v>
          </cell>
          <cell r="AD657">
            <v>0</v>
          </cell>
          <cell r="AE657">
            <v>146.25</v>
          </cell>
          <cell r="AF657">
            <v>0</v>
          </cell>
          <cell r="AG657">
            <v>0</v>
          </cell>
          <cell r="AH657">
            <v>11.25</v>
          </cell>
          <cell r="AI657">
            <v>0</v>
          </cell>
          <cell r="AJ657">
            <v>0</v>
          </cell>
          <cell r="AK657">
            <v>97.5</v>
          </cell>
          <cell r="AL657">
            <v>0</v>
          </cell>
          <cell r="AM657">
            <v>0</v>
          </cell>
          <cell r="AN657">
            <v>126.75</v>
          </cell>
          <cell r="AO657">
            <v>0</v>
          </cell>
          <cell r="AP657">
            <v>0</v>
          </cell>
          <cell r="AQ657">
            <v>9.75</v>
          </cell>
          <cell r="AR657">
            <v>0</v>
          </cell>
          <cell r="AS657">
            <v>0</v>
          </cell>
          <cell r="AT657">
            <v>150</v>
          </cell>
          <cell r="AU657">
            <v>0</v>
          </cell>
          <cell r="AV657">
            <v>0</v>
          </cell>
          <cell r="AW657">
            <v>195</v>
          </cell>
          <cell r="AX657">
            <v>0</v>
          </cell>
          <cell r="AY657">
            <v>0</v>
          </cell>
          <cell r="AZ657">
            <v>15</v>
          </cell>
          <cell r="BA657">
            <v>0</v>
          </cell>
          <cell r="BB657">
            <v>0</v>
          </cell>
          <cell r="BC657">
            <v>75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5238.75</v>
          </cell>
        </row>
        <row r="658">
          <cell r="C658">
            <v>30853</v>
          </cell>
          <cell r="D658" t="str">
            <v>Gonzales, Candy Villapando</v>
          </cell>
          <cell r="E658">
            <v>72</v>
          </cell>
          <cell r="F658">
            <v>9</v>
          </cell>
          <cell r="G658">
            <v>600</v>
          </cell>
          <cell r="H658">
            <v>5400</v>
          </cell>
          <cell r="I658">
            <v>31</v>
          </cell>
          <cell r="J658">
            <v>1.25</v>
          </cell>
          <cell r="K658">
            <v>-38.75</v>
          </cell>
          <cell r="L658">
            <v>19</v>
          </cell>
          <cell r="M658">
            <v>93.75</v>
          </cell>
          <cell r="N658">
            <v>1781.25</v>
          </cell>
          <cell r="O658">
            <v>67</v>
          </cell>
          <cell r="P658">
            <v>7.5</v>
          </cell>
          <cell r="Q658">
            <v>502.5</v>
          </cell>
          <cell r="R658">
            <v>16</v>
          </cell>
          <cell r="S658">
            <v>97.5</v>
          </cell>
          <cell r="T658">
            <v>1560</v>
          </cell>
          <cell r="U658">
            <v>4</v>
          </cell>
          <cell r="V658">
            <v>126.75</v>
          </cell>
          <cell r="W658">
            <v>507</v>
          </cell>
          <cell r="X658">
            <v>8</v>
          </cell>
          <cell r="Y658">
            <v>9.75</v>
          </cell>
          <cell r="Z658">
            <v>78</v>
          </cell>
          <cell r="AA658">
            <v>0</v>
          </cell>
          <cell r="AB658">
            <v>112.5</v>
          </cell>
          <cell r="AC658">
            <v>0</v>
          </cell>
          <cell r="AD658">
            <v>0</v>
          </cell>
          <cell r="AE658">
            <v>146.25</v>
          </cell>
          <cell r="AF658">
            <v>0</v>
          </cell>
          <cell r="AG658">
            <v>0</v>
          </cell>
          <cell r="AH658">
            <v>11.25</v>
          </cell>
          <cell r="AI658">
            <v>0</v>
          </cell>
          <cell r="AJ658">
            <v>0</v>
          </cell>
          <cell r="AK658">
            <v>97.5</v>
          </cell>
          <cell r="AL658">
            <v>0</v>
          </cell>
          <cell r="AM658">
            <v>0</v>
          </cell>
          <cell r="AN658">
            <v>126.75</v>
          </cell>
          <cell r="AO658">
            <v>0</v>
          </cell>
          <cell r="AP658">
            <v>0</v>
          </cell>
          <cell r="AQ658">
            <v>9.75</v>
          </cell>
          <cell r="AR658">
            <v>0</v>
          </cell>
          <cell r="AS658">
            <v>0</v>
          </cell>
          <cell r="AT658">
            <v>150</v>
          </cell>
          <cell r="AU658">
            <v>0</v>
          </cell>
          <cell r="AV658">
            <v>0</v>
          </cell>
          <cell r="AW658">
            <v>195</v>
          </cell>
          <cell r="AX658">
            <v>0</v>
          </cell>
          <cell r="AY658">
            <v>0</v>
          </cell>
          <cell r="AZ658">
            <v>15</v>
          </cell>
          <cell r="BA658">
            <v>0</v>
          </cell>
          <cell r="BB658">
            <v>0</v>
          </cell>
          <cell r="BC658">
            <v>75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9790</v>
          </cell>
        </row>
        <row r="659">
          <cell r="C659">
            <v>11433</v>
          </cell>
          <cell r="D659" t="str">
            <v>Jamil, Ryan G</v>
          </cell>
          <cell r="E659">
            <v>64</v>
          </cell>
          <cell r="F659">
            <v>8</v>
          </cell>
          <cell r="G659">
            <v>600</v>
          </cell>
          <cell r="H659">
            <v>4800</v>
          </cell>
          <cell r="I659">
            <v>0</v>
          </cell>
          <cell r="J659">
            <v>1.25</v>
          </cell>
          <cell r="K659">
            <v>0</v>
          </cell>
          <cell r="L659">
            <v>16</v>
          </cell>
          <cell r="M659">
            <v>93.75</v>
          </cell>
          <cell r="N659">
            <v>1500</v>
          </cell>
          <cell r="O659">
            <v>0</v>
          </cell>
          <cell r="P659">
            <v>7.5</v>
          </cell>
          <cell r="Q659">
            <v>0</v>
          </cell>
          <cell r="R659">
            <v>8</v>
          </cell>
          <cell r="S659">
            <v>97.5</v>
          </cell>
          <cell r="T659">
            <v>780</v>
          </cell>
          <cell r="U659">
            <v>4</v>
          </cell>
          <cell r="V659">
            <v>126.75</v>
          </cell>
          <cell r="W659">
            <v>507</v>
          </cell>
          <cell r="X659">
            <v>0</v>
          </cell>
          <cell r="Y659">
            <v>9.75</v>
          </cell>
          <cell r="Z659">
            <v>0</v>
          </cell>
          <cell r="AA659">
            <v>0</v>
          </cell>
          <cell r="AB659">
            <v>112.5</v>
          </cell>
          <cell r="AC659">
            <v>0</v>
          </cell>
          <cell r="AD659">
            <v>0</v>
          </cell>
          <cell r="AE659">
            <v>146.25</v>
          </cell>
          <cell r="AF659">
            <v>0</v>
          </cell>
          <cell r="AG659">
            <v>0</v>
          </cell>
          <cell r="AH659">
            <v>11.25</v>
          </cell>
          <cell r="AI659">
            <v>0</v>
          </cell>
          <cell r="AJ659">
            <v>0</v>
          </cell>
          <cell r="AK659">
            <v>97.5</v>
          </cell>
          <cell r="AL659">
            <v>0</v>
          </cell>
          <cell r="AM659">
            <v>0</v>
          </cell>
          <cell r="AN659">
            <v>126.75</v>
          </cell>
          <cell r="AO659">
            <v>0</v>
          </cell>
          <cell r="AP659">
            <v>0</v>
          </cell>
          <cell r="AQ659">
            <v>9.75</v>
          </cell>
          <cell r="AR659">
            <v>0</v>
          </cell>
          <cell r="AS659">
            <v>0</v>
          </cell>
          <cell r="AT659">
            <v>150</v>
          </cell>
          <cell r="AU659">
            <v>0</v>
          </cell>
          <cell r="AV659">
            <v>0</v>
          </cell>
          <cell r="AW659">
            <v>195</v>
          </cell>
          <cell r="AX659">
            <v>0</v>
          </cell>
          <cell r="AY659">
            <v>0</v>
          </cell>
          <cell r="AZ659">
            <v>15</v>
          </cell>
          <cell r="BA659">
            <v>0</v>
          </cell>
          <cell r="BB659">
            <v>0</v>
          </cell>
          <cell r="BC659">
            <v>75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7587</v>
          </cell>
        </row>
        <row r="660">
          <cell r="C660">
            <v>30567</v>
          </cell>
          <cell r="D660" t="str">
            <v>Junio, Judy Ann Ogatis</v>
          </cell>
          <cell r="E660">
            <v>72</v>
          </cell>
          <cell r="F660">
            <v>9</v>
          </cell>
          <cell r="G660">
            <v>600</v>
          </cell>
          <cell r="H660">
            <v>5400</v>
          </cell>
          <cell r="I660">
            <v>0</v>
          </cell>
          <cell r="J660">
            <v>1.25</v>
          </cell>
          <cell r="K660">
            <v>0</v>
          </cell>
          <cell r="L660">
            <v>19</v>
          </cell>
          <cell r="M660">
            <v>93.75</v>
          </cell>
          <cell r="N660">
            <v>1781.25</v>
          </cell>
          <cell r="O660">
            <v>67</v>
          </cell>
          <cell r="P660">
            <v>7.5</v>
          </cell>
          <cell r="Q660">
            <v>502.5</v>
          </cell>
          <cell r="R660">
            <v>8</v>
          </cell>
          <cell r="S660">
            <v>97.5</v>
          </cell>
          <cell r="T660">
            <v>780</v>
          </cell>
          <cell r="U660">
            <v>1</v>
          </cell>
          <cell r="V660">
            <v>126.75</v>
          </cell>
          <cell r="W660">
            <v>126.75</v>
          </cell>
          <cell r="X660">
            <v>6</v>
          </cell>
          <cell r="Y660">
            <v>9.75</v>
          </cell>
          <cell r="Z660">
            <v>58.5</v>
          </cell>
          <cell r="AA660">
            <v>0</v>
          </cell>
          <cell r="AB660">
            <v>112.5</v>
          </cell>
          <cell r="AC660">
            <v>0</v>
          </cell>
          <cell r="AD660">
            <v>0</v>
          </cell>
          <cell r="AE660">
            <v>146.25</v>
          </cell>
          <cell r="AF660">
            <v>0</v>
          </cell>
          <cell r="AG660">
            <v>0</v>
          </cell>
          <cell r="AH660">
            <v>11.25</v>
          </cell>
          <cell r="AI660">
            <v>0</v>
          </cell>
          <cell r="AJ660">
            <v>0</v>
          </cell>
          <cell r="AK660">
            <v>97.5</v>
          </cell>
          <cell r="AL660">
            <v>0</v>
          </cell>
          <cell r="AM660">
            <v>0</v>
          </cell>
          <cell r="AN660">
            <v>126.75</v>
          </cell>
          <cell r="AO660">
            <v>0</v>
          </cell>
          <cell r="AP660">
            <v>0</v>
          </cell>
          <cell r="AQ660">
            <v>9.75</v>
          </cell>
          <cell r="AR660">
            <v>0</v>
          </cell>
          <cell r="AS660">
            <v>0</v>
          </cell>
          <cell r="AT660">
            <v>150</v>
          </cell>
          <cell r="AU660">
            <v>0</v>
          </cell>
          <cell r="AV660">
            <v>0</v>
          </cell>
          <cell r="AW660">
            <v>195</v>
          </cell>
          <cell r="AX660">
            <v>0</v>
          </cell>
          <cell r="AY660">
            <v>0</v>
          </cell>
          <cell r="AZ660">
            <v>15</v>
          </cell>
          <cell r="BA660">
            <v>0</v>
          </cell>
          <cell r="BB660">
            <v>0</v>
          </cell>
          <cell r="BC660">
            <v>75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8649</v>
          </cell>
        </row>
        <row r="661">
          <cell r="C661">
            <v>30564</v>
          </cell>
          <cell r="D661" t="str">
            <v>Lampa, Ara Bella Lastra</v>
          </cell>
          <cell r="E661">
            <v>80</v>
          </cell>
          <cell r="F661">
            <v>10</v>
          </cell>
          <cell r="G661">
            <v>600</v>
          </cell>
          <cell r="H661">
            <v>6000</v>
          </cell>
          <cell r="I661">
            <v>0</v>
          </cell>
          <cell r="J661">
            <v>1.25</v>
          </cell>
          <cell r="K661">
            <v>0</v>
          </cell>
          <cell r="L661">
            <v>25</v>
          </cell>
          <cell r="M661">
            <v>93.75</v>
          </cell>
          <cell r="N661">
            <v>2343.75</v>
          </cell>
          <cell r="O661">
            <v>77</v>
          </cell>
          <cell r="P661">
            <v>7.5</v>
          </cell>
          <cell r="Q661">
            <v>577.5</v>
          </cell>
          <cell r="R661">
            <v>8</v>
          </cell>
          <cell r="S661">
            <v>97.5</v>
          </cell>
          <cell r="T661">
            <v>780</v>
          </cell>
          <cell r="U661">
            <v>1</v>
          </cell>
          <cell r="V661">
            <v>126.75</v>
          </cell>
          <cell r="W661">
            <v>126.75</v>
          </cell>
          <cell r="X661">
            <v>6</v>
          </cell>
          <cell r="Y661">
            <v>9.75</v>
          </cell>
          <cell r="Z661">
            <v>58.5</v>
          </cell>
          <cell r="AA661">
            <v>0</v>
          </cell>
          <cell r="AB661">
            <v>112.5</v>
          </cell>
          <cell r="AC661">
            <v>0</v>
          </cell>
          <cell r="AD661">
            <v>0</v>
          </cell>
          <cell r="AE661">
            <v>146.25</v>
          </cell>
          <cell r="AF661">
            <v>0</v>
          </cell>
          <cell r="AG661">
            <v>0</v>
          </cell>
          <cell r="AH661">
            <v>11.25</v>
          </cell>
          <cell r="AI661">
            <v>0</v>
          </cell>
          <cell r="AJ661">
            <v>0</v>
          </cell>
          <cell r="AK661">
            <v>97.5</v>
          </cell>
          <cell r="AL661">
            <v>0</v>
          </cell>
          <cell r="AM661">
            <v>0</v>
          </cell>
          <cell r="AN661">
            <v>126.75</v>
          </cell>
          <cell r="AO661">
            <v>0</v>
          </cell>
          <cell r="AP661">
            <v>0</v>
          </cell>
          <cell r="AQ661">
            <v>9.75</v>
          </cell>
          <cell r="AR661">
            <v>0</v>
          </cell>
          <cell r="AS661">
            <v>0</v>
          </cell>
          <cell r="AT661">
            <v>150</v>
          </cell>
          <cell r="AU661">
            <v>0</v>
          </cell>
          <cell r="AV661">
            <v>0</v>
          </cell>
          <cell r="AW661">
            <v>195</v>
          </cell>
          <cell r="AX661">
            <v>0</v>
          </cell>
          <cell r="AY661">
            <v>0</v>
          </cell>
          <cell r="AZ661">
            <v>15</v>
          </cell>
          <cell r="BA661">
            <v>0</v>
          </cell>
          <cell r="BB661">
            <v>0</v>
          </cell>
          <cell r="BC661">
            <v>75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9886.5</v>
          </cell>
        </row>
        <row r="662">
          <cell r="C662">
            <v>30440</v>
          </cell>
          <cell r="D662" t="str">
            <v>Lopez, Jenelyn Sombrano</v>
          </cell>
          <cell r="E662">
            <v>16</v>
          </cell>
          <cell r="F662">
            <v>2</v>
          </cell>
          <cell r="G662">
            <v>600</v>
          </cell>
          <cell r="H662">
            <v>1200</v>
          </cell>
          <cell r="I662">
            <v>0</v>
          </cell>
          <cell r="J662">
            <v>1.25</v>
          </cell>
          <cell r="K662">
            <v>0</v>
          </cell>
          <cell r="L662">
            <v>2</v>
          </cell>
          <cell r="M662">
            <v>93.75</v>
          </cell>
          <cell r="N662">
            <v>187.5</v>
          </cell>
          <cell r="O662">
            <v>0</v>
          </cell>
          <cell r="P662">
            <v>7.5</v>
          </cell>
          <cell r="Q662">
            <v>0</v>
          </cell>
          <cell r="R662">
            <v>0</v>
          </cell>
          <cell r="S662">
            <v>97.5</v>
          </cell>
          <cell r="T662">
            <v>0</v>
          </cell>
          <cell r="U662">
            <v>0</v>
          </cell>
          <cell r="V662">
            <v>126.75</v>
          </cell>
          <cell r="W662">
            <v>0</v>
          </cell>
          <cell r="X662">
            <v>0</v>
          </cell>
          <cell r="Y662">
            <v>9.75</v>
          </cell>
          <cell r="Z662">
            <v>0</v>
          </cell>
          <cell r="AA662">
            <v>0</v>
          </cell>
          <cell r="AB662">
            <v>112.5</v>
          </cell>
          <cell r="AC662">
            <v>0</v>
          </cell>
          <cell r="AD662">
            <v>0</v>
          </cell>
          <cell r="AE662">
            <v>146.25</v>
          </cell>
          <cell r="AF662">
            <v>0</v>
          </cell>
          <cell r="AG662">
            <v>0</v>
          </cell>
          <cell r="AH662">
            <v>11.25</v>
          </cell>
          <cell r="AI662">
            <v>0</v>
          </cell>
          <cell r="AJ662">
            <v>0</v>
          </cell>
          <cell r="AK662">
            <v>97.5</v>
          </cell>
          <cell r="AL662">
            <v>0</v>
          </cell>
          <cell r="AM662">
            <v>0</v>
          </cell>
          <cell r="AN662">
            <v>126.75</v>
          </cell>
          <cell r="AO662">
            <v>0</v>
          </cell>
          <cell r="AP662">
            <v>0</v>
          </cell>
          <cell r="AQ662">
            <v>9.75</v>
          </cell>
          <cell r="AR662">
            <v>0</v>
          </cell>
          <cell r="AS662">
            <v>0</v>
          </cell>
          <cell r="AT662">
            <v>150</v>
          </cell>
          <cell r="AU662">
            <v>0</v>
          </cell>
          <cell r="AV662">
            <v>0</v>
          </cell>
          <cell r="AW662">
            <v>195</v>
          </cell>
          <cell r="AX662">
            <v>0</v>
          </cell>
          <cell r="AY662">
            <v>0</v>
          </cell>
          <cell r="AZ662">
            <v>15</v>
          </cell>
          <cell r="BA662">
            <v>0</v>
          </cell>
          <cell r="BB662">
            <v>0</v>
          </cell>
          <cell r="BC662">
            <v>75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1387.5</v>
          </cell>
        </row>
        <row r="663">
          <cell r="C663">
            <v>11511</v>
          </cell>
          <cell r="D663" t="str">
            <v>Manimtim, Aliah Castillo</v>
          </cell>
          <cell r="E663">
            <v>72</v>
          </cell>
          <cell r="F663">
            <v>9</v>
          </cell>
          <cell r="G663">
            <v>600</v>
          </cell>
          <cell r="H663">
            <v>5400</v>
          </cell>
          <cell r="I663">
            <v>120</v>
          </cell>
          <cell r="J663">
            <v>1.25</v>
          </cell>
          <cell r="K663">
            <v>-150</v>
          </cell>
          <cell r="L663">
            <v>24</v>
          </cell>
          <cell r="M663">
            <v>93.75</v>
          </cell>
          <cell r="N663">
            <v>2250</v>
          </cell>
          <cell r="O663">
            <v>8</v>
          </cell>
          <cell r="P663">
            <v>7.5</v>
          </cell>
          <cell r="Q663">
            <v>60</v>
          </cell>
          <cell r="R663">
            <v>8</v>
          </cell>
          <cell r="S663">
            <v>97.5</v>
          </cell>
          <cell r="T663">
            <v>780</v>
          </cell>
          <cell r="U663">
            <v>0</v>
          </cell>
          <cell r="V663">
            <v>126.75</v>
          </cell>
          <cell r="W663">
            <v>0</v>
          </cell>
          <cell r="X663">
            <v>0</v>
          </cell>
          <cell r="Y663">
            <v>9.75</v>
          </cell>
          <cell r="Z663">
            <v>0</v>
          </cell>
          <cell r="AA663">
            <v>0</v>
          </cell>
          <cell r="AB663">
            <v>112.5</v>
          </cell>
          <cell r="AC663">
            <v>0</v>
          </cell>
          <cell r="AD663">
            <v>0</v>
          </cell>
          <cell r="AE663">
            <v>146.25</v>
          </cell>
          <cell r="AF663">
            <v>0</v>
          </cell>
          <cell r="AG663">
            <v>0</v>
          </cell>
          <cell r="AH663">
            <v>11.25</v>
          </cell>
          <cell r="AI663">
            <v>0</v>
          </cell>
          <cell r="AJ663">
            <v>0</v>
          </cell>
          <cell r="AK663">
            <v>97.5</v>
          </cell>
          <cell r="AL663">
            <v>0</v>
          </cell>
          <cell r="AM663">
            <v>0</v>
          </cell>
          <cell r="AN663">
            <v>126.75</v>
          </cell>
          <cell r="AO663">
            <v>0</v>
          </cell>
          <cell r="AP663">
            <v>0</v>
          </cell>
          <cell r="AQ663">
            <v>9.75</v>
          </cell>
          <cell r="AR663">
            <v>0</v>
          </cell>
          <cell r="AS663">
            <v>0</v>
          </cell>
          <cell r="AT663">
            <v>150</v>
          </cell>
          <cell r="AU663">
            <v>0</v>
          </cell>
          <cell r="AV663">
            <v>0</v>
          </cell>
          <cell r="AW663">
            <v>195</v>
          </cell>
          <cell r="AX663">
            <v>0</v>
          </cell>
          <cell r="AY663">
            <v>0</v>
          </cell>
          <cell r="AZ663">
            <v>15</v>
          </cell>
          <cell r="BA663">
            <v>0</v>
          </cell>
          <cell r="BB663">
            <v>0</v>
          </cell>
          <cell r="BC663">
            <v>75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8340</v>
          </cell>
        </row>
        <row r="664">
          <cell r="C664">
            <v>14693</v>
          </cell>
          <cell r="D664" t="str">
            <v>Mayuga, Mark Jonas Mayuga</v>
          </cell>
          <cell r="E664">
            <v>72</v>
          </cell>
          <cell r="F664">
            <v>9</v>
          </cell>
          <cell r="G664">
            <v>600</v>
          </cell>
          <cell r="H664">
            <v>5400</v>
          </cell>
          <cell r="I664">
            <v>0</v>
          </cell>
          <cell r="J664">
            <v>1.25</v>
          </cell>
          <cell r="K664">
            <v>0</v>
          </cell>
          <cell r="L664">
            <v>22</v>
          </cell>
          <cell r="M664">
            <v>93.75</v>
          </cell>
          <cell r="N664">
            <v>2062.5</v>
          </cell>
          <cell r="O664">
            <v>69</v>
          </cell>
          <cell r="P664">
            <v>7.5</v>
          </cell>
          <cell r="Q664">
            <v>517.5</v>
          </cell>
          <cell r="R664">
            <v>8</v>
          </cell>
          <cell r="S664">
            <v>97.5</v>
          </cell>
          <cell r="T664">
            <v>780</v>
          </cell>
          <cell r="U664">
            <v>4</v>
          </cell>
          <cell r="V664">
            <v>126.75</v>
          </cell>
          <cell r="W664">
            <v>507</v>
          </cell>
          <cell r="X664">
            <v>8</v>
          </cell>
          <cell r="Y664">
            <v>9.75</v>
          </cell>
          <cell r="Z664">
            <v>78</v>
          </cell>
          <cell r="AA664">
            <v>0</v>
          </cell>
          <cell r="AB664">
            <v>112.5</v>
          </cell>
          <cell r="AC664">
            <v>0</v>
          </cell>
          <cell r="AD664">
            <v>0</v>
          </cell>
          <cell r="AE664">
            <v>146.25</v>
          </cell>
          <cell r="AF664">
            <v>0</v>
          </cell>
          <cell r="AG664">
            <v>0</v>
          </cell>
          <cell r="AH664">
            <v>11.25</v>
          </cell>
          <cell r="AI664">
            <v>0</v>
          </cell>
          <cell r="AJ664">
            <v>0</v>
          </cell>
          <cell r="AK664">
            <v>97.5</v>
          </cell>
          <cell r="AL664">
            <v>0</v>
          </cell>
          <cell r="AM664">
            <v>0</v>
          </cell>
          <cell r="AN664">
            <v>126.75</v>
          </cell>
          <cell r="AO664">
            <v>0</v>
          </cell>
          <cell r="AP664">
            <v>0</v>
          </cell>
          <cell r="AQ664">
            <v>9.75</v>
          </cell>
          <cell r="AR664">
            <v>0</v>
          </cell>
          <cell r="AS664">
            <v>0</v>
          </cell>
          <cell r="AT664">
            <v>150</v>
          </cell>
          <cell r="AU664">
            <v>0</v>
          </cell>
          <cell r="AV664">
            <v>0</v>
          </cell>
          <cell r="AW664">
            <v>195</v>
          </cell>
          <cell r="AX664">
            <v>0</v>
          </cell>
          <cell r="AY664">
            <v>0</v>
          </cell>
          <cell r="AZ664">
            <v>15</v>
          </cell>
          <cell r="BA664">
            <v>0</v>
          </cell>
          <cell r="BB664">
            <v>0</v>
          </cell>
          <cell r="BC664">
            <v>75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9345</v>
          </cell>
        </row>
        <row r="665">
          <cell r="C665">
            <v>11510</v>
          </cell>
          <cell r="D665" t="str">
            <v>Pabilonia, Juliana Raquel</v>
          </cell>
          <cell r="E665">
            <v>80</v>
          </cell>
          <cell r="F665">
            <v>10</v>
          </cell>
          <cell r="G665">
            <v>600</v>
          </cell>
          <cell r="H665">
            <v>6000</v>
          </cell>
          <cell r="I665">
            <v>0</v>
          </cell>
          <cell r="J665">
            <v>1.25</v>
          </cell>
          <cell r="K665">
            <v>0</v>
          </cell>
          <cell r="L665">
            <v>26</v>
          </cell>
          <cell r="M665">
            <v>93.75</v>
          </cell>
          <cell r="N665">
            <v>2437.5</v>
          </cell>
          <cell r="O665">
            <v>78</v>
          </cell>
          <cell r="P665">
            <v>7.5</v>
          </cell>
          <cell r="Q665">
            <v>585</v>
          </cell>
          <cell r="R665">
            <v>8</v>
          </cell>
          <cell r="S665">
            <v>97.5</v>
          </cell>
          <cell r="T665">
            <v>780</v>
          </cell>
          <cell r="U665">
            <v>3</v>
          </cell>
          <cell r="V665">
            <v>126.75</v>
          </cell>
          <cell r="W665">
            <v>380.25</v>
          </cell>
          <cell r="X665">
            <v>0</v>
          </cell>
          <cell r="Y665">
            <v>9.75</v>
          </cell>
          <cell r="Z665">
            <v>0</v>
          </cell>
          <cell r="AA665">
            <v>0</v>
          </cell>
          <cell r="AB665">
            <v>112.5</v>
          </cell>
          <cell r="AC665">
            <v>0</v>
          </cell>
          <cell r="AD665">
            <v>0</v>
          </cell>
          <cell r="AE665">
            <v>146.25</v>
          </cell>
          <cell r="AF665">
            <v>0</v>
          </cell>
          <cell r="AG665">
            <v>0</v>
          </cell>
          <cell r="AH665">
            <v>11.25</v>
          </cell>
          <cell r="AI665">
            <v>0</v>
          </cell>
          <cell r="AJ665">
            <v>0</v>
          </cell>
          <cell r="AK665">
            <v>97.5</v>
          </cell>
          <cell r="AL665">
            <v>0</v>
          </cell>
          <cell r="AM665">
            <v>0</v>
          </cell>
          <cell r="AN665">
            <v>126.75</v>
          </cell>
          <cell r="AO665">
            <v>0</v>
          </cell>
          <cell r="AP665">
            <v>0</v>
          </cell>
          <cell r="AQ665">
            <v>9.75</v>
          </cell>
          <cell r="AR665">
            <v>0</v>
          </cell>
          <cell r="AS665">
            <v>0</v>
          </cell>
          <cell r="AT665">
            <v>150</v>
          </cell>
          <cell r="AU665">
            <v>0</v>
          </cell>
          <cell r="AV665">
            <v>0</v>
          </cell>
          <cell r="AW665">
            <v>195</v>
          </cell>
          <cell r="AX665">
            <v>0</v>
          </cell>
          <cell r="AY665">
            <v>0</v>
          </cell>
          <cell r="AZ665">
            <v>15</v>
          </cell>
          <cell r="BA665">
            <v>0</v>
          </cell>
          <cell r="BB665">
            <v>0</v>
          </cell>
          <cell r="BC665">
            <v>75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10182.75</v>
          </cell>
        </row>
        <row r="666">
          <cell r="C666">
            <v>11508</v>
          </cell>
          <cell r="D666" t="str">
            <v>Paison, Babydel Gruezo</v>
          </cell>
          <cell r="E666">
            <v>80</v>
          </cell>
          <cell r="F666">
            <v>10</v>
          </cell>
          <cell r="G666">
            <v>600</v>
          </cell>
          <cell r="H666">
            <v>6000</v>
          </cell>
          <cell r="I666">
            <v>0</v>
          </cell>
          <cell r="J666">
            <v>1.25</v>
          </cell>
          <cell r="K666">
            <v>0</v>
          </cell>
          <cell r="L666">
            <v>26</v>
          </cell>
          <cell r="M666">
            <v>93.75</v>
          </cell>
          <cell r="N666">
            <v>2437.5</v>
          </cell>
          <cell r="O666">
            <v>0</v>
          </cell>
          <cell r="P666">
            <v>7.5</v>
          </cell>
          <cell r="Q666">
            <v>0</v>
          </cell>
          <cell r="R666">
            <v>0</v>
          </cell>
          <cell r="S666">
            <v>97.5</v>
          </cell>
          <cell r="T666">
            <v>0</v>
          </cell>
          <cell r="U666">
            <v>0</v>
          </cell>
          <cell r="V666">
            <v>126.75</v>
          </cell>
          <cell r="W666">
            <v>0</v>
          </cell>
          <cell r="X666">
            <v>0</v>
          </cell>
          <cell r="Y666">
            <v>9.75</v>
          </cell>
          <cell r="Z666">
            <v>0</v>
          </cell>
          <cell r="AA666">
            <v>0</v>
          </cell>
          <cell r="AB666">
            <v>112.5</v>
          </cell>
          <cell r="AC666">
            <v>0</v>
          </cell>
          <cell r="AD666">
            <v>0</v>
          </cell>
          <cell r="AE666">
            <v>146.25</v>
          </cell>
          <cell r="AF666">
            <v>0</v>
          </cell>
          <cell r="AG666">
            <v>0</v>
          </cell>
          <cell r="AH666">
            <v>11.25</v>
          </cell>
          <cell r="AI666">
            <v>0</v>
          </cell>
          <cell r="AJ666">
            <v>0</v>
          </cell>
          <cell r="AK666">
            <v>97.5</v>
          </cell>
          <cell r="AL666">
            <v>0</v>
          </cell>
          <cell r="AM666">
            <v>0</v>
          </cell>
          <cell r="AN666">
            <v>126.75</v>
          </cell>
          <cell r="AO666">
            <v>0</v>
          </cell>
          <cell r="AP666">
            <v>0</v>
          </cell>
          <cell r="AQ666">
            <v>9.75</v>
          </cell>
          <cell r="AR666">
            <v>0</v>
          </cell>
          <cell r="AS666">
            <v>0</v>
          </cell>
          <cell r="AT666">
            <v>150</v>
          </cell>
          <cell r="AU666">
            <v>0</v>
          </cell>
          <cell r="AV666">
            <v>0</v>
          </cell>
          <cell r="AW666">
            <v>195</v>
          </cell>
          <cell r="AX666">
            <v>0</v>
          </cell>
          <cell r="AY666">
            <v>0</v>
          </cell>
          <cell r="AZ666">
            <v>15</v>
          </cell>
          <cell r="BA666">
            <v>0</v>
          </cell>
          <cell r="BB666">
            <v>0</v>
          </cell>
          <cell r="BC666">
            <v>75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8437.5</v>
          </cell>
        </row>
        <row r="667">
          <cell r="C667">
            <v>14440</v>
          </cell>
          <cell r="D667" t="str">
            <v>Panaligan, Hazel Diata</v>
          </cell>
          <cell r="E667">
            <v>72</v>
          </cell>
          <cell r="F667">
            <v>9</v>
          </cell>
          <cell r="G667">
            <v>600</v>
          </cell>
          <cell r="H667">
            <v>5400</v>
          </cell>
          <cell r="I667">
            <v>49</v>
          </cell>
          <cell r="J667">
            <v>1.25</v>
          </cell>
          <cell r="K667">
            <v>-61.25</v>
          </cell>
          <cell r="L667">
            <v>23</v>
          </cell>
          <cell r="M667">
            <v>93.75</v>
          </cell>
          <cell r="N667">
            <v>2156.25</v>
          </cell>
          <cell r="O667">
            <v>0</v>
          </cell>
          <cell r="P667">
            <v>7.5</v>
          </cell>
          <cell r="Q667">
            <v>0</v>
          </cell>
          <cell r="R667">
            <v>8</v>
          </cell>
          <cell r="S667">
            <v>97.5</v>
          </cell>
          <cell r="T667">
            <v>780</v>
          </cell>
          <cell r="U667">
            <v>0</v>
          </cell>
          <cell r="V667">
            <v>126.75</v>
          </cell>
          <cell r="W667">
            <v>0</v>
          </cell>
          <cell r="X667">
            <v>0</v>
          </cell>
          <cell r="Y667">
            <v>9.75</v>
          </cell>
          <cell r="Z667">
            <v>0</v>
          </cell>
          <cell r="AA667">
            <v>0</v>
          </cell>
          <cell r="AB667">
            <v>112.5</v>
          </cell>
          <cell r="AC667">
            <v>0</v>
          </cell>
          <cell r="AD667">
            <v>0</v>
          </cell>
          <cell r="AE667">
            <v>146.25</v>
          </cell>
          <cell r="AF667">
            <v>0</v>
          </cell>
          <cell r="AG667">
            <v>0</v>
          </cell>
          <cell r="AH667">
            <v>11.25</v>
          </cell>
          <cell r="AI667">
            <v>0</v>
          </cell>
          <cell r="AJ667">
            <v>0</v>
          </cell>
          <cell r="AK667">
            <v>97.5</v>
          </cell>
          <cell r="AL667">
            <v>0</v>
          </cell>
          <cell r="AM667">
            <v>0</v>
          </cell>
          <cell r="AN667">
            <v>126.75</v>
          </cell>
          <cell r="AO667">
            <v>0</v>
          </cell>
          <cell r="AP667">
            <v>0</v>
          </cell>
          <cell r="AQ667">
            <v>9.75</v>
          </cell>
          <cell r="AR667">
            <v>0</v>
          </cell>
          <cell r="AS667">
            <v>0</v>
          </cell>
          <cell r="AT667">
            <v>150</v>
          </cell>
          <cell r="AU667">
            <v>0</v>
          </cell>
          <cell r="AV667">
            <v>0</v>
          </cell>
          <cell r="AW667">
            <v>195</v>
          </cell>
          <cell r="AX667">
            <v>0</v>
          </cell>
          <cell r="AY667">
            <v>0</v>
          </cell>
          <cell r="AZ667">
            <v>15</v>
          </cell>
          <cell r="BA667">
            <v>0</v>
          </cell>
          <cell r="BB667">
            <v>0</v>
          </cell>
          <cell r="BC667">
            <v>75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8275</v>
          </cell>
        </row>
        <row r="668">
          <cell r="C668">
            <v>30754</v>
          </cell>
          <cell r="D668" t="str">
            <v>Pasagui, Jemar Ancajas</v>
          </cell>
          <cell r="E668">
            <v>80</v>
          </cell>
          <cell r="F668">
            <v>10</v>
          </cell>
          <cell r="G668">
            <v>600</v>
          </cell>
          <cell r="H668">
            <v>6000</v>
          </cell>
          <cell r="I668">
            <v>0</v>
          </cell>
          <cell r="J668">
            <v>1.25</v>
          </cell>
          <cell r="K668">
            <v>0</v>
          </cell>
          <cell r="L668">
            <v>28</v>
          </cell>
          <cell r="M668">
            <v>93.75</v>
          </cell>
          <cell r="N668">
            <v>2625</v>
          </cell>
          <cell r="O668">
            <v>79</v>
          </cell>
          <cell r="P668">
            <v>7.5</v>
          </cell>
          <cell r="Q668">
            <v>592.5</v>
          </cell>
          <cell r="R668">
            <v>8</v>
          </cell>
          <cell r="S668">
            <v>97.5</v>
          </cell>
          <cell r="T668">
            <v>780</v>
          </cell>
          <cell r="U668">
            <v>4</v>
          </cell>
          <cell r="V668">
            <v>126.75</v>
          </cell>
          <cell r="W668">
            <v>507</v>
          </cell>
          <cell r="X668">
            <v>8</v>
          </cell>
          <cell r="Y668">
            <v>9.75</v>
          </cell>
          <cell r="Z668">
            <v>78</v>
          </cell>
          <cell r="AA668">
            <v>0</v>
          </cell>
          <cell r="AB668">
            <v>112.5</v>
          </cell>
          <cell r="AC668">
            <v>0</v>
          </cell>
          <cell r="AD668">
            <v>0</v>
          </cell>
          <cell r="AE668">
            <v>146.25</v>
          </cell>
          <cell r="AF668">
            <v>0</v>
          </cell>
          <cell r="AG668">
            <v>0</v>
          </cell>
          <cell r="AH668">
            <v>11.25</v>
          </cell>
          <cell r="AI668">
            <v>0</v>
          </cell>
          <cell r="AJ668">
            <v>0</v>
          </cell>
          <cell r="AK668">
            <v>97.5</v>
          </cell>
          <cell r="AL668">
            <v>0</v>
          </cell>
          <cell r="AM668">
            <v>0</v>
          </cell>
          <cell r="AN668">
            <v>126.75</v>
          </cell>
          <cell r="AO668">
            <v>0</v>
          </cell>
          <cell r="AP668">
            <v>0</v>
          </cell>
          <cell r="AQ668">
            <v>9.75</v>
          </cell>
          <cell r="AR668">
            <v>0</v>
          </cell>
          <cell r="AS668">
            <v>0</v>
          </cell>
          <cell r="AT668">
            <v>150</v>
          </cell>
          <cell r="AU668">
            <v>0</v>
          </cell>
          <cell r="AV668">
            <v>0</v>
          </cell>
          <cell r="AW668">
            <v>195</v>
          </cell>
          <cell r="AX668">
            <v>0</v>
          </cell>
          <cell r="AY668">
            <v>0</v>
          </cell>
          <cell r="AZ668">
            <v>15</v>
          </cell>
          <cell r="BA668">
            <v>0</v>
          </cell>
          <cell r="BB668">
            <v>0</v>
          </cell>
          <cell r="BC668">
            <v>75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10582.5</v>
          </cell>
        </row>
        <row r="669">
          <cell r="C669">
            <v>30542</v>
          </cell>
          <cell r="D669" t="str">
            <v>Relos, Ronalyn D</v>
          </cell>
          <cell r="E669">
            <v>72</v>
          </cell>
          <cell r="F669">
            <v>9</v>
          </cell>
          <cell r="G669">
            <v>600</v>
          </cell>
          <cell r="H669">
            <v>5400</v>
          </cell>
          <cell r="I669">
            <v>88</v>
          </cell>
          <cell r="J669">
            <v>1.25</v>
          </cell>
          <cell r="K669">
            <v>-110</v>
          </cell>
          <cell r="L669">
            <v>18</v>
          </cell>
          <cell r="M669">
            <v>93.75</v>
          </cell>
          <cell r="N669">
            <v>1687.5</v>
          </cell>
          <cell r="O669">
            <v>0</v>
          </cell>
          <cell r="P669">
            <v>7.5</v>
          </cell>
          <cell r="Q669">
            <v>0</v>
          </cell>
          <cell r="R669">
            <v>0</v>
          </cell>
          <cell r="S669">
            <v>97.5</v>
          </cell>
          <cell r="T669">
            <v>0</v>
          </cell>
          <cell r="U669">
            <v>0</v>
          </cell>
          <cell r="V669">
            <v>126.75</v>
          </cell>
          <cell r="W669">
            <v>0</v>
          </cell>
          <cell r="X669">
            <v>0</v>
          </cell>
          <cell r="Y669">
            <v>9.75</v>
          </cell>
          <cell r="Z669">
            <v>0</v>
          </cell>
          <cell r="AA669">
            <v>0</v>
          </cell>
          <cell r="AB669">
            <v>112.5</v>
          </cell>
          <cell r="AC669">
            <v>0</v>
          </cell>
          <cell r="AD669">
            <v>0</v>
          </cell>
          <cell r="AE669">
            <v>146.25</v>
          </cell>
          <cell r="AF669">
            <v>0</v>
          </cell>
          <cell r="AG669">
            <v>0</v>
          </cell>
          <cell r="AH669">
            <v>11.25</v>
          </cell>
          <cell r="AI669">
            <v>0</v>
          </cell>
          <cell r="AJ669">
            <v>0</v>
          </cell>
          <cell r="AK669">
            <v>97.5</v>
          </cell>
          <cell r="AL669">
            <v>0</v>
          </cell>
          <cell r="AM669">
            <v>0</v>
          </cell>
          <cell r="AN669">
            <v>126.75</v>
          </cell>
          <cell r="AO669">
            <v>0</v>
          </cell>
          <cell r="AP669">
            <v>0</v>
          </cell>
          <cell r="AQ669">
            <v>9.75</v>
          </cell>
          <cell r="AR669">
            <v>0</v>
          </cell>
          <cell r="AS669">
            <v>0</v>
          </cell>
          <cell r="AT669">
            <v>150</v>
          </cell>
          <cell r="AU669">
            <v>0</v>
          </cell>
          <cell r="AV669">
            <v>0</v>
          </cell>
          <cell r="AW669">
            <v>195</v>
          </cell>
          <cell r="AX669">
            <v>0</v>
          </cell>
          <cell r="AY669">
            <v>0</v>
          </cell>
          <cell r="AZ669">
            <v>15</v>
          </cell>
          <cell r="BA669">
            <v>0</v>
          </cell>
          <cell r="BB669">
            <v>0</v>
          </cell>
          <cell r="BC669">
            <v>75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6977.5</v>
          </cell>
        </row>
        <row r="670">
          <cell r="C670">
            <v>11441</v>
          </cell>
          <cell r="D670" t="str">
            <v>Rozill, Ma. Ann isabell</v>
          </cell>
          <cell r="E670">
            <v>88</v>
          </cell>
          <cell r="F670">
            <v>11</v>
          </cell>
          <cell r="G670">
            <v>600</v>
          </cell>
          <cell r="H670">
            <v>6600</v>
          </cell>
          <cell r="I670">
            <v>18</v>
          </cell>
          <cell r="J670">
            <v>1.25</v>
          </cell>
          <cell r="K670">
            <v>-22.5</v>
          </cell>
          <cell r="L670">
            <v>29</v>
          </cell>
          <cell r="M670">
            <v>93.75</v>
          </cell>
          <cell r="N670">
            <v>2718.75</v>
          </cell>
          <cell r="O670">
            <v>8</v>
          </cell>
          <cell r="P670">
            <v>7.5</v>
          </cell>
          <cell r="Q670">
            <v>60</v>
          </cell>
          <cell r="R670">
            <v>8</v>
          </cell>
          <cell r="S670">
            <v>97.5</v>
          </cell>
          <cell r="T670">
            <v>780</v>
          </cell>
          <cell r="U670">
            <v>0</v>
          </cell>
          <cell r="V670">
            <v>126.75</v>
          </cell>
          <cell r="W670">
            <v>0</v>
          </cell>
          <cell r="X670">
            <v>0</v>
          </cell>
          <cell r="Y670">
            <v>9.75</v>
          </cell>
          <cell r="Z670">
            <v>0</v>
          </cell>
          <cell r="AA670">
            <v>0</v>
          </cell>
          <cell r="AB670">
            <v>112.5</v>
          </cell>
          <cell r="AC670">
            <v>0</v>
          </cell>
          <cell r="AD670">
            <v>0</v>
          </cell>
          <cell r="AE670">
            <v>146.25</v>
          </cell>
          <cell r="AF670">
            <v>0</v>
          </cell>
          <cell r="AG670">
            <v>0</v>
          </cell>
          <cell r="AH670">
            <v>11.25</v>
          </cell>
          <cell r="AI670">
            <v>0</v>
          </cell>
          <cell r="AJ670">
            <v>0</v>
          </cell>
          <cell r="AK670">
            <v>97.5</v>
          </cell>
          <cell r="AL670">
            <v>0</v>
          </cell>
          <cell r="AM670">
            <v>0</v>
          </cell>
          <cell r="AN670">
            <v>126.75</v>
          </cell>
          <cell r="AO670">
            <v>0</v>
          </cell>
          <cell r="AP670">
            <v>0</v>
          </cell>
          <cell r="AQ670">
            <v>9.75</v>
          </cell>
          <cell r="AR670">
            <v>0</v>
          </cell>
          <cell r="AS670">
            <v>0</v>
          </cell>
          <cell r="AT670">
            <v>150</v>
          </cell>
          <cell r="AU670">
            <v>0</v>
          </cell>
          <cell r="AV670">
            <v>0</v>
          </cell>
          <cell r="AW670">
            <v>195</v>
          </cell>
          <cell r="AX670">
            <v>0</v>
          </cell>
          <cell r="AY670">
            <v>0</v>
          </cell>
          <cell r="AZ670">
            <v>15</v>
          </cell>
          <cell r="BA670">
            <v>0</v>
          </cell>
          <cell r="BB670">
            <v>0</v>
          </cell>
          <cell r="BC670">
            <v>75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10136.25</v>
          </cell>
        </row>
        <row r="671">
          <cell r="C671">
            <v>14260</v>
          </cell>
          <cell r="D671" t="str">
            <v>Somido, Jodie Lyn Beaquin</v>
          </cell>
          <cell r="E671">
            <v>72</v>
          </cell>
          <cell r="F671">
            <v>9</v>
          </cell>
          <cell r="G671">
            <v>600</v>
          </cell>
          <cell r="H671">
            <v>5400</v>
          </cell>
          <cell r="I671">
            <v>37</v>
          </cell>
          <cell r="J671">
            <v>1.25</v>
          </cell>
          <cell r="K671">
            <v>-46.25</v>
          </cell>
          <cell r="L671">
            <v>25</v>
          </cell>
          <cell r="M671">
            <v>93.75</v>
          </cell>
          <cell r="N671">
            <v>2343.75</v>
          </cell>
          <cell r="O671">
            <v>0</v>
          </cell>
          <cell r="P671">
            <v>7.5</v>
          </cell>
          <cell r="Q671">
            <v>0</v>
          </cell>
          <cell r="R671">
            <v>0</v>
          </cell>
          <cell r="S671">
            <v>97.5</v>
          </cell>
          <cell r="T671">
            <v>0</v>
          </cell>
          <cell r="U671">
            <v>0</v>
          </cell>
          <cell r="V671">
            <v>126.75</v>
          </cell>
          <cell r="W671">
            <v>0</v>
          </cell>
          <cell r="X671">
            <v>0</v>
          </cell>
          <cell r="Y671">
            <v>9.75</v>
          </cell>
          <cell r="Z671">
            <v>0</v>
          </cell>
          <cell r="AA671">
            <v>0</v>
          </cell>
          <cell r="AB671">
            <v>112.5</v>
          </cell>
          <cell r="AC671">
            <v>0</v>
          </cell>
          <cell r="AD671">
            <v>0</v>
          </cell>
          <cell r="AE671">
            <v>146.25</v>
          </cell>
          <cell r="AF671">
            <v>0</v>
          </cell>
          <cell r="AG671">
            <v>0</v>
          </cell>
          <cell r="AH671">
            <v>11.25</v>
          </cell>
          <cell r="AI671">
            <v>0</v>
          </cell>
          <cell r="AJ671">
            <v>0</v>
          </cell>
          <cell r="AK671">
            <v>97.5</v>
          </cell>
          <cell r="AL671">
            <v>0</v>
          </cell>
          <cell r="AM671">
            <v>0</v>
          </cell>
          <cell r="AN671">
            <v>126.75</v>
          </cell>
          <cell r="AO671">
            <v>0</v>
          </cell>
          <cell r="AP671">
            <v>0</v>
          </cell>
          <cell r="AQ671">
            <v>9.75</v>
          </cell>
          <cell r="AR671">
            <v>0</v>
          </cell>
          <cell r="AS671">
            <v>0</v>
          </cell>
          <cell r="AT671">
            <v>150</v>
          </cell>
          <cell r="AU671">
            <v>0</v>
          </cell>
          <cell r="AV671">
            <v>0</v>
          </cell>
          <cell r="AW671">
            <v>195</v>
          </cell>
          <cell r="AX671">
            <v>0</v>
          </cell>
          <cell r="AY671">
            <v>0</v>
          </cell>
          <cell r="AZ671">
            <v>15</v>
          </cell>
          <cell r="BA671">
            <v>0</v>
          </cell>
          <cell r="BB671">
            <v>0</v>
          </cell>
          <cell r="BC671">
            <v>75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7697.5</v>
          </cell>
        </row>
        <row r="672">
          <cell r="C672">
            <v>304339</v>
          </cell>
          <cell r="D672" t="str">
            <v>Soñer, Gerlyn Gonzaga</v>
          </cell>
          <cell r="E672">
            <v>64</v>
          </cell>
          <cell r="F672">
            <v>8</v>
          </cell>
          <cell r="G672">
            <v>600</v>
          </cell>
          <cell r="H672">
            <v>4800</v>
          </cell>
          <cell r="I672">
            <v>0</v>
          </cell>
          <cell r="J672">
            <v>1.25</v>
          </cell>
          <cell r="K672">
            <v>0</v>
          </cell>
          <cell r="L672">
            <v>24</v>
          </cell>
          <cell r="M672">
            <v>93.75</v>
          </cell>
          <cell r="N672">
            <v>2250</v>
          </cell>
          <cell r="O672">
            <v>0</v>
          </cell>
          <cell r="P672">
            <v>7.5</v>
          </cell>
          <cell r="Q672">
            <v>0</v>
          </cell>
          <cell r="R672">
            <v>8</v>
          </cell>
          <cell r="S672">
            <v>97.5</v>
          </cell>
          <cell r="T672">
            <v>780</v>
          </cell>
          <cell r="U672">
            <v>4</v>
          </cell>
          <cell r="V672">
            <v>126.75</v>
          </cell>
          <cell r="W672">
            <v>507</v>
          </cell>
          <cell r="X672">
            <v>0</v>
          </cell>
          <cell r="Y672">
            <v>9.75</v>
          </cell>
          <cell r="Z672">
            <v>0</v>
          </cell>
          <cell r="AA672">
            <v>0</v>
          </cell>
          <cell r="AB672">
            <v>112.5</v>
          </cell>
          <cell r="AC672">
            <v>0</v>
          </cell>
          <cell r="AD672">
            <v>0</v>
          </cell>
          <cell r="AE672">
            <v>146.25</v>
          </cell>
          <cell r="AF672">
            <v>0</v>
          </cell>
          <cell r="AG672">
            <v>0</v>
          </cell>
          <cell r="AH672">
            <v>11.25</v>
          </cell>
          <cell r="AI672">
            <v>0</v>
          </cell>
          <cell r="AJ672">
            <v>0</v>
          </cell>
          <cell r="AK672">
            <v>97.5</v>
          </cell>
          <cell r="AL672">
            <v>0</v>
          </cell>
          <cell r="AM672">
            <v>0</v>
          </cell>
          <cell r="AN672">
            <v>126.75</v>
          </cell>
          <cell r="AO672">
            <v>0</v>
          </cell>
          <cell r="AP672">
            <v>0</v>
          </cell>
          <cell r="AQ672">
            <v>9.75</v>
          </cell>
          <cell r="AR672">
            <v>0</v>
          </cell>
          <cell r="AS672">
            <v>0</v>
          </cell>
          <cell r="AT672">
            <v>150</v>
          </cell>
          <cell r="AU672">
            <v>0</v>
          </cell>
          <cell r="AV672">
            <v>0</v>
          </cell>
          <cell r="AW672">
            <v>195</v>
          </cell>
          <cell r="AX672">
            <v>0</v>
          </cell>
          <cell r="AY672">
            <v>0</v>
          </cell>
          <cell r="AZ672">
            <v>15</v>
          </cell>
          <cell r="BA672">
            <v>0</v>
          </cell>
          <cell r="BB672">
            <v>0</v>
          </cell>
          <cell r="BC672">
            <v>75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8337</v>
          </cell>
        </row>
        <row r="673">
          <cell r="C673">
            <v>30438</v>
          </cell>
          <cell r="D673" t="str">
            <v>Soñer, Marjorie Gonzaga</v>
          </cell>
          <cell r="E673">
            <v>72</v>
          </cell>
          <cell r="F673">
            <v>9</v>
          </cell>
          <cell r="G673">
            <v>600</v>
          </cell>
          <cell r="H673">
            <v>5400</v>
          </cell>
          <cell r="I673">
            <v>0</v>
          </cell>
          <cell r="J673">
            <v>1.25</v>
          </cell>
          <cell r="K673">
            <v>0</v>
          </cell>
          <cell r="L673">
            <v>23</v>
          </cell>
          <cell r="M673">
            <v>93.75</v>
          </cell>
          <cell r="N673">
            <v>2156.25</v>
          </cell>
          <cell r="O673">
            <v>0</v>
          </cell>
          <cell r="P673">
            <v>7.5</v>
          </cell>
          <cell r="Q673">
            <v>0</v>
          </cell>
          <cell r="R673">
            <v>8</v>
          </cell>
          <cell r="S673">
            <v>97.5</v>
          </cell>
          <cell r="T673">
            <v>780</v>
          </cell>
          <cell r="U673">
            <v>4</v>
          </cell>
          <cell r="V673">
            <v>126.75</v>
          </cell>
          <cell r="W673">
            <v>507</v>
          </cell>
          <cell r="X673">
            <v>0</v>
          </cell>
          <cell r="Y673">
            <v>9.75</v>
          </cell>
          <cell r="Z673">
            <v>0</v>
          </cell>
          <cell r="AA673">
            <v>0</v>
          </cell>
          <cell r="AB673">
            <v>112.5</v>
          </cell>
          <cell r="AC673">
            <v>0</v>
          </cell>
          <cell r="AD673">
            <v>0</v>
          </cell>
          <cell r="AE673">
            <v>146.25</v>
          </cell>
          <cell r="AF673">
            <v>0</v>
          </cell>
          <cell r="AG673">
            <v>0</v>
          </cell>
          <cell r="AH673">
            <v>11.25</v>
          </cell>
          <cell r="AI673">
            <v>0</v>
          </cell>
          <cell r="AJ673">
            <v>0</v>
          </cell>
          <cell r="AK673">
            <v>97.5</v>
          </cell>
          <cell r="AL673">
            <v>0</v>
          </cell>
          <cell r="AM673">
            <v>0</v>
          </cell>
          <cell r="AN673">
            <v>126.75</v>
          </cell>
          <cell r="AO673">
            <v>0</v>
          </cell>
          <cell r="AP673">
            <v>0</v>
          </cell>
          <cell r="AQ673">
            <v>9.75</v>
          </cell>
          <cell r="AR673">
            <v>0</v>
          </cell>
          <cell r="AS673">
            <v>0</v>
          </cell>
          <cell r="AT673">
            <v>150</v>
          </cell>
          <cell r="AU673">
            <v>0</v>
          </cell>
          <cell r="AV673">
            <v>0</v>
          </cell>
          <cell r="AW673">
            <v>195</v>
          </cell>
          <cell r="AX673">
            <v>0</v>
          </cell>
          <cell r="AY673">
            <v>0</v>
          </cell>
          <cell r="AZ673">
            <v>15</v>
          </cell>
          <cell r="BA673">
            <v>0</v>
          </cell>
          <cell r="BB673">
            <v>0</v>
          </cell>
          <cell r="BC673">
            <v>75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8843.25</v>
          </cell>
        </row>
        <row r="674">
          <cell r="C674">
            <v>30544</v>
          </cell>
          <cell r="D674" t="str">
            <v>Tolentino, Veronica Jane V</v>
          </cell>
          <cell r="E674">
            <v>80</v>
          </cell>
          <cell r="F674">
            <v>10</v>
          </cell>
          <cell r="G674">
            <v>600</v>
          </cell>
          <cell r="H674">
            <v>6000</v>
          </cell>
          <cell r="I674">
            <v>0</v>
          </cell>
          <cell r="J674">
            <v>1.25</v>
          </cell>
          <cell r="K674">
            <v>0</v>
          </cell>
          <cell r="L674">
            <v>26</v>
          </cell>
          <cell r="M674">
            <v>93.75</v>
          </cell>
          <cell r="N674">
            <v>2437.5</v>
          </cell>
          <cell r="O674">
            <v>0</v>
          </cell>
          <cell r="P674">
            <v>7.5</v>
          </cell>
          <cell r="Q674">
            <v>0</v>
          </cell>
          <cell r="R674">
            <v>16</v>
          </cell>
          <cell r="S674">
            <v>97.5</v>
          </cell>
          <cell r="T674">
            <v>1560</v>
          </cell>
          <cell r="U674">
            <v>4</v>
          </cell>
          <cell r="V674">
            <v>126.75</v>
          </cell>
          <cell r="W674">
            <v>507</v>
          </cell>
          <cell r="X674">
            <v>0</v>
          </cell>
          <cell r="Y674">
            <v>9.75</v>
          </cell>
          <cell r="Z674">
            <v>0</v>
          </cell>
          <cell r="AA674">
            <v>0</v>
          </cell>
          <cell r="AB674">
            <v>112.5</v>
          </cell>
          <cell r="AC674">
            <v>0</v>
          </cell>
          <cell r="AD674">
            <v>0</v>
          </cell>
          <cell r="AE674">
            <v>146.25</v>
          </cell>
          <cell r="AF674">
            <v>0</v>
          </cell>
          <cell r="AG674">
            <v>0</v>
          </cell>
          <cell r="AH674">
            <v>11.25</v>
          </cell>
          <cell r="AI674">
            <v>0</v>
          </cell>
          <cell r="AJ674">
            <v>0</v>
          </cell>
          <cell r="AK674">
            <v>97.5</v>
          </cell>
          <cell r="AL674">
            <v>0</v>
          </cell>
          <cell r="AM674">
            <v>0</v>
          </cell>
          <cell r="AN674">
            <v>126.75</v>
          </cell>
          <cell r="AO674">
            <v>0</v>
          </cell>
          <cell r="AP674">
            <v>0</v>
          </cell>
          <cell r="AQ674">
            <v>9.75</v>
          </cell>
          <cell r="AR674">
            <v>0</v>
          </cell>
          <cell r="AS674">
            <v>0</v>
          </cell>
          <cell r="AT674">
            <v>150</v>
          </cell>
          <cell r="AU674">
            <v>0</v>
          </cell>
          <cell r="AV674">
            <v>0</v>
          </cell>
          <cell r="AW674">
            <v>195</v>
          </cell>
          <cell r="AX674">
            <v>0</v>
          </cell>
          <cell r="AY674">
            <v>0</v>
          </cell>
          <cell r="AZ674">
            <v>15</v>
          </cell>
          <cell r="BA674">
            <v>0</v>
          </cell>
          <cell r="BB674">
            <v>0</v>
          </cell>
          <cell r="BC674">
            <v>75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10504.5</v>
          </cell>
        </row>
        <row r="675">
          <cell r="C675">
            <v>11440</v>
          </cell>
          <cell r="D675" t="str">
            <v>Uncayao, Rojanie E</v>
          </cell>
          <cell r="E675">
            <v>88</v>
          </cell>
          <cell r="F675">
            <v>11</v>
          </cell>
          <cell r="G675">
            <v>600</v>
          </cell>
          <cell r="H675">
            <v>6600</v>
          </cell>
          <cell r="I675">
            <v>19</v>
          </cell>
          <cell r="J675">
            <v>1.25</v>
          </cell>
          <cell r="K675">
            <v>-23.75</v>
          </cell>
          <cell r="L675">
            <v>29</v>
          </cell>
          <cell r="M675">
            <v>93.75</v>
          </cell>
          <cell r="N675">
            <v>2718.75</v>
          </cell>
          <cell r="O675">
            <v>8</v>
          </cell>
          <cell r="P675">
            <v>7.5</v>
          </cell>
          <cell r="Q675">
            <v>60</v>
          </cell>
          <cell r="R675">
            <v>0</v>
          </cell>
          <cell r="S675">
            <v>97.5</v>
          </cell>
          <cell r="T675">
            <v>0</v>
          </cell>
          <cell r="U675">
            <v>0</v>
          </cell>
          <cell r="V675">
            <v>126.75</v>
          </cell>
          <cell r="W675">
            <v>0</v>
          </cell>
          <cell r="X675">
            <v>0</v>
          </cell>
          <cell r="Y675">
            <v>9.75</v>
          </cell>
          <cell r="Z675">
            <v>0</v>
          </cell>
          <cell r="AA675">
            <v>0</v>
          </cell>
          <cell r="AB675">
            <v>112.5</v>
          </cell>
          <cell r="AC675">
            <v>0</v>
          </cell>
          <cell r="AD675">
            <v>0</v>
          </cell>
          <cell r="AE675">
            <v>146.25</v>
          </cell>
          <cell r="AF675">
            <v>0</v>
          </cell>
          <cell r="AG675">
            <v>0</v>
          </cell>
          <cell r="AH675">
            <v>11.25</v>
          </cell>
          <cell r="AI675">
            <v>0</v>
          </cell>
          <cell r="AJ675">
            <v>0</v>
          </cell>
          <cell r="AK675">
            <v>97.5</v>
          </cell>
          <cell r="AL675">
            <v>0</v>
          </cell>
          <cell r="AM675">
            <v>0</v>
          </cell>
          <cell r="AN675">
            <v>126.75</v>
          </cell>
          <cell r="AO675">
            <v>0</v>
          </cell>
          <cell r="AP675">
            <v>0</v>
          </cell>
          <cell r="AQ675">
            <v>9.75</v>
          </cell>
          <cell r="AR675">
            <v>0</v>
          </cell>
          <cell r="AS675">
            <v>0</v>
          </cell>
          <cell r="AT675">
            <v>150</v>
          </cell>
          <cell r="AU675">
            <v>0</v>
          </cell>
          <cell r="AV675">
            <v>0</v>
          </cell>
          <cell r="AW675">
            <v>195</v>
          </cell>
          <cell r="AX675">
            <v>0</v>
          </cell>
          <cell r="AY675">
            <v>0</v>
          </cell>
          <cell r="AZ675">
            <v>15</v>
          </cell>
          <cell r="BA675">
            <v>0</v>
          </cell>
          <cell r="BB675">
            <v>0</v>
          </cell>
          <cell r="BC675">
            <v>75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9355</v>
          </cell>
        </row>
        <row r="676">
          <cell r="C676">
            <v>30563</v>
          </cell>
          <cell r="D676" t="str">
            <v>Vizarra, Rachel Dolarte</v>
          </cell>
          <cell r="E676">
            <v>80</v>
          </cell>
          <cell r="F676">
            <v>10</v>
          </cell>
          <cell r="G676">
            <v>600</v>
          </cell>
          <cell r="H676">
            <v>6000</v>
          </cell>
          <cell r="I676">
            <v>0</v>
          </cell>
          <cell r="J676">
            <v>1.25</v>
          </cell>
          <cell r="K676">
            <v>0</v>
          </cell>
          <cell r="L676">
            <v>28</v>
          </cell>
          <cell r="M676">
            <v>93.75</v>
          </cell>
          <cell r="N676">
            <v>2625</v>
          </cell>
          <cell r="O676">
            <v>0</v>
          </cell>
          <cell r="P676">
            <v>7.5</v>
          </cell>
          <cell r="Q676">
            <v>0</v>
          </cell>
          <cell r="R676">
            <v>8</v>
          </cell>
          <cell r="S676">
            <v>97.5</v>
          </cell>
          <cell r="T676">
            <v>780</v>
          </cell>
          <cell r="U676">
            <v>4</v>
          </cell>
          <cell r="V676">
            <v>126.75</v>
          </cell>
          <cell r="W676">
            <v>507</v>
          </cell>
          <cell r="X676">
            <v>0</v>
          </cell>
          <cell r="Y676">
            <v>9.75</v>
          </cell>
          <cell r="Z676">
            <v>0</v>
          </cell>
          <cell r="AA676">
            <v>0</v>
          </cell>
          <cell r="AB676">
            <v>112.5</v>
          </cell>
          <cell r="AC676">
            <v>0</v>
          </cell>
          <cell r="AD676">
            <v>0</v>
          </cell>
          <cell r="AE676">
            <v>146.25</v>
          </cell>
          <cell r="AF676">
            <v>0</v>
          </cell>
          <cell r="AG676">
            <v>0</v>
          </cell>
          <cell r="AH676">
            <v>11.25</v>
          </cell>
          <cell r="AI676">
            <v>0</v>
          </cell>
          <cell r="AJ676">
            <v>0</v>
          </cell>
          <cell r="AK676">
            <v>97.5</v>
          </cell>
          <cell r="AL676">
            <v>0</v>
          </cell>
          <cell r="AM676">
            <v>0</v>
          </cell>
          <cell r="AN676">
            <v>126.75</v>
          </cell>
          <cell r="AO676">
            <v>0</v>
          </cell>
          <cell r="AP676">
            <v>0</v>
          </cell>
          <cell r="AQ676">
            <v>9.75</v>
          </cell>
          <cell r="AR676">
            <v>0</v>
          </cell>
          <cell r="AS676">
            <v>0</v>
          </cell>
          <cell r="AT676">
            <v>150</v>
          </cell>
          <cell r="AU676">
            <v>0</v>
          </cell>
          <cell r="AV676">
            <v>0</v>
          </cell>
          <cell r="AW676">
            <v>195</v>
          </cell>
          <cell r="AX676">
            <v>0</v>
          </cell>
          <cell r="AY676">
            <v>0</v>
          </cell>
          <cell r="AZ676">
            <v>15</v>
          </cell>
          <cell r="BA676">
            <v>0</v>
          </cell>
          <cell r="BB676">
            <v>0</v>
          </cell>
          <cell r="BC676">
            <v>75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9912</v>
          </cell>
        </row>
        <row r="677">
          <cell r="C677">
            <v>0</v>
          </cell>
          <cell r="D677">
            <v>0</v>
          </cell>
          <cell r="E677">
            <v>2283</v>
          </cell>
          <cell r="F677">
            <v>285.375</v>
          </cell>
          <cell r="G677">
            <v>20400</v>
          </cell>
          <cell r="H677">
            <v>171225</v>
          </cell>
          <cell r="I677">
            <v>848</v>
          </cell>
          <cell r="J677">
            <v>42.5</v>
          </cell>
          <cell r="K677">
            <v>-1060</v>
          </cell>
          <cell r="L677">
            <v>717</v>
          </cell>
          <cell r="M677">
            <v>3187.5</v>
          </cell>
          <cell r="N677">
            <v>67218.75</v>
          </cell>
          <cell r="O677">
            <v>568</v>
          </cell>
          <cell r="P677">
            <v>255</v>
          </cell>
          <cell r="Q677">
            <v>4260</v>
          </cell>
          <cell r="R677">
            <v>216</v>
          </cell>
          <cell r="S677">
            <v>3315</v>
          </cell>
          <cell r="T677">
            <v>21060</v>
          </cell>
          <cell r="U677">
            <v>61</v>
          </cell>
          <cell r="V677">
            <v>4309.5</v>
          </cell>
          <cell r="W677">
            <v>7731.75</v>
          </cell>
          <cell r="X677">
            <v>44</v>
          </cell>
          <cell r="Y677">
            <v>331.5</v>
          </cell>
          <cell r="Z677">
            <v>429</v>
          </cell>
          <cell r="AA677">
            <v>0</v>
          </cell>
          <cell r="AB677">
            <v>3825</v>
          </cell>
          <cell r="AC677">
            <v>0</v>
          </cell>
          <cell r="AD677">
            <v>0</v>
          </cell>
          <cell r="AE677">
            <v>4972.5</v>
          </cell>
          <cell r="AF677">
            <v>0</v>
          </cell>
          <cell r="AG677">
            <v>0</v>
          </cell>
          <cell r="AH677">
            <v>382.5</v>
          </cell>
          <cell r="AI677">
            <v>0</v>
          </cell>
          <cell r="AJ677">
            <v>0</v>
          </cell>
          <cell r="AK677">
            <v>3315</v>
          </cell>
          <cell r="AL677">
            <v>0</v>
          </cell>
          <cell r="AM677">
            <v>0</v>
          </cell>
          <cell r="AN677">
            <v>4309.5</v>
          </cell>
          <cell r="AO677">
            <v>0</v>
          </cell>
          <cell r="AP677">
            <v>0</v>
          </cell>
          <cell r="AQ677">
            <v>331.5</v>
          </cell>
          <cell r="AR677">
            <v>0</v>
          </cell>
          <cell r="AS677">
            <v>0</v>
          </cell>
          <cell r="AT677">
            <v>5100</v>
          </cell>
          <cell r="AU677">
            <v>0</v>
          </cell>
          <cell r="AV677">
            <v>0</v>
          </cell>
          <cell r="AW677">
            <v>6630</v>
          </cell>
          <cell r="AX677">
            <v>0</v>
          </cell>
          <cell r="AY677">
            <v>0</v>
          </cell>
          <cell r="AZ677">
            <v>510</v>
          </cell>
          <cell r="BA677">
            <v>0</v>
          </cell>
          <cell r="BB677">
            <v>0</v>
          </cell>
          <cell r="BC677">
            <v>2550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270864.5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</row>
        <row r="679">
          <cell r="C679">
            <v>14447</v>
          </cell>
          <cell r="D679" t="str">
            <v>Arandela, Loida Salud</v>
          </cell>
          <cell r="E679">
            <v>80</v>
          </cell>
          <cell r="F679">
            <v>10</v>
          </cell>
          <cell r="G679">
            <v>600</v>
          </cell>
          <cell r="H679">
            <v>6000</v>
          </cell>
          <cell r="I679">
            <v>0</v>
          </cell>
          <cell r="J679">
            <v>1.25</v>
          </cell>
          <cell r="K679">
            <v>0</v>
          </cell>
          <cell r="L679">
            <v>20</v>
          </cell>
          <cell r="M679">
            <v>93.75</v>
          </cell>
          <cell r="N679">
            <v>1875</v>
          </cell>
          <cell r="O679">
            <v>0</v>
          </cell>
          <cell r="P679">
            <v>7.5</v>
          </cell>
          <cell r="Q679">
            <v>0</v>
          </cell>
          <cell r="R679">
            <v>0</v>
          </cell>
          <cell r="S679">
            <v>97.5</v>
          </cell>
          <cell r="T679">
            <v>0</v>
          </cell>
          <cell r="U679">
            <v>0</v>
          </cell>
          <cell r="V679">
            <v>126.75</v>
          </cell>
          <cell r="W679">
            <v>0</v>
          </cell>
          <cell r="X679">
            <v>0</v>
          </cell>
          <cell r="Y679">
            <v>9.75</v>
          </cell>
          <cell r="Z679">
            <v>0</v>
          </cell>
          <cell r="AA679">
            <v>0</v>
          </cell>
          <cell r="AB679">
            <v>112.5</v>
          </cell>
          <cell r="AC679">
            <v>0</v>
          </cell>
          <cell r="AD679">
            <v>0</v>
          </cell>
          <cell r="AE679">
            <v>146.25</v>
          </cell>
          <cell r="AF679">
            <v>0</v>
          </cell>
          <cell r="AG679">
            <v>0</v>
          </cell>
          <cell r="AH679">
            <v>11.25</v>
          </cell>
          <cell r="AI679">
            <v>0</v>
          </cell>
          <cell r="AJ679">
            <v>0</v>
          </cell>
          <cell r="AK679">
            <v>97.5</v>
          </cell>
          <cell r="AL679">
            <v>0</v>
          </cell>
          <cell r="AM679">
            <v>0</v>
          </cell>
          <cell r="AN679">
            <v>126.75</v>
          </cell>
          <cell r="AO679">
            <v>0</v>
          </cell>
          <cell r="AP679">
            <v>0</v>
          </cell>
          <cell r="AQ679">
            <v>9.75</v>
          </cell>
          <cell r="AR679">
            <v>0</v>
          </cell>
          <cell r="AS679">
            <v>0</v>
          </cell>
          <cell r="AT679">
            <v>150</v>
          </cell>
          <cell r="AU679">
            <v>0</v>
          </cell>
          <cell r="AV679">
            <v>0</v>
          </cell>
          <cell r="AW679">
            <v>195</v>
          </cell>
          <cell r="AX679">
            <v>0</v>
          </cell>
          <cell r="AY679">
            <v>0</v>
          </cell>
          <cell r="AZ679">
            <v>15</v>
          </cell>
          <cell r="BA679">
            <v>0</v>
          </cell>
          <cell r="BB679">
            <v>0</v>
          </cell>
          <cell r="BC679">
            <v>75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7875</v>
          </cell>
        </row>
        <row r="680">
          <cell r="C680">
            <v>14303</v>
          </cell>
          <cell r="D680" t="str">
            <v>Mendoza, Mailyn Guillermo</v>
          </cell>
          <cell r="E680">
            <v>80</v>
          </cell>
          <cell r="F680">
            <v>10</v>
          </cell>
          <cell r="G680">
            <v>600</v>
          </cell>
          <cell r="H680">
            <v>6000</v>
          </cell>
          <cell r="I680">
            <v>0</v>
          </cell>
          <cell r="J680">
            <v>1.25</v>
          </cell>
          <cell r="K680">
            <v>0</v>
          </cell>
          <cell r="L680">
            <v>20</v>
          </cell>
          <cell r="M680">
            <v>93.75</v>
          </cell>
          <cell r="N680">
            <v>1875</v>
          </cell>
          <cell r="O680">
            <v>0</v>
          </cell>
          <cell r="P680">
            <v>7.5</v>
          </cell>
          <cell r="Q680">
            <v>0</v>
          </cell>
          <cell r="R680">
            <v>0</v>
          </cell>
          <cell r="S680">
            <v>97.5</v>
          </cell>
          <cell r="T680">
            <v>0</v>
          </cell>
          <cell r="U680">
            <v>0</v>
          </cell>
          <cell r="V680">
            <v>126.75</v>
          </cell>
          <cell r="W680">
            <v>0</v>
          </cell>
          <cell r="X680">
            <v>0</v>
          </cell>
          <cell r="Y680">
            <v>9.75</v>
          </cell>
          <cell r="Z680">
            <v>0</v>
          </cell>
          <cell r="AA680">
            <v>0</v>
          </cell>
          <cell r="AB680">
            <v>112.5</v>
          </cell>
          <cell r="AC680">
            <v>0</v>
          </cell>
          <cell r="AD680">
            <v>0</v>
          </cell>
          <cell r="AE680">
            <v>146.25</v>
          </cell>
          <cell r="AF680">
            <v>0</v>
          </cell>
          <cell r="AG680">
            <v>0</v>
          </cell>
          <cell r="AH680">
            <v>11.25</v>
          </cell>
          <cell r="AI680">
            <v>0</v>
          </cell>
          <cell r="AJ680">
            <v>0</v>
          </cell>
          <cell r="AK680">
            <v>97.5</v>
          </cell>
          <cell r="AL680">
            <v>0</v>
          </cell>
          <cell r="AM680">
            <v>0</v>
          </cell>
          <cell r="AN680">
            <v>126.75</v>
          </cell>
          <cell r="AO680">
            <v>0</v>
          </cell>
          <cell r="AP680">
            <v>0</v>
          </cell>
          <cell r="AQ680">
            <v>9.75</v>
          </cell>
          <cell r="AR680">
            <v>0</v>
          </cell>
          <cell r="AS680">
            <v>0</v>
          </cell>
          <cell r="AT680">
            <v>150</v>
          </cell>
          <cell r="AU680">
            <v>0</v>
          </cell>
          <cell r="AV680">
            <v>0</v>
          </cell>
          <cell r="AW680">
            <v>195</v>
          </cell>
          <cell r="AX680">
            <v>0</v>
          </cell>
          <cell r="AY680">
            <v>0</v>
          </cell>
          <cell r="AZ680">
            <v>15</v>
          </cell>
          <cell r="BA680">
            <v>0</v>
          </cell>
          <cell r="BB680">
            <v>0</v>
          </cell>
          <cell r="BC680">
            <v>75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7875</v>
          </cell>
        </row>
        <row r="681">
          <cell r="C681">
            <v>0</v>
          </cell>
          <cell r="D681">
            <v>0</v>
          </cell>
          <cell r="E681">
            <v>160</v>
          </cell>
          <cell r="F681">
            <v>20</v>
          </cell>
          <cell r="G681">
            <v>1200</v>
          </cell>
          <cell r="H681">
            <v>12000</v>
          </cell>
          <cell r="I681">
            <v>0</v>
          </cell>
          <cell r="J681">
            <v>2.5</v>
          </cell>
          <cell r="K681">
            <v>0</v>
          </cell>
          <cell r="L681">
            <v>40</v>
          </cell>
          <cell r="M681">
            <v>187.5</v>
          </cell>
          <cell r="N681">
            <v>3750</v>
          </cell>
          <cell r="O681">
            <v>0</v>
          </cell>
          <cell r="P681">
            <v>15</v>
          </cell>
          <cell r="Q681">
            <v>0</v>
          </cell>
          <cell r="R681">
            <v>0</v>
          </cell>
          <cell r="S681">
            <v>195</v>
          </cell>
          <cell r="T681">
            <v>0</v>
          </cell>
          <cell r="U681">
            <v>0</v>
          </cell>
          <cell r="V681">
            <v>253.5</v>
          </cell>
          <cell r="W681">
            <v>0</v>
          </cell>
          <cell r="X681">
            <v>0</v>
          </cell>
          <cell r="Y681">
            <v>19.5</v>
          </cell>
          <cell r="Z681">
            <v>0</v>
          </cell>
          <cell r="AA681">
            <v>0</v>
          </cell>
          <cell r="AB681">
            <v>225</v>
          </cell>
          <cell r="AC681">
            <v>0</v>
          </cell>
          <cell r="AD681">
            <v>0</v>
          </cell>
          <cell r="AE681">
            <v>292.5</v>
          </cell>
          <cell r="AF681">
            <v>0</v>
          </cell>
          <cell r="AG681">
            <v>0</v>
          </cell>
          <cell r="AH681">
            <v>22.5</v>
          </cell>
          <cell r="AI681">
            <v>0</v>
          </cell>
          <cell r="AJ681">
            <v>0</v>
          </cell>
          <cell r="AK681">
            <v>195</v>
          </cell>
          <cell r="AL681">
            <v>0</v>
          </cell>
          <cell r="AM681">
            <v>0</v>
          </cell>
          <cell r="AN681">
            <v>253.5</v>
          </cell>
          <cell r="AO681">
            <v>0</v>
          </cell>
          <cell r="AP681">
            <v>0</v>
          </cell>
          <cell r="AQ681">
            <v>19.5</v>
          </cell>
          <cell r="AR681">
            <v>0</v>
          </cell>
          <cell r="AS681">
            <v>0</v>
          </cell>
          <cell r="AT681">
            <v>300</v>
          </cell>
          <cell r="AU681">
            <v>0</v>
          </cell>
          <cell r="AV681">
            <v>0</v>
          </cell>
          <cell r="AW681">
            <v>390</v>
          </cell>
          <cell r="AX681">
            <v>0</v>
          </cell>
          <cell r="AY681">
            <v>0</v>
          </cell>
          <cell r="AZ681">
            <v>30</v>
          </cell>
          <cell r="BA681">
            <v>0</v>
          </cell>
          <cell r="BB681">
            <v>0</v>
          </cell>
          <cell r="BC681">
            <v>150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15750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</row>
        <row r="683">
          <cell r="C683">
            <v>14546</v>
          </cell>
          <cell r="D683" t="str">
            <v>Flores, Paulo Cleo Adoyo</v>
          </cell>
          <cell r="E683">
            <v>72</v>
          </cell>
          <cell r="F683">
            <v>9</v>
          </cell>
          <cell r="G683">
            <v>600</v>
          </cell>
          <cell r="H683">
            <v>5400</v>
          </cell>
          <cell r="I683">
            <v>0</v>
          </cell>
          <cell r="J683">
            <v>1.25</v>
          </cell>
          <cell r="K683">
            <v>0</v>
          </cell>
          <cell r="L683">
            <v>2</v>
          </cell>
          <cell r="M683">
            <v>93.75</v>
          </cell>
          <cell r="N683">
            <v>187.5</v>
          </cell>
          <cell r="O683">
            <v>0</v>
          </cell>
          <cell r="P683">
            <v>7.5</v>
          </cell>
          <cell r="Q683">
            <v>0</v>
          </cell>
          <cell r="R683">
            <v>0</v>
          </cell>
          <cell r="S683">
            <v>97.5</v>
          </cell>
          <cell r="T683">
            <v>0</v>
          </cell>
          <cell r="U683">
            <v>0</v>
          </cell>
          <cell r="V683">
            <v>126.75</v>
          </cell>
          <cell r="W683">
            <v>0</v>
          </cell>
          <cell r="X683">
            <v>0</v>
          </cell>
          <cell r="Y683">
            <v>9.75</v>
          </cell>
          <cell r="Z683">
            <v>0</v>
          </cell>
          <cell r="AA683">
            <v>0</v>
          </cell>
          <cell r="AB683">
            <v>112.5</v>
          </cell>
          <cell r="AC683">
            <v>0</v>
          </cell>
          <cell r="AD683">
            <v>0</v>
          </cell>
          <cell r="AE683">
            <v>146.25</v>
          </cell>
          <cell r="AF683">
            <v>0</v>
          </cell>
          <cell r="AG683">
            <v>0</v>
          </cell>
          <cell r="AH683">
            <v>11.25</v>
          </cell>
          <cell r="AI683">
            <v>0</v>
          </cell>
          <cell r="AJ683">
            <v>0</v>
          </cell>
          <cell r="AK683">
            <v>97.5</v>
          </cell>
          <cell r="AL683">
            <v>0</v>
          </cell>
          <cell r="AM683">
            <v>0</v>
          </cell>
          <cell r="AN683">
            <v>126.75</v>
          </cell>
          <cell r="AO683">
            <v>0</v>
          </cell>
          <cell r="AP683">
            <v>0</v>
          </cell>
          <cell r="AQ683">
            <v>9.75</v>
          </cell>
          <cell r="AR683">
            <v>0</v>
          </cell>
          <cell r="AS683">
            <v>0</v>
          </cell>
          <cell r="AT683">
            <v>150</v>
          </cell>
          <cell r="AU683">
            <v>0</v>
          </cell>
          <cell r="AV683">
            <v>0</v>
          </cell>
          <cell r="AW683">
            <v>195</v>
          </cell>
          <cell r="AX683">
            <v>0</v>
          </cell>
          <cell r="AY683">
            <v>0</v>
          </cell>
          <cell r="AZ683">
            <v>15</v>
          </cell>
          <cell r="BA683">
            <v>0</v>
          </cell>
          <cell r="BB683">
            <v>0</v>
          </cell>
          <cell r="BC683">
            <v>75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5587.5</v>
          </cell>
        </row>
        <row r="684">
          <cell r="C684">
            <v>30530</v>
          </cell>
          <cell r="D684" t="str">
            <v>Marasigan, John Christopher</v>
          </cell>
          <cell r="E684">
            <v>72</v>
          </cell>
          <cell r="F684">
            <v>9</v>
          </cell>
          <cell r="G684">
            <v>600</v>
          </cell>
          <cell r="H684">
            <v>5400</v>
          </cell>
          <cell r="I684">
            <v>0</v>
          </cell>
          <cell r="J684">
            <v>1.25</v>
          </cell>
          <cell r="K684">
            <v>0</v>
          </cell>
          <cell r="L684">
            <v>2</v>
          </cell>
          <cell r="M684">
            <v>93.75</v>
          </cell>
          <cell r="N684">
            <v>187.5</v>
          </cell>
          <cell r="O684">
            <v>0</v>
          </cell>
          <cell r="P684">
            <v>7.5</v>
          </cell>
          <cell r="Q684">
            <v>0</v>
          </cell>
          <cell r="R684">
            <v>0</v>
          </cell>
          <cell r="S684">
            <v>97.5</v>
          </cell>
          <cell r="T684">
            <v>0</v>
          </cell>
          <cell r="U684">
            <v>0</v>
          </cell>
          <cell r="V684">
            <v>126.75</v>
          </cell>
          <cell r="W684">
            <v>0</v>
          </cell>
          <cell r="X684">
            <v>0</v>
          </cell>
          <cell r="Y684">
            <v>9.75</v>
          </cell>
          <cell r="Z684">
            <v>0</v>
          </cell>
          <cell r="AA684">
            <v>0</v>
          </cell>
          <cell r="AB684">
            <v>112.5</v>
          </cell>
          <cell r="AC684">
            <v>0</v>
          </cell>
          <cell r="AD684">
            <v>0</v>
          </cell>
          <cell r="AE684">
            <v>146.25</v>
          </cell>
          <cell r="AF684">
            <v>0</v>
          </cell>
          <cell r="AG684">
            <v>0</v>
          </cell>
          <cell r="AH684">
            <v>11.25</v>
          </cell>
          <cell r="AI684">
            <v>0</v>
          </cell>
          <cell r="AJ684">
            <v>0</v>
          </cell>
          <cell r="AK684">
            <v>97.5</v>
          </cell>
          <cell r="AL684">
            <v>0</v>
          </cell>
          <cell r="AM684">
            <v>0</v>
          </cell>
          <cell r="AN684">
            <v>126.75</v>
          </cell>
          <cell r="AO684">
            <v>0</v>
          </cell>
          <cell r="AP684">
            <v>0</v>
          </cell>
          <cell r="AQ684">
            <v>9.75</v>
          </cell>
          <cell r="AR684">
            <v>0</v>
          </cell>
          <cell r="AS684">
            <v>0</v>
          </cell>
          <cell r="AT684">
            <v>150</v>
          </cell>
          <cell r="AU684">
            <v>0</v>
          </cell>
          <cell r="AV684">
            <v>0</v>
          </cell>
          <cell r="AW684">
            <v>195</v>
          </cell>
          <cell r="AX684">
            <v>0</v>
          </cell>
          <cell r="AY684">
            <v>0</v>
          </cell>
          <cell r="AZ684">
            <v>15</v>
          </cell>
          <cell r="BA684">
            <v>0</v>
          </cell>
          <cell r="BB684">
            <v>0</v>
          </cell>
          <cell r="BC684">
            <v>75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5587.5</v>
          </cell>
        </row>
        <row r="685">
          <cell r="C685">
            <v>30187</v>
          </cell>
          <cell r="D685" t="str">
            <v>Protacio, Zyruz Coralde</v>
          </cell>
          <cell r="E685">
            <v>80</v>
          </cell>
          <cell r="F685">
            <v>10</v>
          </cell>
          <cell r="G685">
            <v>600</v>
          </cell>
          <cell r="H685">
            <v>6000</v>
          </cell>
          <cell r="I685">
            <v>1</v>
          </cell>
          <cell r="J685">
            <v>1.25</v>
          </cell>
          <cell r="K685">
            <v>-1.25</v>
          </cell>
          <cell r="L685">
            <v>2</v>
          </cell>
          <cell r="M685">
            <v>93.75</v>
          </cell>
          <cell r="N685">
            <v>187.5</v>
          </cell>
          <cell r="O685">
            <v>0</v>
          </cell>
          <cell r="P685">
            <v>7.5</v>
          </cell>
          <cell r="Q685">
            <v>0</v>
          </cell>
          <cell r="R685">
            <v>0</v>
          </cell>
          <cell r="S685">
            <v>97.5</v>
          </cell>
          <cell r="T685">
            <v>0</v>
          </cell>
          <cell r="U685">
            <v>0</v>
          </cell>
          <cell r="V685">
            <v>126.75</v>
          </cell>
          <cell r="W685">
            <v>0</v>
          </cell>
          <cell r="X685">
            <v>0</v>
          </cell>
          <cell r="Y685">
            <v>9.75</v>
          </cell>
          <cell r="Z685">
            <v>0</v>
          </cell>
          <cell r="AA685">
            <v>0</v>
          </cell>
          <cell r="AB685">
            <v>112.5</v>
          </cell>
          <cell r="AC685">
            <v>0</v>
          </cell>
          <cell r="AD685">
            <v>0</v>
          </cell>
          <cell r="AE685">
            <v>146.25</v>
          </cell>
          <cell r="AF685">
            <v>0</v>
          </cell>
          <cell r="AG685">
            <v>0</v>
          </cell>
          <cell r="AH685">
            <v>11.25</v>
          </cell>
          <cell r="AI685">
            <v>0</v>
          </cell>
          <cell r="AJ685">
            <v>0</v>
          </cell>
          <cell r="AK685">
            <v>97.5</v>
          </cell>
          <cell r="AL685">
            <v>0</v>
          </cell>
          <cell r="AM685">
            <v>0</v>
          </cell>
          <cell r="AN685">
            <v>126.75</v>
          </cell>
          <cell r="AO685">
            <v>0</v>
          </cell>
          <cell r="AP685">
            <v>0</v>
          </cell>
          <cell r="AQ685">
            <v>9.75</v>
          </cell>
          <cell r="AR685">
            <v>0</v>
          </cell>
          <cell r="AS685">
            <v>0</v>
          </cell>
          <cell r="AT685">
            <v>150</v>
          </cell>
          <cell r="AU685">
            <v>0</v>
          </cell>
          <cell r="AV685">
            <v>0</v>
          </cell>
          <cell r="AW685">
            <v>195</v>
          </cell>
          <cell r="AX685">
            <v>0</v>
          </cell>
          <cell r="AY685">
            <v>0</v>
          </cell>
          <cell r="AZ685">
            <v>15</v>
          </cell>
          <cell r="BA685">
            <v>0</v>
          </cell>
          <cell r="BB685">
            <v>0</v>
          </cell>
          <cell r="BC685">
            <v>75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6186.25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ABS"/>
      <sheetName val="BILLING COMPUTATION"/>
      <sheetName val="SSS_2025"/>
      <sheetName val="PIVOT"/>
      <sheetName val="F3 MS"/>
    </sheetNames>
    <sheetDataSet>
      <sheetData sheetId="0"/>
      <sheetData sheetId="1"/>
      <sheetData sheetId="2"/>
      <sheetData sheetId="3">
        <row r="8">
          <cell r="C8">
            <v>30332</v>
          </cell>
          <cell r="D8" t="str">
            <v>GD250532</v>
          </cell>
          <cell r="E8" t="str">
            <v>Acayin, Jerrick Butial</v>
          </cell>
          <cell r="F8" t="str">
            <v>METAL STAMPING</v>
          </cell>
          <cell r="G8" t="str">
            <v>PRODUCTION</v>
          </cell>
          <cell r="H8" t="str">
            <v>Operator 1</v>
          </cell>
          <cell r="I8" t="str">
            <v>DL</v>
          </cell>
          <cell r="J8">
            <v>64</v>
          </cell>
          <cell r="K8">
            <v>8</v>
          </cell>
          <cell r="L8">
            <v>600</v>
          </cell>
          <cell r="M8">
            <v>4800</v>
          </cell>
          <cell r="N8">
            <v>0</v>
          </cell>
          <cell r="O8">
            <v>1.25</v>
          </cell>
          <cell r="P8">
            <v>0</v>
          </cell>
          <cell r="Q8">
            <v>8</v>
          </cell>
          <cell r="R8">
            <v>93.75</v>
          </cell>
          <cell r="S8">
            <v>750</v>
          </cell>
          <cell r="T8">
            <v>0</v>
          </cell>
          <cell r="U8">
            <v>7.5</v>
          </cell>
          <cell r="V8">
            <v>0</v>
          </cell>
          <cell r="W8">
            <v>0</v>
          </cell>
          <cell r="X8">
            <v>9.375</v>
          </cell>
          <cell r="Y8">
            <v>0</v>
          </cell>
          <cell r="Z8">
            <v>0</v>
          </cell>
          <cell r="AA8">
            <v>97.5</v>
          </cell>
          <cell r="AB8">
            <v>0</v>
          </cell>
          <cell r="AD8">
            <v>126.75</v>
          </cell>
          <cell r="AE8">
            <v>0</v>
          </cell>
          <cell r="AF8">
            <v>0</v>
          </cell>
          <cell r="AG8">
            <v>9.75</v>
          </cell>
          <cell r="AH8">
            <v>0</v>
          </cell>
          <cell r="AJ8">
            <v>112.5</v>
          </cell>
          <cell r="AK8">
            <v>0</v>
          </cell>
          <cell r="AM8">
            <v>146.25</v>
          </cell>
          <cell r="AN8">
            <v>0</v>
          </cell>
          <cell r="AP8">
            <v>11.25</v>
          </cell>
          <cell r="AQ8">
            <v>0</v>
          </cell>
          <cell r="AR8">
            <v>0</v>
          </cell>
          <cell r="AS8">
            <v>97.5</v>
          </cell>
          <cell r="AT8">
            <v>0</v>
          </cell>
          <cell r="AX8">
            <v>0</v>
          </cell>
          <cell r="AY8">
            <v>9.75</v>
          </cell>
          <cell r="AZ8">
            <v>0</v>
          </cell>
          <cell r="BA8">
            <v>0</v>
          </cell>
          <cell r="BB8">
            <v>150</v>
          </cell>
          <cell r="BC8">
            <v>0</v>
          </cell>
          <cell r="BJ8">
            <v>0</v>
          </cell>
          <cell r="BK8">
            <v>75</v>
          </cell>
          <cell r="BL8">
            <v>0</v>
          </cell>
          <cell r="CG8">
            <v>5550</v>
          </cell>
        </row>
        <row r="9">
          <cell r="C9">
            <v>12808</v>
          </cell>
          <cell r="D9" t="str">
            <v>GD250278</v>
          </cell>
          <cell r="E9" t="str">
            <v>Aclan, Marvin Balmes</v>
          </cell>
          <cell r="F9" t="str">
            <v>METAL STAMPING</v>
          </cell>
          <cell r="G9" t="str">
            <v>PRODUCTION</v>
          </cell>
          <cell r="H9" t="str">
            <v>Operator 1</v>
          </cell>
          <cell r="I9" t="str">
            <v>DL</v>
          </cell>
          <cell r="J9">
            <v>96</v>
          </cell>
          <cell r="K9">
            <v>12</v>
          </cell>
          <cell r="L9">
            <v>600</v>
          </cell>
          <cell r="M9">
            <v>7200</v>
          </cell>
          <cell r="N9">
            <v>0</v>
          </cell>
          <cell r="O9">
            <v>1.25</v>
          </cell>
          <cell r="P9">
            <v>0</v>
          </cell>
          <cell r="Q9">
            <v>6.5</v>
          </cell>
          <cell r="R9">
            <v>93.75</v>
          </cell>
          <cell r="S9">
            <v>609.375</v>
          </cell>
          <cell r="T9">
            <v>12</v>
          </cell>
          <cell r="U9">
            <v>7.5</v>
          </cell>
          <cell r="V9">
            <v>90</v>
          </cell>
          <cell r="W9">
            <v>2</v>
          </cell>
          <cell r="X9">
            <v>9.375</v>
          </cell>
          <cell r="Y9">
            <v>18.75</v>
          </cell>
          <cell r="Z9">
            <v>0</v>
          </cell>
          <cell r="AA9">
            <v>97.5</v>
          </cell>
          <cell r="AB9">
            <v>0</v>
          </cell>
          <cell r="AD9">
            <v>126.75</v>
          </cell>
          <cell r="AE9">
            <v>0</v>
          </cell>
          <cell r="AF9">
            <v>0</v>
          </cell>
          <cell r="AG9">
            <v>9.75</v>
          </cell>
          <cell r="AH9">
            <v>0</v>
          </cell>
          <cell r="AJ9">
            <v>112.5</v>
          </cell>
          <cell r="AK9">
            <v>0</v>
          </cell>
          <cell r="AM9">
            <v>146.25</v>
          </cell>
          <cell r="AN9">
            <v>0</v>
          </cell>
          <cell r="AP9">
            <v>11.25</v>
          </cell>
          <cell r="AQ9">
            <v>0</v>
          </cell>
          <cell r="AR9">
            <v>0</v>
          </cell>
          <cell r="AS9">
            <v>97.5</v>
          </cell>
          <cell r="AT9">
            <v>0</v>
          </cell>
          <cell r="AX9">
            <v>0</v>
          </cell>
          <cell r="AY9">
            <v>9.75</v>
          </cell>
          <cell r="AZ9">
            <v>0</v>
          </cell>
          <cell r="BA9">
            <v>0</v>
          </cell>
          <cell r="BB9">
            <v>150</v>
          </cell>
          <cell r="BC9">
            <v>0</v>
          </cell>
          <cell r="BJ9">
            <v>0</v>
          </cell>
          <cell r="BK9">
            <v>75</v>
          </cell>
          <cell r="BL9">
            <v>0</v>
          </cell>
          <cell r="CG9">
            <v>7918.125</v>
          </cell>
        </row>
        <row r="10">
          <cell r="C10">
            <v>12810</v>
          </cell>
          <cell r="D10" t="str">
            <v>GD250280</v>
          </cell>
          <cell r="E10" t="str">
            <v>Acosta, Alexis Dorongon</v>
          </cell>
          <cell r="F10" t="str">
            <v>METAL STAMPING</v>
          </cell>
          <cell r="G10" t="str">
            <v>PRODUCTION</v>
          </cell>
          <cell r="H10" t="str">
            <v>Operator 1</v>
          </cell>
          <cell r="I10" t="str">
            <v>DL</v>
          </cell>
          <cell r="J10">
            <v>104</v>
          </cell>
          <cell r="K10">
            <v>13</v>
          </cell>
          <cell r="L10">
            <v>600</v>
          </cell>
          <cell r="M10">
            <v>7800</v>
          </cell>
          <cell r="N10">
            <v>5</v>
          </cell>
          <cell r="O10">
            <v>1.25</v>
          </cell>
          <cell r="P10">
            <v>-6.25</v>
          </cell>
          <cell r="Q10">
            <v>16</v>
          </cell>
          <cell r="R10">
            <v>93.75</v>
          </cell>
          <cell r="S10">
            <v>1500</v>
          </cell>
          <cell r="T10">
            <v>66</v>
          </cell>
          <cell r="U10">
            <v>7.5</v>
          </cell>
          <cell r="V10">
            <v>495</v>
          </cell>
          <cell r="W10">
            <v>14</v>
          </cell>
          <cell r="X10">
            <v>9.375</v>
          </cell>
          <cell r="Y10">
            <v>131.25</v>
          </cell>
          <cell r="Z10">
            <v>0</v>
          </cell>
          <cell r="AA10">
            <v>97.5</v>
          </cell>
          <cell r="AB10">
            <v>0</v>
          </cell>
          <cell r="AD10">
            <v>126.75</v>
          </cell>
          <cell r="AE10">
            <v>0</v>
          </cell>
          <cell r="AF10">
            <v>0</v>
          </cell>
          <cell r="AG10">
            <v>9.75</v>
          </cell>
          <cell r="AH10">
            <v>0</v>
          </cell>
          <cell r="AJ10">
            <v>112.5</v>
          </cell>
          <cell r="AK10">
            <v>0</v>
          </cell>
          <cell r="AM10">
            <v>146.25</v>
          </cell>
          <cell r="AN10">
            <v>0</v>
          </cell>
          <cell r="AP10">
            <v>11.25</v>
          </cell>
          <cell r="AQ10">
            <v>0</v>
          </cell>
          <cell r="AR10">
            <v>0</v>
          </cell>
          <cell r="AS10">
            <v>97.5</v>
          </cell>
          <cell r="AT10">
            <v>0</v>
          </cell>
          <cell r="AX10">
            <v>0</v>
          </cell>
          <cell r="AY10">
            <v>9.75</v>
          </cell>
          <cell r="AZ10">
            <v>0</v>
          </cell>
          <cell r="BA10">
            <v>0</v>
          </cell>
          <cell r="BB10">
            <v>150</v>
          </cell>
          <cell r="BC10">
            <v>0</v>
          </cell>
          <cell r="BJ10">
            <v>0</v>
          </cell>
          <cell r="BK10">
            <v>75</v>
          </cell>
          <cell r="BL10">
            <v>0</v>
          </cell>
          <cell r="CG10">
            <v>9920</v>
          </cell>
        </row>
        <row r="11">
          <cell r="C11">
            <v>4327</v>
          </cell>
          <cell r="D11" t="str">
            <v>GD250042</v>
          </cell>
          <cell r="E11" t="str">
            <v>Ada, Joemer Vera</v>
          </cell>
          <cell r="F11" t="str">
            <v>METAL STAMPING</v>
          </cell>
          <cell r="G11" t="str">
            <v>PRODUCTION</v>
          </cell>
          <cell r="H11" t="str">
            <v>Operator 1</v>
          </cell>
          <cell r="I11" t="str">
            <v>DL</v>
          </cell>
          <cell r="J11">
            <v>80</v>
          </cell>
          <cell r="K11">
            <v>10</v>
          </cell>
          <cell r="L11">
            <v>600</v>
          </cell>
          <cell r="M11">
            <v>6000</v>
          </cell>
          <cell r="N11">
            <v>18</v>
          </cell>
          <cell r="O11">
            <v>1.25</v>
          </cell>
          <cell r="P11">
            <v>-22.5</v>
          </cell>
          <cell r="Q11">
            <v>0</v>
          </cell>
          <cell r="R11">
            <v>93.75</v>
          </cell>
          <cell r="S11">
            <v>0</v>
          </cell>
          <cell r="T11">
            <v>47</v>
          </cell>
          <cell r="U11">
            <v>7.5</v>
          </cell>
          <cell r="V11">
            <v>352.5</v>
          </cell>
          <cell r="W11">
            <v>0</v>
          </cell>
          <cell r="X11">
            <v>9.375</v>
          </cell>
          <cell r="Y11">
            <v>0</v>
          </cell>
          <cell r="Z11">
            <v>0</v>
          </cell>
          <cell r="AA11">
            <v>97.5</v>
          </cell>
          <cell r="AB11">
            <v>0</v>
          </cell>
          <cell r="AD11">
            <v>126.75</v>
          </cell>
          <cell r="AE11">
            <v>0</v>
          </cell>
          <cell r="AF11">
            <v>0</v>
          </cell>
          <cell r="AG11">
            <v>9.75</v>
          </cell>
          <cell r="AH11">
            <v>0</v>
          </cell>
          <cell r="AJ11">
            <v>112.5</v>
          </cell>
          <cell r="AK11">
            <v>0</v>
          </cell>
          <cell r="AM11">
            <v>146.25</v>
          </cell>
          <cell r="AN11">
            <v>0</v>
          </cell>
          <cell r="AP11">
            <v>11.25</v>
          </cell>
          <cell r="AQ11">
            <v>0</v>
          </cell>
          <cell r="AR11">
            <v>0</v>
          </cell>
          <cell r="AS11">
            <v>97.5</v>
          </cell>
          <cell r="AT11">
            <v>0</v>
          </cell>
          <cell r="AX11">
            <v>0</v>
          </cell>
          <cell r="AY11">
            <v>9.75</v>
          </cell>
          <cell r="AZ11">
            <v>0</v>
          </cell>
          <cell r="BA11">
            <v>0</v>
          </cell>
          <cell r="BB11">
            <v>150</v>
          </cell>
          <cell r="BC11">
            <v>0</v>
          </cell>
          <cell r="BJ11">
            <v>0</v>
          </cell>
          <cell r="BK11">
            <v>75</v>
          </cell>
          <cell r="BL11">
            <v>0</v>
          </cell>
          <cell r="CG11">
            <v>6330</v>
          </cell>
        </row>
        <row r="12">
          <cell r="C12">
            <v>12816</v>
          </cell>
          <cell r="D12" t="str">
            <v>GD250285</v>
          </cell>
          <cell r="E12" t="str">
            <v>Aguilera, Baby Rose Lacbay</v>
          </cell>
          <cell r="F12" t="str">
            <v>METAL STAMPING</v>
          </cell>
          <cell r="G12" t="str">
            <v>PRODUCTION</v>
          </cell>
          <cell r="H12" t="str">
            <v>Operator 1</v>
          </cell>
          <cell r="I12" t="str">
            <v>DL</v>
          </cell>
          <cell r="J12">
            <v>88</v>
          </cell>
          <cell r="K12">
            <v>11</v>
          </cell>
          <cell r="L12">
            <v>600</v>
          </cell>
          <cell r="M12">
            <v>6600</v>
          </cell>
          <cell r="N12">
            <v>66</v>
          </cell>
          <cell r="O12">
            <v>1.25</v>
          </cell>
          <cell r="P12">
            <v>-82.5</v>
          </cell>
          <cell r="Q12">
            <v>18</v>
          </cell>
          <cell r="R12">
            <v>93.75</v>
          </cell>
          <cell r="S12">
            <v>1687.5</v>
          </cell>
          <cell r="T12">
            <v>0</v>
          </cell>
          <cell r="U12">
            <v>7.5</v>
          </cell>
          <cell r="V12">
            <v>0</v>
          </cell>
          <cell r="W12">
            <v>0</v>
          </cell>
          <cell r="X12">
            <v>9.375</v>
          </cell>
          <cell r="Y12">
            <v>0</v>
          </cell>
          <cell r="Z12">
            <v>8</v>
          </cell>
          <cell r="AA12">
            <v>97.5</v>
          </cell>
          <cell r="AB12">
            <v>780</v>
          </cell>
          <cell r="AD12">
            <v>126.75</v>
          </cell>
          <cell r="AE12">
            <v>0</v>
          </cell>
          <cell r="AF12">
            <v>0</v>
          </cell>
          <cell r="AG12">
            <v>9.75</v>
          </cell>
          <cell r="AH12">
            <v>0</v>
          </cell>
          <cell r="AJ12">
            <v>112.5</v>
          </cell>
          <cell r="AK12">
            <v>0</v>
          </cell>
          <cell r="AM12">
            <v>146.25</v>
          </cell>
          <cell r="AN12">
            <v>0</v>
          </cell>
          <cell r="AP12">
            <v>11.25</v>
          </cell>
          <cell r="AQ12">
            <v>0</v>
          </cell>
          <cell r="AR12">
            <v>0</v>
          </cell>
          <cell r="AS12">
            <v>97.5</v>
          </cell>
          <cell r="AT12">
            <v>0</v>
          </cell>
          <cell r="AX12">
            <v>0</v>
          </cell>
          <cell r="AY12">
            <v>9.75</v>
          </cell>
          <cell r="AZ12">
            <v>0</v>
          </cell>
          <cell r="BA12">
            <v>0</v>
          </cell>
          <cell r="BB12">
            <v>150</v>
          </cell>
          <cell r="BC12">
            <v>0</v>
          </cell>
          <cell r="BJ12">
            <v>0</v>
          </cell>
          <cell r="BK12">
            <v>75</v>
          </cell>
          <cell r="BL12">
            <v>0</v>
          </cell>
          <cell r="CG12">
            <v>8985</v>
          </cell>
        </row>
        <row r="13">
          <cell r="C13">
            <v>14479</v>
          </cell>
          <cell r="D13" t="str">
            <v>GD250252</v>
          </cell>
          <cell r="E13" t="str">
            <v>Albaña, Rose Marie Esternon</v>
          </cell>
          <cell r="F13" t="str">
            <v>METAL STAMPING</v>
          </cell>
          <cell r="G13" t="str">
            <v>PRODUCTION</v>
          </cell>
          <cell r="H13" t="str">
            <v>Operator 1</v>
          </cell>
          <cell r="I13" t="str">
            <v>DL</v>
          </cell>
          <cell r="J13">
            <v>96</v>
          </cell>
          <cell r="K13">
            <v>12</v>
          </cell>
          <cell r="L13">
            <v>600</v>
          </cell>
          <cell r="M13">
            <v>7200</v>
          </cell>
          <cell r="N13">
            <v>0</v>
          </cell>
          <cell r="O13">
            <v>1.25</v>
          </cell>
          <cell r="P13">
            <v>0</v>
          </cell>
          <cell r="Q13">
            <v>14</v>
          </cell>
          <cell r="R13">
            <v>93.75</v>
          </cell>
          <cell r="S13">
            <v>1312.5</v>
          </cell>
          <cell r="T13">
            <v>60</v>
          </cell>
          <cell r="U13">
            <v>7.5</v>
          </cell>
          <cell r="V13">
            <v>450</v>
          </cell>
          <cell r="W13">
            <v>12</v>
          </cell>
          <cell r="X13">
            <v>9.375</v>
          </cell>
          <cell r="Y13">
            <v>112.5</v>
          </cell>
          <cell r="Z13">
            <v>0</v>
          </cell>
          <cell r="AA13">
            <v>97.5</v>
          </cell>
          <cell r="AB13">
            <v>0</v>
          </cell>
          <cell r="AD13">
            <v>126.75</v>
          </cell>
          <cell r="AE13">
            <v>0</v>
          </cell>
          <cell r="AF13">
            <v>0</v>
          </cell>
          <cell r="AG13">
            <v>9.75</v>
          </cell>
          <cell r="AH13">
            <v>0</v>
          </cell>
          <cell r="AJ13">
            <v>112.5</v>
          </cell>
          <cell r="AK13">
            <v>0</v>
          </cell>
          <cell r="AM13">
            <v>146.25</v>
          </cell>
          <cell r="AN13">
            <v>0</v>
          </cell>
          <cell r="AP13">
            <v>11.25</v>
          </cell>
          <cell r="AQ13">
            <v>0</v>
          </cell>
          <cell r="AR13">
            <v>0</v>
          </cell>
          <cell r="AS13">
            <v>97.5</v>
          </cell>
          <cell r="AT13">
            <v>0</v>
          </cell>
          <cell r="AX13">
            <v>0</v>
          </cell>
          <cell r="AY13">
            <v>9.75</v>
          </cell>
          <cell r="AZ13">
            <v>0</v>
          </cell>
          <cell r="BA13">
            <v>0</v>
          </cell>
          <cell r="BB13">
            <v>150</v>
          </cell>
          <cell r="BC13">
            <v>0</v>
          </cell>
          <cell r="BJ13">
            <v>0</v>
          </cell>
          <cell r="BK13">
            <v>75</v>
          </cell>
          <cell r="BL13">
            <v>0</v>
          </cell>
          <cell r="CG13">
            <v>9075</v>
          </cell>
        </row>
        <row r="14">
          <cell r="C14">
            <v>12830</v>
          </cell>
          <cell r="D14" t="str">
            <v>GD250292</v>
          </cell>
          <cell r="E14" t="str">
            <v>Ampon, Jerrold Mark Anday</v>
          </cell>
          <cell r="F14" t="str">
            <v>METAL STAMPING</v>
          </cell>
          <cell r="G14" t="str">
            <v>PRODUCTION</v>
          </cell>
          <cell r="H14" t="str">
            <v>Operator 1</v>
          </cell>
          <cell r="I14" t="str">
            <v>DL</v>
          </cell>
          <cell r="J14">
            <v>104</v>
          </cell>
          <cell r="K14">
            <v>13</v>
          </cell>
          <cell r="L14">
            <v>600</v>
          </cell>
          <cell r="M14">
            <v>7800</v>
          </cell>
          <cell r="N14">
            <v>0</v>
          </cell>
          <cell r="O14">
            <v>1.25</v>
          </cell>
          <cell r="P14">
            <v>0</v>
          </cell>
          <cell r="Q14">
            <v>14</v>
          </cell>
          <cell r="R14">
            <v>93.75</v>
          </cell>
          <cell r="S14">
            <v>1312.5</v>
          </cell>
          <cell r="T14">
            <v>12</v>
          </cell>
          <cell r="U14">
            <v>7.5</v>
          </cell>
          <cell r="V14">
            <v>90</v>
          </cell>
          <cell r="W14">
            <v>2</v>
          </cell>
          <cell r="X14">
            <v>9.375</v>
          </cell>
          <cell r="Y14">
            <v>18.75</v>
          </cell>
          <cell r="Z14">
            <v>8</v>
          </cell>
          <cell r="AA14">
            <v>97.5</v>
          </cell>
          <cell r="AB14">
            <v>780</v>
          </cell>
          <cell r="AD14">
            <v>126.75</v>
          </cell>
          <cell r="AE14">
            <v>0</v>
          </cell>
          <cell r="AF14">
            <v>0</v>
          </cell>
          <cell r="AG14">
            <v>9.75</v>
          </cell>
          <cell r="AH14">
            <v>0</v>
          </cell>
          <cell r="AJ14">
            <v>112.5</v>
          </cell>
          <cell r="AK14">
            <v>0</v>
          </cell>
          <cell r="AM14">
            <v>146.25</v>
          </cell>
          <cell r="AN14">
            <v>0</v>
          </cell>
          <cell r="AP14">
            <v>11.25</v>
          </cell>
          <cell r="AQ14">
            <v>0</v>
          </cell>
          <cell r="AR14">
            <v>0</v>
          </cell>
          <cell r="AS14">
            <v>97.5</v>
          </cell>
          <cell r="AT14">
            <v>0</v>
          </cell>
          <cell r="AX14">
            <v>0</v>
          </cell>
          <cell r="AY14">
            <v>9.75</v>
          </cell>
          <cell r="AZ14">
            <v>0</v>
          </cell>
          <cell r="BA14">
            <v>0</v>
          </cell>
          <cell r="BB14">
            <v>150</v>
          </cell>
          <cell r="BC14">
            <v>0</v>
          </cell>
          <cell r="BJ14">
            <v>0</v>
          </cell>
          <cell r="BK14">
            <v>75</v>
          </cell>
          <cell r="BL14">
            <v>0</v>
          </cell>
          <cell r="CG14">
            <v>10001.25</v>
          </cell>
        </row>
        <row r="15">
          <cell r="C15">
            <v>5076</v>
          </cell>
          <cell r="D15" t="str">
            <v>GD250017</v>
          </cell>
          <cell r="E15" t="str">
            <v>Aragdon, Edmun Aguilar</v>
          </cell>
          <cell r="F15" t="str">
            <v>METAL STAMPING</v>
          </cell>
          <cell r="G15" t="str">
            <v>PRODUCTION</v>
          </cell>
          <cell r="H15" t="str">
            <v>Operator 1</v>
          </cell>
          <cell r="I15" t="str">
            <v>DL</v>
          </cell>
          <cell r="J15">
            <v>96</v>
          </cell>
          <cell r="K15">
            <v>12</v>
          </cell>
          <cell r="L15">
            <v>600</v>
          </cell>
          <cell r="M15">
            <v>7200</v>
          </cell>
          <cell r="N15">
            <v>0</v>
          </cell>
          <cell r="O15">
            <v>1.25</v>
          </cell>
          <cell r="P15">
            <v>0</v>
          </cell>
          <cell r="Q15">
            <v>8</v>
          </cell>
          <cell r="R15">
            <v>93.75</v>
          </cell>
          <cell r="S15">
            <v>750</v>
          </cell>
          <cell r="T15">
            <v>66</v>
          </cell>
          <cell r="U15">
            <v>7.5</v>
          </cell>
          <cell r="V15">
            <v>495</v>
          </cell>
          <cell r="W15">
            <v>8</v>
          </cell>
          <cell r="X15">
            <v>9.375</v>
          </cell>
          <cell r="Y15">
            <v>75</v>
          </cell>
          <cell r="Z15">
            <v>0</v>
          </cell>
          <cell r="AA15">
            <v>97.5</v>
          </cell>
          <cell r="AB15">
            <v>0</v>
          </cell>
          <cell r="AD15">
            <v>126.75</v>
          </cell>
          <cell r="AE15">
            <v>0</v>
          </cell>
          <cell r="AF15">
            <v>0</v>
          </cell>
          <cell r="AG15">
            <v>9.75</v>
          </cell>
          <cell r="AH15">
            <v>0</v>
          </cell>
          <cell r="AJ15">
            <v>112.5</v>
          </cell>
          <cell r="AK15">
            <v>0</v>
          </cell>
          <cell r="AM15">
            <v>146.25</v>
          </cell>
          <cell r="AN15">
            <v>0</v>
          </cell>
          <cell r="AP15">
            <v>11.25</v>
          </cell>
          <cell r="AQ15">
            <v>0</v>
          </cell>
          <cell r="AR15">
            <v>0</v>
          </cell>
          <cell r="AS15">
            <v>97.5</v>
          </cell>
          <cell r="AT15">
            <v>0</v>
          </cell>
          <cell r="AX15">
            <v>0</v>
          </cell>
          <cell r="AY15">
            <v>9.75</v>
          </cell>
          <cell r="AZ15">
            <v>0</v>
          </cell>
          <cell r="BA15">
            <v>0</v>
          </cell>
          <cell r="BB15">
            <v>150</v>
          </cell>
          <cell r="BC15">
            <v>0</v>
          </cell>
          <cell r="BJ15">
            <v>0</v>
          </cell>
          <cell r="BK15">
            <v>75</v>
          </cell>
          <cell r="BL15">
            <v>0</v>
          </cell>
          <cell r="CG15">
            <v>8520</v>
          </cell>
        </row>
        <row r="16">
          <cell r="C16">
            <v>12835</v>
          </cell>
          <cell r="D16" t="str">
            <v>GD250296</v>
          </cell>
          <cell r="E16" t="str">
            <v>Arañez, John Randle Bangate</v>
          </cell>
          <cell r="F16" t="str">
            <v>PRODUCTION</v>
          </cell>
          <cell r="G16" t="str">
            <v>STAMPING</v>
          </cell>
          <cell r="H16" t="str">
            <v>Operator 1</v>
          </cell>
          <cell r="I16" t="str">
            <v>DL</v>
          </cell>
          <cell r="J16">
            <v>8</v>
          </cell>
          <cell r="K16">
            <v>1</v>
          </cell>
          <cell r="L16">
            <v>600</v>
          </cell>
          <cell r="M16">
            <v>600</v>
          </cell>
          <cell r="N16">
            <v>0</v>
          </cell>
          <cell r="O16">
            <v>1.25</v>
          </cell>
          <cell r="P16">
            <v>0</v>
          </cell>
          <cell r="Q16">
            <v>0</v>
          </cell>
          <cell r="R16">
            <v>93.75</v>
          </cell>
          <cell r="S16">
            <v>0</v>
          </cell>
          <cell r="T16">
            <v>6</v>
          </cell>
          <cell r="U16">
            <v>7.5</v>
          </cell>
          <cell r="V16">
            <v>45</v>
          </cell>
          <cell r="W16">
            <v>0</v>
          </cell>
          <cell r="X16">
            <v>9.375</v>
          </cell>
          <cell r="Y16">
            <v>0</v>
          </cell>
          <cell r="Z16">
            <v>0</v>
          </cell>
          <cell r="AA16">
            <v>97.5</v>
          </cell>
          <cell r="AB16">
            <v>0</v>
          </cell>
          <cell r="AD16">
            <v>126.75</v>
          </cell>
          <cell r="AE16">
            <v>0</v>
          </cell>
          <cell r="AF16">
            <v>0</v>
          </cell>
          <cell r="AG16">
            <v>9.75</v>
          </cell>
          <cell r="AH16">
            <v>0</v>
          </cell>
          <cell r="AJ16">
            <v>112.5</v>
          </cell>
          <cell r="AK16">
            <v>0</v>
          </cell>
          <cell r="AM16">
            <v>146.25</v>
          </cell>
          <cell r="AN16">
            <v>0</v>
          </cell>
          <cell r="AP16">
            <v>11.25</v>
          </cell>
          <cell r="AQ16">
            <v>0</v>
          </cell>
          <cell r="AR16">
            <v>0</v>
          </cell>
          <cell r="AS16">
            <v>97.5</v>
          </cell>
          <cell r="AT16">
            <v>0</v>
          </cell>
          <cell r="AX16">
            <v>0</v>
          </cell>
          <cell r="AY16">
            <v>9.75</v>
          </cell>
          <cell r="AZ16">
            <v>0</v>
          </cell>
          <cell r="BA16">
            <v>0</v>
          </cell>
          <cell r="BB16">
            <v>150</v>
          </cell>
          <cell r="BC16">
            <v>0</v>
          </cell>
          <cell r="BJ16">
            <v>0</v>
          </cell>
          <cell r="BK16">
            <v>75</v>
          </cell>
          <cell r="BL16">
            <v>0</v>
          </cell>
          <cell r="CG16">
            <v>645</v>
          </cell>
        </row>
        <row r="17">
          <cell r="C17">
            <v>32436</v>
          </cell>
          <cell r="D17" t="str">
            <v>GD260698</v>
          </cell>
          <cell r="E17" t="str">
            <v>Bajamonde, Marlon San Andres</v>
          </cell>
          <cell r="F17" t="str">
            <v>METAL STAMPING</v>
          </cell>
          <cell r="G17" t="str">
            <v>PRODUCTION</v>
          </cell>
          <cell r="H17" t="str">
            <v>Operator 1</v>
          </cell>
          <cell r="I17" t="str">
            <v>DL</v>
          </cell>
          <cell r="J17">
            <v>96</v>
          </cell>
          <cell r="K17">
            <v>12</v>
          </cell>
          <cell r="L17">
            <v>600</v>
          </cell>
          <cell r="M17">
            <v>7200</v>
          </cell>
          <cell r="N17">
            <v>0</v>
          </cell>
          <cell r="O17">
            <v>1.25</v>
          </cell>
          <cell r="P17">
            <v>0</v>
          </cell>
          <cell r="Q17">
            <v>6</v>
          </cell>
          <cell r="R17">
            <v>93.75</v>
          </cell>
          <cell r="S17">
            <v>562.5</v>
          </cell>
          <cell r="T17">
            <v>12</v>
          </cell>
          <cell r="U17">
            <v>7.5</v>
          </cell>
          <cell r="V17">
            <v>90</v>
          </cell>
          <cell r="W17">
            <v>2</v>
          </cell>
          <cell r="X17">
            <v>9.375</v>
          </cell>
          <cell r="Y17">
            <v>18.75</v>
          </cell>
          <cell r="Z17">
            <v>0</v>
          </cell>
          <cell r="AA17">
            <v>97.5</v>
          </cell>
          <cell r="AB17">
            <v>0</v>
          </cell>
          <cell r="AD17">
            <v>126.75</v>
          </cell>
          <cell r="AE17">
            <v>0</v>
          </cell>
          <cell r="AF17">
            <v>0</v>
          </cell>
          <cell r="AG17">
            <v>9.75</v>
          </cell>
          <cell r="AH17">
            <v>0</v>
          </cell>
          <cell r="AJ17">
            <v>112.5</v>
          </cell>
          <cell r="AK17">
            <v>0</v>
          </cell>
          <cell r="AM17">
            <v>146.25</v>
          </cell>
          <cell r="AN17">
            <v>0</v>
          </cell>
          <cell r="AP17">
            <v>11.25</v>
          </cell>
          <cell r="AQ17">
            <v>0</v>
          </cell>
          <cell r="AR17">
            <v>0</v>
          </cell>
          <cell r="AS17">
            <v>97.5</v>
          </cell>
          <cell r="AT17">
            <v>0</v>
          </cell>
          <cell r="AX17">
            <v>0</v>
          </cell>
          <cell r="AY17">
            <v>9.75</v>
          </cell>
          <cell r="AZ17">
            <v>0</v>
          </cell>
          <cell r="BA17">
            <v>0</v>
          </cell>
          <cell r="BB17">
            <v>150</v>
          </cell>
          <cell r="BC17">
            <v>0</v>
          </cell>
          <cell r="BJ17">
            <v>0</v>
          </cell>
          <cell r="BK17">
            <v>75</v>
          </cell>
          <cell r="BL17">
            <v>0</v>
          </cell>
          <cell r="CG17">
            <v>7871.25</v>
          </cell>
        </row>
        <row r="18">
          <cell r="C18">
            <v>14760</v>
          </cell>
          <cell r="D18" t="str">
            <v>GD250201</v>
          </cell>
          <cell r="E18" t="str">
            <v>Balba, Christopher Laloma</v>
          </cell>
          <cell r="F18" t="str">
            <v>METAL STAMPING</v>
          </cell>
          <cell r="G18" t="str">
            <v>PRODUCTION</v>
          </cell>
          <cell r="H18" t="str">
            <v>Operator 1</v>
          </cell>
          <cell r="I18" t="str">
            <v>DL</v>
          </cell>
          <cell r="J18">
            <v>104</v>
          </cell>
          <cell r="K18">
            <v>13</v>
          </cell>
          <cell r="L18">
            <v>600</v>
          </cell>
          <cell r="M18">
            <v>7800</v>
          </cell>
          <cell r="N18">
            <v>0</v>
          </cell>
          <cell r="O18">
            <v>1.25</v>
          </cell>
          <cell r="P18">
            <v>0</v>
          </cell>
          <cell r="Q18">
            <v>15.5</v>
          </cell>
          <cell r="R18">
            <v>93.75</v>
          </cell>
          <cell r="S18">
            <v>1453.125</v>
          </cell>
          <cell r="T18">
            <v>12</v>
          </cell>
          <cell r="U18">
            <v>7.5</v>
          </cell>
          <cell r="V18">
            <v>90</v>
          </cell>
          <cell r="W18">
            <v>2</v>
          </cell>
          <cell r="X18">
            <v>9.375</v>
          </cell>
          <cell r="Y18">
            <v>18.75</v>
          </cell>
          <cell r="Z18">
            <v>8</v>
          </cell>
          <cell r="AA18">
            <v>97.5</v>
          </cell>
          <cell r="AB18">
            <v>780</v>
          </cell>
          <cell r="AD18">
            <v>126.75</v>
          </cell>
          <cell r="AE18">
            <v>0</v>
          </cell>
          <cell r="AF18">
            <v>0</v>
          </cell>
          <cell r="AG18">
            <v>9.75</v>
          </cell>
          <cell r="AH18">
            <v>0</v>
          </cell>
          <cell r="AJ18">
            <v>112.5</v>
          </cell>
          <cell r="AK18">
            <v>0</v>
          </cell>
          <cell r="AM18">
            <v>146.25</v>
          </cell>
          <cell r="AN18">
            <v>0</v>
          </cell>
          <cell r="AP18">
            <v>11.25</v>
          </cell>
          <cell r="AQ18">
            <v>0</v>
          </cell>
          <cell r="AR18">
            <v>0</v>
          </cell>
          <cell r="AS18">
            <v>97.5</v>
          </cell>
          <cell r="AT18">
            <v>0</v>
          </cell>
          <cell r="AX18">
            <v>0</v>
          </cell>
          <cell r="AY18">
            <v>9.75</v>
          </cell>
          <cell r="AZ18">
            <v>0</v>
          </cell>
          <cell r="BA18">
            <v>0</v>
          </cell>
          <cell r="BB18">
            <v>150</v>
          </cell>
          <cell r="BC18">
            <v>0</v>
          </cell>
          <cell r="BJ18">
            <v>0</v>
          </cell>
          <cell r="BK18">
            <v>75</v>
          </cell>
          <cell r="BL18">
            <v>0</v>
          </cell>
          <cell r="CG18">
            <v>10141.875</v>
          </cell>
        </row>
        <row r="19">
          <cell r="C19">
            <v>30679</v>
          </cell>
          <cell r="D19" t="str">
            <v>GD250548</v>
          </cell>
          <cell r="E19" t="str">
            <v>Bardon, Norly Villacruel</v>
          </cell>
          <cell r="F19" t="str">
            <v>METAL STAMPING</v>
          </cell>
          <cell r="G19" t="str">
            <v>PRODUCTION</v>
          </cell>
          <cell r="H19" t="str">
            <v>Operator 1</v>
          </cell>
          <cell r="I19" t="str">
            <v>DL</v>
          </cell>
          <cell r="J19">
            <v>56</v>
          </cell>
          <cell r="K19">
            <v>7</v>
          </cell>
          <cell r="L19">
            <v>600</v>
          </cell>
          <cell r="M19">
            <v>4200</v>
          </cell>
          <cell r="N19">
            <v>0</v>
          </cell>
          <cell r="O19">
            <v>1.25</v>
          </cell>
          <cell r="P19">
            <v>0</v>
          </cell>
          <cell r="Q19">
            <v>6</v>
          </cell>
          <cell r="R19">
            <v>93.75</v>
          </cell>
          <cell r="S19">
            <v>562.5</v>
          </cell>
          <cell r="T19">
            <v>12</v>
          </cell>
          <cell r="U19">
            <v>7.5</v>
          </cell>
          <cell r="V19">
            <v>90</v>
          </cell>
          <cell r="W19">
            <v>0</v>
          </cell>
          <cell r="X19">
            <v>9.375</v>
          </cell>
          <cell r="Y19">
            <v>0</v>
          </cell>
          <cell r="Z19">
            <v>0</v>
          </cell>
          <cell r="AA19">
            <v>97.5</v>
          </cell>
          <cell r="AB19">
            <v>0</v>
          </cell>
          <cell r="AD19">
            <v>126.75</v>
          </cell>
          <cell r="AE19">
            <v>0</v>
          </cell>
          <cell r="AF19">
            <v>0</v>
          </cell>
          <cell r="AG19">
            <v>9.75</v>
          </cell>
          <cell r="AH19">
            <v>0</v>
          </cell>
          <cell r="AJ19">
            <v>112.5</v>
          </cell>
          <cell r="AK19">
            <v>0</v>
          </cell>
          <cell r="AM19">
            <v>146.25</v>
          </cell>
          <cell r="AN19">
            <v>0</v>
          </cell>
          <cell r="AP19">
            <v>11.25</v>
          </cell>
          <cell r="AQ19">
            <v>0</v>
          </cell>
          <cell r="AR19">
            <v>0</v>
          </cell>
          <cell r="AS19">
            <v>97.5</v>
          </cell>
          <cell r="AT19">
            <v>0</v>
          </cell>
          <cell r="AX19">
            <v>0</v>
          </cell>
          <cell r="AY19">
            <v>9.75</v>
          </cell>
          <cell r="AZ19">
            <v>0</v>
          </cell>
          <cell r="BA19">
            <v>0</v>
          </cell>
          <cell r="BB19">
            <v>150</v>
          </cell>
          <cell r="BC19">
            <v>0</v>
          </cell>
          <cell r="BJ19">
            <v>0</v>
          </cell>
          <cell r="BK19">
            <v>75</v>
          </cell>
          <cell r="BL19">
            <v>0</v>
          </cell>
          <cell r="CG19">
            <v>4852.5</v>
          </cell>
        </row>
        <row r="20">
          <cell r="C20">
            <v>7708</v>
          </cell>
          <cell r="D20" t="str">
            <v>GD250089</v>
          </cell>
          <cell r="E20" t="str">
            <v>Belarmino, Jade Espenida</v>
          </cell>
          <cell r="F20" t="str">
            <v>METAL STAMPING</v>
          </cell>
          <cell r="G20" t="str">
            <v>PRODUCTION</v>
          </cell>
          <cell r="H20" t="str">
            <v>Operator 1</v>
          </cell>
          <cell r="I20" t="str">
            <v>DL</v>
          </cell>
          <cell r="J20">
            <v>88</v>
          </cell>
          <cell r="K20">
            <v>11</v>
          </cell>
          <cell r="L20">
            <v>600</v>
          </cell>
          <cell r="M20">
            <v>6600</v>
          </cell>
          <cell r="N20">
            <v>0</v>
          </cell>
          <cell r="O20">
            <v>1.25</v>
          </cell>
          <cell r="P20">
            <v>0</v>
          </cell>
          <cell r="Q20">
            <v>14</v>
          </cell>
          <cell r="R20">
            <v>93.75</v>
          </cell>
          <cell r="S20">
            <v>1312.5</v>
          </cell>
          <cell r="T20">
            <v>54</v>
          </cell>
          <cell r="U20">
            <v>7.5</v>
          </cell>
          <cell r="V20">
            <v>405</v>
          </cell>
          <cell r="W20">
            <v>12</v>
          </cell>
          <cell r="X20">
            <v>9.375</v>
          </cell>
          <cell r="Y20">
            <v>112.5</v>
          </cell>
          <cell r="Z20">
            <v>0</v>
          </cell>
          <cell r="AA20">
            <v>97.5</v>
          </cell>
          <cell r="AB20">
            <v>0</v>
          </cell>
          <cell r="AD20">
            <v>126.75</v>
          </cell>
          <cell r="AE20">
            <v>0</v>
          </cell>
          <cell r="AF20">
            <v>0</v>
          </cell>
          <cell r="AG20">
            <v>9.75</v>
          </cell>
          <cell r="AH20">
            <v>0</v>
          </cell>
          <cell r="AJ20">
            <v>112.5</v>
          </cell>
          <cell r="AK20">
            <v>0</v>
          </cell>
          <cell r="AM20">
            <v>146.25</v>
          </cell>
          <cell r="AN20">
            <v>0</v>
          </cell>
          <cell r="AP20">
            <v>11.25</v>
          </cell>
          <cell r="AQ20">
            <v>0</v>
          </cell>
          <cell r="AR20">
            <v>0</v>
          </cell>
          <cell r="AS20">
            <v>97.5</v>
          </cell>
          <cell r="AT20">
            <v>0</v>
          </cell>
          <cell r="AX20">
            <v>0</v>
          </cell>
          <cell r="AY20">
            <v>9.75</v>
          </cell>
          <cell r="AZ20">
            <v>0</v>
          </cell>
          <cell r="BA20">
            <v>0</v>
          </cell>
          <cell r="BB20">
            <v>150</v>
          </cell>
          <cell r="BC20">
            <v>0</v>
          </cell>
          <cell r="BJ20">
            <v>0</v>
          </cell>
          <cell r="BK20">
            <v>75</v>
          </cell>
          <cell r="BL20">
            <v>0</v>
          </cell>
          <cell r="CG20">
            <v>8430</v>
          </cell>
        </row>
        <row r="21">
          <cell r="C21">
            <v>12870</v>
          </cell>
          <cell r="D21" t="str">
            <v>GD250311</v>
          </cell>
          <cell r="E21" t="str">
            <v>Blanco, Aireen Bambase</v>
          </cell>
          <cell r="F21" t="str">
            <v>METAL STAMPING</v>
          </cell>
          <cell r="G21" t="str">
            <v>PRODUCTION</v>
          </cell>
          <cell r="H21" t="str">
            <v>Operator 1</v>
          </cell>
          <cell r="I21" t="str">
            <v>DL</v>
          </cell>
          <cell r="J21">
            <v>104</v>
          </cell>
          <cell r="K21">
            <v>13</v>
          </cell>
          <cell r="L21">
            <v>600</v>
          </cell>
          <cell r="M21">
            <v>7800</v>
          </cell>
          <cell r="N21">
            <v>0</v>
          </cell>
          <cell r="O21">
            <v>1.25</v>
          </cell>
          <cell r="P21">
            <v>0</v>
          </cell>
          <cell r="Q21">
            <v>16</v>
          </cell>
          <cell r="R21">
            <v>93.75</v>
          </cell>
          <cell r="S21">
            <v>1500</v>
          </cell>
          <cell r="T21">
            <v>12</v>
          </cell>
          <cell r="U21">
            <v>7.5</v>
          </cell>
          <cell r="V21">
            <v>90</v>
          </cell>
          <cell r="W21">
            <v>2</v>
          </cell>
          <cell r="X21">
            <v>9.375</v>
          </cell>
          <cell r="Y21">
            <v>18.75</v>
          </cell>
          <cell r="Z21">
            <v>0</v>
          </cell>
          <cell r="AA21">
            <v>97.5</v>
          </cell>
          <cell r="AB21">
            <v>0</v>
          </cell>
          <cell r="AD21">
            <v>126.75</v>
          </cell>
          <cell r="AE21">
            <v>0</v>
          </cell>
          <cell r="AF21">
            <v>0</v>
          </cell>
          <cell r="AG21">
            <v>9.75</v>
          </cell>
          <cell r="AH21">
            <v>0</v>
          </cell>
          <cell r="AJ21">
            <v>112.5</v>
          </cell>
          <cell r="AK21">
            <v>0</v>
          </cell>
          <cell r="AM21">
            <v>146.25</v>
          </cell>
          <cell r="AN21">
            <v>0</v>
          </cell>
          <cell r="AP21">
            <v>11.25</v>
          </cell>
          <cell r="AQ21">
            <v>0</v>
          </cell>
          <cell r="AR21">
            <v>0</v>
          </cell>
          <cell r="AS21">
            <v>97.5</v>
          </cell>
          <cell r="AT21">
            <v>0</v>
          </cell>
          <cell r="AX21">
            <v>0</v>
          </cell>
          <cell r="AY21">
            <v>9.75</v>
          </cell>
          <cell r="AZ21">
            <v>0</v>
          </cell>
          <cell r="BA21">
            <v>0</v>
          </cell>
          <cell r="BB21">
            <v>150</v>
          </cell>
          <cell r="BC21">
            <v>0</v>
          </cell>
          <cell r="BJ21">
            <v>0</v>
          </cell>
          <cell r="BK21">
            <v>75</v>
          </cell>
          <cell r="BL21">
            <v>0</v>
          </cell>
          <cell r="CG21">
            <v>9408.75</v>
          </cell>
        </row>
        <row r="22">
          <cell r="C22">
            <v>12397</v>
          </cell>
          <cell r="D22" t="str">
            <v>GD250185</v>
          </cell>
          <cell r="E22" t="str">
            <v>Capuno, Janarah Nicole Ical</v>
          </cell>
          <cell r="F22" t="str">
            <v>METAL STAMPING</v>
          </cell>
          <cell r="G22" t="str">
            <v>PRODUCTION</v>
          </cell>
          <cell r="H22" t="str">
            <v>Operator 1</v>
          </cell>
          <cell r="I22" t="str">
            <v>DL</v>
          </cell>
          <cell r="J22">
            <v>96</v>
          </cell>
          <cell r="K22">
            <v>12</v>
          </cell>
          <cell r="L22">
            <v>600</v>
          </cell>
          <cell r="M22">
            <v>7200</v>
          </cell>
          <cell r="N22">
            <v>0</v>
          </cell>
          <cell r="O22">
            <v>1.25</v>
          </cell>
          <cell r="P22">
            <v>0</v>
          </cell>
          <cell r="Q22">
            <v>16</v>
          </cell>
          <cell r="R22">
            <v>93.75</v>
          </cell>
          <cell r="S22">
            <v>1500</v>
          </cell>
          <cell r="T22">
            <v>0</v>
          </cell>
          <cell r="U22">
            <v>7.5</v>
          </cell>
          <cell r="V22">
            <v>0</v>
          </cell>
          <cell r="W22">
            <v>0</v>
          </cell>
          <cell r="X22">
            <v>9.375</v>
          </cell>
          <cell r="Y22">
            <v>0</v>
          </cell>
          <cell r="Z22">
            <v>8</v>
          </cell>
          <cell r="AA22">
            <v>97.5</v>
          </cell>
          <cell r="AB22">
            <v>780</v>
          </cell>
          <cell r="AD22">
            <v>126.75</v>
          </cell>
          <cell r="AE22">
            <v>0</v>
          </cell>
          <cell r="AF22">
            <v>0</v>
          </cell>
          <cell r="AG22">
            <v>9.75</v>
          </cell>
          <cell r="AH22">
            <v>0</v>
          </cell>
          <cell r="AJ22">
            <v>112.5</v>
          </cell>
          <cell r="AK22">
            <v>0</v>
          </cell>
          <cell r="AM22">
            <v>146.25</v>
          </cell>
          <cell r="AN22">
            <v>0</v>
          </cell>
          <cell r="AP22">
            <v>11.25</v>
          </cell>
          <cell r="AQ22">
            <v>0</v>
          </cell>
          <cell r="AR22">
            <v>0</v>
          </cell>
          <cell r="AS22">
            <v>97.5</v>
          </cell>
          <cell r="AT22">
            <v>0</v>
          </cell>
          <cell r="AX22">
            <v>0</v>
          </cell>
          <cell r="AY22">
            <v>9.75</v>
          </cell>
          <cell r="AZ22">
            <v>0</v>
          </cell>
          <cell r="BA22">
            <v>0</v>
          </cell>
          <cell r="BB22">
            <v>150</v>
          </cell>
          <cell r="BC22">
            <v>0</v>
          </cell>
          <cell r="BJ22">
            <v>0</v>
          </cell>
          <cell r="BK22">
            <v>75</v>
          </cell>
          <cell r="BL22">
            <v>0</v>
          </cell>
          <cell r="CG22">
            <v>9480</v>
          </cell>
        </row>
        <row r="23">
          <cell r="C23">
            <v>32518</v>
          </cell>
          <cell r="D23" t="str">
            <v>GD260754</v>
          </cell>
          <cell r="E23" t="str">
            <v>Caringal, Jennylyn</v>
          </cell>
          <cell r="F23" t="str">
            <v>METAL STAMPING</v>
          </cell>
          <cell r="G23" t="e">
            <v>#N/A</v>
          </cell>
          <cell r="H23" t="e">
            <v>#N/A</v>
          </cell>
          <cell r="I23" t="str">
            <v>DL</v>
          </cell>
          <cell r="J23">
            <v>88</v>
          </cell>
          <cell r="K23">
            <v>11</v>
          </cell>
          <cell r="L23">
            <v>600</v>
          </cell>
          <cell r="M23">
            <v>6600</v>
          </cell>
          <cell r="N23">
            <v>0</v>
          </cell>
          <cell r="O23">
            <v>1.25</v>
          </cell>
          <cell r="P23">
            <v>0</v>
          </cell>
          <cell r="Q23">
            <v>18</v>
          </cell>
          <cell r="R23">
            <v>93.75</v>
          </cell>
          <cell r="S23">
            <v>1687.5</v>
          </cell>
          <cell r="T23">
            <v>0</v>
          </cell>
          <cell r="U23">
            <v>7.5</v>
          </cell>
          <cell r="V23">
            <v>0</v>
          </cell>
          <cell r="W23">
            <v>0</v>
          </cell>
          <cell r="X23">
            <v>9.375</v>
          </cell>
          <cell r="Y23">
            <v>0</v>
          </cell>
          <cell r="Z23">
            <v>8</v>
          </cell>
          <cell r="AA23">
            <v>97.5</v>
          </cell>
          <cell r="AB23">
            <v>780</v>
          </cell>
          <cell r="AD23">
            <v>126.75</v>
          </cell>
          <cell r="AE23">
            <v>0</v>
          </cell>
          <cell r="AF23">
            <v>0</v>
          </cell>
          <cell r="AG23">
            <v>9.75</v>
          </cell>
          <cell r="AH23">
            <v>0</v>
          </cell>
          <cell r="AJ23">
            <v>112.5</v>
          </cell>
          <cell r="AK23">
            <v>0</v>
          </cell>
          <cell r="AM23">
            <v>146.25</v>
          </cell>
          <cell r="AN23">
            <v>0</v>
          </cell>
          <cell r="AP23">
            <v>11.25</v>
          </cell>
          <cell r="AQ23">
            <v>0</v>
          </cell>
          <cell r="AR23">
            <v>0</v>
          </cell>
          <cell r="AS23">
            <v>97.5</v>
          </cell>
          <cell r="AT23">
            <v>0</v>
          </cell>
          <cell r="AX23">
            <v>0</v>
          </cell>
          <cell r="AY23">
            <v>9.75</v>
          </cell>
          <cell r="AZ23">
            <v>0</v>
          </cell>
          <cell r="BA23">
            <v>0</v>
          </cell>
          <cell r="BB23">
            <v>150</v>
          </cell>
          <cell r="BC23">
            <v>0</v>
          </cell>
          <cell r="BJ23">
            <v>0</v>
          </cell>
          <cell r="BK23">
            <v>75</v>
          </cell>
          <cell r="BL23">
            <v>0</v>
          </cell>
          <cell r="CG23">
            <v>9067.5</v>
          </cell>
        </row>
        <row r="24">
          <cell r="C24">
            <v>8064</v>
          </cell>
          <cell r="D24" t="str">
            <v>GD250048</v>
          </cell>
          <cell r="E24" t="str">
            <v>Caudilla, Arlene</v>
          </cell>
          <cell r="F24" t="str">
            <v>METAL STAMPING</v>
          </cell>
          <cell r="G24" t="str">
            <v>PRODUCTION</v>
          </cell>
          <cell r="H24" t="str">
            <v>Operator 1</v>
          </cell>
          <cell r="I24" t="str">
            <v>DL</v>
          </cell>
          <cell r="J24">
            <v>104</v>
          </cell>
          <cell r="K24">
            <v>13</v>
          </cell>
          <cell r="L24">
            <v>600</v>
          </cell>
          <cell r="M24">
            <v>7800</v>
          </cell>
          <cell r="N24">
            <v>8</v>
          </cell>
          <cell r="O24">
            <v>1.25</v>
          </cell>
          <cell r="P24">
            <v>-10</v>
          </cell>
          <cell r="Q24">
            <v>16</v>
          </cell>
          <cell r="R24">
            <v>93.75</v>
          </cell>
          <cell r="S24">
            <v>1500</v>
          </cell>
          <cell r="T24">
            <v>12</v>
          </cell>
          <cell r="U24">
            <v>7.5</v>
          </cell>
          <cell r="V24">
            <v>90</v>
          </cell>
          <cell r="W24">
            <v>2</v>
          </cell>
          <cell r="X24">
            <v>9.375</v>
          </cell>
          <cell r="Y24">
            <v>18.75</v>
          </cell>
          <cell r="Z24">
            <v>0</v>
          </cell>
          <cell r="AA24">
            <v>97.5</v>
          </cell>
          <cell r="AB24">
            <v>0</v>
          </cell>
          <cell r="AD24">
            <v>126.75</v>
          </cell>
          <cell r="AE24">
            <v>0</v>
          </cell>
          <cell r="AF24">
            <v>0</v>
          </cell>
          <cell r="AG24">
            <v>9.75</v>
          </cell>
          <cell r="AH24">
            <v>0</v>
          </cell>
          <cell r="AJ24">
            <v>112.5</v>
          </cell>
          <cell r="AK24">
            <v>0</v>
          </cell>
          <cell r="AM24">
            <v>146.25</v>
          </cell>
          <cell r="AN24">
            <v>0</v>
          </cell>
          <cell r="AP24">
            <v>11.25</v>
          </cell>
          <cell r="AQ24">
            <v>0</v>
          </cell>
          <cell r="AR24">
            <v>0</v>
          </cell>
          <cell r="AS24">
            <v>97.5</v>
          </cell>
          <cell r="AT24">
            <v>0</v>
          </cell>
          <cell r="AX24">
            <v>0</v>
          </cell>
          <cell r="AY24">
            <v>9.75</v>
          </cell>
          <cell r="AZ24">
            <v>0</v>
          </cell>
          <cell r="BA24">
            <v>0</v>
          </cell>
          <cell r="BB24">
            <v>150</v>
          </cell>
          <cell r="BC24">
            <v>0</v>
          </cell>
          <cell r="BJ24">
            <v>0</v>
          </cell>
          <cell r="BK24">
            <v>75</v>
          </cell>
          <cell r="BL24">
            <v>0</v>
          </cell>
          <cell r="CG24">
            <v>9398.75</v>
          </cell>
        </row>
        <row r="25">
          <cell r="C25">
            <v>12909</v>
          </cell>
          <cell r="D25" t="str">
            <v>GD250332</v>
          </cell>
          <cell r="E25" t="str">
            <v>Cerda, Josephine Tirados</v>
          </cell>
          <cell r="F25" t="str">
            <v>METAL STAMPING</v>
          </cell>
          <cell r="G25" t="str">
            <v>PRODUCTION</v>
          </cell>
          <cell r="H25" t="str">
            <v>Operator 1</v>
          </cell>
          <cell r="I25" t="str">
            <v>DL</v>
          </cell>
          <cell r="J25">
            <v>88</v>
          </cell>
          <cell r="K25">
            <v>11</v>
          </cell>
          <cell r="L25">
            <v>600</v>
          </cell>
          <cell r="M25">
            <v>6600</v>
          </cell>
          <cell r="N25">
            <v>0</v>
          </cell>
          <cell r="O25">
            <v>1.25</v>
          </cell>
          <cell r="P25">
            <v>0</v>
          </cell>
          <cell r="Q25">
            <v>0</v>
          </cell>
          <cell r="R25">
            <v>93.75</v>
          </cell>
          <cell r="S25">
            <v>0</v>
          </cell>
          <cell r="T25">
            <v>0</v>
          </cell>
          <cell r="U25">
            <v>7.5</v>
          </cell>
          <cell r="V25">
            <v>0</v>
          </cell>
          <cell r="W25">
            <v>0</v>
          </cell>
          <cell r="X25">
            <v>9.375</v>
          </cell>
          <cell r="Y25">
            <v>0</v>
          </cell>
          <cell r="Z25">
            <v>0</v>
          </cell>
          <cell r="AA25">
            <v>97.5</v>
          </cell>
          <cell r="AB25">
            <v>0</v>
          </cell>
          <cell r="AD25">
            <v>126.75</v>
          </cell>
          <cell r="AE25">
            <v>0</v>
          </cell>
          <cell r="AF25">
            <v>0</v>
          </cell>
          <cell r="AG25">
            <v>9.75</v>
          </cell>
          <cell r="AH25">
            <v>0</v>
          </cell>
          <cell r="AJ25">
            <v>112.5</v>
          </cell>
          <cell r="AK25">
            <v>0</v>
          </cell>
          <cell r="AM25">
            <v>146.25</v>
          </cell>
          <cell r="AN25">
            <v>0</v>
          </cell>
          <cell r="AP25">
            <v>11.25</v>
          </cell>
          <cell r="AQ25">
            <v>0</v>
          </cell>
          <cell r="AR25">
            <v>0</v>
          </cell>
          <cell r="AS25">
            <v>97.5</v>
          </cell>
          <cell r="AT25">
            <v>0</v>
          </cell>
          <cell r="AX25">
            <v>0</v>
          </cell>
          <cell r="AY25">
            <v>9.75</v>
          </cell>
          <cell r="AZ25">
            <v>0</v>
          </cell>
          <cell r="BA25">
            <v>0</v>
          </cell>
          <cell r="BB25">
            <v>150</v>
          </cell>
          <cell r="BC25">
            <v>0</v>
          </cell>
          <cell r="BJ25">
            <v>0</v>
          </cell>
          <cell r="BK25">
            <v>75</v>
          </cell>
          <cell r="BL25">
            <v>0</v>
          </cell>
          <cell r="CG25">
            <v>6600</v>
          </cell>
        </row>
        <row r="26">
          <cell r="C26">
            <v>30293</v>
          </cell>
          <cell r="D26" t="str">
            <v>GD250531</v>
          </cell>
          <cell r="E26" t="str">
            <v>Conzaga, Anna Fe Acopio</v>
          </cell>
          <cell r="F26" t="str">
            <v>METAL STAMPING</v>
          </cell>
          <cell r="G26" t="str">
            <v>PRODUCTION</v>
          </cell>
          <cell r="H26" t="str">
            <v>Operator 1</v>
          </cell>
          <cell r="I26" t="str">
            <v>DL</v>
          </cell>
          <cell r="J26">
            <v>100</v>
          </cell>
          <cell r="K26">
            <v>12.5</v>
          </cell>
          <cell r="L26">
            <v>600</v>
          </cell>
          <cell r="M26">
            <v>7500</v>
          </cell>
          <cell r="N26">
            <v>0</v>
          </cell>
          <cell r="O26">
            <v>1.25</v>
          </cell>
          <cell r="P26">
            <v>0</v>
          </cell>
          <cell r="Q26">
            <v>18</v>
          </cell>
          <cell r="R26">
            <v>93.75</v>
          </cell>
          <cell r="S26">
            <v>1687.5</v>
          </cell>
          <cell r="T26">
            <v>0</v>
          </cell>
          <cell r="U26">
            <v>7.5</v>
          </cell>
          <cell r="V26">
            <v>0</v>
          </cell>
          <cell r="W26">
            <v>0</v>
          </cell>
          <cell r="X26">
            <v>9.375</v>
          </cell>
          <cell r="Y26">
            <v>0</v>
          </cell>
          <cell r="Z26">
            <v>16</v>
          </cell>
          <cell r="AA26">
            <v>97.5</v>
          </cell>
          <cell r="AB26">
            <v>1560</v>
          </cell>
          <cell r="AD26">
            <v>126.75</v>
          </cell>
          <cell r="AE26">
            <v>0</v>
          </cell>
          <cell r="AF26">
            <v>0</v>
          </cell>
          <cell r="AG26">
            <v>9.75</v>
          </cell>
          <cell r="AH26">
            <v>0</v>
          </cell>
          <cell r="AJ26">
            <v>112.5</v>
          </cell>
          <cell r="AK26">
            <v>0</v>
          </cell>
          <cell r="AM26">
            <v>146.25</v>
          </cell>
          <cell r="AN26">
            <v>0</v>
          </cell>
          <cell r="AP26">
            <v>11.25</v>
          </cell>
          <cell r="AQ26">
            <v>0</v>
          </cell>
          <cell r="AR26">
            <v>0</v>
          </cell>
          <cell r="AS26">
            <v>97.5</v>
          </cell>
          <cell r="AT26">
            <v>0</v>
          </cell>
          <cell r="AX26">
            <v>0</v>
          </cell>
          <cell r="AY26">
            <v>9.75</v>
          </cell>
          <cell r="AZ26">
            <v>0</v>
          </cell>
          <cell r="BA26">
            <v>0</v>
          </cell>
          <cell r="BB26">
            <v>150</v>
          </cell>
          <cell r="BC26">
            <v>0</v>
          </cell>
          <cell r="BJ26">
            <v>0</v>
          </cell>
          <cell r="BK26">
            <v>75</v>
          </cell>
          <cell r="BL26">
            <v>0</v>
          </cell>
          <cell r="CG26">
            <v>10747.5</v>
          </cell>
        </row>
        <row r="27">
          <cell r="C27">
            <v>11863</v>
          </cell>
          <cell r="D27" t="str">
            <v>GD250159</v>
          </cell>
          <cell r="E27" t="str">
            <v>Cortez, Armin Padis</v>
          </cell>
          <cell r="F27" t="str">
            <v>METAL STAMPING</v>
          </cell>
          <cell r="G27" t="str">
            <v>PRODUCTION</v>
          </cell>
          <cell r="H27" t="str">
            <v>Operator 1</v>
          </cell>
          <cell r="I27" t="str">
            <v>DL</v>
          </cell>
          <cell r="J27">
            <v>92</v>
          </cell>
          <cell r="K27">
            <v>11.5</v>
          </cell>
          <cell r="L27">
            <v>600</v>
          </cell>
          <cell r="M27">
            <v>6900</v>
          </cell>
          <cell r="N27">
            <v>2</v>
          </cell>
          <cell r="O27">
            <v>1.25</v>
          </cell>
          <cell r="P27">
            <v>-2.5</v>
          </cell>
          <cell r="Q27">
            <v>12</v>
          </cell>
          <cell r="R27">
            <v>93.75</v>
          </cell>
          <cell r="S27">
            <v>1125</v>
          </cell>
          <cell r="T27">
            <v>60</v>
          </cell>
          <cell r="U27">
            <v>7.5</v>
          </cell>
          <cell r="V27">
            <v>450</v>
          </cell>
          <cell r="W27">
            <v>12</v>
          </cell>
          <cell r="X27">
            <v>9.375</v>
          </cell>
          <cell r="Y27">
            <v>112.5</v>
          </cell>
          <cell r="Z27">
            <v>0</v>
          </cell>
          <cell r="AA27">
            <v>97.5</v>
          </cell>
          <cell r="AB27">
            <v>0</v>
          </cell>
          <cell r="AD27">
            <v>126.75</v>
          </cell>
          <cell r="AE27">
            <v>0</v>
          </cell>
          <cell r="AF27">
            <v>0</v>
          </cell>
          <cell r="AG27">
            <v>9.75</v>
          </cell>
          <cell r="AH27">
            <v>0</v>
          </cell>
          <cell r="AJ27">
            <v>112.5</v>
          </cell>
          <cell r="AK27">
            <v>0</v>
          </cell>
          <cell r="AM27">
            <v>146.25</v>
          </cell>
          <cell r="AN27">
            <v>0</v>
          </cell>
          <cell r="AP27">
            <v>11.25</v>
          </cell>
          <cell r="AQ27">
            <v>0</v>
          </cell>
          <cell r="AR27">
            <v>0</v>
          </cell>
          <cell r="AS27">
            <v>97.5</v>
          </cell>
          <cell r="AT27">
            <v>0</v>
          </cell>
          <cell r="AX27">
            <v>0</v>
          </cell>
          <cell r="AY27">
            <v>9.75</v>
          </cell>
          <cell r="AZ27">
            <v>0</v>
          </cell>
          <cell r="BA27">
            <v>0</v>
          </cell>
          <cell r="BB27">
            <v>150</v>
          </cell>
          <cell r="BC27">
            <v>0</v>
          </cell>
          <cell r="BJ27">
            <v>0</v>
          </cell>
          <cell r="BK27">
            <v>75</v>
          </cell>
          <cell r="BL27">
            <v>0</v>
          </cell>
          <cell r="CG27">
            <v>8585</v>
          </cell>
        </row>
        <row r="28">
          <cell r="C28">
            <v>30261</v>
          </cell>
          <cell r="D28" t="str">
            <v>GD250522</v>
          </cell>
          <cell r="E28" t="str">
            <v>Dado, Jerome Romero</v>
          </cell>
          <cell r="F28" t="str">
            <v>METAL STAMPING</v>
          </cell>
          <cell r="G28" t="str">
            <v>PRODUCTION</v>
          </cell>
          <cell r="H28" t="str">
            <v>Operator 1</v>
          </cell>
          <cell r="I28" t="str">
            <v>DL</v>
          </cell>
          <cell r="J28">
            <v>88</v>
          </cell>
          <cell r="K28">
            <v>11</v>
          </cell>
          <cell r="L28">
            <v>600</v>
          </cell>
          <cell r="M28">
            <v>6600</v>
          </cell>
          <cell r="N28">
            <v>23</v>
          </cell>
          <cell r="O28">
            <v>1.25</v>
          </cell>
          <cell r="P28">
            <v>-28.75</v>
          </cell>
          <cell r="Q28">
            <v>4</v>
          </cell>
          <cell r="R28">
            <v>93.75</v>
          </cell>
          <cell r="S28">
            <v>375</v>
          </cell>
          <cell r="T28">
            <v>54</v>
          </cell>
          <cell r="U28">
            <v>7.5</v>
          </cell>
          <cell r="V28">
            <v>405</v>
          </cell>
          <cell r="W28">
            <v>4</v>
          </cell>
          <cell r="X28">
            <v>9.375</v>
          </cell>
          <cell r="Y28">
            <v>37.5</v>
          </cell>
          <cell r="Z28">
            <v>0</v>
          </cell>
          <cell r="AA28">
            <v>97.5</v>
          </cell>
          <cell r="AB28">
            <v>0</v>
          </cell>
          <cell r="AD28">
            <v>126.75</v>
          </cell>
          <cell r="AE28">
            <v>0</v>
          </cell>
          <cell r="AF28">
            <v>0</v>
          </cell>
          <cell r="AG28">
            <v>9.75</v>
          </cell>
          <cell r="AH28">
            <v>0</v>
          </cell>
          <cell r="AJ28">
            <v>112.5</v>
          </cell>
          <cell r="AK28">
            <v>0</v>
          </cell>
          <cell r="AM28">
            <v>146.25</v>
          </cell>
          <cell r="AN28">
            <v>0</v>
          </cell>
          <cell r="AP28">
            <v>11.25</v>
          </cell>
          <cell r="AQ28">
            <v>0</v>
          </cell>
          <cell r="AR28">
            <v>0</v>
          </cell>
          <cell r="AS28">
            <v>97.5</v>
          </cell>
          <cell r="AT28">
            <v>0</v>
          </cell>
          <cell r="AX28">
            <v>0</v>
          </cell>
          <cell r="AY28">
            <v>9.75</v>
          </cell>
          <cell r="AZ28">
            <v>0</v>
          </cell>
          <cell r="BA28">
            <v>0</v>
          </cell>
          <cell r="BB28">
            <v>150</v>
          </cell>
          <cell r="BC28">
            <v>0</v>
          </cell>
          <cell r="BJ28">
            <v>0</v>
          </cell>
          <cell r="BK28">
            <v>75</v>
          </cell>
          <cell r="BL28">
            <v>0</v>
          </cell>
          <cell r="CG28">
            <v>7388.75</v>
          </cell>
        </row>
        <row r="29">
          <cell r="C29">
            <v>12927</v>
          </cell>
          <cell r="D29" t="str">
            <v>GD250343</v>
          </cell>
          <cell r="E29" t="str">
            <v>Dagli, Renz Jemrick Zara</v>
          </cell>
          <cell r="F29" t="str">
            <v>METAL STAMPING</v>
          </cell>
          <cell r="G29" t="str">
            <v>PRODUCTION</v>
          </cell>
          <cell r="H29" t="str">
            <v>Operator 1</v>
          </cell>
          <cell r="I29" t="str">
            <v>DL</v>
          </cell>
          <cell r="J29">
            <v>88</v>
          </cell>
          <cell r="K29">
            <v>11</v>
          </cell>
          <cell r="L29">
            <v>600</v>
          </cell>
          <cell r="M29">
            <v>6600</v>
          </cell>
          <cell r="N29">
            <v>0</v>
          </cell>
          <cell r="O29">
            <v>1.25</v>
          </cell>
          <cell r="P29">
            <v>0</v>
          </cell>
          <cell r="Q29">
            <v>14</v>
          </cell>
          <cell r="R29">
            <v>93.75</v>
          </cell>
          <cell r="S29">
            <v>1312.5</v>
          </cell>
          <cell r="T29">
            <v>54</v>
          </cell>
          <cell r="U29">
            <v>7.5</v>
          </cell>
          <cell r="V29">
            <v>405</v>
          </cell>
          <cell r="W29">
            <v>14</v>
          </cell>
          <cell r="X29">
            <v>9.375</v>
          </cell>
          <cell r="Y29">
            <v>131.25</v>
          </cell>
          <cell r="Z29">
            <v>0</v>
          </cell>
          <cell r="AA29">
            <v>97.5</v>
          </cell>
          <cell r="AB29">
            <v>0</v>
          </cell>
          <cell r="AD29">
            <v>126.75</v>
          </cell>
          <cell r="AE29">
            <v>0</v>
          </cell>
          <cell r="AF29">
            <v>0</v>
          </cell>
          <cell r="AG29">
            <v>9.75</v>
          </cell>
          <cell r="AH29">
            <v>0</v>
          </cell>
          <cell r="AJ29">
            <v>112.5</v>
          </cell>
          <cell r="AK29">
            <v>0</v>
          </cell>
          <cell r="AM29">
            <v>146.25</v>
          </cell>
          <cell r="AN29">
            <v>0</v>
          </cell>
          <cell r="AP29">
            <v>11.25</v>
          </cell>
          <cell r="AQ29">
            <v>0</v>
          </cell>
          <cell r="AR29">
            <v>0</v>
          </cell>
          <cell r="AS29">
            <v>97.5</v>
          </cell>
          <cell r="AT29">
            <v>0</v>
          </cell>
          <cell r="AX29">
            <v>0</v>
          </cell>
          <cell r="AY29">
            <v>9.75</v>
          </cell>
          <cell r="AZ29">
            <v>0</v>
          </cell>
          <cell r="BA29">
            <v>0</v>
          </cell>
          <cell r="BB29">
            <v>150</v>
          </cell>
          <cell r="BC29">
            <v>0</v>
          </cell>
          <cell r="BJ29">
            <v>0</v>
          </cell>
          <cell r="BK29">
            <v>75</v>
          </cell>
          <cell r="BL29">
            <v>0</v>
          </cell>
          <cell r="CG29">
            <v>8448.75</v>
          </cell>
        </row>
        <row r="30">
          <cell r="C30">
            <v>32242</v>
          </cell>
          <cell r="D30" t="str">
            <v>GD260733</v>
          </cell>
          <cell r="E30" t="str">
            <v>De Chavez,Joe Antenor</v>
          </cell>
          <cell r="F30" t="str">
            <v>METAL STAMPING</v>
          </cell>
          <cell r="G30" t="str">
            <v>PRODUCTION</v>
          </cell>
          <cell r="H30" t="str">
            <v>Operator 1</v>
          </cell>
          <cell r="I30" t="str">
            <v>DL</v>
          </cell>
          <cell r="J30">
            <v>8</v>
          </cell>
          <cell r="K30">
            <v>1</v>
          </cell>
          <cell r="L30">
            <v>600</v>
          </cell>
          <cell r="M30">
            <v>600</v>
          </cell>
          <cell r="N30">
            <v>0</v>
          </cell>
          <cell r="O30">
            <v>1.25</v>
          </cell>
          <cell r="P30">
            <v>0</v>
          </cell>
          <cell r="Q30">
            <v>0</v>
          </cell>
          <cell r="R30">
            <v>93.75</v>
          </cell>
          <cell r="S30">
            <v>0</v>
          </cell>
          <cell r="T30">
            <v>0</v>
          </cell>
          <cell r="U30">
            <v>7.5</v>
          </cell>
          <cell r="V30">
            <v>0</v>
          </cell>
          <cell r="W30">
            <v>0</v>
          </cell>
          <cell r="X30">
            <v>9.375</v>
          </cell>
          <cell r="Y30">
            <v>0</v>
          </cell>
          <cell r="Z30">
            <v>0</v>
          </cell>
          <cell r="AA30">
            <v>97.5</v>
          </cell>
          <cell r="AB30">
            <v>0</v>
          </cell>
          <cell r="AD30">
            <v>126.75</v>
          </cell>
          <cell r="AE30">
            <v>0</v>
          </cell>
          <cell r="AF30">
            <v>0</v>
          </cell>
          <cell r="AG30">
            <v>9.75</v>
          </cell>
          <cell r="AH30">
            <v>0</v>
          </cell>
          <cell r="AJ30">
            <v>112.5</v>
          </cell>
          <cell r="AK30">
            <v>0</v>
          </cell>
          <cell r="AM30">
            <v>146.25</v>
          </cell>
          <cell r="AN30">
            <v>0</v>
          </cell>
          <cell r="AP30">
            <v>11.25</v>
          </cell>
          <cell r="AQ30">
            <v>0</v>
          </cell>
          <cell r="AR30">
            <v>0</v>
          </cell>
          <cell r="AS30">
            <v>97.5</v>
          </cell>
          <cell r="AT30">
            <v>0</v>
          </cell>
          <cell r="AX30">
            <v>0</v>
          </cell>
          <cell r="AY30">
            <v>9.75</v>
          </cell>
          <cell r="AZ30">
            <v>0</v>
          </cell>
          <cell r="BA30">
            <v>0</v>
          </cell>
          <cell r="BB30">
            <v>150</v>
          </cell>
          <cell r="BC30">
            <v>0</v>
          </cell>
          <cell r="BJ30">
            <v>0</v>
          </cell>
          <cell r="BK30">
            <v>75</v>
          </cell>
          <cell r="BL30">
            <v>0</v>
          </cell>
          <cell r="CG30">
            <v>600</v>
          </cell>
        </row>
        <row r="31">
          <cell r="C31">
            <v>14473</v>
          </cell>
          <cell r="D31" t="str">
            <v>GD250254</v>
          </cell>
          <cell r="E31" t="str">
            <v>De Jesus, John Lorren Liwanag</v>
          </cell>
          <cell r="F31" t="str">
            <v>METAL STAMPING</v>
          </cell>
          <cell r="G31" t="str">
            <v>PRODUCTION</v>
          </cell>
          <cell r="H31" t="str">
            <v>Operator 1</v>
          </cell>
          <cell r="I31" t="str">
            <v>DL</v>
          </cell>
          <cell r="J31">
            <v>104</v>
          </cell>
          <cell r="K31">
            <v>13</v>
          </cell>
          <cell r="L31">
            <v>600</v>
          </cell>
          <cell r="M31">
            <v>7800</v>
          </cell>
          <cell r="N31">
            <v>0</v>
          </cell>
          <cell r="O31">
            <v>1.25</v>
          </cell>
          <cell r="P31">
            <v>0</v>
          </cell>
          <cell r="Q31">
            <v>16</v>
          </cell>
          <cell r="R31">
            <v>93.75</v>
          </cell>
          <cell r="S31">
            <v>1500</v>
          </cell>
          <cell r="T31">
            <v>0</v>
          </cell>
          <cell r="U31">
            <v>7.5</v>
          </cell>
          <cell r="V31">
            <v>0</v>
          </cell>
          <cell r="W31">
            <v>0</v>
          </cell>
          <cell r="X31">
            <v>9.375</v>
          </cell>
          <cell r="Y31">
            <v>0</v>
          </cell>
          <cell r="Z31">
            <v>16</v>
          </cell>
          <cell r="AA31">
            <v>97.5</v>
          </cell>
          <cell r="AB31">
            <v>1560</v>
          </cell>
          <cell r="AD31">
            <v>126.75</v>
          </cell>
          <cell r="AE31">
            <v>0</v>
          </cell>
          <cell r="AF31">
            <v>0</v>
          </cell>
          <cell r="AG31">
            <v>9.75</v>
          </cell>
          <cell r="AH31">
            <v>0</v>
          </cell>
          <cell r="AJ31">
            <v>112.5</v>
          </cell>
          <cell r="AK31">
            <v>0</v>
          </cell>
          <cell r="AM31">
            <v>146.25</v>
          </cell>
          <cell r="AN31">
            <v>0</v>
          </cell>
          <cell r="AP31">
            <v>11.25</v>
          </cell>
          <cell r="AQ31">
            <v>0</v>
          </cell>
          <cell r="AR31">
            <v>0</v>
          </cell>
          <cell r="AS31">
            <v>97.5</v>
          </cell>
          <cell r="AT31">
            <v>0</v>
          </cell>
          <cell r="AX31">
            <v>0</v>
          </cell>
          <cell r="AY31">
            <v>9.75</v>
          </cell>
          <cell r="AZ31">
            <v>0</v>
          </cell>
          <cell r="BA31">
            <v>0</v>
          </cell>
          <cell r="BB31">
            <v>150</v>
          </cell>
          <cell r="BC31">
            <v>0</v>
          </cell>
          <cell r="BJ31">
            <v>0</v>
          </cell>
          <cell r="BK31">
            <v>75</v>
          </cell>
          <cell r="BL31">
            <v>0</v>
          </cell>
          <cell r="CG31">
            <v>10860</v>
          </cell>
        </row>
        <row r="32">
          <cell r="C32">
            <v>5585</v>
          </cell>
          <cell r="D32" t="str">
            <v>GD250031</v>
          </cell>
          <cell r="E32" t="str">
            <v>De Leon, Jenny Sinodlay</v>
          </cell>
          <cell r="F32" t="str">
            <v>METAL STAMPING</v>
          </cell>
          <cell r="G32" t="str">
            <v>PRODUCTION</v>
          </cell>
          <cell r="H32" t="str">
            <v>Operator 1</v>
          </cell>
          <cell r="I32" t="str">
            <v>DL</v>
          </cell>
          <cell r="J32">
            <v>104</v>
          </cell>
          <cell r="K32">
            <v>13</v>
          </cell>
          <cell r="L32">
            <v>600</v>
          </cell>
          <cell r="M32">
            <v>7800</v>
          </cell>
          <cell r="N32">
            <v>0</v>
          </cell>
          <cell r="O32">
            <v>1.25</v>
          </cell>
          <cell r="P32">
            <v>0</v>
          </cell>
          <cell r="Q32">
            <v>20</v>
          </cell>
          <cell r="R32">
            <v>93.75</v>
          </cell>
          <cell r="S32">
            <v>1875</v>
          </cell>
          <cell r="T32">
            <v>12</v>
          </cell>
          <cell r="U32">
            <v>7.5</v>
          </cell>
          <cell r="V32">
            <v>90</v>
          </cell>
          <cell r="W32">
            <v>2</v>
          </cell>
          <cell r="X32">
            <v>9.375</v>
          </cell>
          <cell r="Y32">
            <v>18.75</v>
          </cell>
          <cell r="Z32">
            <v>8</v>
          </cell>
          <cell r="AA32">
            <v>97.5</v>
          </cell>
          <cell r="AB32">
            <v>780</v>
          </cell>
          <cell r="AD32">
            <v>126.75</v>
          </cell>
          <cell r="AE32">
            <v>0</v>
          </cell>
          <cell r="AF32">
            <v>0</v>
          </cell>
          <cell r="AG32">
            <v>9.75</v>
          </cell>
          <cell r="AH32">
            <v>0</v>
          </cell>
          <cell r="AJ32">
            <v>112.5</v>
          </cell>
          <cell r="AK32">
            <v>0</v>
          </cell>
          <cell r="AM32">
            <v>146.25</v>
          </cell>
          <cell r="AN32">
            <v>0</v>
          </cell>
          <cell r="AP32">
            <v>11.25</v>
          </cell>
          <cell r="AQ32">
            <v>0</v>
          </cell>
          <cell r="AR32">
            <v>0</v>
          </cell>
          <cell r="AS32">
            <v>97.5</v>
          </cell>
          <cell r="AT32">
            <v>0</v>
          </cell>
          <cell r="AX32">
            <v>0</v>
          </cell>
          <cell r="AY32">
            <v>9.75</v>
          </cell>
          <cell r="AZ32">
            <v>0</v>
          </cell>
          <cell r="BA32">
            <v>0</v>
          </cell>
          <cell r="BB32">
            <v>150</v>
          </cell>
          <cell r="BC32">
            <v>0</v>
          </cell>
          <cell r="BJ32">
            <v>0</v>
          </cell>
          <cell r="BK32">
            <v>75</v>
          </cell>
          <cell r="BL32">
            <v>0</v>
          </cell>
          <cell r="CG32">
            <v>10563.75</v>
          </cell>
        </row>
        <row r="33">
          <cell r="C33">
            <v>32457</v>
          </cell>
          <cell r="D33" t="str">
            <v>GD260706</v>
          </cell>
          <cell r="E33" t="str">
            <v>Deculawan, Marlon</v>
          </cell>
          <cell r="F33" t="e">
            <v>#N/A</v>
          </cell>
          <cell r="G33" t="e">
            <v>#N/A</v>
          </cell>
          <cell r="H33" t="e">
            <v>#N/A</v>
          </cell>
          <cell r="I33" t="str">
            <v>DL</v>
          </cell>
          <cell r="J33">
            <v>96</v>
          </cell>
          <cell r="K33">
            <v>12</v>
          </cell>
          <cell r="L33">
            <v>600</v>
          </cell>
          <cell r="M33">
            <v>7200</v>
          </cell>
          <cell r="N33">
            <v>0</v>
          </cell>
          <cell r="O33">
            <v>1.25</v>
          </cell>
          <cell r="P33">
            <v>0</v>
          </cell>
          <cell r="Q33">
            <v>12</v>
          </cell>
          <cell r="R33">
            <v>93.75</v>
          </cell>
          <cell r="S33">
            <v>1125</v>
          </cell>
          <cell r="T33">
            <v>12</v>
          </cell>
          <cell r="U33">
            <v>7.5</v>
          </cell>
          <cell r="V33">
            <v>90</v>
          </cell>
          <cell r="W33">
            <v>0</v>
          </cell>
          <cell r="X33">
            <v>9.375</v>
          </cell>
          <cell r="Y33">
            <v>0</v>
          </cell>
          <cell r="Z33">
            <v>0</v>
          </cell>
          <cell r="AA33">
            <v>97.5</v>
          </cell>
          <cell r="AB33">
            <v>0</v>
          </cell>
          <cell r="AD33">
            <v>126.75</v>
          </cell>
          <cell r="AE33">
            <v>0</v>
          </cell>
          <cell r="AF33">
            <v>0</v>
          </cell>
          <cell r="AG33">
            <v>9.75</v>
          </cell>
          <cell r="AH33">
            <v>0</v>
          </cell>
          <cell r="AJ33">
            <v>112.5</v>
          </cell>
          <cell r="AK33">
            <v>0</v>
          </cell>
          <cell r="AM33">
            <v>146.25</v>
          </cell>
          <cell r="AN33">
            <v>0</v>
          </cell>
          <cell r="AP33">
            <v>11.25</v>
          </cell>
          <cell r="AQ33">
            <v>0</v>
          </cell>
          <cell r="AR33">
            <v>0</v>
          </cell>
          <cell r="AS33">
            <v>97.5</v>
          </cell>
          <cell r="AT33">
            <v>0</v>
          </cell>
          <cell r="AX33">
            <v>0</v>
          </cell>
          <cell r="AY33">
            <v>9.75</v>
          </cell>
          <cell r="AZ33">
            <v>0</v>
          </cell>
          <cell r="BA33">
            <v>0</v>
          </cell>
          <cell r="BB33">
            <v>150</v>
          </cell>
          <cell r="BC33">
            <v>0</v>
          </cell>
          <cell r="BJ33">
            <v>0</v>
          </cell>
          <cell r="BK33">
            <v>75</v>
          </cell>
          <cell r="BL33">
            <v>0</v>
          </cell>
          <cell r="CG33">
            <v>8415</v>
          </cell>
        </row>
        <row r="34">
          <cell r="C34">
            <v>7646</v>
          </cell>
          <cell r="D34" t="str">
            <v>GD250088</v>
          </cell>
          <cell r="E34" t="str">
            <v>Delos Reyes, Renante Pernecita</v>
          </cell>
          <cell r="F34" t="str">
            <v>METAL STAMPING</v>
          </cell>
          <cell r="G34" t="str">
            <v>PRODUCTION</v>
          </cell>
          <cell r="H34" t="str">
            <v>Operator 1</v>
          </cell>
          <cell r="I34" t="str">
            <v>DL</v>
          </cell>
          <cell r="J34">
            <v>104</v>
          </cell>
          <cell r="K34">
            <v>13</v>
          </cell>
          <cell r="L34">
            <v>600</v>
          </cell>
          <cell r="M34">
            <v>7800</v>
          </cell>
          <cell r="N34">
            <v>0</v>
          </cell>
          <cell r="O34">
            <v>1.25</v>
          </cell>
          <cell r="P34">
            <v>0</v>
          </cell>
          <cell r="Q34">
            <v>20</v>
          </cell>
          <cell r="R34">
            <v>93.75</v>
          </cell>
          <cell r="S34">
            <v>1875</v>
          </cell>
          <cell r="T34">
            <v>66</v>
          </cell>
          <cell r="U34">
            <v>7.5</v>
          </cell>
          <cell r="V34">
            <v>495</v>
          </cell>
          <cell r="W34">
            <v>18</v>
          </cell>
          <cell r="X34">
            <v>9.375</v>
          </cell>
          <cell r="Y34">
            <v>168.75</v>
          </cell>
          <cell r="Z34">
            <v>8</v>
          </cell>
          <cell r="AA34">
            <v>97.5</v>
          </cell>
          <cell r="AB34">
            <v>780</v>
          </cell>
          <cell r="AD34">
            <v>126.75</v>
          </cell>
          <cell r="AE34">
            <v>0</v>
          </cell>
          <cell r="AF34">
            <v>0</v>
          </cell>
          <cell r="AG34">
            <v>9.75</v>
          </cell>
          <cell r="AH34">
            <v>0</v>
          </cell>
          <cell r="AJ34">
            <v>112.5</v>
          </cell>
          <cell r="AK34">
            <v>0</v>
          </cell>
          <cell r="AM34">
            <v>146.25</v>
          </cell>
          <cell r="AN34">
            <v>0</v>
          </cell>
          <cell r="AP34">
            <v>11.25</v>
          </cell>
          <cell r="AQ34">
            <v>0</v>
          </cell>
          <cell r="AR34">
            <v>0</v>
          </cell>
          <cell r="AS34">
            <v>97.5</v>
          </cell>
          <cell r="AT34">
            <v>0</v>
          </cell>
          <cell r="AX34">
            <v>0</v>
          </cell>
          <cell r="AY34">
            <v>9.75</v>
          </cell>
          <cell r="AZ34">
            <v>0</v>
          </cell>
          <cell r="BA34">
            <v>0</v>
          </cell>
          <cell r="BB34">
            <v>150</v>
          </cell>
          <cell r="BC34">
            <v>0</v>
          </cell>
          <cell r="BJ34">
            <v>0</v>
          </cell>
          <cell r="BK34">
            <v>75</v>
          </cell>
          <cell r="BL34">
            <v>0</v>
          </cell>
          <cell r="CG34">
            <v>11118.75</v>
          </cell>
        </row>
        <row r="35">
          <cell r="C35">
            <v>12956</v>
          </cell>
          <cell r="D35" t="str">
            <v>GD250359</v>
          </cell>
          <cell r="E35" t="str">
            <v>Desalisa, Mark Jay Almaida</v>
          </cell>
          <cell r="F35" t="str">
            <v>METAL STAMPING</v>
          </cell>
          <cell r="G35" t="str">
            <v>PRODUCTION</v>
          </cell>
          <cell r="H35" t="str">
            <v>Operator 1</v>
          </cell>
          <cell r="I35" t="str">
            <v>DL</v>
          </cell>
          <cell r="J35">
            <v>88</v>
          </cell>
          <cell r="K35">
            <v>11</v>
          </cell>
          <cell r="L35">
            <v>600</v>
          </cell>
          <cell r="M35">
            <v>6600</v>
          </cell>
          <cell r="N35">
            <v>9</v>
          </cell>
          <cell r="O35">
            <v>1.25</v>
          </cell>
          <cell r="P35">
            <v>-11.25</v>
          </cell>
          <cell r="Q35">
            <v>8</v>
          </cell>
          <cell r="R35">
            <v>93.75</v>
          </cell>
          <cell r="S35">
            <v>750</v>
          </cell>
          <cell r="T35">
            <v>60</v>
          </cell>
          <cell r="U35">
            <v>7.5</v>
          </cell>
          <cell r="V35">
            <v>450</v>
          </cell>
          <cell r="W35">
            <v>8</v>
          </cell>
          <cell r="X35">
            <v>9.375</v>
          </cell>
          <cell r="Y35">
            <v>75</v>
          </cell>
          <cell r="Z35">
            <v>0</v>
          </cell>
          <cell r="AA35">
            <v>97.5</v>
          </cell>
          <cell r="AB35">
            <v>0</v>
          </cell>
          <cell r="AD35">
            <v>126.75</v>
          </cell>
          <cell r="AE35">
            <v>0</v>
          </cell>
          <cell r="AF35">
            <v>0</v>
          </cell>
          <cell r="AG35">
            <v>9.75</v>
          </cell>
          <cell r="AH35">
            <v>0</v>
          </cell>
          <cell r="AJ35">
            <v>112.5</v>
          </cell>
          <cell r="AK35">
            <v>0</v>
          </cell>
          <cell r="AM35">
            <v>146.25</v>
          </cell>
          <cell r="AN35">
            <v>0</v>
          </cell>
          <cell r="AP35">
            <v>11.25</v>
          </cell>
          <cell r="AQ35">
            <v>0</v>
          </cell>
          <cell r="AR35">
            <v>0</v>
          </cell>
          <cell r="AS35">
            <v>97.5</v>
          </cell>
          <cell r="AT35">
            <v>0</v>
          </cell>
          <cell r="AX35">
            <v>0</v>
          </cell>
          <cell r="AY35">
            <v>9.75</v>
          </cell>
          <cell r="AZ35">
            <v>0</v>
          </cell>
          <cell r="BA35">
            <v>0</v>
          </cell>
          <cell r="BB35">
            <v>150</v>
          </cell>
          <cell r="BC35">
            <v>0</v>
          </cell>
          <cell r="BJ35">
            <v>0</v>
          </cell>
          <cell r="BK35">
            <v>75</v>
          </cell>
          <cell r="BL35">
            <v>0</v>
          </cell>
          <cell r="CG35">
            <v>7863.75</v>
          </cell>
        </row>
        <row r="36">
          <cell r="C36">
            <v>32498</v>
          </cell>
          <cell r="D36" t="str">
            <v>GD260701</v>
          </cell>
          <cell r="E36" t="str">
            <v>Deza, Shae Ann</v>
          </cell>
          <cell r="F36" t="str">
            <v>METAL STAMPING</v>
          </cell>
          <cell r="G36" t="str">
            <v>PRODUCTION</v>
          </cell>
          <cell r="H36" t="str">
            <v>Operator 1</v>
          </cell>
          <cell r="I36" t="str">
            <v>DL</v>
          </cell>
          <cell r="J36">
            <v>96</v>
          </cell>
          <cell r="K36">
            <v>12</v>
          </cell>
          <cell r="L36">
            <v>600</v>
          </cell>
          <cell r="M36">
            <v>7200</v>
          </cell>
          <cell r="N36">
            <v>0</v>
          </cell>
          <cell r="O36">
            <v>1.25</v>
          </cell>
          <cell r="P36">
            <v>0</v>
          </cell>
          <cell r="Q36">
            <v>20</v>
          </cell>
          <cell r="R36">
            <v>93.75</v>
          </cell>
          <cell r="S36">
            <v>1875</v>
          </cell>
          <cell r="T36">
            <v>0</v>
          </cell>
          <cell r="U36">
            <v>7.5</v>
          </cell>
          <cell r="V36">
            <v>0</v>
          </cell>
          <cell r="W36">
            <v>0</v>
          </cell>
          <cell r="X36">
            <v>9.375</v>
          </cell>
          <cell r="Y36">
            <v>0</v>
          </cell>
          <cell r="Z36">
            <v>0</v>
          </cell>
          <cell r="AA36">
            <v>97.5</v>
          </cell>
          <cell r="AB36">
            <v>0</v>
          </cell>
          <cell r="AD36">
            <v>126.75</v>
          </cell>
          <cell r="AE36">
            <v>0</v>
          </cell>
          <cell r="AF36">
            <v>0</v>
          </cell>
          <cell r="AG36">
            <v>9.75</v>
          </cell>
          <cell r="AH36">
            <v>0</v>
          </cell>
          <cell r="AJ36">
            <v>112.5</v>
          </cell>
          <cell r="AK36">
            <v>0</v>
          </cell>
          <cell r="AM36">
            <v>146.25</v>
          </cell>
          <cell r="AN36">
            <v>0</v>
          </cell>
          <cell r="AP36">
            <v>11.25</v>
          </cell>
          <cell r="AQ36">
            <v>0</v>
          </cell>
          <cell r="AR36">
            <v>0</v>
          </cell>
          <cell r="AS36">
            <v>97.5</v>
          </cell>
          <cell r="AT36">
            <v>0</v>
          </cell>
          <cell r="AX36">
            <v>0</v>
          </cell>
          <cell r="AY36">
            <v>9.75</v>
          </cell>
          <cell r="AZ36">
            <v>0</v>
          </cell>
          <cell r="BA36">
            <v>0</v>
          </cell>
          <cell r="BB36">
            <v>150</v>
          </cell>
          <cell r="BC36">
            <v>0</v>
          </cell>
          <cell r="BJ36">
            <v>0</v>
          </cell>
          <cell r="BK36">
            <v>75</v>
          </cell>
          <cell r="BL36">
            <v>0</v>
          </cell>
          <cell r="CG36">
            <v>9075</v>
          </cell>
        </row>
        <row r="37">
          <cell r="C37">
            <v>5983</v>
          </cell>
          <cell r="D37" t="str">
            <v>GD250036</v>
          </cell>
          <cell r="E37" t="str">
            <v>Dimalibot, Cristine Barro</v>
          </cell>
          <cell r="F37" t="str">
            <v>METAL STAMPING</v>
          </cell>
          <cell r="G37" t="str">
            <v>PRODUCTION</v>
          </cell>
          <cell r="H37" t="str">
            <v>Operator 1</v>
          </cell>
          <cell r="I37" t="str">
            <v>DL</v>
          </cell>
          <cell r="J37">
            <v>104</v>
          </cell>
          <cell r="K37">
            <v>13</v>
          </cell>
          <cell r="L37">
            <v>600</v>
          </cell>
          <cell r="M37">
            <v>7800</v>
          </cell>
          <cell r="N37">
            <v>0</v>
          </cell>
          <cell r="O37">
            <v>1.25</v>
          </cell>
          <cell r="P37">
            <v>0</v>
          </cell>
          <cell r="Q37">
            <v>14</v>
          </cell>
          <cell r="R37">
            <v>93.75</v>
          </cell>
          <cell r="S37">
            <v>1312.5</v>
          </cell>
          <cell r="T37">
            <v>66</v>
          </cell>
          <cell r="U37">
            <v>7.5</v>
          </cell>
          <cell r="V37">
            <v>495</v>
          </cell>
          <cell r="W37">
            <v>12</v>
          </cell>
          <cell r="X37">
            <v>9.375</v>
          </cell>
          <cell r="Y37">
            <v>112.5</v>
          </cell>
          <cell r="Z37">
            <v>0</v>
          </cell>
          <cell r="AA37">
            <v>97.5</v>
          </cell>
          <cell r="AB37">
            <v>0</v>
          </cell>
          <cell r="AD37">
            <v>126.75</v>
          </cell>
          <cell r="AE37">
            <v>0</v>
          </cell>
          <cell r="AF37">
            <v>0</v>
          </cell>
          <cell r="AG37">
            <v>9.75</v>
          </cell>
          <cell r="AH37">
            <v>0</v>
          </cell>
          <cell r="AJ37">
            <v>112.5</v>
          </cell>
          <cell r="AK37">
            <v>0</v>
          </cell>
          <cell r="AM37">
            <v>146.25</v>
          </cell>
          <cell r="AN37">
            <v>0</v>
          </cell>
          <cell r="AP37">
            <v>11.25</v>
          </cell>
          <cell r="AQ37">
            <v>0</v>
          </cell>
          <cell r="AR37">
            <v>0</v>
          </cell>
          <cell r="AS37">
            <v>97.5</v>
          </cell>
          <cell r="AT37">
            <v>0</v>
          </cell>
          <cell r="AX37">
            <v>0</v>
          </cell>
          <cell r="AY37">
            <v>9.75</v>
          </cell>
          <cell r="AZ37">
            <v>0</v>
          </cell>
          <cell r="BA37">
            <v>0</v>
          </cell>
          <cell r="BB37">
            <v>150</v>
          </cell>
          <cell r="BC37">
            <v>0</v>
          </cell>
          <cell r="BJ37">
            <v>0</v>
          </cell>
          <cell r="BK37">
            <v>75</v>
          </cell>
          <cell r="BL37">
            <v>0</v>
          </cell>
          <cell r="CG37">
            <v>9720</v>
          </cell>
        </row>
        <row r="38">
          <cell r="C38">
            <v>30612</v>
          </cell>
          <cell r="D38" t="str">
            <v>GD250593</v>
          </cell>
          <cell r="E38" t="str">
            <v>Dipasupil, Joshua Garcia</v>
          </cell>
          <cell r="F38" t="str">
            <v>METAL STAMPING</v>
          </cell>
          <cell r="G38" t="str">
            <v>PRODUCTION</v>
          </cell>
          <cell r="H38" t="str">
            <v>Operator 1</v>
          </cell>
          <cell r="I38" t="str">
            <v>DL</v>
          </cell>
          <cell r="J38">
            <v>96</v>
          </cell>
          <cell r="K38">
            <v>12</v>
          </cell>
          <cell r="L38">
            <v>600</v>
          </cell>
          <cell r="M38">
            <v>7200</v>
          </cell>
          <cell r="N38">
            <v>0</v>
          </cell>
          <cell r="O38">
            <v>1.25</v>
          </cell>
          <cell r="P38">
            <v>0</v>
          </cell>
          <cell r="Q38">
            <v>18</v>
          </cell>
          <cell r="R38">
            <v>93.75</v>
          </cell>
          <cell r="S38">
            <v>1687.5</v>
          </cell>
          <cell r="T38">
            <v>60</v>
          </cell>
          <cell r="U38">
            <v>7.5</v>
          </cell>
          <cell r="V38">
            <v>450</v>
          </cell>
          <cell r="W38">
            <v>16</v>
          </cell>
          <cell r="X38">
            <v>9.375</v>
          </cell>
          <cell r="Y38">
            <v>150</v>
          </cell>
          <cell r="Z38">
            <v>0</v>
          </cell>
          <cell r="AA38">
            <v>97.5</v>
          </cell>
          <cell r="AB38">
            <v>0</v>
          </cell>
          <cell r="AD38">
            <v>126.75</v>
          </cell>
          <cell r="AE38">
            <v>0</v>
          </cell>
          <cell r="AF38">
            <v>0</v>
          </cell>
          <cell r="AG38">
            <v>9.75</v>
          </cell>
          <cell r="AH38">
            <v>0</v>
          </cell>
          <cell r="AJ38">
            <v>112.5</v>
          </cell>
          <cell r="AK38">
            <v>0</v>
          </cell>
          <cell r="AM38">
            <v>146.25</v>
          </cell>
          <cell r="AN38">
            <v>0</v>
          </cell>
          <cell r="AP38">
            <v>11.25</v>
          </cell>
          <cell r="AQ38">
            <v>0</v>
          </cell>
          <cell r="AR38">
            <v>0</v>
          </cell>
          <cell r="AS38">
            <v>97.5</v>
          </cell>
          <cell r="AT38">
            <v>0</v>
          </cell>
          <cell r="AX38">
            <v>0</v>
          </cell>
          <cell r="AY38">
            <v>9.75</v>
          </cell>
          <cell r="AZ38">
            <v>0</v>
          </cell>
          <cell r="BA38">
            <v>0</v>
          </cell>
          <cell r="BB38">
            <v>150</v>
          </cell>
          <cell r="BC38">
            <v>0</v>
          </cell>
          <cell r="BJ38">
            <v>0</v>
          </cell>
          <cell r="BK38">
            <v>75</v>
          </cell>
          <cell r="BL38">
            <v>0</v>
          </cell>
          <cell r="CG38">
            <v>9487.5</v>
          </cell>
        </row>
        <row r="39">
          <cell r="C39">
            <v>30296</v>
          </cell>
          <cell r="D39" t="str">
            <v>GD250529</v>
          </cell>
          <cell r="E39" t="str">
            <v>Donato, Maria Christina Payumo</v>
          </cell>
          <cell r="F39" t="str">
            <v>METAL STAMPING</v>
          </cell>
          <cell r="G39" t="str">
            <v>PRODUCTION</v>
          </cell>
          <cell r="H39" t="str">
            <v>Operator 1</v>
          </cell>
          <cell r="I39" t="str">
            <v>DL</v>
          </cell>
          <cell r="J39">
            <v>104</v>
          </cell>
          <cell r="K39">
            <v>13</v>
          </cell>
          <cell r="L39">
            <v>600</v>
          </cell>
          <cell r="M39">
            <v>7800</v>
          </cell>
          <cell r="N39">
            <v>0</v>
          </cell>
          <cell r="O39">
            <v>1.25</v>
          </cell>
          <cell r="P39">
            <v>0</v>
          </cell>
          <cell r="Q39">
            <v>18</v>
          </cell>
          <cell r="R39">
            <v>93.75</v>
          </cell>
          <cell r="S39">
            <v>1687.5</v>
          </cell>
          <cell r="T39">
            <v>0</v>
          </cell>
          <cell r="U39">
            <v>7.5</v>
          </cell>
          <cell r="V39">
            <v>0</v>
          </cell>
          <cell r="W39">
            <v>0</v>
          </cell>
          <cell r="X39">
            <v>9.375</v>
          </cell>
          <cell r="Y39">
            <v>0</v>
          </cell>
          <cell r="Z39">
            <v>16</v>
          </cell>
          <cell r="AA39">
            <v>97.5</v>
          </cell>
          <cell r="AB39">
            <v>1560</v>
          </cell>
          <cell r="AD39">
            <v>126.75</v>
          </cell>
          <cell r="AE39">
            <v>0</v>
          </cell>
          <cell r="AF39">
            <v>0</v>
          </cell>
          <cell r="AG39">
            <v>9.75</v>
          </cell>
          <cell r="AH39">
            <v>0</v>
          </cell>
          <cell r="AJ39">
            <v>112.5</v>
          </cell>
          <cell r="AK39">
            <v>0</v>
          </cell>
          <cell r="AM39">
            <v>146.25</v>
          </cell>
          <cell r="AN39">
            <v>0</v>
          </cell>
          <cell r="AP39">
            <v>11.25</v>
          </cell>
          <cell r="AQ39">
            <v>0</v>
          </cell>
          <cell r="AR39">
            <v>0</v>
          </cell>
          <cell r="AS39">
            <v>97.5</v>
          </cell>
          <cell r="AT39">
            <v>0</v>
          </cell>
          <cell r="AX39">
            <v>0</v>
          </cell>
          <cell r="AY39">
            <v>9.75</v>
          </cell>
          <cell r="AZ39">
            <v>0</v>
          </cell>
          <cell r="BA39">
            <v>0</v>
          </cell>
          <cell r="BB39">
            <v>150</v>
          </cell>
          <cell r="BC39">
            <v>0</v>
          </cell>
          <cell r="BJ39">
            <v>0</v>
          </cell>
          <cell r="BK39">
            <v>75</v>
          </cell>
          <cell r="BL39">
            <v>0</v>
          </cell>
          <cell r="CG39">
            <v>11047.5</v>
          </cell>
        </row>
        <row r="40">
          <cell r="C40">
            <v>13684</v>
          </cell>
          <cell r="D40" t="str">
            <v>GD250135</v>
          </cell>
          <cell r="E40" t="str">
            <v>Doronela, Jimuel Belason</v>
          </cell>
          <cell r="F40" t="str">
            <v>METAL STAMPING</v>
          </cell>
          <cell r="G40" t="str">
            <v>PRODUCTION</v>
          </cell>
          <cell r="H40" t="str">
            <v>Operator 1</v>
          </cell>
          <cell r="I40" t="str">
            <v>DL</v>
          </cell>
          <cell r="J40">
            <v>104</v>
          </cell>
          <cell r="K40">
            <v>13</v>
          </cell>
          <cell r="L40">
            <v>600</v>
          </cell>
          <cell r="M40">
            <v>7800</v>
          </cell>
          <cell r="N40">
            <v>1</v>
          </cell>
          <cell r="O40">
            <v>1.25</v>
          </cell>
          <cell r="P40">
            <v>-1.25</v>
          </cell>
          <cell r="Q40">
            <v>12</v>
          </cell>
          <cell r="R40">
            <v>93.75</v>
          </cell>
          <cell r="S40">
            <v>1125</v>
          </cell>
          <cell r="T40">
            <v>65.5</v>
          </cell>
          <cell r="U40">
            <v>7.5</v>
          </cell>
          <cell r="V40">
            <v>491.25</v>
          </cell>
          <cell r="W40">
            <v>12</v>
          </cell>
          <cell r="X40">
            <v>9.375</v>
          </cell>
          <cell r="Y40">
            <v>112.5</v>
          </cell>
          <cell r="Z40">
            <v>0</v>
          </cell>
          <cell r="AA40">
            <v>97.5</v>
          </cell>
          <cell r="AB40">
            <v>0</v>
          </cell>
          <cell r="AD40">
            <v>126.75</v>
          </cell>
          <cell r="AE40">
            <v>0</v>
          </cell>
          <cell r="AF40">
            <v>0</v>
          </cell>
          <cell r="AG40">
            <v>9.75</v>
          </cell>
          <cell r="AH40">
            <v>0</v>
          </cell>
          <cell r="AJ40">
            <v>112.5</v>
          </cell>
          <cell r="AK40">
            <v>0</v>
          </cell>
          <cell r="AM40">
            <v>146.25</v>
          </cell>
          <cell r="AN40">
            <v>0</v>
          </cell>
          <cell r="AP40">
            <v>11.25</v>
          </cell>
          <cell r="AQ40">
            <v>0</v>
          </cell>
          <cell r="AR40">
            <v>0</v>
          </cell>
          <cell r="AS40">
            <v>97.5</v>
          </cell>
          <cell r="AT40">
            <v>0</v>
          </cell>
          <cell r="AX40">
            <v>0</v>
          </cell>
          <cell r="AY40">
            <v>9.75</v>
          </cell>
          <cell r="AZ40">
            <v>0</v>
          </cell>
          <cell r="BA40">
            <v>0</v>
          </cell>
          <cell r="BB40">
            <v>150</v>
          </cell>
          <cell r="BC40">
            <v>0</v>
          </cell>
          <cell r="BJ40">
            <v>0</v>
          </cell>
          <cell r="BK40">
            <v>75</v>
          </cell>
          <cell r="BL40">
            <v>0</v>
          </cell>
          <cell r="CG40">
            <v>9527.5</v>
          </cell>
        </row>
        <row r="41">
          <cell r="C41">
            <v>13337</v>
          </cell>
          <cell r="D41" t="str">
            <v>GD250225</v>
          </cell>
          <cell r="E41" t="str">
            <v>Dueñas, Mannex Alvendia</v>
          </cell>
          <cell r="F41" t="str">
            <v>METAL STAMPING</v>
          </cell>
          <cell r="G41" t="str">
            <v>PRODUCTION</v>
          </cell>
          <cell r="H41" t="str">
            <v>Operator 1</v>
          </cell>
          <cell r="I41" t="str">
            <v>DL</v>
          </cell>
          <cell r="J41">
            <v>96</v>
          </cell>
          <cell r="K41">
            <v>12</v>
          </cell>
          <cell r="L41">
            <v>600</v>
          </cell>
          <cell r="M41">
            <v>7200</v>
          </cell>
          <cell r="N41">
            <v>72</v>
          </cell>
          <cell r="O41">
            <v>1.25</v>
          </cell>
          <cell r="P41">
            <v>-90</v>
          </cell>
          <cell r="Q41">
            <v>18</v>
          </cell>
          <cell r="R41">
            <v>93.75</v>
          </cell>
          <cell r="S41">
            <v>1687.5</v>
          </cell>
          <cell r="T41">
            <v>6</v>
          </cell>
          <cell r="U41">
            <v>7.5</v>
          </cell>
          <cell r="V41">
            <v>45</v>
          </cell>
          <cell r="W41">
            <v>0</v>
          </cell>
          <cell r="X41">
            <v>9.375</v>
          </cell>
          <cell r="Y41">
            <v>0</v>
          </cell>
          <cell r="Z41">
            <v>0</v>
          </cell>
          <cell r="AA41">
            <v>97.5</v>
          </cell>
          <cell r="AB41">
            <v>0</v>
          </cell>
          <cell r="AD41">
            <v>126.75</v>
          </cell>
          <cell r="AE41">
            <v>0</v>
          </cell>
          <cell r="AF41">
            <v>0</v>
          </cell>
          <cell r="AG41">
            <v>9.75</v>
          </cell>
          <cell r="AH41">
            <v>0</v>
          </cell>
          <cell r="AJ41">
            <v>112.5</v>
          </cell>
          <cell r="AK41">
            <v>0</v>
          </cell>
          <cell r="AM41">
            <v>146.25</v>
          </cell>
          <cell r="AN41">
            <v>0</v>
          </cell>
          <cell r="AP41">
            <v>11.25</v>
          </cell>
          <cell r="AQ41">
            <v>0</v>
          </cell>
          <cell r="AR41">
            <v>0</v>
          </cell>
          <cell r="AS41">
            <v>97.5</v>
          </cell>
          <cell r="AT41">
            <v>0</v>
          </cell>
          <cell r="AX41">
            <v>0</v>
          </cell>
          <cell r="AY41">
            <v>9.75</v>
          </cell>
          <cell r="AZ41">
            <v>0</v>
          </cell>
          <cell r="BA41">
            <v>0</v>
          </cell>
          <cell r="BB41">
            <v>150</v>
          </cell>
          <cell r="BC41">
            <v>0</v>
          </cell>
          <cell r="BJ41">
            <v>0</v>
          </cell>
          <cell r="BK41">
            <v>75</v>
          </cell>
          <cell r="BL41">
            <v>0</v>
          </cell>
          <cell r="CG41">
            <v>8842.5</v>
          </cell>
        </row>
        <row r="42">
          <cell r="C42">
            <v>30766</v>
          </cell>
          <cell r="D42" t="str">
            <v>GD250540</v>
          </cell>
          <cell r="E42" t="str">
            <v>Eguia, Mary Grace Deomampo</v>
          </cell>
          <cell r="F42" t="str">
            <v>METAL STAMPING</v>
          </cell>
          <cell r="G42" t="str">
            <v>PRODUCTION</v>
          </cell>
          <cell r="H42" t="str">
            <v>Operator 1</v>
          </cell>
          <cell r="I42" t="str">
            <v>DL</v>
          </cell>
          <cell r="J42">
            <v>104</v>
          </cell>
          <cell r="K42">
            <v>13</v>
          </cell>
          <cell r="L42">
            <v>600</v>
          </cell>
          <cell r="M42">
            <v>7800</v>
          </cell>
          <cell r="N42">
            <v>0</v>
          </cell>
          <cell r="O42">
            <v>1.25</v>
          </cell>
          <cell r="P42">
            <v>0</v>
          </cell>
          <cell r="Q42">
            <v>16</v>
          </cell>
          <cell r="R42">
            <v>93.75</v>
          </cell>
          <cell r="S42">
            <v>1500</v>
          </cell>
          <cell r="T42">
            <v>66</v>
          </cell>
          <cell r="U42">
            <v>7.5</v>
          </cell>
          <cell r="V42">
            <v>495</v>
          </cell>
          <cell r="W42">
            <v>14</v>
          </cell>
          <cell r="X42">
            <v>9.375</v>
          </cell>
          <cell r="Y42">
            <v>131.25</v>
          </cell>
          <cell r="Z42">
            <v>0</v>
          </cell>
          <cell r="AA42">
            <v>97.5</v>
          </cell>
          <cell r="AB42">
            <v>0</v>
          </cell>
          <cell r="AD42">
            <v>126.75</v>
          </cell>
          <cell r="AE42">
            <v>0</v>
          </cell>
          <cell r="AF42">
            <v>0</v>
          </cell>
          <cell r="AG42">
            <v>9.75</v>
          </cell>
          <cell r="AH42">
            <v>0</v>
          </cell>
          <cell r="AJ42">
            <v>112.5</v>
          </cell>
          <cell r="AK42">
            <v>0</v>
          </cell>
          <cell r="AM42">
            <v>146.25</v>
          </cell>
          <cell r="AN42">
            <v>0</v>
          </cell>
          <cell r="AP42">
            <v>11.25</v>
          </cell>
          <cell r="AQ42">
            <v>0</v>
          </cell>
          <cell r="AR42">
            <v>0</v>
          </cell>
          <cell r="AS42">
            <v>97.5</v>
          </cell>
          <cell r="AT42">
            <v>0</v>
          </cell>
          <cell r="AX42">
            <v>0</v>
          </cell>
          <cell r="AY42">
            <v>9.75</v>
          </cell>
          <cell r="AZ42">
            <v>0</v>
          </cell>
          <cell r="BA42">
            <v>0</v>
          </cell>
          <cell r="BB42">
            <v>150</v>
          </cell>
          <cell r="BC42">
            <v>0</v>
          </cell>
          <cell r="BJ42">
            <v>0</v>
          </cell>
          <cell r="BK42">
            <v>75</v>
          </cell>
          <cell r="BL42">
            <v>0</v>
          </cell>
          <cell r="CG42">
            <v>9926.25</v>
          </cell>
        </row>
        <row r="43">
          <cell r="C43">
            <v>12985</v>
          </cell>
          <cell r="D43" t="str">
            <v>GD250372</v>
          </cell>
          <cell r="E43" t="str">
            <v>Flores, Jayson Cañoneo</v>
          </cell>
          <cell r="F43" t="str">
            <v>METAL STAMPING</v>
          </cell>
          <cell r="G43" t="str">
            <v>PRODUCTION</v>
          </cell>
          <cell r="H43" t="str">
            <v>Operator 1</v>
          </cell>
          <cell r="I43" t="str">
            <v>DL</v>
          </cell>
          <cell r="J43">
            <v>100</v>
          </cell>
          <cell r="K43">
            <v>12.5</v>
          </cell>
          <cell r="L43">
            <v>600</v>
          </cell>
          <cell r="M43">
            <v>7500</v>
          </cell>
          <cell r="N43">
            <v>27</v>
          </cell>
          <cell r="O43">
            <v>1.25</v>
          </cell>
          <cell r="P43">
            <v>-33.75</v>
          </cell>
          <cell r="Q43">
            <v>18</v>
          </cell>
          <cell r="R43">
            <v>93.75</v>
          </cell>
          <cell r="S43">
            <v>1687.5</v>
          </cell>
          <cell r="T43">
            <v>66</v>
          </cell>
          <cell r="U43">
            <v>7.5</v>
          </cell>
          <cell r="V43">
            <v>495</v>
          </cell>
          <cell r="W43">
            <v>16</v>
          </cell>
          <cell r="X43">
            <v>9.375</v>
          </cell>
          <cell r="Y43">
            <v>150</v>
          </cell>
          <cell r="Z43">
            <v>0</v>
          </cell>
          <cell r="AA43">
            <v>97.5</v>
          </cell>
          <cell r="AB43">
            <v>0</v>
          </cell>
          <cell r="AD43">
            <v>126.75</v>
          </cell>
          <cell r="AE43">
            <v>0</v>
          </cell>
          <cell r="AF43">
            <v>0</v>
          </cell>
          <cell r="AG43">
            <v>9.75</v>
          </cell>
          <cell r="AH43">
            <v>0</v>
          </cell>
          <cell r="AJ43">
            <v>112.5</v>
          </cell>
          <cell r="AK43">
            <v>0</v>
          </cell>
          <cell r="AM43">
            <v>146.25</v>
          </cell>
          <cell r="AN43">
            <v>0</v>
          </cell>
          <cell r="AP43">
            <v>11.25</v>
          </cell>
          <cell r="AQ43">
            <v>0</v>
          </cell>
          <cell r="AR43">
            <v>0</v>
          </cell>
          <cell r="AS43">
            <v>97.5</v>
          </cell>
          <cell r="AT43">
            <v>0</v>
          </cell>
          <cell r="AX43">
            <v>0</v>
          </cell>
          <cell r="AY43">
            <v>9.75</v>
          </cell>
          <cell r="AZ43">
            <v>0</v>
          </cell>
          <cell r="BA43">
            <v>0</v>
          </cell>
          <cell r="BB43">
            <v>150</v>
          </cell>
          <cell r="BC43">
            <v>0</v>
          </cell>
          <cell r="BJ43">
            <v>0</v>
          </cell>
          <cell r="BK43">
            <v>75</v>
          </cell>
          <cell r="BL43">
            <v>0</v>
          </cell>
          <cell r="CG43">
            <v>9798.75</v>
          </cell>
        </row>
        <row r="44">
          <cell r="C44">
            <v>30254</v>
          </cell>
          <cell r="D44" t="str">
            <v>GD250519</v>
          </cell>
          <cell r="E44" t="str">
            <v>Flores, Joey Brasula</v>
          </cell>
          <cell r="F44" t="str">
            <v>METAL STAMPING</v>
          </cell>
          <cell r="G44" t="str">
            <v>PRODUCTION</v>
          </cell>
          <cell r="H44" t="str">
            <v>Operator 1</v>
          </cell>
          <cell r="I44" t="str">
            <v>DL</v>
          </cell>
          <cell r="J44">
            <v>96</v>
          </cell>
          <cell r="K44">
            <v>12</v>
          </cell>
          <cell r="L44">
            <v>600</v>
          </cell>
          <cell r="M44">
            <v>7200</v>
          </cell>
          <cell r="N44">
            <v>0</v>
          </cell>
          <cell r="O44">
            <v>1.25</v>
          </cell>
          <cell r="P44">
            <v>0</v>
          </cell>
          <cell r="Q44">
            <v>6</v>
          </cell>
          <cell r="R44">
            <v>93.75</v>
          </cell>
          <cell r="S44">
            <v>562.5</v>
          </cell>
          <cell r="T44">
            <v>12</v>
          </cell>
          <cell r="U44">
            <v>7.5</v>
          </cell>
          <cell r="V44">
            <v>90</v>
          </cell>
          <cell r="W44">
            <v>0</v>
          </cell>
          <cell r="X44">
            <v>9.375</v>
          </cell>
          <cell r="Y44">
            <v>0</v>
          </cell>
          <cell r="Z44">
            <v>0</v>
          </cell>
          <cell r="AA44">
            <v>97.5</v>
          </cell>
          <cell r="AB44">
            <v>0</v>
          </cell>
          <cell r="AD44">
            <v>126.75</v>
          </cell>
          <cell r="AE44">
            <v>0</v>
          </cell>
          <cell r="AF44">
            <v>0</v>
          </cell>
          <cell r="AG44">
            <v>9.75</v>
          </cell>
          <cell r="AH44">
            <v>0</v>
          </cell>
          <cell r="AJ44">
            <v>112.5</v>
          </cell>
          <cell r="AK44">
            <v>0</v>
          </cell>
          <cell r="AM44">
            <v>146.25</v>
          </cell>
          <cell r="AN44">
            <v>0</v>
          </cell>
          <cell r="AP44">
            <v>11.25</v>
          </cell>
          <cell r="AQ44">
            <v>0</v>
          </cell>
          <cell r="AR44">
            <v>0</v>
          </cell>
          <cell r="AS44">
            <v>97.5</v>
          </cell>
          <cell r="AT44">
            <v>0</v>
          </cell>
          <cell r="AX44">
            <v>0</v>
          </cell>
          <cell r="AY44">
            <v>9.75</v>
          </cell>
          <cell r="AZ44">
            <v>0</v>
          </cell>
          <cell r="BA44">
            <v>0</v>
          </cell>
          <cell r="BB44">
            <v>150</v>
          </cell>
          <cell r="BC44">
            <v>0</v>
          </cell>
          <cell r="BJ44">
            <v>0</v>
          </cell>
          <cell r="BK44">
            <v>75</v>
          </cell>
          <cell r="BL44">
            <v>0</v>
          </cell>
          <cell r="CG44">
            <v>7852.5</v>
          </cell>
        </row>
        <row r="45">
          <cell r="C45">
            <v>32241</v>
          </cell>
          <cell r="D45" t="str">
            <v>GD260734</v>
          </cell>
          <cell r="E45" t="str">
            <v>Florindo,Lorenz Manuel Samar</v>
          </cell>
          <cell r="F45" t="str">
            <v>METAL STAMPING</v>
          </cell>
          <cell r="G45" t="str">
            <v>PRODUCTION</v>
          </cell>
          <cell r="H45" t="str">
            <v>Operator 1</v>
          </cell>
          <cell r="I45" t="str">
            <v>DL</v>
          </cell>
          <cell r="J45">
            <v>88</v>
          </cell>
          <cell r="K45">
            <v>11</v>
          </cell>
          <cell r="L45">
            <v>600</v>
          </cell>
          <cell r="M45">
            <v>6600</v>
          </cell>
          <cell r="N45">
            <v>0</v>
          </cell>
          <cell r="O45">
            <v>1.25</v>
          </cell>
          <cell r="P45">
            <v>0</v>
          </cell>
          <cell r="Q45">
            <v>14</v>
          </cell>
          <cell r="R45">
            <v>93.75</v>
          </cell>
          <cell r="S45">
            <v>1312.5</v>
          </cell>
          <cell r="T45">
            <v>54</v>
          </cell>
          <cell r="U45">
            <v>7.5</v>
          </cell>
          <cell r="V45">
            <v>405</v>
          </cell>
          <cell r="W45">
            <v>14</v>
          </cell>
          <cell r="X45">
            <v>9.375</v>
          </cell>
          <cell r="Y45">
            <v>131.25</v>
          </cell>
          <cell r="Z45">
            <v>0</v>
          </cell>
          <cell r="AA45">
            <v>97.5</v>
          </cell>
          <cell r="AB45">
            <v>0</v>
          </cell>
          <cell r="AD45">
            <v>126.75</v>
          </cell>
          <cell r="AE45">
            <v>0</v>
          </cell>
          <cell r="AF45">
            <v>0</v>
          </cell>
          <cell r="AG45">
            <v>9.75</v>
          </cell>
          <cell r="AH45">
            <v>0</v>
          </cell>
          <cell r="AJ45">
            <v>112.5</v>
          </cell>
          <cell r="AK45">
            <v>0</v>
          </cell>
          <cell r="AM45">
            <v>146.25</v>
          </cell>
          <cell r="AN45">
            <v>0</v>
          </cell>
          <cell r="AP45">
            <v>11.25</v>
          </cell>
          <cell r="AQ45">
            <v>0</v>
          </cell>
          <cell r="AR45">
            <v>0</v>
          </cell>
          <cell r="AS45">
            <v>97.5</v>
          </cell>
          <cell r="AT45">
            <v>0</v>
          </cell>
          <cell r="AX45">
            <v>0</v>
          </cell>
          <cell r="AY45">
            <v>9.75</v>
          </cell>
          <cell r="AZ45">
            <v>0</v>
          </cell>
          <cell r="BA45">
            <v>0</v>
          </cell>
          <cell r="BB45">
            <v>150</v>
          </cell>
          <cell r="BC45">
            <v>0</v>
          </cell>
          <cell r="BJ45">
            <v>0</v>
          </cell>
          <cell r="BK45">
            <v>75</v>
          </cell>
          <cell r="BL45">
            <v>0</v>
          </cell>
          <cell r="CG45">
            <v>8448.75</v>
          </cell>
        </row>
        <row r="46">
          <cell r="C46">
            <v>6354</v>
          </cell>
          <cell r="D46" t="str">
            <v>GD250069</v>
          </cell>
          <cell r="E46" t="str">
            <v>Forte, Harlene Mae Frando</v>
          </cell>
          <cell r="F46" t="str">
            <v>METAL STAMPING</v>
          </cell>
          <cell r="G46" t="str">
            <v>PRODUCTION</v>
          </cell>
          <cell r="H46" t="str">
            <v>Operator 1</v>
          </cell>
          <cell r="I46" t="str">
            <v>DL</v>
          </cell>
          <cell r="J46">
            <v>104</v>
          </cell>
          <cell r="K46">
            <v>13</v>
          </cell>
          <cell r="L46">
            <v>600</v>
          </cell>
          <cell r="M46">
            <v>7800</v>
          </cell>
          <cell r="N46">
            <v>0</v>
          </cell>
          <cell r="O46">
            <v>1.25</v>
          </cell>
          <cell r="P46">
            <v>0</v>
          </cell>
          <cell r="Q46">
            <v>16</v>
          </cell>
          <cell r="R46">
            <v>93.75</v>
          </cell>
          <cell r="S46">
            <v>1500</v>
          </cell>
          <cell r="T46">
            <v>12</v>
          </cell>
          <cell r="U46">
            <v>7.5</v>
          </cell>
          <cell r="V46">
            <v>90</v>
          </cell>
          <cell r="W46">
            <v>2</v>
          </cell>
          <cell r="X46">
            <v>9.375</v>
          </cell>
          <cell r="Y46">
            <v>18.75</v>
          </cell>
          <cell r="Z46">
            <v>0</v>
          </cell>
          <cell r="AA46">
            <v>97.5</v>
          </cell>
          <cell r="AB46">
            <v>0</v>
          </cell>
          <cell r="AD46">
            <v>126.75</v>
          </cell>
          <cell r="AE46">
            <v>0</v>
          </cell>
          <cell r="AF46">
            <v>0</v>
          </cell>
          <cell r="AG46">
            <v>9.75</v>
          </cell>
          <cell r="AH46">
            <v>0</v>
          </cell>
          <cell r="AJ46">
            <v>112.5</v>
          </cell>
          <cell r="AK46">
            <v>0</v>
          </cell>
          <cell r="AM46">
            <v>146.25</v>
          </cell>
          <cell r="AN46">
            <v>0</v>
          </cell>
          <cell r="AP46">
            <v>11.25</v>
          </cell>
          <cell r="AQ46">
            <v>0</v>
          </cell>
          <cell r="AR46">
            <v>0</v>
          </cell>
          <cell r="AS46">
            <v>97.5</v>
          </cell>
          <cell r="AT46">
            <v>0</v>
          </cell>
          <cell r="AX46">
            <v>0</v>
          </cell>
          <cell r="AY46">
            <v>9.75</v>
          </cell>
          <cell r="AZ46">
            <v>0</v>
          </cell>
          <cell r="BA46">
            <v>0</v>
          </cell>
          <cell r="BB46">
            <v>150</v>
          </cell>
          <cell r="BC46">
            <v>0</v>
          </cell>
          <cell r="BJ46">
            <v>0</v>
          </cell>
          <cell r="BK46">
            <v>75</v>
          </cell>
          <cell r="BL46">
            <v>0</v>
          </cell>
          <cell r="CG46">
            <v>9408.75</v>
          </cell>
        </row>
        <row r="47">
          <cell r="C47">
            <v>13646</v>
          </cell>
          <cell r="D47" t="str">
            <v>GD250136</v>
          </cell>
          <cell r="E47" t="str">
            <v>Gallego, Anna Jean Gallego</v>
          </cell>
          <cell r="F47" t="str">
            <v>METAL STAMPING</v>
          </cell>
          <cell r="G47" t="str">
            <v>PRODUCTION</v>
          </cell>
          <cell r="H47" t="str">
            <v>Operator 1</v>
          </cell>
          <cell r="I47" t="str">
            <v>DL</v>
          </cell>
          <cell r="J47">
            <v>104</v>
          </cell>
          <cell r="K47">
            <v>13</v>
          </cell>
          <cell r="L47">
            <v>600</v>
          </cell>
          <cell r="M47">
            <v>7800</v>
          </cell>
          <cell r="N47">
            <v>0</v>
          </cell>
          <cell r="O47">
            <v>1.25</v>
          </cell>
          <cell r="P47">
            <v>0</v>
          </cell>
          <cell r="Q47">
            <v>16</v>
          </cell>
          <cell r="R47">
            <v>93.75</v>
          </cell>
          <cell r="S47">
            <v>1500</v>
          </cell>
          <cell r="T47">
            <v>66</v>
          </cell>
          <cell r="U47">
            <v>7.5</v>
          </cell>
          <cell r="V47">
            <v>495</v>
          </cell>
          <cell r="W47">
            <v>14</v>
          </cell>
          <cell r="X47">
            <v>9.375</v>
          </cell>
          <cell r="Y47">
            <v>131.25</v>
          </cell>
          <cell r="Z47">
            <v>0</v>
          </cell>
          <cell r="AA47">
            <v>97.5</v>
          </cell>
          <cell r="AB47">
            <v>0</v>
          </cell>
          <cell r="AD47">
            <v>126.75</v>
          </cell>
          <cell r="AE47">
            <v>0</v>
          </cell>
          <cell r="AF47">
            <v>0</v>
          </cell>
          <cell r="AG47">
            <v>9.75</v>
          </cell>
          <cell r="AH47">
            <v>0</v>
          </cell>
          <cell r="AJ47">
            <v>112.5</v>
          </cell>
          <cell r="AK47">
            <v>0</v>
          </cell>
          <cell r="AM47">
            <v>146.25</v>
          </cell>
          <cell r="AN47">
            <v>0</v>
          </cell>
          <cell r="AP47">
            <v>11.25</v>
          </cell>
          <cell r="AQ47">
            <v>0</v>
          </cell>
          <cell r="AR47">
            <v>0</v>
          </cell>
          <cell r="AS47">
            <v>97.5</v>
          </cell>
          <cell r="AT47">
            <v>0</v>
          </cell>
          <cell r="AX47">
            <v>0</v>
          </cell>
          <cell r="AY47">
            <v>9.75</v>
          </cell>
          <cell r="AZ47">
            <v>0</v>
          </cell>
          <cell r="BA47">
            <v>0</v>
          </cell>
          <cell r="BB47">
            <v>150</v>
          </cell>
          <cell r="BC47">
            <v>0</v>
          </cell>
          <cell r="BJ47">
            <v>0</v>
          </cell>
          <cell r="BK47">
            <v>75</v>
          </cell>
          <cell r="BL47">
            <v>0</v>
          </cell>
          <cell r="CG47">
            <v>9926.25</v>
          </cell>
        </row>
        <row r="48">
          <cell r="C48">
            <v>14831</v>
          </cell>
          <cell r="D48" t="str">
            <v>GD250235</v>
          </cell>
          <cell r="E48" t="str">
            <v>Gamilla, Karen Niña Lazaro</v>
          </cell>
          <cell r="F48" t="str">
            <v>METAL STAMPING</v>
          </cell>
          <cell r="G48" t="str">
            <v>PRODUCTION</v>
          </cell>
          <cell r="H48" t="str">
            <v>Operator 1</v>
          </cell>
          <cell r="I48" t="str">
            <v>DL</v>
          </cell>
          <cell r="J48">
            <v>80</v>
          </cell>
          <cell r="K48">
            <v>10</v>
          </cell>
          <cell r="L48">
            <v>600</v>
          </cell>
          <cell r="M48">
            <v>6000</v>
          </cell>
          <cell r="N48">
            <v>0</v>
          </cell>
          <cell r="O48">
            <v>1.25</v>
          </cell>
          <cell r="P48">
            <v>0</v>
          </cell>
          <cell r="Q48">
            <v>18</v>
          </cell>
          <cell r="R48">
            <v>93.75</v>
          </cell>
          <cell r="S48">
            <v>1687.5</v>
          </cell>
          <cell r="T48">
            <v>48</v>
          </cell>
          <cell r="U48">
            <v>7.5</v>
          </cell>
          <cell r="V48">
            <v>360</v>
          </cell>
          <cell r="W48">
            <v>16</v>
          </cell>
          <cell r="X48">
            <v>9.375</v>
          </cell>
          <cell r="Y48">
            <v>150</v>
          </cell>
          <cell r="Z48">
            <v>0</v>
          </cell>
          <cell r="AA48">
            <v>97.5</v>
          </cell>
          <cell r="AB48">
            <v>0</v>
          </cell>
          <cell r="AD48">
            <v>126.75</v>
          </cell>
          <cell r="AE48">
            <v>0</v>
          </cell>
          <cell r="AF48">
            <v>0</v>
          </cell>
          <cell r="AG48">
            <v>9.75</v>
          </cell>
          <cell r="AH48">
            <v>0</v>
          </cell>
          <cell r="AJ48">
            <v>112.5</v>
          </cell>
          <cell r="AK48">
            <v>0</v>
          </cell>
          <cell r="AM48">
            <v>146.25</v>
          </cell>
          <cell r="AN48">
            <v>0</v>
          </cell>
          <cell r="AP48">
            <v>11.25</v>
          </cell>
          <cell r="AQ48">
            <v>0</v>
          </cell>
          <cell r="AR48">
            <v>0</v>
          </cell>
          <cell r="AS48">
            <v>97.5</v>
          </cell>
          <cell r="AT48">
            <v>0</v>
          </cell>
          <cell r="AX48">
            <v>0</v>
          </cell>
          <cell r="AY48">
            <v>9.75</v>
          </cell>
          <cell r="AZ48">
            <v>0</v>
          </cell>
          <cell r="BA48">
            <v>0</v>
          </cell>
          <cell r="BB48">
            <v>150</v>
          </cell>
          <cell r="BC48">
            <v>0</v>
          </cell>
          <cell r="BJ48">
            <v>0</v>
          </cell>
          <cell r="BK48">
            <v>75</v>
          </cell>
          <cell r="BL48">
            <v>0</v>
          </cell>
          <cell r="CG48">
            <v>8197.5</v>
          </cell>
        </row>
        <row r="49">
          <cell r="C49">
            <v>11775</v>
          </cell>
          <cell r="D49" t="str">
            <v>GD250173</v>
          </cell>
          <cell r="E49" t="str">
            <v>Herrera, Marcela Bramidas</v>
          </cell>
          <cell r="F49" t="str">
            <v>METAL STAMPING</v>
          </cell>
          <cell r="G49" t="str">
            <v>PRODUCTION</v>
          </cell>
          <cell r="H49" t="str">
            <v>Operator 1</v>
          </cell>
          <cell r="I49" t="str">
            <v>DL</v>
          </cell>
          <cell r="J49">
            <v>104</v>
          </cell>
          <cell r="K49">
            <v>13</v>
          </cell>
          <cell r="L49">
            <v>600</v>
          </cell>
          <cell r="M49">
            <v>7800</v>
          </cell>
          <cell r="N49">
            <v>0</v>
          </cell>
          <cell r="O49">
            <v>1.25</v>
          </cell>
          <cell r="P49">
            <v>0</v>
          </cell>
          <cell r="Q49">
            <v>22</v>
          </cell>
          <cell r="R49">
            <v>93.75</v>
          </cell>
          <cell r="S49">
            <v>2062.5</v>
          </cell>
          <cell r="T49">
            <v>0</v>
          </cell>
          <cell r="U49">
            <v>7.5</v>
          </cell>
          <cell r="V49">
            <v>0</v>
          </cell>
          <cell r="W49">
            <v>0</v>
          </cell>
          <cell r="X49">
            <v>9.375</v>
          </cell>
          <cell r="Y49">
            <v>0</v>
          </cell>
          <cell r="Z49">
            <v>16</v>
          </cell>
          <cell r="AA49">
            <v>97.5</v>
          </cell>
          <cell r="AB49">
            <v>1560</v>
          </cell>
          <cell r="AD49">
            <v>126.75</v>
          </cell>
          <cell r="AE49">
            <v>0</v>
          </cell>
          <cell r="AF49">
            <v>0</v>
          </cell>
          <cell r="AG49">
            <v>9.75</v>
          </cell>
          <cell r="AH49">
            <v>0</v>
          </cell>
          <cell r="AJ49">
            <v>112.5</v>
          </cell>
          <cell r="AK49">
            <v>0</v>
          </cell>
          <cell r="AM49">
            <v>146.25</v>
          </cell>
          <cell r="AN49">
            <v>0</v>
          </cell>
          <cell r="AP49">
            <v>11.25</v>
          </cell>
          <cell r="AQ49">
            <v>0</v>
          </cell>
          <cell r="AR49">
            <v>0</v>
          </cell>
          <cell r="AS49">
            <v>97.5</v>
          </cell>
          <cell r="AT49">
            <v>0</v>
          </cell>
          <cell r="AX49">
            <v>0</v>
          </cell>
          <cell r="AY49">
            <v>9.75</v>
          </cell>
          <cell r="AZ49">
            <v>0</v>
          </cell>
          <cell r="BA49">
            <v>0</v>
          </cell>
          <cell r="BB49">
            <v>150</v>
          </cell>
          <cell r="BC49">
            <v>0</v>
          </cell>
          <cell r="BJ49">
            <v>0</v>
          </cell>
          <cell r="BK49">
            <v>75</v>
          </cell>
          <cell r="BL49">
            <v>0</v>
          </cell>
          <cell r="CG49">
            <v>11422.5</v>
          </cell>
        </row>
        <row r="50">
          <cell r="C50">
            <v>11872</v>
          </cell>
          <cell r="D50" t="str">
            <v>GD250161</v>
          </cell>
          <cell r="E50" t="str">
            <v>Hugo, Ma. Elizabeth Llaga</v>
          </cell>
          <cell r="F50" t="str">
            <v>METAL STAMPING</v>
          </cell>
          <cell r="G50" t="str">
            <v>PRODUCTION</v>
          </cell>
          <cell r="H50" t="str">
            <v>Operator 1</v>
          </cell>
          <cell r="I50" t="str">
            <v>DL</v>
          </cell>
          <cell r="J50">
            <v>104</v>
          </cell>
          <cell r="K50">
            <v>13</v>
          </cell>
          <cell r="L50">
            <v>600</v>
          </cell>
          <cell r="M50">
            <v>7800</v>
          </cell>
          <cell r="N50">
            <v>0</v>
          </cell>
          <cell r="O50">
            <v>1.25</v>
          </cell>
          <cell r="P50">
            <v>0</v>
          </cell>
          <cell r="Q50">
            <v>20</v>
          </cell>
          <cell r="R50">
            <v>93.75</v>
          </cell>
          <cell r="S50">
            <v>1875</v>
          </cell>
          <cell r="T50">
            <v>0</v>
          </cell>
          <cell r="U50">
            <v>7.5</v>
          </cell>
          <cell r="V50">
            <v>0</v>
          </cell>
          <cell r="W50">
            <v>0</v>
          </cell>
          <cell r="X50">
            <v>9.375</v>
          </cell>
          <cell r="Y50">
            <v>0</v>
          </cell>
          <cell r="Z50">
            <v>8</v>
          </cell>
          <cell r="AA50">
            <v>97.5</v>
          </cell>
          <cell r="AB50">
            <v>780</v>
          </cell>
          <cell r="AD50">
            <v>126.75</v>
          </cell>
          <cell r="AE50">
            <v>0</v>
          </cell>
          <cell r="AF50">
            <v>0</v>
          </cell>
          <cell r="AG50">
            <v>9.75</v>
          </cell>
          <cell r="AH50">
            <v>0</v>
          </cell>
          <cell r="AJ50">
            <v>112.5</v>
          </cell>
          <cell r="AK50">
            <v>0</v>
          </cell>
          <cell r="AM50">
            <v>146.25</v>
          </cell>
          <cell r="AN50">
            <v>0</v>
          </cell>
          <cell r="AP50">
            <v>11.25</v>
          </cell>
          <cell r="AQ50">
            <v>0</v>
          </cell>
          <cell r="AR50">
            <v>0</v>
          </cell>
          <cell r="AS50">
            <v>97.5</v>
          </cell>
          <cell r="AT50">
            <v>0</v>
          </cell>
          <cell r="AX50">
            <v>0</v>
          </cell>
          <cell r="AY50">
            <v>9.75</v>
          </cell>
          <cell r="AZ50">
            <v>0</v>
          </cell>
          <cell r="BA50">
            <v>0</v>
          </cell>
          <cell r="BB50">
            <v>150</v>
          </cell>
          <cell r="BC50">
            <v>0</v>
          </cell>
          <cell r="BJ50">
            <v>0</v>
          </cell>
          <cell r="BK50">
            <v>75</v>
          </cell>
          <cell r="BL50">
            <v>0</v>
          </cell>
          <cell r="CG50">
            <v>10455</v>
          </cell>
        </row>
        <row r="51">
          <cell r="C51">
            <v>6317</v>
          </cell>
          <cell r="D51" t="str">
            <v>GD250070</v>
          </cell>
          <cell r="E51" t="str">
            <v>Jaway, Joshua Sangalang</v>
          </cell>
          <cell r="F51" t="str">
            <v>METAL STAMPING</v>
          </cell>
          <cell r="G51" t="str">
            <v>PRODUCTION</v>
          </cell>
          <cell r="H51" t="str">
            <v>Operator 1</v>
          </cell>
          <cell r="I51" t="str">
            <v>DL</v>
          </cell>
          <cell r="J51">
            <v>96</v>
          </cell>
          <cell r="K51">
            <v>12</v>
          </cell>
          <cell r="L51">
            <v>600</v>
          </cell>
          <cell r="M51">
            <v>7200</v>
          </cell>
          <cell r="N51">
            <v>0</v>
          </cell>
          <cell r="O51">
            <v>1.25</v>
          </cell>
          <cell r="P51">
            <v>0</v>
          </cell>
          <cell r="Q51">
            <v>10</v>
          </cell>
          <cell r="R51">
            <v>93.75</v>
          </cell>
          <cell r="S51">
            <v>937.5</v>
          </cell>
          <cell r="T51">
            <v>12</v>
          </cell>
          <cell r="U51">
            <v>7.5</v>
          </cell>
          <cell r="V51">
            <v>90</v>
          </cell>
          <cell r="W51">
            <v>0</v>
          </cell>
          <cell r="X51">
            <v>9.375</v>
          </cell>
          <cell r="Y51">
            <v>0</v>
          </cell>
          <cell r="Z51">
            <v>0</v>
          </cell>
          <cell r="AA51">
            <v>97.5</v>
          </cell>
          <cell r="AB51">
            <v>0</v>
          </cell>
          <cell r="AD51">
            <v>126.75</v>
          </cell>
          <cell r="AE51">
            <v>0</v>
          </cell>
          <cell r="AF51">
            <v>0</v>
          </cell>
          <cell r="AG51">
            <v>9.75</v>
          </cell>
          <cell r="AH51">
            <v>0</v>
          </cell>
          <cell r="AJ51">
            <v>112.5</v>
          </cell>
          <cell r="AK51">
            <v>0</v>
          </cell>
          <cell r="AM51">
            <v>146.25</v>
          </cell>
          <cell r="AN51">
            <v>0</v>
          </cell>
          <cell r="AP51">
            <v>11.25</v>
          </cell>
          <cell r="AQ51">
            <v>0</v>
          </cell>
          <cell r="AR51">
            <v>0</v>
          </cell>
          <cell r="AS51">
            <v>97.5</v>
          </cell>
          <cell r="AT51">
            <v>0</v>
          </cell>
          <cell r="AX51">
            <v>0</v>
          </cell>
          <cell r="AY51">
            <v>9.75</v>
          </cell>
          <cell r="AZ51">
            <v>0</v>
          </cell>
          <cell r="BA51">
            <v>0</v>
          </cell>
          <cell r="BB51">
            <v>150</v>
          </cell>
          <cell r="BC51">
            <v>0</v>
          </cell>
          <cell r="BJ51">
            <v>0</v>
          </cell>
          <cell r="BK51">
            <v>75</v>
          </cell>
          <cell r="BL51">
            <v>0</v>
          </cell>
          <cell r="CG51">
            <v>8227.5</v>
          </cell>
        </row>
        <row r="52">
          <cell r="C52">
            <v>14233</v>
          </cell>
          <cell r="D52" t="str">
            <v>GD250399</v>
          </cell>
          <cell r="E52" t="str">
            <v>Jazmin, Geralyn Bermas</v>
          </cell>
          <cell r="F52" t="str">
            <v>METAL STAMPING</v>
          </cell>
          <cell r="G52" t="str">
            <v>PRODUCTION</v>
          </cell>
          <cell r="H52" t="str">
            <v>Operator 1</v>
          </cell>
          <cell r="I52" t="str">
            <v>DL</v>
          </cell>
          <cell r="J52">
            <v>104</v>
          </cell>
          <cell r="K52">
            <v>13</v>
          </cell>
          <cell r="L52">
            <v>600</v>
          </cell>
          <cell r="M52">
            <v>7800</v>
          </cell>
          <cell r="N52">
            <v>0</v>
          </cell>
          <cell r="O52">
            <v>1.25</v>
          </cell>
          <cell r="P52">
            <v>0</v>
          </cell>
          <cell r="Q52">
            <v>18</v>
          </cell>
          <cell r="R52">
            <v>93.75</v>
          </cell>
          <cell r="S52">
            <v>1687.5</v>
          </cell>
          <cell r="T52">
            <v>66</v>
          </cell>
          <cell r="U52">
            <v>7.5</v>
          </cell>
          <cell r="V52">
            <v>495</v>
          </cell>
          <cell r="W52">
            <v>16</v>
          </cell>
          <cell r="X52">
            <v>9.375</v>
          </cell>
          <cell r="Y52">
            <v>150</v>
          </cell>
          <cell r="Z52">
            <v>0</v>
          </cell>
          <cell r="AA52">
            <v>97.5</v>
          </cell>
          <cell r="AB52">
            <v>0</v>
          </cell>
          <cell r="AD52">
            <v>126.75</v>
          </cell>
          <cell r="AE52">
            <v>0</v>
          </cell>
          <cell r="AF52">
            <v>0</v>
          </cell>
          <cell r="AG52">
            <v>9.75</v>
          </cell>
          <cell r="AH52">
            <v>0</v>
          </cell>
          <cell r="AJ52">
            <v>112.5</v>
          </cell>
          <cell r="AK52">
            <v>0</v>
          </cell>
          <cell r="AM52">
            <v>146.25</v>
          </cell>
          <cell r="AN52">
            <v>0</v>
          </cell>
          <cell r="AP52">
            <v>11.25</v>
          </cell>
          <cell r="AQ52">
            <v>0</v>
          </cell>
          <cell r="AR52">
            <v>0</v>
          </cell>
          <cell r="AS52">
            <v>97.5</v>
          </cell>
          <cell r="AT52">
            <v>0</v>
          </cell>
          <cell r="AX52">
            <v>0</v>
          </cell>
          <cell r="AY52">
            <v>9.75</v>
          </cell>
          <cell r="AZ52">
            <v>0</v>
          </cell>
          <cell r="BA52">
            <v>0</v>
          </cell>
          <cell r="BB52">
            <v>150</v>
          </cell>
          <cell r="BC52">
            <v>0</v>
          </cell>
          <cell r="BJ52">
            <v>0</v>
          </cell>
          <cell r="BK52">
            <v>75</v>
          </cell>
          <cell r="BL52">
            <v>0</v>
          </cell>
          <cell r="CG52">
            <v>10132.5</v>
          </cell>
        </row>
        <row r="53">
          <cell r="C53">
            <v>11842</v>
          </cell>
          <cell r="D53" t="str">
            <v>GD250167</v>
          </cell>
          <cell r="E53" t="str">
            <v>Junio, Jenessa Miras</v>
          </cell>
          <cell r="F53" t="str">
            <v>METAL STAMPING</v>
          </cell>
          <cell r="G53" t="str">
            <v>PRODUCTION</v>
          </cell>
          <cell r="H53" t="str">
            <v>Operator 1</v>
          </cell>
          <cell r="I53" t="str">
            <v>DL</v>
          </cell>
          <cell r="J53">
            <v>96</v>
          </cell>
          <cell r="K53">
            <v>12</v>
          </cell>
          <cell r="L53">
            <v>600</v>
          </cell>
          <cell r="M53">
            <v>7200</v>
          </cell>
          <cell r="N53">
            <v>0</v>
          </cell>
          <cell r="O53">
            <v>1.25</v>
          </cell>
          <cell r="P53">
            <v>0</v>
          </cell>
          <cell r="Q53">
            <v>14</v>
          </cell>
          <cell r="R53">
            <v>93.75</v>
          </cell>
          <cell r="S53">
            <v>1312.5</v>
          </cell>
          <cell r="T53">
            <v>0</v>
          </cell>
          <cell r="U53">
            <v>7.5</v>
          </cell>
          <cell r="V53">
            <v>0</v>
          </cell>
          <cell r="W53">
            <v>0</v>
          </cell>
          <cell r="X53">
            <v>9.375</v>
          </cell>
          <cell r="Y53">
            <v>0</v>
          </cell>
          <cell r="Z53">
            <v>8</v>
          </cell>
          <cell r="AA53">
            <v>97.5</v>
          </cell>
          <cell r="AB53">
            <v>780</v>
          </cell>
          <cell r="AD53">
            <v>126.75</v>
          </cell>
          <cell r="AE53">
            <v>0</v>
          </cell>
          <cell r="AF53">
            <v>0</v>
          </cell>
          <cell r="AG53">
            <v>9.75</v>
          </cell>
          <cell r="AH53">
            <v>0</v>
          </cell>
          <cell r="AJ53">
            <v>112.5</v>
          </cell>
          <cell r="AK53">
            <v>0</v>
          </cell>
          <cell r="AM53">
            <v>146.25</v>
          </cell>
          <cell r="AN53">
            <v>0</v>
          </cell>
          <cell r="AP53">
            <v>11.25</v>
          </cell>
          <cell r="AQ53">
            <v>0</v>
          </cell>
          <cell r="AR53">
            <v>0</v>
          </cell>
          <cell r="AS53">
            <v>97.5</v>
          </cell>
          <cell r="AT53">
            <v>0</v>
          </cell>
          <cell r="AX53">
            <v>0</v>
          </cell>
          <cell r="AY53">
            <v>9.75</v>
          </cell>
          <cell r="AZ53">
            <v>0</v>
          </cell>
          <cell r="BA53">
            <v>0</v>
          </cell>
          <cell r="BB53">
            <v>150</v>
          </cell>
          <cell r="BC53">
            <v>0</v>
          </cell>
          <cell r="BJ53">
            <v>0</v>
          </cell>
          <cell r="BK53">
            <v>75</v>
          </cell>
          <cell r="BL53">
            <v>0</v>
          </cell>
          <cell r="CG53">
            <v>9292.5</v>
          </cell>
        </row>
        <row r="54">
          <cell r="C54">
            <v>12164</v>
          </cell>
          <cell r="D54" t="str">
            <v>GD250147</v>
          </cell>
          <cell r="E54" t="str">
            <v>Lanzaderas, Crisanto Villagracia</v>
          </cell>
          <cell r="F54" t="str">
            <v>METAL STAMPING</v>
          </cell>
          <cell r="G54" t="str">
            <v>PRODUCTION</v>
          </cell>
          <cell r="H54" t="str">
            <v>Operator 1</v>
          </cell>
          <cell r="I54" t="str">
            <v>DL</v>
          </cell>
          <cell r="J54">
            <v>88</v>
          </cell>
          <cell r="K54">
            <v>11</v>
          </cell>
          <cell r="L54">
            <v>600</v>
          </cell>
          <cell r="M54">
            <v>6600</v>
          </cell>
          <cell r="N54">
            <v>0</v>
          </cell>
          <cell r="O54">
            <v>1.25</v>
          </cell>
          <cell r="P54">
            <v>0</v>
          </cell>
          <cell r="Q54">
            <v>8</v>
          </cell>
          <cell r="R54">
            <v>93.75</v>
          </cell>
          <cell r="S54">
            <v>750</v>
          </cell>
          <cell r="T54">
            <v>54</v>
          </cell>
          <cell r="U54">
            <v>7.5</v>
          </cell>
          <cell r="V54">
            <v>405</v>
          </cell>
          <cell r="W54">
            <v>8</v>
          </cell>
          <cell r="X54">
            <v>9.375</v>
          </cell>
          <cell r="Y54">
            <v>75</v>
          </cell>
          <cell r="Z54">
            <v>0</v>
          </cell>
          <cell r="AA54">
            <v>97.5</v>
          </cell>
          <cell r="AB54">
            <v>0</v>
          </cell>
          <cell r="AD54">
            <v>126.75</v>
          </cell>
          <cell r="AE54">
            <v>0</v>
          </cell>
          <cell r="AF54">
            <v>0</v>
          </cell>
          <cell r="AG54">
            <v>9.75</v>
          </cell>
          <cell r="AH54">
            <v>0</v>
          </cell>
          <cell r="AJ54">
            <v>112.5</v>
          </cell>
          <cell r="AK54">
            <v>0</v>
          </cell>
          <cell r="AM54">
            <v>146.25</v>
          </cell>
          <cell r="AN54">
            <v>0</v>
          </cell>
          <cell r="AP54">
            <v>11.25</v>
          </cell>
          <cell r="AQ54">
            <v>0</v>
          </cell>
          <cell r="AR54">
            <v>0</v>
          </cell>
          <cell r="AS54">
            <v>97.5</v>
          </cell>
          <cell r="AT54">
            <v>0</v>
          </cell>
          <cell r="AX54">
            <v>0</v>
          </cell>
          <cell r="AY54">
            <v>9.75</v>
          </cell>
          <cell r="AZ54">
            <v>0</v>
          </cell>
          <cell r="BA54">
            <v>0</v>
          </cell>
          <cell r="BB54">
            <v>150</v>
          </cell>
          <cell r="BC54">
            <v>0</v>
          </cell>
          <cell r="BJ54">
            <v>0</v>
          </cell>
          <cell r="BK54">
            <v>75</v>
          </cell>
          <cell r="BL54">
            <v>0</v>
          </cell>
          <cell r="CG54">
            <v>7830</v>
          </cell>
        </row>
        <row r="55">
          <cell r="C55">
            <v>32246</v>
          </cell>
          <cell r="D55" t="str">
            <v>GD260732</v>
          </cell>
          <cell r="E55" t="str">
            <v>Lindo,Jester Baguioso</v>
          </cell>
          <cell r="F55" t="str">
            <v>METAL STAMPING</v>
          </cell>
          <cell r="G55" t="str">
            <v>PRODUCTION</v>
          </cell>
          <cell r="H55" t="str">
            <v>Operator 1</v>
          </cell>
          <cell r="I55" t="str">
            <v>DL</v>
          </cell>
          <cell r="J55">
            <v>48</v>
          </cell>
          <cell r="K55">
            <v>6</v>
          </cell>
          <cell r="L55">
            <v>600</v>
          </cell>
          <cell r="M55">
            <v>3600</v>
          </cell>
          <cell r="N55">
            <v>18</v>
          </cell>
          <cell r="O55">
            <v>1.25</v>
          </cell>
          <cell r="P55">
            <v>-22.5</v>
          </cell>
          <cell r="Q55">
            <v>6</v>
          </cell>
          <cell r="R55">
            <v>93.75</v>
          </cell>
          <cell r="S55">
            <v>562.5</v>
          </cell>
          <cell r="T55">
            <v>24</v>
          </cell>
          <cell r="U55">
            <v>7.5</v>
          </cell>
          <cell r="V55">
            <v>180</v>
          </cell>
          <cell r="W55">
            <v>6</v>
          </cell>
          <cell r="X55">
            <v>9.375</v>
          </cell>
          <cell r="Y55">
            <v>56.25</v>
          </cell>
          <cell r="Z55">
            <v>0</v>
          </cell>
          <cell r="AA55">
            <v>97.5</v>
          </cell>
          <cell r="AB55">
            <v>0</v>
          </cell>
          <cell r="AD55">
            <v>126.75</v>
          </cell>
          <cell r="AE55">
            <v>0</v>
          </cell>
          <cell r="AF55">
            <v>0</v>
          </cell>
          <cell r="AG55">
            <v>9.75</v>
          </cell>
          <cell r="AH55">
            <v>0</v>
          </cell>
          <cell r="AJ55">
            <v>112.5</v>
          </cell>
          <cell r="AK55">
            <v>0</v>
          </cell>
          <cell r="AM55">
            <v>146.25</v>
          </cell>
          <cell r="AN55">
            <v>0</v>
          </cell>
          <cell r="AP55">
            <v>11.25</v>
          </cell>
          <cell r="AQ55">
            <v>0</v>
          </cell>
          <cell r="AR55">
            <v>0</v>
          </cell>
          <cell r="AS55">
            <v>97.5</v>
          </cell>
          <cell r="AT55">
            <v>0</v>
          </cell>
          <cell r="AX55">
            <v>0</v>
          </cell>
          <cell r="AY55">
            <v>9.75</v>
          </cell>
          <cell r="AZ55">
            <v>0</v>
          </cell>
          <cell r="BA55">
            <v>0</v>
          </cell>
          <cell r="BB55">
            <v>150</v>
          </cell>
          <cell r="BC55">
            <v>0</v>
          </cell>
          <cell r="BJ55">
            <v>0</v>
          </cell>
          <cell r="BK55">
            <v>75</v>
          </cell>
          <cell r="BL55">
            <v>0</v>
          </cell>
          <cell r="CG55">
            <v>4376.25</v>
          </cell>
        </row>
        <row r="56">
          <cell r="C56">
            <v>14267</v>
          </cell>
          <cell r="D56" t="str">
            <v>GD250412</v>
          </cell>
          <cell r="E56" t="str">
            <v>Lucing, Analiza Aguilar</v>
          </cell>
          <cell r="F56" t="str">
            <v>METAL STAMPING</v>
          </cell>
          <cell r="G56" t="str">
            <v>PRODUCTION</v>
          </cell>
          <cell r="H56" t="str">
            <v>Operator 1</v>
          </cell>
          <cell r="I56" t="str">
            <v>DL</v>
          </cell>
          <cell r="J56">
            <v>104</v>
          </cell>
          <cell r="K56">
            <v>13</v>
          </cell>
          <cell r="L56">
            <v>600</v>
          </cell>
          <cell r="M56">
            <v>7800</v>
          </cell>
          <cell r="N56">
            <v>0</v>
          </cell>
          <cell r="O56">
            <v>1.25</v>
          </cell>
          <cell r="P56">
            <v>0</v>
          </cell>
          <cell r="Q56">
            <v>18</v>
          </cell>
          <cell r="R56">
            <v>93.75</v>
          </cell>
          <cell r="S56">
            <v>1687.5</v>
          </cell>
          <cell r="T56">
            <v>12</v>
          </cell>
          <cell r="U56">
            <v>7.5</v>
          </cell>
          <cell r="V56">
            <v>90</v>
          </cell>
          <cell r="W56">
            <v>2</v>
          </cell>
          <cell r="X56">
            <v>9.375</v>
          </cell>
          <cell r="Y56">
            <v>18.75</v>
          </cell>
          <cell r="Z56">
            <v>0</v>
          </cell>
          <cell r="AA56">
            <v>97.5</v>
          </cell>
          <cell r="AB56">
            <v>0</v>
          </cell>
          <cell r="AD56">
            <v>126.75</v>
          </cell>
          <cell r="AE56">
            <v>0</v>
          </cell>
          <cell r="AF56">
            <v>0</v>
          </cell>
          <cell r="AG56">
            <v>9.75</v>
          </cell>
          <cell r="AH56">
            <v>0</v>
          </cell>
          <cell r="AJ56">
            <v>112.5</v>
          </cell>
          <cell r="AK56">
            <v>0</v>
          </cell>
          <cell r="AM56">
            <v>146.25</v>
          </cell>
          <cell r="AN56">
            <v>0</v>
          </cell>
          <cell r="AP56">
            <v>11.25</v>
          </cell>
          <cell r="AQ56">
            <v>0</v>
          </cell>
          <cell r="AR56">
            <v>0</v>
          </cell>
          <cell r="AS56">
            <v>97.5</v>
          </cell>
          <cell r="AT56">
            <v>0</v>
          </cell>
          <cell r="AX56">
            <v>0</v>
          </cell>
          <cell r="AY56">
            <v>9.75</v>
          </cell>
          <cell r="AZ56">
            <v>0</v>
          </cell>
          <cell r="BA56">
            <v>0</v>
          </cell>
          <cell r="BB56">
            <v>150</v>
          </cell>
          <cell r="BC56">
            <v>0</v>
          </cell>
          <cell r="BJ56">
            <v>0</v>
          </cell>
          <cell r="BK56">
            <v>75</v>
          </cell>
          <cell r="BL56">
            <v>0</v>
          </cell>
          <cell r="CG56">
            <v>9596.25</v>
          </cell>
        </row>
        <row r="57">
          <cell r="C57">
            <v>32504</v>
          </cell>
          <cell r="D57" t="str">
            <v>GD260707</v>
          </cell>
          <cell r="E57" t="str">
            <v>Lumbayo, Jexon Atong</v>
          </cell>
          <cell r="F57" t="str">
            <v>METAL STAMPING</v>
          </cell>
          <cell r="G57" t="str">
            <v>PRODUCTION</v>
          </cell>
          <cell r="H57" t="str">
            <v>Operator 1</v>
          </cell>
          <cell r="I57" t="str">
            <v>DL</v>
          </cell>
          <cell r="J57">
            <v>88</v>
          </cell>
          <cell r="K57">
            <v>11</v>
          </cell>
          <cell r="L57">
            <v>600</v>
          </cell>
          <cell r="M57">
            <v>6600</v>
          </cell>
          <cell r="N57">
            <v>0</v>
          </cell>
          <cell r="O57">
            <v>1.25</v>
          </cell>
          <cell r="P57">
            <v>0</v>
          </cell>
          <cell r="Q57">
            <v>10</v>
          </cell>
          <cell r="R57">
            <v>93.75</v>
          </cell>
          <cell r="S57">
            <v>937.5</v>
          </cell>
          <cell r="T57">
            <v>12</v>
          </cell>
          <cell r="U57">
            <v>7.5</v>
          </cell>
          <cell r="V57">
            <v>90</v>
          </cell>
          <cell r="W57">
            <v>0</v>
          </cell>
          <cell r="X57">
            <v>9.375</v>
          </cell>
          <cell r="Y57">
            <v>0</v>
          </cell>
          <cell r="Z57">
            <v>0</v>
          </cell>
          <cell r="AA57">
            <v>97.5</v>
          </cell>
          <cell r="AB57">
            <v>0</v>
          </cell>
          <cell r="AD57">
            <v>126.75</v>
          </cell>
          <cell r="AE57">
            <v>0</v>
          </cell>
          <cell r="AF57">
            <v>0</v>
          </cell>
          <cell r="AG57">
            <v>9.75</v>
          </cell>
          <cell r="AH57">
            <v>0</v>
          </cell>
          <cell r="AJ57">
            <v>112.5</v>
          </cell>
          <cell r="AK57">
            <v>0</v>
          </cell>
          <cell r="AM57">
            <v>146.25</v>
          </cell>
          <cell r="AN57">
            <v>0</v>
          </cell>
          <cell r="AP57">
            <v>11.25</v>
          </cell>
          <cell r="AQ57">
            <v>0</v>
          </cell>
          <cell r="AR57">
            <v>0</v>
          </cell>
          <cell r="AS57">
            <v>97.5</v>
          </cell>
          <cell r="AT57">
            <v>0</v>
          </cell>
          <cell r="AX57">
            <v>0</v>
          </cell>
          <cell r="AY57">
            <v>9.75</v>
          </cell>
          <cell r="AZ57">
            <v>0</v>
          </cell>
          <cell r="BA57">
            <v>0</v>
          </cell>
          <cell r="BB57">
            <v>150</v>
          </cell>
          <cell r="BC57">
            <v>0</v>
          </cell>
          <cell r="BJ57">
            <v>0</v>
          </cell>
          <cell r="BK57">
            <v>75</v>
          </cell>
          <cell r="BL57">
            <v>0</v>
          </cell>
          <cell r="CG57">
            <v>7627.5</v>
          </cell>
        </row>
        <row r="58">
          <cell r="C58">
            <v>30246</v>
          </cell>
          <cell r="D58" t="str">
            <v>GD250508</v>
          </cell>
          <cell r="E58" t="str">
            <v>Magalona, Jun-Rose Paran</v>
          </cell>
          <cell r="F58" t="str">
            <v>METAL STAMPING</v>
          </cell>
          <cell r="G58" t="str">
            <v>PRODUCTION</v>
          </cell>
          <cell r="H58" t="str">
            <v>Operator 1</v>
          </cell>
          <cell r="I58" t="str">
            <v>DL</v>
          </cell>
          <cell r="J58">
            <v>88</v>
          </cell>
          <cell r="K58">
            <v>11</v>
          </cell>
          <cell r="L58">
            <v>600</v>
          </cell>
          <cell r="M58">
            <v>6600</v>
          </cell>
          <cell r="N58">
            <v>0</v>
          </cell>
          <cell r="O58">
            <v>1.25</v>
          </cell>
          <cell r="P58">
            <v>0</v>
          </cell>
          <cell r="Q58">
            <v>16</v>
          </cell>
          <cell r="R58">
            <v>93.75</v>
          </cell>
          <cell r="S58">
            <v>1500</v>
          </cell>
          <cell r="T58">
            <v>0</v>
          </cell>
          <cell r="U58">
            <v>7.5</v>
          </cell>
          <cell r="V58">
            <v>0</v>
          </cell>
          <cell r="W58">
            <v>0</v>
          </cell>
          <cell r="X58">
            <v>9.375</v>
          </cell>
          <cell r="Y58">
            <v>0</v>
          </cell>
          <cell r="Z58">
            <v>0</v>
          </cell>
          <cell r="AA58">
            <v>97.5</v>
          </cell>
          <cell r="AB58">
            <v>0</v>
          </cell>
          <cell r="AD58">
            <v>126.75</v>
          </cell>
          <cell r="AE58">
            <v>0</v>
          </cell>
          <cell r="AF58">
            <v>0</v>
          </cell>
          <cell r="AG58">
            <v>9.75</v>
          </cell>
          <cell r="AH58">
            <v>0</v>
          </cell>
          <cell r="AJ58">
            <v>112.5</v>
          </cell>
          <cell r="AK58">
            <v>0</v>
          </cell>
          <cell r="AM58">
            <v>146.25</v>
          </cell>
          <cell r="AN58">
            <v>0</v>
          </cell>
          <cell r="AP58">
            <v>11.25</v>
          </cell>
          <cell r="AQ58">
            <v>0</v>
          </cell>
          <cell r="AR58">
            <v>0</v>
          </cell>
          <cell r="AS58">
            <v>97.5</v>
          </cell>
          <cell r="AT58">
            <v>0</v>
          </cell>
          <cell r="AX58">
            <v>0</v>
          </cell>
          <cell r="AY58">
            <v>9.75</v>
          </cell>
          <cell r="AZ58">
            <v>0</v>
          </cell>
          <cell r="BA58">
            <v>0</v>
          </cell>
          <cell r="BB58">
            <v>150</v>
          </cell>
          <cell r="BC58">
            <v>0</v>
          </cell>
          <cell r="BJ58">
            <v>0</v>
          </cell>
          <cell r="BK58">
            <v>75</v>
          </cell>
          <cell r="BL58">
            <v>0</v>
          </cell>
          <cell r="CG58">
            <v>8100</v>
          </cell>
        </row>
        <row r="59">
          <cell r="C59">
            <v>14275</v>
          </cell>
          <cell r="D59" t="str">
            <v>GD250417</v>
          </cell>
          <cell r="E59" t="str">
            <v>Magpao, Joven Dinolan</v>
          </cell>
          <cell r="F59" t="str">
            <v>METAL STAMPING</v>
          </cell>
          <cell r="G59" t="str">
            <v>PRODUCTION</v>
          </cell>
          <cell r="H59" t="str">
            <v>Operator 1</v>
          </cell>
          <cell r="I59" t="str">
            <v>DL</v>
          </cell>
          <cell r="J59">
            <v>96</v>
          </cell>
          <cell r="K59">
            <v>12</v>
          </cell>
          <cell r="L59">
            <v>600</v>
          </cell>
          <cell r="M59">
            <v>7200</v>
          </cell>
          <cell r="N59">
            <v>0</v>
          </cell>
          <cell r="O59">
            <v>1.25</v>
          </cell>
          <cell r="P59">
            <v>0</v>
          </cell>
          <cell r="Q59">
            <v>6</v>
          </cell>
          <cell r="R59">
            <v>93.75</v>
          </cell>
          <cell r="S59">
            <v>562.5</v>
          </cell>
          <cell r="T59">
            <v>12</v>
          </cell>
          <cell r="U59">
            <v>7.5</v>
          </cell>
          <cell r="V59">
            <v>90</v>
          </cell>
          <cell r="W59">
            <v>2</v>
          </cell>
          <cell r="X59">
            <v>9.375</v>
          </cell>
          <cell r="Y59">
            <v>18.75</v>
          </cell>
          <cell r="Z59">
            <v>0</v>
          </cell>
          <cell r="AA59">
            <v>97.5</v>
          </cell>
          <cell r="AB59">
            <v>0</v>
          </cell>
          <cell r="AD59">
            <v>126.75</v>
          </cell>
          <cell r="AE59">
            <v>0</v>
          </cell>
          <cell r="AF59">
            <v>0</v>
          </cell>
          <cell r="AG59">
            <v>9.75</v>
          </cell>
          <cell r="AH59">
            <v>0</v>
          </cell>
          <cell r="AJ59">
            <v>112.5</v>
          </cell>
          <cell r="AK59">
            <v>0</v>
          </cell>
          <cell r="AM59">
            <v>146.25</v>
          </cell>
          <cell r="AN59">
            <v>0</v>
          </cell>
          <cell r="AP59">
            <v>11.25</v>
          </cell>
          <cell r="AQ59">
            <v>0</v>
          </cell>
          <cell r="AR59">
            <v>0</v>
          </cell>
          <cell r="AS59">
            <v>97.5</v>
          </cell>
          <cell r="AT59">
            <v>0</v>
          </cell>
          <cell r="AX59">
            <v>0</v>
          </cell>
          <cell r="AY59">
            <v>9.75</v>
          </cell>
          <cell r="AZ59">
            <v>0</v>
          </cell>
          <cell r="BA59">
            <v>0</v>
          </cell>
          <cell r="BB59">
            <v>150</v>
          </cell>
          <cell r="BC59">
            <v>0</v>
          </cell>
          <cell r="BJ59">
            <v>0</v>
          </cell>
          <cell r="BK59">
            <v>75</v>
          </cell>
          <cell r="BL59">
            <v>0</v>
          </cell>
          <cell r="CG59">
            <v>7871.25</v>
          </cell>
        </row>
        <row r="60">
          <cell r="C60">
            <v>14285</v>
          </cell>
          <cell r="D60" t="str">
            <v>GD250424</v>
          </cell>
          <cell r="E60" t="str">
            <v>Manalo, John Lester Romero</v>
          </cell>
          <cell r="F60" t="str">
            <v>METAL STAMPING</v>
          </cell>
          <cell r="G60" t="str">
            <v>PRODUCTION</v>
          </cell>
          <cell r="H60" t="str">
            <v>Operator 1</v>
          </cell>
          <cell r="I60" t="str">
            <v>DL</v>
          </cell>
          <cell r="J60">
            <v>96</v>
          </cell>
          <cell r="K60">
            <v>12</v>
          </cell>
          <cell r="L60">
            <v>600</v>
          </cell>
          <cell r="M60">
            <v>7200</v>
          </cell>
          <cell r="N60">
            <v>0</v>
          </cell>
          <cell r="O60">
            <v>1.25</v>
          </cell>
          <cell r="P60">
            <v>0</v>
          </cell>
          <cell r="Q60">
            <v>6</v>
          </cell>
          <cell r="R60">
            <v>93.75</v>
          </cell>
          <cell r="S60">
            <v>562.5</v>
          </cell>
          <cell r="T60">
            <v>12</v>
          </cell>
          <cell r="U60">
            <v>7.5</v>
          </cell>
          <cell r="V60">
            <v>90</v>
          </cell>
          <cell r="W60">
            <v>2</v>
          </cell>
          <cell r="X60">
            <v>9.375</v>
          </cell>
          <cell r="Y60">
            <v>18.75</v>
          </cell>
          <cell r="Z60">
            <v>0</v>
          </cell>
          <cell r="AA60">
            <v>97.5</v>
          </cell>
          <cell r="AB60">
            <v>0</v>
          </cell>
          <cell r="AD60">
            <v>126.75</v>
          </cell>
          <cell r="AE60">
            <v>0</v>
          </cell>
          <cell r="AF60">
            <v>0</v>
          </cell>
          <cell r="AG60">
            <v>9.75</v>
          </cell>
          <cell r="AH60">
            <v>0</v>
          </cell>
          <cell r="AJ60">
            <v>112.5</v>
          </cell>
          <cell r="AK60">
            <v>0</v>
          </cell>
          <cell r="AM60">
            <v>146.25</v>
          </cell>
          <cell r="AN60">
            <v>0</v>
          </cell>
          <cell r="AP60">
            <v>11.25</v>
          </cell>
          <cell r="AQ60">
            <v>0</v>
          </cell>
          <cell r="AR60">
            <v>0</v>
          </cell>
          <cell r="AS60">
            <v>97.5</v>
          </cell>
          <cell r="AT60">
            <v>0</v>
          </cell>
          <cell r="AX60">
            <v>0</v>
          </cell>
          <cell r="AY60">
            <v>9.75</v>
          </cell>
          <cell r="AZ60">
            <v>0</v>
          </cell>
          <cell r="BA60">
            <v>0</v>
          </cell>
          <cell r="BB60">
            <v>150</v>
          </cell>
          <cell r="BC60">
            <v>0</v>
          </cell>
          <cell r="BJ60">
            <v>0</v>
          </cell>
          <cell r="BK60">
            <v>75</v>
          </cell>
          <cell r="BL60">
            <v>0</v>
          </cell>
          <cell r="CG60">
            <v>7871.25</v>
          </cell>
        </row>
        <row r="61">
          <cell r="C61">
            <v>32488</v>
          </cell>
          <cell r="D61" t="str">
            <v>GD260703</v>
          </cell>
          <cell r="E61" t="str">
            <v>Manlongat, Amylita Jamilla</v>
          </cell>
          <cell r="F61" t="str">
            <v>METAL STAMPING</v>
          </cell>
          <cell r="G61" t="str">
            <v>PRODUCTION</v>
          </cell>
          <cell r="H61" t="str">
            <v>Operator 1</v>
          </cell>
          <cell r="I61" t="str">
            <v>DL</v>
          </cell>
          <cell r="J61">
            <v>104</v>
          </cell>
          <cell r="K61">
            <v>13</v>
          </cell>
          <cell r="L61">
            <v>600</v>
          </cell>
          <cell r="M61">
            <v>7800</v>
          </cell>
          <cell r="N61">
            <v>0</v>
          </cell>
          <cell r="O61">
            <v>1.25</v>
          </cell>
          <cell r="P61">
            <v>0</v>
          </cell>
          <cell r="Q61">
            <v>22</v>
          </cell>
          <cell r="R61">
            <v>93.75</v>
          </cell>
          <cell r="S61">
            <v>2062.5</v>
          </cell>
          <cell r="T61">
            <v>0</v>
          </cell>
          <cell r="U61">
            <v>7.5</v>
          </cell>
          <cell r="V61">
            <v>0</v>
          </cell>
          <cell r="W61">
            <v>0</v>
          </cell>
          <cell r="X61">
            <v>9.375</v>
          </cell>
          <cell r="Y61">
            <v>0</v>
          </cell>
          <cell r="Z61">
            <v>0</v>
          </cell>
          <cell r="AA61">
            <v>97.5</v>
          </cell>
          <cell r="AB61">
            <v>0</v>
          </cell>
          <cell r="AD61">
            <v>126.75</v>
          </cell>
          <cell r="AE61">
            <v>0</v>
          </cell>
          <cell r="AF61">
            <v>0</v>
          </cell>
          <cell r="AG61">
            <v>9.75</v>
          </cell>
          <cell r="AH61">
            <v>0</v>
          </cell>
          <cell r="AJ61">
            <v>112.5</v>
          </cell>
          <cell r="AK61">
            <v>0</v>
          </cell>
          <cell r="AM61">
            <v>146.25</v>
          </cell>
          <cell r="AN61">
            <v>0</v>
          </cell>
          <cell r="AP61">
            <v>11.25</v>
          </cell>
          <cell r="AQ61">
            <v>0</v>
          </cell>
          <cell r="AR61">
            <v>0</v>
          </cell>
          <cell r="AS61">
            <v>97.5</v>
          </cell>
          <cell r="AT61">
            <v>0</v>
          </cell>
          <cell r="AX61">
            <v>0</v>
          </cell>
          <cell r="AY61">
            <v>9.75</v>
          </cell>
          <cell r="AZ61">
            <v>0</v>
          </cell>
          <cell r="BA61">
            <v>0</v>
          </cell>
          <cell r="BB61">
            <v>150</v>
          </cell>
          <cell r="BC61">
            <v>0</v>
          </cell>
          <cell r="BJ61">
            <v>0</v>
          </cell>
          <cell r="BK61">
            <v>75</v>
          </cell>
          <cell r="BL61">
            <v>0</v>
          </cell>
          <cell r="CG61">
            <v>9862.5</v>
          </cell>
        </row>
        <row r="62">
          <cell r="C62">
            <v>14291</v>
          </cell>
          <cell r="D62" t="str">
            <v>GD250428</v>
          </cell>
          <cell r="E62" t="str">
            <v>Maquiniana, Reymar Bio</v>
          </cell>
          <cell r="F62" t="str">
            <v>METAL STAMPING</v>
          </cell>
          <cell r="G62" t="str">
            <v>PRODUCTION</v>
          </cell>
          <cell r="H62" t="str">
            <v>Operator 1</v>
          </cell>
          <cell r="I62" t="str">
            <v>DL</v>
          </cell>
          <cell r="J62">
            <v>96</v>
          </cell>
          <cell r="K62">
            <v>12</v>
          </cell>
          <cell r="L62">
            <v>600</v>
          </cell>
          <cell r="M62">
            <v>7200</v>
          </cell>
          <cell r="N62">
            <v>27</v>
          </cell>
          <cell r="O62">
            <v>1.25</v>
          </cell>
          <cell r="P62">
            <v>-33.75</v>
          </cell>
          <cell r="Q62">
            <v>16</v>
          </cell>
          <cell r="R62">
            <v>93.75</v>
          </cell>
          <cell r="S62">
            <v>1500</v>
          </cell>
          <cell r="T62">
            <v>60</v>
          </cell>
          <cell r="U62">
            <v>7.5</v>
          </cell>
          <cell r="V62">
            <v>450</v>
          </cell>
          <cell r="W62">
            <v>14</v>
          </cell>
          <cell r="X62">
            <v>9.375</v>
          </cell>
          <cell r="Y62">
            <v>131.25</v>
          </cell>
          <cell r="Z62">
            <v>0</v>
          </cell>
          <cell r="AA62">
            <v>97.5</v>
          </cell>
          <cell r="AB62">
            <v>0</v>
          </cell>
          <cell r="AD62">
            <v>126.75</v>
          </cell>
          <cell r="AE62">
            <v>0</v>
          </cell>
          <cell r="AF62">
            <v>0</v>
          </cell>
          <cell r="AG62">
            <v>9.75</v>
          </cell>
          <cell r="AH62">
            <v>0</v>
          </cell>
          <cell r="AJ62">
            <v>112.5</v>
          </cell>
          <cell r="AK62">
            <v>0</v>
          </cell>
          <cell r="AM62">
            <v>146.25</v>
          </cell>
          <cell r="AN62">
            <v>0</v>
          </cell>
          <cell r="AP62">
            <v>11.25</v>
          </cell>
          <cell r="AQ62">
            <v>0</v>
          </cell>
          <cell r="AR62">
            <v>0</v>
          </cell>
          <cell r="AS62">
            <v>97.5</v>
          </cell>
          <cell r="AT62">
            <v>0</v>
          </cell>
          <cell r="AX62">
            <v>0</v>
          </cell>
          <cell r="AY62">
            <v>9.75</v>
          </cell>
          <cell r="AZ62">
            <v>0</v>
          </cell>
          <cell r="BA62">
            <v>0</v>
          </cell>
          <cell r="BB62">
            <v>150</v>
          </cell>
          <cell r="BC62">
            <v>0</v>
          </cell>
          <cell r="BJ62">
            <v>0</v>
          </cell>
          <cell r="BK62">
            <v>75</v>
          </cell>
          <cell r="BL62">
            <v>0</v>
          </cell>
          <cell r="CG62">
            <v>9247.5</v>
          </cell>
        </row>
        <row r="63">
          <cell r="C63">
            <v>11834</v>
          </cell>
          <cell r="D63" t="str">
            <v>GD250169</v>
          </cell>
          <cell r="E63" t="str">
            <v>Masapol, Mary Joy Sanchez</v>
          </cell>
          <cell r="F63" t="str">
            <v>METAL STAMPING</v>
          </cell>
          <cell r="G63" t="str">
            <v>PRODUCTION</v>
          </cell>
          <cell r="H63" t="str">
            <v>Operator 1</v>
          </cell>
          <cell r="I63" t="str">
            <v>DL</v>
          </cell>
          <cell r="J63">
            <v>104</v>
          </cell>
          <cell r="K63">
            <v>13</v>
          </cell>
          <cell r="L63">
            <v>600</v>
          </cell>
          <cell r="M63">
            <v>7800</v>
          </cell>
          <cell r="N63">
            <v>0</v>
          </cell>
          <cell r="O63">
            <v>1.25</v>
          </cell>
          <cell r="P63">
            <v>0</v>
          </cell>
          <cell r="Q63">
            <v>22</v>
          </cell>
          <cell r="R63">
            <v>93.75</v>
          </cell>
          <cell r="S63">
            <v>2062.5</v>
          </cell>
          <cell r="T63">
            <v>0</v>
          </cell>
          <cell r="U63">
            <v>7.5</v>
          </cell>
          <cell r="V63">
            <v>0</v>
          </cell>
          <cell r="W63">
            <v>0</v>
          </cell>
          <cell r="X63">
            <v>9.375</v>
          </cell>
          <cell r="Y63">
            <v>0</v>
          </cell>
          <cell r="Z63">
            <v>16</v>
          </cell>
          <cell r="AA63">
            <v>97.5</v>
          </cell>
          <cell r="AB63">
            <v>1560</v>
          </cell>
          <cell r="AD63">
            <v>126.75</v>
          </cell>
          <cell r="AE63">
            <v>0</v>
          </cell>
          <cell r="AF63">
            <v>0</v>
          </cell>
          <cell r="AG63">
            <v>9.75</v>
          </cell>
          <cell r="AH63">
            <v>0</v>
          </cell>
          <cell r="AJ63">
            <v>112.5</v>
          </cell>
          <cell r="AK63">
            <v>0</v>
          </cell>
          <cell r="AM63">
            <v>146.25</v>
          </cell>
          <cell r="AN63">
            <v>0</v>
          </cell>
          <cell r="AP63">
            <v>11.25</v>
          </cell>
          <cell r="AQ63">
            <v>0</v>
          </cell>
          <cell r="AR63">
            <v>0</v>
          </cell>
          <cell r="AS63">
            <v>97.5</v>
          </cell>
          <cell r="AT63">
            <v>0</v>
          </cell>
          <cell r="AX63">
            <v>0</v>
          </cell>
          <cell r="AY63">
            <v>9.75</v>
          </cell>
          <cell r="AZ63">
            <v>0</v>
          </cell>
          <cell r="BA63">
            <v>0</v>
          </cell>
          <cell r="BB63">
            <v>150</v>
          </cell>
          <cell r="BC63">
            <v>0</v>
          </cell>
          <cell r="BJ63">
            <v>0</v>
          </cell>
          <cell r="BK63">
            <v>75</v>
          </cell>
          <cell r="BL63">
            <v>0</v>
          </cell>
          <cell r="CG63">
            <v>11422.5</v>
          </cell>
        </row>
        <row r="64">
          <cell r="C64">
            <v>30356</v>
          </cell>
          <cell r="D64" t="str">
            <v>GD250503</v>
          </cell>
          <cell r="E64" t="str">
            <v>Melgar, Billy Rey Watiwat</v>
          </cell>
          <cell r="F64" t="str">
            <v>METAL STAMPING</v>
          </cell>
          <cell r="G64" t="str">
            <v>PRODUCTION</v>
          </cell>
          <cell r="H64" t="str">
            <v>Operator 1</v>
          </cell>
          <cell r="I64" t="str">
            <v>DL</v>
          </cell>
          <cell r="J64">
            <v>88</v>
          </cell>
          <cell r="K64">
            <v>11</v>
          </cell>
          <cell r="L64">
            <v>600</v>
          </cell>
          <cell r="M64">
            <v>6600</v>
          </cell>
          <cell r="N64">
            <v>0</v>
          </cell>
          <cell r="O64">
            <v>1.25</v>
          </cell>
          <cell r="P64">
            <v>0</v>
          </cell>
          <cell r="Q64">
            <v>8</v>
          </cell>
          <cell r="R64">
            <v>93.75</v>
          </cell>
          <cell r="S64">
            <v>750</v>
          </cell>
          <cell r="T64">
            <v>54</v>
          </cell>
          <cell r="U64">
            <v>7.5</v>
          </cell>
          <cell r="V64">
            <v>405</v>
          </cell>
          <cell r="W64">
            <v>8</v>
          </cell>
          <cell r="X64">
            <v>9.375</v>
          </cell>
          <cell r="Y64">
            <v>75</v>
          </cell>
          <cell r="Z64">
            <v>0</v>
          </cell>
          <cell r="AA64">
            <v>97.5</v>
          </cell>
          <cell r="AB64">
            <v>0</v>
          </cell>
          <cell r="AD64">
            <v>126.75</v>
          </cell>
          <cell r="AE64">
            <v>0</v>
          </cell>
          <cell r="AF64">
            <v>0</v>
          </cell>
          <cell r="AG64">
            <v>9.75</v>
          </cell>
          <cell r="AH64">
            <v>0</v>
          </cell>
          <cell r="AJ64">
            <v>112.5</v>
          </cell>
          <cell r="AK64">
            <v>0</v>
          </cell>
          <cell r="AM64">
            <v>146.25</v>
          </cell>
          <cell r="AN64">
            <v>0</v>
          </cell>
          <cell r="AP64">
            <v>11.25</v>
          </cell>
          <cell r="AQ64">
            <v>0</v>
          </cell>
          <cell r="AR64">
            <v>0</v>
          </cell>
          <cell r="AS64">
            <v>97.5</v>
          </cell>
          <cell r="AT64">
            <v>0</v>
          </cell>
          <cell r="AX64">
            <v>0</v>
          </cell>
          <cell r="AY64">
            <v>9.75</v>
          </cell>
          <cell r="AZ64">
            <v>0</v>
          </cell>
          <cell r="BA64">
            <v>0</v>
          </cell>
          <cell r="BB64">
            <v>150</v>
          </cell>
          <cell r="BC64">
            <v>0</v>
          </cell>
          <cell r="BJ64">
            <v>0</v>
          </cell>
          <cell r="BK64">
            <v>75</v>
          </cell>
          <cell r="BL64">
            <v>0</v>
          </cell>
          <cell r="CG64">
            <v>7830</v>
          </cell>
        </row>
        <row r="65">
          <cell r="C65">
            <v>11829</v>
          </cell>
          <cell r="D65" t="str">
            <v>GD250168</v>
          </cell>
          <cell r="E65" t="str">
            <v>Melitante, Maricar Sueno</v>
          </cell>
          <cell r="F65" t="str">
            <v>METAL STAMPING</v>
          </cell>
          <cell r="G65" t="str">
            <v>PRODUCTION</v>
          </cell>
          <cell r="H65" t="str">
            <v>Operator 1</v>
          </cell>
          <cell r="I65" t="str">
            <v>DL</v>
          </cell>
          <cell r="J65">
            <v>92</v>
          </cell>
          <cell r="K65">
            <v>11.5</v>
          </cell>
          <cell r="L65">
            <v>600</v>
          </cell>
          <cell r="M65">
            <v>6900</v>
          </cell>
          <cell r="N65">
            <v>0</v>
          </cell>
          <cell r="O65">
            <v>1.25</v>
          </cell>
          <cell r="P65">
            <v>0</v>
          </cell>
          <cell r="Q65">
            <v>18</v>
          </cell>
          <cell r="R65">
            <v>93.75</v>
          </cell>
          <cell r="S65">
            <v>1687.5</v>
          </cell>
          <cell r="T65">
            <v>0</v>
          </cell>
          <cell r="U65">
            <v>7.5</v>
          </cell>
          <cell r="V65">
            <v>0</v>
          </cell>
          <cell r="W65">
            <v>0</v>
          </cell>
          <cell r="X65">
            <v>9.375</v>
          </cell>
          <cell r="Y65">
            <v>0</v>
          </cell>
          <cell r="Z65">
            <v>8</v>
          </cell>
          <cell r="AA65">
            <v>97.5</v>
          </cell>
          <cell r="AB65">
            <v>780</v>
          </cell>
          <cell r="AD65">
            <v>126.75</v>
          </cell>
          <cell r="AE65">
            <v>0</v>
          </cell>
          <cell r="AF65">
            <v>0</v>
          </cell>
          <cell r="AG65">
            <v>9.75</v>
          </cell>
          <cell r="AH65">
            <v>0</v>
          </cell>
          <cell r="AJ65">
            <v>112.5</v>
          </cell>
          <cell r="AK65">
            <v>0</v>
          </cell>
          <cell r="AM65">
            <v>146.25</v>
          </cell>
          <cell r="AN65">
            <v>0</v>
          </cell>
          <cell r="AP65">
            <v>11.25</v>
          </cell>
          <cell r="AQ65">
            <v>0</v>
          </cell>
          <cell r="AR65">
            <v>0</v>
          </cell>
          <cell r="AS65">
            <v>97.5</v>
          </cell>
          <cell r="AT65">
            <v>0</v>
          </cell>
          <cell r="AX65">
            <v>0</v>
          </cell>
          <cell r="AY65">
            <v>9.75</v>
          </cell>
          <cell r="AZ65">
            <v>0</v>
          </cell>
          <cell r="BA65">
            <v>0</v>
          </cell>
          <cell r="BB65">
            <v>150</v>
          </cell>
          <cell r="BC65">
            <v>0</v>
          </cell>
          <cell r="BJ65">
            <v>0</v>
          </cell>
          <cell r="BK65">
            <v>75</v>
          </cell>
          <cell r="BL65">
            <v>0</v>
          </cell>
          <cell r="CG65">
            <v>9367.5</v>
          </cell>
        </row>
        <row r="66">
          <cell r="C66">
            <v>32515</v>
          </cell>
          <cell r="D66" t="str">
            <v>GD260699</v>
          </cell>
          <cell r="E66" t="str">
            <v>Morete, John Dominic</v>
          </cell>
          <cell r="F66" t="str">
            <v>METAL STAMPING</v>
          </cell>
          <cell r="G66" t="str">
            <v>PRODUCTION</v>
          </cell>
          <cell r="H66" t="str">
            <v>Operator 1</v>
          </cell>
          <cell r="I66" t="str">
            <v>DL</v>
          </cell>
          <cell r="J66">
            <v>72</v>
          </cell>
          <cell r="K66">
            <v>9</v>
          </cell>
          <cell r="L66">
            <v>600</v>
          </cell>
          <cell r="M66">
            <v>5400</v>
          </cell>
          <cell r="N66">
            <v>0</v>
          </cell>
          <cell r="O66">
            <v>1.25</v>
          </cell>
          <cell r="P66">
            <v>0</v>
          </cell>
          <cell r="Q66">
            <v>8</v>
          </cell>
          <cell r="R66">
            <v>93.75</v>
          </cell>
          <cell r="S66">
            <v>750</v>
          </cell>
          <cell r="T66">
            <v>12</v>
          </cell>
          <cell r="U66">
            <v>7.5</v>
          </cell>
          <cell r="V66">
            <v>90</v>
          </cell>
          <cell r="W66">
            <v>0</v>
          </cell>
          <cell r="X66">
            <v>9.375</v>
          </cell>
          <cell r="Y66">
            <v>0</v>
          </cell>
          <cell r="Z66">
            <v>0</v>
          </cell>
          <cell r="AA66">
            <v>97.5</v>
          </cell>
          <cell r="AB66">
            <v>0</v>
          </cell>
          <cell r="AD66">
            <v>126.75</v>
          </cell>
          <cell r="AE66">
            <v>0</v>
          </cell>
          <cell r="AF66">
            <v>0</v>
          </cell>
          <cell r="AG66">
            <v>9.75</v>
          </cell>
          <cell r="AH66">
            <v>0</v>
          </cell>
          <cell r="AJ66">
            <v>112.5</v>
          </cell>
          <cell r="AK66">
            <v>0</v>
          </cell>
          <cell r="AM66">
            <v>146.25</v>
          </cell>
          <cell r="AN66">
            <v>0</v>
          </cell>
          <cell r="AP66">
            <v>11.25</v>
          </cell>
          <cell r="AQ66">
            <v>0</v>
          </cell>
          <cell r="AR66">
            <v>0</v>
          </cell>
          <cell r="AS66">
            <v>97.5</v>
          </cell>
          <cell r="AT66">
            <v>0</v>
          </cell>
          <cell r="AX66">
            <v>0</v>
          </cell>
          <cell r="AY66">
            <v>9.75</v>
          </cell>
          <cell r="AZ66">
            <v>0</v>
          </cell>
          <cell r="BA66">
            <v>0</v>
          </cell>
          <cell r="BB66">
            <v>150</v>
          </cell>
          <cell r="BC66">
            <v>0</v>
          </cell>
          <cell r="BJ66">
            <v>0</v>
          </cell>
          <cell r="BK66">
            <v>75</v>
          </cell>
          <cell r="BL66">
            <v>0</v>
          </cell>
          <cell r="CG66">
            <v>6240</v>
          </cell>
        </row>
        <row r="67">
          <cell r="C67">
            <v>14915</v>
          </cell>
          <cell r="D67" t="str">
            <v>GD250241</v>
          </cell>
          <cell r="E67" t="str">
            <v>Natingga, Precious Gotera</v>
          </cell>
          <cell r="F67" t="str">
            <v>METAL STAMPING</v>
          </cell>
          <cell r="G67" t="str">
            <v>PRODUCTION</v>
          </cell>
          <cell r="H67" t="str">
            <v>Operator 1</v>
          </cell>
          <cell r="I67" t="str">
            <v>DL</v>
          </cell>
          <cell r="J67">
            <v>80</v>
          </cell>
          <cell r="K67">
            <v>10</v>
          </cell>
          <cell r="L67">
            <v>600</v>
          </cell>
          <cell r="M67">
            <v>6000</v>
          </cell>
          <cell r="N67">
            <v>0</v>
          </cell>
          <cell r="O67">
            <v>1.25</v>
          </cell>
          <cell r="P67">
            <v>0</v>
          </cell>
          <cell r="Q67">
            <v>16</v>
          </cell>
          <cell r="R67">
            <v>93.75</v>
          </cell>
          <cell r="S67">
            <v>1500</v>
          </cell>
          <cell r="T67">
            <v>54</v>
          </cell>
          <cell r="U67">
            <v>7.5</v>
          </cell>
          <cell r="V67">
            <v>405</v>
          </cell>
          <cell r="W67">
            <v>14</v>
          </cell>
          <cell r="X67">
            <v>9.375</v>
          </cell>
          <cell r="Y67">
            <v>131.25</v>
          </cell>
          <cell r="Z67">
            <v>0</v>
          </cell>
          <cell r="AA67">
            <v>97.5</v>
          </cell>
          <cell r="AB67">
            <v>0</v>
          </cell>
          <cell r="AD67">
            <v>126.75</v>
          </cell>
          <cell r="AE67">
            <v>0</v>
          </cell>
          <cell r="AF67">
            <v>0</v>
          </cell>
          <cell r="AG67">
            <v>9.75</v>
          </cell>
          <cell r="AH67">
            <v>0</v>
          </cell>
          <cell r="AJ67">
            <v>112.5</v>
          </cell>
          <cell r="AK67">
            <v>0</v>
          </cell>
          <cell r="AM67">
            <v>146.25</v>
          </cell>
          <cell r="AN67">
            <v>0</v>
          </cell>
          <cell r="AP67">
            <v>11.25</v>
          </cell>
          <cell r="AQ67">
            <v>0</v>
          </cell>
          <cell r="AR67">
            <v>0</v>
          </cell>
          <cell r="AS67">
            <v>97.5</v>
          </cell>
          <cell r="AT67">
            <v>0</v>
          </cell>
          <cell r="AX67">
            <v>0</v>
          </cell>
          <cell r="AY67">
            <v>9.75</v>
          </cell>
          <cell r="AZ67">
            <v>0</v>
          </cell>
          <cell r="BA67">
            <v>0</v>
          </cell>
          <cell r="BB67">
            <v>150</v>
          </cell>
          <cell r="BC67">
            <v>0</v>
          </cell>
          <cell r="BJ67">
            <v>0</v>
          </cell>
          <cell r="BK67">
            <v>75</v>
          </cell>
          <cell r="BL67">
            <v>0</v>
          </cell>
          <cell r="CG67">
            <v>8036.25</v>
          </cell>
        </row>
        <row r="68">
          <cell r="C68">
            <v>14326</v>
          </cell>
          <cell r="D68" t="str">
            <v>GD250439</v>
          </cell>
          <cell r="E68" t="str">
            <v>Nazarita, Cherry Mae Badinas</v>
          </cell>
          <cell r="F68" t="str">
            <v>METAL STAMPING</v>
          </cell>
          <cell r="G68" t="str">
            <v>PRODUCTION</v>
          </cell>
          <cell r="H68" t="str">
            <v>Operator 1</v>
          </cell>
          <cell r="I68" t="str">
            <v>DL</v>
          </cell>
          <cell r="J68">
            <v>104</v>
          </cell>
          <cell r="K68">
            <v>13</v>
          </cell>
          <cell r="L68">
            <v>600</v>
          </cell>
          <cell r="M68">
            <v>7800</v>
          </cell>
          <cell r="N68">
            <v>0</v>
          </cell>
          <cell r="O68">
            <v>1.25</v>
          </cell>
          <cell r="P68">
            <v>0</v>
          </cell>
          <cell r="Q68">
            <v>18</v>
          </cell>
          <cell r="R68">
            <v>93.75</v>
          </cell>
          <cell r="S68">
            <v>1687.5</v>
          </cell>
          <cell r="T68">
            <v>66</v>
          </cell>
          <cell r="U68">
            <v>7.5</v>
          </cell>
          <cell r="V68">
            <v>495</v>
          </cell>
          <cell r="W68">
            <v>16</v>
          </cell>
          <cell r="X68">
            <v>9.375</v>
          </cell>
          <cell r="Y68">
            <v>150</v>
          </cell>
          <cell r="Z68">
            <v>0</v>
          </cell>
          <cell r="AA68">
            <v>97.5</v>
          </cell>
          <cell r="AB68">
            <v>0</v>
          </cell>
          <cell r="AD68">
            <v>126.75</v>
          </cell>
          <cell r="AE68">
            <v>0</v>
          </cell>
          <cell r="AF68">
            <v>0</v>
          </cell>
          <cell r="AG68">
            <v>9.75</v>
          </cell>
          <cell r="AH68">
            <v>0</v>
          </cell>
          <cell r="AJ68">
            <v>112.5</v>
          </cell>
          <cell r="AK68">
            <v>0</v>
          </cell>
          <cell r="AM68">
            <v>146.25</v>
          </cell>
          <cell r="AN68">
            <v>0</v>
          </cell>
          <cell r="AP68">
            <v>11.25</v>
          </cell>
          <cell r="AQ68">
            <v>0</v>
          </cell>
          <cell r="AR68">
            <v>0</v>
          </cell>
          <cell r="AS68">
            <v>97.5</v>
          </cell>
          <cell r="AT68">
            <v>0</v>
          </cell>
          <cell r="AX68">
            <v>0</v>
          </cell>
          <cell r="AY68">
            <v>9.75</v>
          </cell>
          <cell r="AZ68">
            <v>0</v>
          </cell>
          <cell r="BA68">
            <v>0</v>
          </cell>
          <cell r="BB68">
            <v>150</v>
          </cell>
          <cell r="BC68">
            <v>0</v>
          </cell>
          <cell r="BJ68">
            <v>0</v>
          </cell>
          <cell r="BK68">
            <v>75</v>
          </cell>
          <cell r="BL68">
            <v>0</v>
          </cell>
          <cell r="CG68">
            <v>10132.5</v>
          </cell>
        </row>
        <row r="69">
          <cell r="C69">
            <v>14328</v>
          </cell>
          <cell r="D69" t="str">
            <v>GD250441</v>
          </cell>
          <cell r="E69" t="str">
            <v>Nialla, Jenny Mae Bravo</v>
          </cell>
          <cell r="F69" t="str">
            <v>METAL STAMPING</v>
          </cell>
          <cell r="G69" t="str">
            <v>PRODUCTION</v>
          </cell>
          <cell r="H69" t="str">
            <v>Operator 1</v>
          </cell>
          <cell r="I69" t="str">
            <v>DL</v>
          </cell>
          <cell r="J69">
            <v>88</v>
          </cell>
          <cell r="K69">
            <v>11</v>
          </cell>
          <cell r="L69">
            <v>600</v>
          </cell>
          <cell r="M69">
            <v>6600</v>
          </cell>
          <cell r="N69">
            <v>0</v>
          </cell>
          <cell r="O69">
            <v>1.25</v>
          </cell>
          <cell r="P69">
            <v>0</v>
          </cell>
          <cell r="Q69">
            <v>16</v>
          </cell>
          <cell r="R69">
            <v>93.75</v>
          </cell>
          <cell r="S69">
            <v>1500</v>
          </cell>
          <cell r="T69">
            <v>12</v>
          </cell>
          <cell r="U69">
            <v>7.5</v>
          </cell>
          <cell r="V69">
            <v>90</v>
          </cell>
          <cell r="W69">
            <v>2</v>
          </cell>
          <cell r="X69">
            <v>9.375</v>
          </cell>
          <cell r="Y69">
            <v>18.75</v>
          </cell>
          <cell r="Z69">
            <v>0</v>
          </cell>
          <cell r="AA69">
            <v>97.5</v>
          </cell>
          <cell r="AB69">
            <v>0</v>
          </cell>
          <cell r="AD69">
            <v>126.75</v>
          </cell>
          <cell r="AE69">
            <v>0</v>
          </cell>
          <cell r="AF69">
            <v>0</v>
          </cell>
          <cell r="AG69">
            <v>9.75</v>
          </cell>
          <cell r="AH69">
            <v>0</v>
          </cell>
          <cell r="AJ69">
            <v>112.5</v>
          </cell>
          <cell r="AK69">
            <v>0</v>
          </cell>
          <cell r="AM69">
            <v>146.25</v>
          </cell>
          <cell r="AN69">
            <v>0</v>
          </cell>
          <cell r="AP69">
            <v>11.25</v>
          </cell>
          <cell r="AQ69">
            <v>0</v>
          </cell>
          <cell r="AR69">
            <v>0</v>
          </cell>
          <cell r="AS69">
            <v>97.5</v>
          </cell>
          <cell r="AT69">
            <v>0</v>
          </cell>
          <cell r="AX69">
            <v>0</v>
          </cell>
          <cell r="AY69">
            <v>9.75</v>
          </cell>
          <cell r="AZ69">
            <v>0</v>
          </cell>
          <cell r="BA69">
            <v>0</v>
          </cell>
          <cell r="BB69">
            <v>150</v>
          </cell>
          <cell r="BC69">
            <v>0</v>
          </cell>
          <cell r="BJ69">
            <v>0</v>
          </cell>
          <cell r="BK69">
            <v>75</v>
          </cell>
          <cell r="BL69">
            <v>0</v>
          </cell>
          <cell r="CG69">
            <v>8208.75</v>
          </cell>
        </row>
        <row r="70">
          <cell r="C70">
            <v>10997</v>
          </cell>
          <cell r="D70" t="str">
            <v>GD250122</v>
          </cell>
          <cell r="E70" t="str">
            <v>Nicolas, Joey Camigla</v>
          </cell>
          <cell r="F70" t="str">
            <v>METAL STAMPING</v>
          </cell>
          <cell r="G70" t="str">
            <v>PRODUCTION</v>
          </cell>
          <cell r="H70" t="str">
            <v>Operator 1</v>
          </cell>
          <cell r="I70" t="str">
            <v>DL</v>
          </cell>
          <cell r="J70">
            <v>96</v>
          </cell>
          <cell r="K70">
            <v>12</v>
          </cell>
          <cell r="L70">
            <v>600</v>
          </cell>
          <cell r="M70">
            <v>7200</v>
          </cell>
          <cell r="N70">
            <v>0</v>
          </cell>
          <cell r="O70">
            <v>1.25</v>
          </cell>
          <cell r="P70">
            <v>0</v>
          </cell>
          <cell r="Q70">
            <v>8</v>
          </cell>
          <cell r="R70">
            <v>93.75</v>
          </cell>
          <cell r="S70">
            <v>750</v>
          </cell>
          <cell r="T70">
            <v>60</v>
          </cell>
          <cell r="U70">
            <v>7.5</v>
          </cell>
          <cell r="V70">
            <v>450</v>
          </cell>
          <cell r="W70">
            <v>8</v>
          </cell>
          <cell r="X70">
            <v>9.375</v>
          </cell>
          <cell r="Y70">
            <v>75</v>
          </cell>
          <cell r="Z70">
            <v>0</v>
          </cell>
          <cell r="AA70">
            <v>97.5</v>
          </cell>
          <cell r="AB70">
            <v>0</v>
          </cell>
          <cell r="AD70">
            <v>126.75</v>
          </cell>
          <cell r="AE70">
            <v>0</v>
          </cell>
          <cell r="AF70">
            <v>0</v>
          </cell>
          <cell r="AG70">
            <v>9.75</v>
          </cell>
          <cell r="AH70">
            <v>0</v>
          </cell>
          <cell r="AJ70">
            <v>112.5</v>
          </cell>
          <cell r="AK70">
            <v>0</v>
          </cell>
          <cell r="AM70">
            <v>146.25</v>
          </cell>
          <cell r="AN70">
            <v>0</v>
          </cell>
          <cell r="AP70">
            <v>11.25</v>
          </cell>
          <cell r="AQ70">
            <v>0</v>
          </cell>
          <cell r="AR70">
            <v>0</v>
          </cell>
          <cell r="AS70">
            <v>97.5</v>
          </cell>
          <cell r="AT70">
            <v>0</v>
          </cell>
          <cell r="AX70">
            <v>0</v>
          </cell>
          <cell r="AY70">
            <v>9.75</v>
          </cell>
          <cell r="AZ70">
            <v>0</v>
          </cell>
          <cell r="BA70">
            <v>0</v>
          </cell>
          <cell r="BB70">
            <v>150</v>
          </cell>
          <cell r="BC70">
            <v>0</v>
          </cell>
          <cell r="BJ70">
            <v>0</v>
          </cell>
          <cell r="BK70">
            <v>75</v>
          </cell>
          <cell r="BL70">
            <v>0</v>
          </cell>
          <cell r="CG70">
            <v>8475</v>
          </cell>
        </row>
        <row r="71">
          <cell r="C71">
            <v>10424</v>
          </cell>
          <cell r="D71" t="str">
            <v>GD250117</v>
          </cell>
          <cell r="E71" t="str">
            <v>Ochea, Adelfa Abrigo</v>
          </cell>
          <cell r="F71" t="str">
            <v>METAL STAMPING</v>
          </cell>
          <cell r="G71" t="str">
            <v>PRODUCTION</v>
          </cell>
          <cell r="H71" t="str">
            <v>Operator 1</v>
          </cell>
          <cell r="I71" t="str">
            <v>DL</v>
          </cell>
          <cell r="J71">
            <v>96</v>
          </cell>
          <cell r="K71">
            <v>12</v>
          </cell>
          <cell r="L71">
            <v>600</v>
          </cell>
          <cell r="M71">
            <v>7200</v>
          </cell>
          <cell r="N71">
            <v>0</v>
          </cell>
          <cell r="O71">
            <v>1.25</v>
          </cell>
          <cell r="P71">
            <v>0</v>
          </cell>
          <cell r="Q71">
            <v>14</v>
          </cell>
          <cell r="R71">
            <v>93.75</v>
          </cell>
          <cell r="S71">
            <v>1312.5</v>
          </cell>
          <cell r="T71">
            <v>12</v>
          </cell>
          <cell r="U71">
            <v>7.5</v>
          </cell>
          <cell r="V71">
            <v>90</v>
          </cell>
          <cell r="W71">
            <v>2</v>
          </cell>
          <cell r="X71">
            <v>9.375</v>
          </cell>
          <cell r="Y71">
            <v>18.75</v>
          </cell>
          <cell r="Z71">
            <v>0</v>
          </cell>
          <cell r="AA71">
            <v>97.5</v>
          </cell>
          <cell r="AB71">
            <v>0</v>
          </cell>
          <cell r="AD71">
            <v>126.75</v>
          </cell>
          <cell r="AE71">
            <v>0</v>
          </cell>
          <cell r="AF71">
            <v>0</v>
          </cell>
          <cell r="AG71">
            <v>9.75</v>
          </cell>
          <cell r="AH71">
            <v>0</v>
          </cell>
          <cell r="AJ71">
            <v>112.5</v>
          </cell>
          <cell r="AK71">
            <v>0</v>
          </cell>
          <cell r="AM71">
            <v>146.25</v>
          </cell>
          <cell r="AN71">
            <v>0</v>
          </cell>
          <cell r="AP71">
            <v>11.25</v>
          </cell>
          <cell r="AQ71">
            <v>0</v>
          </cell>
          <cell r="AR71">
            <v>0</v>
          </cell>
          <cell r="AS71">
            <v>97.5</v>
          </cell>
          <cell r="AT71">
            <v>0</v>
          </cell>
          <cell r="AX71">
            <v>0</v>
          </cell>
          <cell r="AY71">
            <v>9.75</v>
          </cell>
          <cell r="AZ71">
            <v>0</v>
          </cell>
          <cell r="BA71">
            <v>0</v>
          </cell>
          <cell r="BB71">
            <v>150</v>
          </cell>
          <cell r="BC71">
            <v>0</v>
          </cell>
          <cell r="BJ71">
            <v>0</v>
          </cell>
          <cell r="BK71">
            <v>75</v>
          </cell>
          <cell r="BL71">
            <v>0</v>
          </cell>
          <cell r="CG71">
            <v>8621.25</v>
          </cell>
        </row>
        <row r="72">
          <cell r="C72">
            <v>8176</v>
          </cell>
          <cell r="D72" t="str">
            <v>GD250051</v>
          </cell>
          <cell r="E72" t="str">
            <v>Oclarino, Edena San Buenaventura</v>
          </cell>
          <cell r="F72" t="str">
            <v>METAL STAMPING</v>
          </cell>
          <cell r="G72" t="str">
            <v>PRODUCTION</v>
          </cell>
          <cell r="H72" t="str">
            <v>Operator 1</v>
          </cell>
          <cell r="I72" t="str">
            <v>DL</v>
          </cell>
          <cell r="J72">
            <v>104</v>
          </cell>
          <cell r="K72">
            <v>13</v>
          </cell>
          <cell r="L72">
            <v>600</v>
          </cell>
          <cell r="M72">
            <v>7800</v>
          </cell>
          <cell r="N72">
            <v>0</v>
          </cell>
          <cell r="O72">
            <v>1.25</v>
          </cell>
          <cell r="P72">
            <v>0</v>
          </cell>
          <cell r="Q72">
            <v>18</v>
          </cell>
          <cell r="R72">
            <v>93.75</v>
          </cell>
          <cell r="S72">
            <v>1687.5</v>
          </cell>
          <cell r="T72">
            <v>12</v>
          </cell>
          <cell r="U72">
            <v>7.5</v>
          </cell>
          <cell r="V72">
            <v>90</v>
          </cell>
          <cell r="W72">
            <v>2</v>
          </cell>
          <cell r="X72">
            <v>9.375</v>
          </cell>
          <cell r="Y72">
            <v>18.75</v>
          </cell>
          <cell r="Z72">
            <v>0</v>
          </cell>
          <cell r="AA72">
            <v>97.5</v>
          </cell>
          <cell r="AB72">
            <v>0</v>
          </cell>
          <cell r="AD72">
            <v>126.75</v>
          </cell>
          <cell r="AE72">
            <v>0</v>
          </cell>
          <cell r="AF72">
            <v>0</v>
          </cell>
          <cell r="AG72">
            <v>9.75</v>
          </cell>
          <cell r="AH72">
            <v>0</v>
          </cell>
          <cell r="AJ72">
            <v>112.5</v>
          </cell>
          <cell r="AK72">
            <v>0</v>
          </cell>
          <cell r="AM72">
            <v>146.25</v>
          </cell>
          <cell r="AN72">
            <v>0</v>
          </cell>
          <cell r="AP72">
            <v>11.25</v>
          </cell>
          <cell r="AQ72">
            <v>0</v>
          </cell>
          <cell r="AR72">
            <v>0</v>
          </cell>
          <cell r="AS72">
            <v>97.5</v>
          </cell>
          <cell r="AT72">
            <v>0</v>
          </cell>
          <cell r="AX72">
            <v>0</v>
          </cell>
          <cell r="AY72">
            <v>9.75</v>
          </cell>
          <cell r="AZ72">
            <v>0</v>
          </cell>
          <cell r="BA72">
            <v>0</v>
          </cell>
          <cell r="BB72">
            <v>150</v>
          </cell>
          <cell r="BC72">
            <v>0</v>
          </cell>
          <cell r="BJ72">
            <v>0</v>
          </cell>
          <cell r="BK72">
            <v>75</v>
          </cell>
          <cell r="BL72">
            <v>0</v>
          </cell>
          <cell r="CG72">
            <v>9596.25</v>
          </cell>
        </row>
        <row r="73">
          <cell r="C73">
            <v>11742</v>
          </cell>
          <cell r="D73" t="str">
            <v>GD250174</v>
          </cell>
          <cell r="E73" t="str">
            <v>Ordeniza, Lorna Salamangga</v>
          </cell>
          <cell r="F73" t="str">
            <v>METAL STAMPING</v>
          </cell>
          <cell r="G73" t="str">
            <v>PRODUCTION</v>
          </cell>
          <cell r="H73" t="str">
            <v>Operator 1</v>
          </cell>
          <cell r="I73" t="str">
            <v>DL</v>
          </cell>
          <cell r="J73">
            <v>104</v>
          </cell>
          <cell r="K73">
            <v>13</v>
          </cell>
          <cell r="L73">
            <v>600</v>
          </cell>
          <cell r="M73">
            <v>7800</v>
          </cell>
          <cell r="N73">
            <v>0</v>
          </cell>
          <cell r="O73">
            <v>1.25</v>
          </cell>
          <cell r="P73">
            <v>0</v>
          </cell>
          <cell r="Q73">
            <v>23</v>
          </cell>
          <cell r="R73">
            <v>93.75</v>
          </cell>
          <cell r="S73">
            <v>2156.25</v>
          </cell>
          <cell r="T73">
            <v>66</v>
          </cell>
          <cell r="U73">
            <v>7.5</v>
          </cell>
          <cell r="V73">
            <v>495</v>
          </cell>
          <cell r="W73">
            <v>20</v>
          </cell>
          <cell r="X73">
            <v>9.375</v>
          </cell>
          <cell r="Y73">
            <v>187.5</v>
          </cell>
          <cell r="Z73">
            <v>8</v>
          </cell>
          <cell r="AA73">
            <v>97.5</v>
          </cell>
          <cell r="AB73">
            <v>780</v>
          </cell>
          <cell r="AD73">
            <v>126.75</v>
          </cell>
          <cell r="AE73">
            <v>0</v>
          </cell>
          <cell r="AF73">
            <v>0</v>
          </cell>
          <cell r="AG73">
            <v>9.75</v>
          </cell>
          <cell r="AH73">
            <v>0</v>
          </cell>
          <cell r="AJ73">
            <v>112.5</v>
          </cell>
          <cell r="AK73">
            <v>0</v>
          </cell>
          <cell r="AM73">
            <v>146.25</v>
          </cell>
          <cell r="AN73">
            <v>0</v>
          </cell>
          <cell r="AP73">
            <v>11.25</v>
          </cell>
          <cell r="AQ73">
            <v>0</v>
          </cell>
          <cell r="AR73">
            <v>0</v>
          </cell>
          <cell r="AS73">
            <v>97.5</v>
          </cell>
          <cell r="AT73">
            <v>0</v>
          </cell>
          <cell r="AX73">
            <v>0</v>
          </cell>
          <cell r="AY73">
            <v>9.75</v>
          </cell>
          <cell r="AZ73">
            <v>0</v>
          </cell>
          <cell r="BA73">
            <v>0</v>
          </cell>
          <cell r="BB73">
            <v>150</v>
          </cell>
          <cell r="BC73">
            <v>0</v>
          </cell>
          <cell r="BJ73">
            <v>0</v>
          </cell>
          <cell r="BK73">
            <v>75</v>
          </cell>
          <cell r="BL73">
            <v>0</v>
          </cell>
          <cell r="CG73">
            <v>11418.75</v>
          </cell>
        </row>
        <row r="74">
          <cell r="C74">
            <v>32494</v>
          </cell>
          <cell r="D74" t="str">
            <v>GD260705</v>
          </cell>
          <cell r="E74" t="str">
            <v>Ortiz, Neomie</v>
          </cell>
          <cell r="F74" t="str">
            <v>METAL STAMPING</v>
          </cell>
          <cell r="G74" t="str">
            <v>PRODUCTION</v>
          </cell>
          <cell r="H74" t="str">
            <v>Operator 1</v>
          </cell>
          <cell r="I74" t="str">
            <v>DL</v>
          </cell>
          <cell r="J74">
            <v>80</v>
          </cell>
          <cell r="K74">
            <v>10</v>
          </cell>
          <cell r="L74">
            <v>600</v>
          </cell>
          <cell r="M74">
            <v>6000</v>
          </cell>
          <cell r="N74">
            <v>0</v>
          </cell>
          <cell r="O74">
            <v>1.25</v>
          </cell>
          <cell r="P74">
            <v>0</v>
          </cell>
          <cell r="Q74">
            <v>16</v>
          </cell>
          <cell r="R74">
            <v>93.75</v>
          </cell>
          <cell r="S74">
            <v>1500</v>
          </cell>
          <cell r="T74">
            <v>0</v>
          </cell>
          <cell r="U74">
            <v>7.5</v>
          </cell>
          <cell r="V74">
            <v>0</v>
          </cell>
          <cell r="W74">
            <v>0</v>
          </cell>
          <cell r="X74">
            <v>9.375</v>
          </cell>
          <cell r="Y74">
            <v>0</v>
          </cell>
          <cell r="Z74">
            <v>0</v>
          </cell>
          <cell r="AA74">
            <v>97.5</v>
          </cell>
          <cell r="AB74">
            <v>0</v>
          </cell>
          <cell r="AD74">
            <v>126.75</v>
          </cell>
          <cell r="AE74">
            <v>0</v>
          </cell>
          <cell r="AF74">
            <v>0</v>
          </cell>
          <cell r="AG74">
            <v>9.75</v>
          </cell>
          <cell r="AH74">
            <v>0</v>
          </cell>
          <cell r="AJ74">
            <v>112.5</v>
          </cell>
          <cell r="AK74">
            <v>0</v>
          </cell>
          <cell r="AM74">
            <v>146.25</v>
          </cell>
          <cell r="AN74">
            <v>0</v>
          </cell>
          <cell r="AP74">
            <v>11.25</v>
          </cell>
          <cell r="AQ74">
            <v>0</v>
          </cell>
          <cell r="AR74">
            <v>0</v>
          </cell>
          <cell r="AS74">
            <v>97.5</v>
          </cell>
          <cell r="AT74">
            <v>0</v>
          </cell>
          <cell r="AX74">
            <v>0</v>
          </cell>
          <cell r="AY74">
            <v>9.75</v>
          </cell>
          <cell r="AZ74">
            <v>0</v>
          </cell>
          <cell r="BA74">
            <v>0</v>
          </cell>
          <cell r="BB74">
            <v>150</v>
          </cell>
          <cell r="BC74">
            <v>0</v>
          </cell>
          <cell r="BJ74">
            <v>0</v>
          </cell>
          <cell r="BK74">
            <v>75</v>
          </cell>
          <cell r="BL74">
            <v>0</v>
          </cell>
          <cell r="CG74">
            <v>7500</v>
          </cell>
        </row>
        <row r="75">
          <cell r="C75">
            <v>6244</v>
          </cell>
          <cell r="D75" t="str">
            <v>GD250073</v>
          </cell>
          <cell r="E75" t="str">
            <v>Pagcaliwangan, Jessa Leyesa</v>
          </cell>
          <cell r="F75" t="str">
            <v>METAL STAMPING</v>
          </cell>
          <cell r="G75" t="str">
            <v>PRODUCTION</v>
          </cell>
          <cell r="H75" t="str">
            <v>Operator 1</v>
          </cell>
          <cell r="I75" t="str">
            <v>DL</v>
          </cell>
          <cell r="J75">
            <v>104</v>
          </cell>
          <cell r="K75">
            <v>13</v>
          </cell>
          <cell r="L75">
            <v>600</v>
          </cell>
          <cell r="M75">
            <v>7800</v>
          </cell>
          <cell r="N75">
            <v>0</v>
          </cell>
          <cell r="O75">
            <v>1.25</v>
          </cell>
          <cell r="P75">
            <v>0</v>
          </cell>
          <cell r="Q75">
            <v>16</v>
          </cell>
          <cell r="R75">
            <v>93.75</v>
          </cell>
          <cell r="S75">
            <v>1500</v>
          </cell>
          <cell r="T75">
            <v>12</v>
          </cell>
          <cell r="U75">
            <v>7.5</v>
          </cell>
          <cell r="V75">
            <v>90</v>
          </cell>
          <cell r="W75">
            <v>2</v>
          </cell>
          <cell r="X75">
            <v>9.375</v>
          </cell>
          <cell r="Y75">
            <v>18.75</v>
          </cell>
          <cell r="Z75">
            <v>0</v>
          </cell>
          <cell r="AA75">
            <v>97.5</v>
          </cell>
          <cell r="AB75">
            <v>0</v>
          </cell>
          <cell r="AD75">
            <v>126.75</v>
          </cell>
          <cell r="AE75">
            <v>0</v>
          </cell>
          <cell r="AF75">
            <v>0</v>
          </cell>
          <cell r="AG75">
            <v>9.75</v>
          </cell>
          <cell r="AH75">
            <v>0</v>
          </cell>
          <cell r="AJ75">
            <v>112.5</v>
          </cell>
          <cell r="AK75">
            <v>0</v>
          </cell>
          <cell r="AM75">
            <v>146.25</v>
          </cell>
          <cell r="AN75">
            <v>0</v>
          </cell>
          <cell r="AP75">
            <v>11.25</v>
          </cell>
          <cell r="AQ75">
            <v>0</v>
          </cell>
          <cell r="AR75">
            <v>0</v>
          </cell>
          <cell r="AS75">
            <v>97.5</v>
          </cell>
          <cell r="AT75">
            <v>0</v>
          </cell>
          <cell r="AX75">
            <v>0</v>
          </cell>
          <cell r="AY75">
            <v>9.75</v>
          </cell>
          <cell r="AZ75">
            <v>0</v>
          </cell>
          <cell r="BA75">
            <v>0</v>
          </cell>
          <cell r="BB75">
            <v>150</v>
          </cell>
          <cell r="BC75">
            <v>0</v>
          </cell>
          <cell r="BJ75">
            <v>0</v>
          </cell>
          <cell r="BK75">
            <v>75</v>
          </cell>
          <cell r="BL75">
            <v>0</v>
          </cell>
          <cell r="CG75">
            <v>9408.75</v>
          </cell>
        </row>
        <row r="76">
          <cell r="C76">
            <v>30680</v>
          </cell>
          <cell r="D76" t="str">
            <v>GD250547</v>
          </cell>
          <cell r="E76" t="str">
            <v>Pamada, James Benavidez</v>
          </cell>
          <cell r="F76" t="str">
            <v>METAL STAMPING</v>
          </cell>
          <cell r="G76" t="str">
            <v>PRODUCTION</v>
          </cell>
          <cell r="H76" t="str">
            <v>Operator 1</v>
          </cell>
          <cell r="I76" t="str">
            <v>DL</v>
          </cell>
          <cell r="J76">
            <v>76</v>
          </cell>
          <cell r="K76">
            <v>9.5</v>
          </cell>
          <cell r="L76">
            <v>600</v>
          </cell>
          <cell r="M76">
            <v>5700</v>
          </cell>
          <cell r="N76">
            <v>0</v>
          </cell>
          <cell r="O76">
            <v>1.25</v>
          </cell>
          <cell r="P76">
            <v>0</v>
          </cell>
          <cell r="Q76">
            <v>6</v>
          </cell>
          <cell r="R76">
            <v>93.75</v>
          </cell>
          <cell r="S76">
            <v>562.5</v>
          </cell>
          <cell r="T76">
            <v>12</v>
          </cell>
          <cell r="U76">
            <v>7.5</v>
          </cell>
          <cell r="V76">
            <v>90</v>
          </cell>
          <cell r="W76">
            <v>0</v>
          </cell>
          <cell r="X76">
            <v>9.375</v>
          </cell>
          <cell r="Y76">
            <v>0</v>
          </cell>
          <cell r="Z76">
            <v>0</v>
          </cell>
          <cell r="AA76">
            <v>97.5</v>
          </cell>
          <cell r="AB76">
            <v>0</v>
          </cell>
          <cell r="AD76">
            <v>126.75</v>
          </cell>
          <cell r="AE76">
            <v>0</v>
          </cell>
          <cell r="AF76">
            <v>0</v>
          </cell>
          <cell r="AG76">
            <v>9.75</v>
          </cell>
          <cell r="AH76">
            <v>0</v>
          </cell>
          <cell r="AJ76">
            <v>112.5</v>
          </cell>
          <cell r="AK76">
            <v>0</v>
          </cell>
          <cell r="AM76">
            <v>146.25</v>
          </cell>
          <cell r="AN76">
            <v>0</v>
          </cell>
          <cell r="AP76">
            <v>11.25</v>
          </cell>
          <cell r="AQ76">
            <v>0</v>
          </cell>
          <cell r="AR76">
            <v>0</v>
          </cell>
          <cell r="AS76">
            <v>97.5</v>
          </cell>
          <cell r="AT76">
            <v>0</v>
          </cell>
          <cell r="AX76">
            <v>0</v>
          </cell>
          <cell r="AY76">
            <v>9.75</v>
          </cell>
          <cell r="AZ76">
            <v>0</v>
          </cell>
          <cell r="BA76">
            <v>0</v>
          </cell>
          <cell r="BB76">
            <v>150</v>
          </cell>
          <cell r="BC76">
            <v>0</v>
          </cell>
          <cell r="BJ76">
            <v>0</v>
          </cell>
          <cell r="BK76">
            <v>75</v>
          </cell>
          <cell r="BL76">
            <v>0</v>
          </cell>
          <cell r="CG76">
            <v>6352.5</v>
          </cell>
        </row>
        <row r="77">
          <cell r="C77">
            <v>12460</v>
          </cell>
          <cell r="D77" t="str">
            <v>GD250123</v>
          </cell>
          <cell r="E77" t="str">
            <v>Pamplona, Hazel</v>
          </cell>
          <cell r="F77" t="str">
            <v>METAL STAMPING</v>
          </cell>
          <cell r="G77" t="str">
            <v>PRODUCTION</v>
          </cell>
          <cell r="H77" t="str">
            <v>Operator 1</v>
          </cell>
          <cell r="I77" t="str">
            <v>DL</v>
          </cell>
          <cell r="J77">
            <v>104</v>
          </cell>
          <cell r="K77">
            <v>13</v>
          </cell>
          <cell r="L77">
            <v>600</v>
          </cell>
          <cell r="M77">
            <v>7800</v>
          </cell>
          <cell r="N77">
            <v>1</v>
          </cell>
          <cell r="O77">
            <v>1.25</v>
          </cell>
          <cell r="P77">
            <v>-1.25</v>
          </cell>
          <cell r="Q77">
            <v>20</v>
          </cell>
          <cell r="R77">
            <v>93.75</v>
          </cell>
          <cell r="S77">
            <v>1875</v>
          </cell>
          <cell r="T77">
            <v>12</v>
          </cell>
          <cell r="U77">
            <v>7.5</v>
          </cell>
          <cell r="V77">
            <v>90</v>
          </cell>
          <cell r="W77">
            <v>2</v>
          </cell>
          <cell r="X77">
            <v>9.375</v>
          </cell>
          <cell r="Y77">
            <v>18.75</v>
          </cell>
          <cell r="Z77">
            <v>8</v>
          </cell>
          <cell r="AA77">
            <v>97.5</v>
          </cell>
          <cell r="AB77">
            <v>780</v>
          </cell>
          <cell r="AD77">
            <v>126.75</v>
          </cell>
          <cell r="AE77">
            <v>0</v>
          </cell>
          <cell r="AF77">
            <v>0</v>
          </cell>
          <cell r="AG77">
            <v>9.75</v>
          </cell>
          <cell r="AH77">
            <v>0</v>
          </cell>
          <cell r="AJ77">
            <v>112.5</v>
          </cell>
          <cell r="AK77">
            <v>0</v>
          </cell>
          <cell r="AM77">
            <v>146.25</v>
          </cell>
          <cell r="AN77">
            <v>0</v>
          </cell>
          <cell r="AP77">
            <v>11.25</v>
          </cell>
          <cell r="AQ77">
            <v>0</v>
          </cell>
          <cell r="AR77">
            <v>0</v>
          </cell>
          <cell r="AS77">
            <v>97.5</v>
          </cell>
          <cell r="AT77">
            <v>0</v>
          </cell>
          <cell r="AX77">
            <v>0</v>
          </cell>
          <cell r="AY77">
            <v>9.75</v>
          </cell>
          <cell r="AZ77">
            <v>0</v>
          </cell>
          <cell r="BA77">
            <v>0</v>
          </cell>
          <cell r="BB77">
            <v>150</v>
          </cell>
          <cell r="BC77">
            <v>0</v>
          </cell>
          <cell r="BJ77">
            <v>0</v>
          </cell>
          <cell r="BK77">
            <v>75</v>
          </cell>
          <cell r="BL77">
            <v>0</v>
          </cell>
          <cell r="CG77">
            <v>10562.5</v>
          </cell>
        </row>
        <row r="78">
          <cell r="C78">
            <v>30019</v>
          </cell>
          <cell r="D78" t="str">
            <v>GD250452</v>
          </cell>
          <cell r="E78" t="str">
            <v>Panta, Jerick</v>
          </cell>
          <cell r="F78" t="str">
            <v>METAL STAMPING</v>
          </cell>
          <cell r="G78" t="str">
            <v>PRODUCTION</v>
          </cell>
          <cell r="H78" t="str">
            <v>Operator 1</v>
          </cell>
          <cell r="I78" t="str">
            <v>DL</v>
          </cell>
          <cell r="J78">
            <v>104</v>
          </cell>
          <cell r="K78">
            <v>13</v>
          </cell>
          <cell r="L78">
            <v>600</v>
          </cell>
          <cell r="M78">
            <v>7800</v>
          </cell>
          <cell r="N78">
            <v>2</v>
          </cell>
          <cell r="O78">
            <v>1.25</v>
          </cell>
          <cell r="P78">
            <v>-2.5</v>
          </cell>
          <cell r="Q78">
            <v>8</v>
          </cell>
          <cell r="R78">
            <v>93.75</v>
          </cell>
          <cell r="S78">
            <v>750</v>
          </cell>
          <cell r="T78">
            <v>65</v>
          </cell>
          <cell r="U78">
            <v>7.5</v>
          </cell>
          <cell r="V78">
            <v>487.5</v>
          </cell>
          <cell r="W78">
            <v>8</v>
          </cell>
          <cell r="X78">
            <v>9.375</v>
          </cell>
          <cell r="Y78">
            <v>75</v>
          </cell>
          <cell r="Z78">
            <v>0</v>
          </cell>
          <cell r="AA78">
            <v>97.5</v>
          </cell>
          <cell r="AB78">
            <v>0</v>
          </cell>
          <cell r="AD78">
            <v>126.75</v>
          </cell>
          <cell r="AE78">
            <v>0</v>
          </cell>
          <cell r="AF78">
            <v>0</v>
          </cell>
          <cell r="AG78">
            <v>9.75</v>
          </cell>
          <cell r="AH78">
            <v>0</v>
          </cell>
          <cell r="AJ78">
            <v>112.5</v>
          </cell>
          <cell r="AK78">
            <v>0</v>
          </cell>
          <cell r="AM78">
            <v>146.25</v>
          </cell>
          <cell r="AN78">
            <v>0</v>
          </cell>
          <cell r="AP78">
            <v>11.25</v>
          </cell>
          <cell r="AQ78">
            <v>0</v>
          </cell>
          <cell r="AR78">
            <v>0</v>
          </cell>
          <cell r="AS78">
            <v>97.5</v>
          </cell>
          <cell r="AT78">
            <v>0</v>
          </cell>
          <cell r="AX78">
            <v>0</v>
          </cell>
          <cell r="AY78">
            <v>9.75</v>
          </cell>
          <cell r="AZ78">
            <v>0</v>
          </cell>
          <cell r="BA78">
            <v>0</v>
          </cell>
          <cell r="BB78">
            <v>150</v>
          </cell>
          <cell r="BC78">
            <v>0</v>
          </cell>
          <cell r="BJ78">
            <v>0</v>
          </cell>
          <cell r="BK78">
            <v>75</v>
          </cell>
          <cell r="BL78">
            <v>0</v>
          </cell>
          <cell r="CG78">
            <v>9110</v>
          </cell>
        </row>
        <row r="79">
          <cell r="C79">
            <v>30292</v>
          </cell>
          <cell r="D79" t="str">
            <v>GD250527</v>
          </cell>
          <cell r="E79" t="str">
            <v>Pascua, Rechelle Macalalay</v>
          </cell>
          <cell r="F79" t="str">
            <v>METAL STAMPING</v>
          </cell>
          <cell r="G79" t="str">
            <v>PRODUCTION</v>
          </cell>
          <cell r="H79" t="str">
            <v>Operator 1</v>
          </cell>
          <cell r="I79" t="str">
            <v>DL</v>
          </cell>
          <cell r="J79">
            <v>96</v>
          </cell>
          <cell r="K79">
            <v>12</v>
          </cell>
          <cell r="L79">
            <v>600</v>
          </cell>
          <cell r="M79">
            <v>7200</v>
          </cell>
          <cell r="N79">
            <v>116</v>
          </cell>
          <cell r="O79">
            <v>1.25</v>
          </cell>
          <cell r="P79">
            <v>-145</v>
          </cell>
          <cell r="Q79">
            <v>20</v>
          </cell>
          <cell r="R79">
            <v>93.75</v>
          </cell>
          <cell r="S79">
            <v>1875</v>
          </cell>
          <cell r="T79">
            <v>0</v>
          </cell>
          <cell r="U79">
            <v>7.5</v>
          </cell>
          <cell r="V79">
            <v>0</v>
          </cell>
          <cell r="W79">
            <v>0</v>
          </cell>
          <cell r="X79">
            <v>9.375</v>
          </cell>
          <cell r="Y79">
            <v>0</v>
          </cell>
          <cell r="Z79">
            <v>16</v>
          </cell>
          <cell r="AA79">
            <v>97.5</v>
          </cell>
          <cell r="AB79">
            <v>1560</v>
          </cell>
          <cell r="AD79">
            <v>126.75</v>
          </cell>
          <cell r="AE79">
            <v>0</v>
          </cell>
          <cell r="AF79">
            <v>0</v>
          </cell>
          <cell r="AG79">
            <v>9.75</v>
          </cell>
          <cell r="AH79">
            <v>0</v>
          </cell>
          <cell r="AJ79">
            <v>112.5</v>
          </cell>
          <cell r="AK79">
            <v>0</v>
          </cell>
          <cell r="AM79">
            <v>146.25</v>
          </cell>
          <cell r="AN79">
            <v>0</v>
          </cell>
          <cell r="AP79">
            <v>11.25</v>
          </cell>
          <cell r="AQ79">
            <v>0</v>
          </cell>
          <cell r="AR79">
            <v>0</v>
          </cell>
          <cell r="AS79">
            <v>97.5</v>
          </cell>
          <cell r="AT79">
            <v>0</v>
          </cell>
          <cell r="AX79">
            <v>0</v>
          </cell>
          <cell r="AY79">
            <v>9.75</v>
          </cell>
          <cell r="AZ79">
            <v>0</v>
          </cell>
          <cell r="BA79">
            <v>0</v>
          </cell>
          <cell r="BB79">
            <v>150</v>
          </cell>
          <cell r="BC79">
            <v>0</v>
          </cell>
          <cell r="BJ79">
            <v>0</v>
          </cell>
          <cell r="BK79">
            <v>75</v>
          </cell>
          <cell r="BL79">
            <v>0</v>
          </cell>
          <cell r="CG79">
            <v>10490</v>
          </cell>
        </row>
        <row r="80">
          <cell r="C80">
            <v>14835</v>
          </cell>
          <cell r="D80" t="str">
            <v>GD250237</v>
          </cell>
          <cell r="E80" t="str">
            <v>Payopas, Kyla Marie Sanico</v>
          </cell>
          <cell r="F80" t="str">
            <v>METAL STAMPING</v>
          </cell>
          <cell r="G80" t="str">
            <v>PRODUCTION</v>
          </cell>
          <cell r="H80" t="str">
            <v>Operator 1</v>
          </cell>
          <cell r="I80" t="str">
            <v>DL</v>
          </cell>
          <cell r="J80">
            <v>104</v>
          </cell>
          <cell r="K80">
            <v>13</v>
          </cell>
          <cell r="L80">
            <v>600</v>
          </cell>
          <cell r="M80">
            <v>7800</v>
          </cell>
          <cell r="N80">
            <v>0</v>
          </cell>
          <cell r="O80">
            <v>1.25</v>
          </cell>
          <cell r="P80">
            <v>0</v>
          </cell>
          <cell r="Q80">
            <v>22</v>
          </cell>
          <cell r="R80">
            <v>93.75</v>
          </cell>
          <cell r="S80">
            <v>2062.5</v>
          </cell>
          <cell r="T80">
            <v>66</v>
          </cell>
          <cell r="U80">
            <v>7.5</v>
          </cell>
          <cell r="V80">
            <v>495</v>
          </cell>
          <cell r="W80">
            <v>20</v>
          </cell>
          <cell r="X80">
            <v>9.375</v>
          </cell>
          <cell r="Y80">
            <v>187.5</v>
          </cell>
          <cell r="Z80">
            <v>8</v>
          </cell>
          <cell r="AA80">
            <v>97.5</v>
          </cell>
          <cell r="AB80">
            <v>780</v>
          </cell>
          <cell r="AD80">
            <v>126.75</v>
          </cell>
          <cell r="AE80">
            <v>0</v>
          </cell>
          <cell r="AF80">
            <v>0</v>
          </cell>
          <cell r="AG80">
            <v>9.75</v>
          </cell>
          <cell r="AH80">
            <v>0</v>
          </cell>
          <cell r="AJ80">
            <v>112.5</v>
          </cell>
          <cell r="AK80">
            <v>0</v>
          </cell>
          <cell r="AM80">
            <v>146.25</v>
          </cell>
          <cell r="AN80">
            <v>0</v>
          </cell>
          <cell r="AP80">
            <v>11.25</v>
          </cell>
          <cell r="AQ80">
            <v>0</v>
          </cell>
          <cell r="AR80">
            <v>0</v>
          </cell>
          <cell r="AS80">
            <v>97.5</v>
          </cell>
          <cell r="AT80">
            <v>0</v>
          </cell>
          <cell r="AX80">
            <v>0</v>
          </cell>
          <cell r="AY80">
            <v>9.75</v>
          </cell>
          <cell r="AZ80">
            <v>0</v>
          </cell>
          <cell r="BA80">
            <v>0</v>
          </cell>
          <cell r="BB80">
            <v>150</v>
          </cell>
          <cell r="BC80">
            <v>0</v>
          </cell>
          <cell r="BJ80">
            <v>0</v>
          </cell>
          <cell r="BK80">
            <v>75</v>
          </cell>
          <cell r="BL80">
            <v>0</v>
          </cell>
          <cell r="CG80">
            <v>11325</v>
          </cell>
        </row>
        <row r="81">
          <cell r="C81">
            <v>14357</v>
          </cell>
          <cell r="D81" t="str">
            <v>GD250455</v>
          </cell>
          <cell r="E81" t="str">
            <v>Paz, Rochelle Perez</v>
          </cell>
          <cell r="F81" t="str">
            <v>METAL STAMPING</v>
          </cell>
          <cell r="G81" t="str">
            <v>PRODUCTION</v>
          </cell>
          <cell r="H81" t="str">
            <v>Operator 1</v>
          </cell>
          <cell r="I81" t="str">
            <v>DL</v>
          </cell>
          <cell r="J81">
            <v>104</v>
          </cell>
          <cell r="K81">
            <v>13</v>
          </cell>
          <cell r="L81">
            <v>600</v>
          </cell>
          <cell r="M81">
            <v>7800</v>
          </cell>
          <cell r="N81">
            <v>0</v>
          </cell>
          <cell r="O81">
            <v>1.25</v>
          </cell>
          <cell r="P81">
            <v>0</v>
          </cell>
          <cell r="Q81">
            <v>20</v>
          </cell>
          <cell r="R81">
            <v>93.75</v>
          </cell>
          <cell r="S81">
            <v>1875</v>
          </cell>
          <cell r="T81">
            <v>0</v>
          </cell>
          <cell r="U81">
            <v>7.5</v>
          </cell>
          <cell r="V81">
            <v>0</v>
          </cell>
          <cell r="W81">
            <v>0</v>
          </cell>
          <cell r="X81">
            <v>9.375</v>
          </cell>
          <cell r="Y81">
            <v>0</v>
          </cell>
          <cell r="Z81">
            <v>16</v>
          </cell>
          <cell r="AA81">
            <v>97.5</v>
          </cell>
          <cell r="AB81">
            <v>1560</v>
          </cell>
          <cell r="AD81">
            <v>126.75</v>
          </cell>
          <cell r="AE81">
            <v>0</v>
          </cell>
          <cell r="AF81">
            <v>0</v>
          </cell>
          <cell r="AG81">
            <v>9.75</v>
          </cell>
          <cell r="AH81">
            <v>0</v>
          </cell>
          <cell r="AJ81">
            <v>112.5</v>
          </cell>
          <cell r="AK81">
            <v>0</v>
          </cell>
          <cell r="AM81">
            <v>146.25</v>
          </cell>
          <cell r="AN81">
            <v>0</v>
          </cell>
          <cell r="AP81">
            <v>11.25</v>
          </cell>
          <cell r="AQ81">
            <v>0</v>
          </cell>
          <cell r="AR81">
            <v>0</v>
          </cell>
          <cell r="AS81">
            <v>97.5</v>
          </cell>
          <cell r="AT81">
            <v>0</v>
          </cell>
          <cell r="AX81">
            <v>0</v>
          </cell>
          <cell r="AY81">
            <v>9.75</v>
          </cell>
          <cell r="AZ81">
            <v>0</v>
          </cell>
          <cell r="BA81">
            <v>0</v>
          </cell>
          <cell r="BB81">
            <v>150</v>
          </cell>
          <cell r="BC81">
            <v>0</v>
          </cell>
          <cell r="BJ81">
            <v>0</v>
          </cell>
          <cell r="BK81">
            <v>75</v>
          </cell>
          <cell r="BL81">
            <v>0</v>
          </cell>
          <cell r="CG81">
            <v>11235</v>
          </cell>
        </row>
        <row r="82">
          <cell r="C82">
            <v>30611</v>
          </cell>
          <cell r="D82" t="str">
            <v>GD250554</v>
          </cell>
          <cell r="E82" t="str">
            <v>Pisuena, Jae Ann Espiritu</v>
          </cell>
          <cell r="F82" t="str">
            <v>METAL STAMPING</v>
          </cell>
          <cell r="G82" t="str">
            <v>PRODUCTION</v>
          </cell>
          <cell r="H82" t="str">
            <v>Operator 1</v>
          </cell>
          <cell r="I82" t="str">
            <v>DL</v>
          </cell>
          <cell r="J82">
            <v>88</v>
          </cell>
          <cell r="K82">
            <v>11</v>
          </cell>
          <cell r="L82">
            <v>600</v>
          </cell>
          <cell r="M82">
            <v>6600</v>
          </cell>
          <cell r="N82">
            <v>0</v>
          </cell>
          <cell r="O82">
            <v>1.25</v>
          </cell>
          <cell r="P82">
            <v>0</v>
          </cell>
          <cell r="Q82">
            <v>14</v>
          </cell>
          <cell r="R82">
            <v>93.75</v>
          </cell>
          <cell r="S82">
            <v>1312.5</v>
          </cell>
          <cell r="T82">
            <v>0</v>
          </cell>
          <cell r="U82">
            <v>7.5</v>
          </cell>
          <cell r="V82">
            <v>0</v>
          </cell>
          <cell r="W82">
            <v>0</v>
          </cell>
          <cell r="X82">
            <v>9.375</v>
          </cell>
          <cell r="Y82">
            <v>0</v>
          </cell>
          <cell r="Z82">
            <v>0</v>
          </cell>
          <cell r="AA82">
            <v>97.5</v>
          </cell>
          <cell r="AB82">
            <v>0</v>
          </cell>
          <cell r="AD82">
            <v>126.75</v>
          </cell>
          <cell r="AE82">
            <v>0</v>
          </cell>
          <cell r="AF82">
            <v>0</v>
          </cell>
          <cell r="AG82">
            <v>9.75</v>
          </cell>
          <cell r="AH82">
            <v>0</v>
          </cell>
          <cell r="AJ82">
            <v>112.5</v>
          </cell>
          <cell r="AK82">
            <v>0</v>
          </cell>
          <cell r="AM82">
            <v>146.25</v>
          </cell>
          <cell r="AN82">
            <v>0</v>
          </cell>
          <cell r="AP82">
            <v>11.25</v>
          </cell>
          <cell r="AQ82">
            <v>0</v>
          </cell>
          <cell r="AR82">
            <v>0</v>
          </cell>
          <cell r="AS82">
            <v>97.5</v>
          </cell>
          <cell r="AT82">
            <v>0</v>
          </cell>
          <cell r="AX82">
            <v>0</v>
          </cell>
          <cell r="AY82">
            <v>9.75</v>
          </cell>
          <cell r="AZ82">
            <v>0</v>
          </cell>
          <cell r="BA82">
            <v>0</v>
          </cell>
          <cell r="BB82">
            <v>150</v>
          </cell>
          <cell r="BC82">
            <v>0</v>
          </cell>
          <cell r="BJ82">
            <v>0</v>
          </cell>
          <cell r="BK82">
            <v>75</v>
          </cell>
          <cell r="BL82">
            <v>0</v>
          </cell>
          <cell r="CG82">
            <v>7912.5</v>
          </cell>
        </row>
        <row r="83">
          <cell r="C83">
            <v>32460</v>
          </cell>
          <cell r="D83" t="str">
            <v>GD260702</v>
          </cell>
          <cell r="E83" t="str">
            <v>Prado, Mary Grace</v>
          </cell>
          <cell r="F83" t="str">
            <v>METAL STAMPING</v>
          </cell>
          <cell r="G83" t="str">
            <v>PRODUCTION</v>
          </cell>
          <cell r="H83" t="str">
            <v>Operator 1</v>
          </cell>
          <cell r="I83" t="str">
            <v>DL</v>
          </cell>
          <cell r="J83">
            <v>96</v>
          </cell>
          <cell r="K83">
            <v>12</v>
          </cell>
          <cell r="L83">
            <v>600</v>
          </cell>
          <cell r="M83">
            <v>7200</v>
          </cell>
          <cell r="N83">
            <v>0</v>
          </cell>
          <cell r="O83">
            <v>1.25</v>
          </cell>
          <cell r="P83">
            <v>0</v>
          </cell>
          <cell r="Q83">
            <v>16</v>
          </cell>
          <cell r="R83">
            <v>93.75</v>
          </cell>
          <cell r="S83">
            <v>1500</v>
          </cell>
          <cell r="T83">
            <v>0</v>
          </cell>
          <cell r="U83">
            <v>7.5</v>
          </cell>
          <cell r="V83">
            <v>0</v>
          </cell>
          <cell r="W83">
            <v>0</v>
          </cell>
          <cell r="X83">
            <v>9.375</v>
          </cell>
          <cell r="Y83">
            <v>0</v>
          </cell>
          <cell r="Z83">
            <v>0</v>
          </cell>
          <cell r="AA83">
            <v>97.5</v>
          </cell>
          <cell r="AB83">
            <v>0</v>
          </cell>
          <cell r="AD83">
            <v>126.75</v>
          </cell>
          <cell r="AE83">
            <v>0</v>
          </cell>
          <cell r="AF83">
            <v>0</v>
          </cell>
          <cell r="AG83">
            <v>9.75</v>
          </cell>
          <cell r="AH83">
            <v>0</v>
          </cell>
          <cell r="AJ83">
            <v>112.5</v>
          </cell>
          <cell r="AK83">
            <v>0</v>
          </cell>
          <cell r="AM83">
            <v>146.25</v>
          </cell>
          <cell r="AN83">
            <v>0</v>
          </cell>
          <cell r="AP83">
            <v>11.25</v>
          </cell>
          <cell r="AQ83">
            <v>0</v>
          </cell>
          <cell r="AR83">
            <v>0</v>
          </cell>
          <cell r="AS83">
            <v>97.5</v>
          </cell>
          <cell r="AT83">
            <v>0</v>
          </cell>
          <cell r="AX83">
            <v>0</v>
          </cell>
          <cell r="AY83">
            <v>9.75</v>
          </cell>
          <cell r="AZ83">
            <v>0</v>
          </cell>
          <cell r="BA83">
            <v>0</v>
          </cell>
          <cell r="BB83">
            <v>150</v>
          </cell>
          <cell r="BC83">
            <v>0</v>
          </cell>
          <cell r="BJ83">
            <v>0</v>
          </cell>
          <cell r="BK83">
            <v>75</v>
          </cell>
          <cell r="BL83">
            <v>0</v>
          </cell>
          <cell r="CG83">
            <v>8700</v>
          </cell>
        </row>
        <row r="84">
          <cell r="C84">
            <v>32458</v>
          </cell>
          <cell r="D84" t="str">
            <v>GD260704</v>
          </cell>
          <cell r="E84" t="str">
            <v>Punzalan, Angelica Mae</v>
          </cell>
          <cell r="F84" t="str">
            <v>METAL STAMPING</v>
          </cell>
          <cell r="G84" t="str">
            <v>PRODUCTION</v>
          </cell>
          <cell r="H84" t="str">
            <v>Operator 1</v>
          </cell>
          <cell r="I84" t="str">
            <v>DL</v>
          </cell>
          <cell r="J84">
            <v>104</v>
          </cell>
          <cell r="K84">
            <v>13</v>
          </cell>
          <cell r="L84">
            <v>600</v>
          </cell>
          <cell r="M84">
            <v>7800</v>
          </cell>
          <cell r="N84">
            <v>0</v>
          </cell>
          <cell r="O84">
            <v>1.25</v>
          </cell>
          <cell r="P84">
            <v>0</v>
          </cell>
          <cell r="Q84">
            <v>20</v>
          </cell>
          <cell r="R84">
            <v>93.75</v>
          </cell>
          <cell r="S84">
            <v>1875</v>
          </cell>
          <cell r="T84">
            <v>0</v>
          </cell>
          <cell r="U84">
            <v>7.5</v>
          </cell>
          <cell r="V84">
            <v>0</v>
          </cell>
          <cell r="W84">
            <v>0</v>
          </cell>
          <cell r="X84">
            <v>9.375</v>
          </cell>
          <cell r="Y84">
            <v>0</v>
          </cell>
          <cell r="Z84">
            <v>16</v>
          </cell>
          <cell r="AA84">
            <v>97.5</v>
          </cell>
          <cell r="AB84">
            <v>1560</v>
          </cell>
          <cell r="AD84">
            <v>126.75</v>
          </cell>
          <cell r="AE84">
            <v>0</v>
          </cell>
          <cell r="AF84">
            <v>0</v>
          </cell>
          <cell r="AG84">
            <v>9.75</v>
          </cell>
          <cell r="AH84">
            <v>0</v>
          </cell>
          <cell r="AJ84">
            <v>112.5</v>
          </cell>
          <cell r="AK84">
            <v>0</v>
          </cell>
          <cell r="AM84">
            <v>146.25</v>
          </cell>
          <cell r="AN84">
            <v>0</v>
          </cell>
          <cell r="AP84">
            <v>11.25</v>
          </cell>
          <cell r="AQ84">
            <v>0</v>
          </cell>
          <cell r="AR84">
            <v>0</v>
          </cell>
          <cell r="AS84">
            <v>97.5</v>
          </cell>
          <cell r="AT84">
            <v>0</v>
          </cell>
          <cell r="AX84">
            <v>0</v>
          </cell>
          <cell r="AY84">
            <v>9.75</v>
          </cell>
          <cell r="AZ84">
            <v>0</v>
          </cell>
          <cell r="BA84">
            <v>0</v>
          </cell>
          <cell r="BB84">
            <v>150</v>
          </cell>
          <cell r="BC84">
            <v>0</v>
          </cell>
          <cell r="BJ84">
            <v>0</v>
          </cell>
          <cell r="BK84">
            <v>75</v>
          </cell>
          <cell r="BL84">
            <v>0</v>
          </cell>
          <cell r="CG84">
            <v>11235</v>
          </cell>
        </row>
        <row r="85">
          <cell r="C85">
            <v>7244</v>
          </cell>
          <cell r="D85" t="str">
            <v>GD250110</v>
          </cell>
          <cell r="E85" t="str">
            <v>Raali, Analin Awan</v>
          </cell>
          <cell r="F85" t="str">
            <v>METAL STAMPING</v>
          </cell>
          <cell r="G85" t="str">
            <v>PRODUCTION</v>
          </cell>
          <cell r="H85" t="str">
            <v>Operator 1</v>
          </cell>
          <cell r="I85" t="str">
            <v>DL</v>
          </cell>
          <cell r="J85">
            <v>104</v>
          </cell>
          <cell r="K85">
            <v>13</v>
          </cell>
          <cell r="L85">
            <v>600</v>
          </cell>
          <cell r="M85">
            <v>7800</v>
          </cell>
          <cell r="N85">
            <v>0</v>
          </cell>
          <cell r="O85">
            <v>1.25</v>
          </cell>
          <cell r="P85">
            <v>0</v>
          </cell>
          <cell r="Q85">
            <v>18</v>
          </cell>
          <cell r="R85">
            <v>93.75</v>
          </cell>
          <cell r="S85">
            <v>1687.5</v>
          </cell>
          <cell r="T85">
            <v>0</v>
          </cell>
          <cell r="U85">
            <v>7.5</v>
          </cell>
          <cell r="V85">
            <v>0</v>
          </cell>
          <cell r="W85">
            <v>0</v>
          </cell>
          <cell r="X85">
            <v>9.375</v>
          </cell>
          <cell r="Y85">
            <v>0</v>
          </cell>
          <cell r="Z85">
            <v>16</v>
          </cell>
          <cell r="AA85">
            <v>97.5</v>
          </cell>
          <cell r="AB85">
            <v>1560</v>
          </cell>
          <cell r="AD85">
            <v>126.75</v>
          </cell>
          <cell r="AE85">
            <v>0</v>
          </cell>
          <cell r="AF85">
            <v>0</v>
          </cell>
          <cell r="AG85">
            <v>9.75</v>
          </cell>
          <cell r="AH85">
            <v>0</v>
          </cell>
          <cell r="AJ85">
            <v>112.5</v>
          </cell>
          <cell r="AK85">
            <v>0</v>
          </cell>
          <cell r="AM85">
            <v>146.25</v>
          </cell>
          <cell r="AN85">
            <v>0</v>
          </cell>
          <cell r="AP85">
            <v>11.25</v>
          </cell>
          <cell r="AQ85">
            <v>0</v>
          </cell>
          <cell r="AR85">
            <v>0</v>
          </cell>
          <cell r="AS85">
            <v>97.5</v>
          </cell>
          <cell r="AT85">
            <v>0</v>
          </cell>
          <cell r="AX85">
            <v>0</v>
          </cell>
          <cell r="AY85">
            <v>9.75</v>
          </cell>
          <cell r="AZ85">
            <v>0</v>
          </cell>
          <cell r="BA85">
            <v>0</v>
          </cell>
          <cell r="BB85">
            <v>150</v>
          </cell>
          <cell r="BC85">
            <v>0</v>
          </cell>
          <cell r="BJ85">
            <v>0</v>
          </cell>
          <cell r="BK85">
            <v>75</v>
          </cell>
          <cell r="BL85">
            <v>0</v>
          </cell>
          <cell r="CG85">
            <v>11047.5</v>
          </cell>
        </row>
        <row r="86">
          <cell r="C86">
            <v>12110</v>
          </cell>
          <cell r="D86" t="str">
            <v>GD250143</v>
          </cell>
          <cell r="E86" t="str">
            <v>Rabaja, Jocelyn Dulay</v>
          </cell>
          <cell r="F86" t="str">
            <v>METAL STAMPING</v>
          </cell>
          <cell r="G86" t="str">
            <v>PRODUCTION</v>
          </cell>
          <cell r="H86" t="str">
            <v>Operator 1</v>
          </cell>
          <cell r="I86" t="str">
            <v>DL</v>
          </cell>
          <cell r="J86">
            <v>104</v>
          </cell>
          <cell r="K86">
            <v>13</v>
          </cell>
          <cell r="L86">
            <v>600</v>
          </cell>
          <cell r="M86">
            <v>7800</v>
          </cell>
          <cell r="N86">
            <v>0</v>
          </cell>
          <cell r="O86">
            <v>1.25</v>
          </cell>
          <cell r="P86">
            <v>0</v>
          </cell>
          <cell r="Q86">
            <v>20</v>
          </cell>
          <cell r="R86">
            <v>93.75</v>
          </cell>
          <cell r="S86">
            <v>1875</v>
          </cell>
          <cell r="T86">
            <v>0</v>
          </cell>
          <cell r="U86">
            <v>7.5</v>
          </cell>
          <cell r="V86">
            <v>0</v>
          </cell>
          <cell r="W86">
            <v>0</v>
          </cell>
          <cell r="X86">
            <v>9.375</v>
          </cell>
          <cell r="Y86">
            <v>0</v>
          </cell>
          <cell r="Z86">
            <v>16</v>
          </cell>
          <cell r="AA86">
            <v>97.5</v>
          </cell>
          <cell r="AB86">
            <v>1560</v>
          </cell>
          <cell r="AD86">
            <v>126.75</v>
          </cell>
          <cell r="AE86">
            <v>0</v>
          </cell>
          <cell r="AF86">
            <v>0</v>
          </cell>
          <cell r="AG86">
            <v>9.75</v>
          </cell>
          <cell r="AH86">
            <v>0</v>
          </cell>
          <cell r="AJ86">
            <v>112.5</v>
          </cell>
          <cell r="AK86">
            <v>0</v>
          </cell>
          <cell r="AM86">
            <v>146.25</v>
          </cell>
          <cell r="AN86">
            <v>0</v>
          </cell>
          <cell r="AP86">
            <v>11.25</v>
          </cell>
          <cell r="AQ86">
            <v>0</v>
          </cell>
          <cell r="AR86">
            <v>0</v>
          </cell>
          <cell r="AS86">
            <v>97.5</v>
          </cell>
          <cell r="AT86">
            <v>0</v>
          </cell>
          <cell r="AX86">
            <v>0</v>
          </cell>
          <cell r="AY86">
            <v>9.75</v>
          </cell>
          <cell r="AZ86">
            <v>0</v>
          </cell>
          <cell r="BA86">
            <v>0</v>
          </cell>
          <cell r="BB86">
            <v>150</v>
          </cell>
          <cell r="BC86">
            <v>0</v>
          </cell>
          <cell r="BJ86">
            <v>0</v>
          </cell>
          <cell r="BK86">
            <v>75</v>
          </cell>
          <cell r="BL86">
            <v>0</v>
          </cell>
          <cell r="CG86">
            <v>11235</v>
          </cell>
        </row>
        <row r="87">
          <cell r="C87">
            <v>14370</v>
          </cell>
          <cell r="D87" t="str">
            <v>GD250460</v>
          </cell>
          <cell r="E87" t="str">
            <v>Ramos, Jairo Fabellar</v>
          </cell>
          <cell r="F87" t="str">
            <v>METAL STAMPING</v>
          </cell>
          <cell r="G87" t="str">
            <v>PRODUCTION</v>
          </cell>
          <cell r="H87" t="str">
            <v>Operator 1</v>
          </cell>
          <cell r="I87" t="str">
            <v>DL</v>
          </cell>
          <cell r="J87">
            <v>104</v>
          </cell>
          <cell r="K87">
            <v>13</v>
          </cell>
          <cell r="L87">
            <v>600</v>
          </cell>
          <cell r="M87">
            <v>7800</v>
          </cell>
          <cell r="N87">
            <v>0</v>
          </cell>
          <cell r="O87">
            <v>1.25</v>
          </cell>
          <cell r="P87">
            <v>0</v>
          </cell>
          <cell r="Q87">
            <v>20</v>
          </cell>
          <cell r="R87">
            <v>93.75</v>
          </cell>
          <cell r="S87">
            <v>1875</v>
          </cell>
          <cell r="T87">
            <v>0</v>
          </cell>
          <cell r="U87">
            <v>7.5</v>
          </cell>
          <cell r="V87">
            <v>0</v>
          </cell>
          <cell r="W87">
            <v>0</v>
          </cell>
          <cell r="X87">
            <v>9.375</v>
          </cell>
          <cell r="Y87">
            <v>0</v>
          </cell>
          <cell r="Z87">
            <v>16</v>
          </cell>
          <cell r="AA87">
            <v>97.5</v>
          </cell>
          <cell r="AB87">
            <v>1560</v>
          </cell>
          <cell r="AD87">
            <v>126.75</v>
          </cell>
          <cell r="AE87">
            <v>0</v>
          </cell>
          <cell r="AF87">
            <v>0</v>
          </cell>
          <cell r="AG87">
            <v>9.75</v>
          </cell>
          <cell r="AH87">
            <v>0</v>
          </cell>
          <cell r="AJ87">
            <v>112.5</v>
          </cell>
          <cell r="AK87">
            <v>0</v>
          </cell>
          <cell r="AM87">
            <v>146.25</v>
          </cell>
          <cell r="AN87">
            <v>0</v>
          </cell>
          <cell r="AP87">
            <v>11.25</v>
          </cell>
          <cell r="AQ87">
            <v>0</v>
          </cell>
          <cell r="AR87">
            <v>0</v>
          </cell>
          <cell r="AS87">
            <v>97.5</v>
          </cell>
          <cell r="AT87">
            <v>0</v>
          </cell>
          <cell r="AX87">
            <v>0</v>
          </cell>
          <cell r="AY87">
            <v>9.75</v>
          </cell>
          <cell r="AZ87">
            <v>0</v>
          </cell>
          <cell r="BA87">
            <v>0</v>
          </cell>
          <cell r="BB87">
            <v>150</v>
          </cell>
          <cell r="BC87">
            <v>0</v>
          </cell>
          <cell r="BJ87">
            <v>0</v>
          </cell>
          <cell r="BK87">
            <v>75</v>
          </cell>
          <cell r="BL87">
            <v>0</v>
          </cell>
          <cell r="CG87">
            <v>11235</v>
          </cell>
        </row>
        <row r="88">
          <cell r="C88">
            <v>10876</v>
          </cell>
          <cell r="D88" t="str">
            <v>GD250691</v>
          </cell>
          <cell r="E88" t="str">
            <v>Ramos, Marie Rachielle Dumo</v>
          </cell>
          <cell r="F88" t="str">
            <v>METAL STAMPING</v>
          </cell>
          <cell r="G88" t="str">
            <v>PRODUCTION</v>
          </cell>
          <cell r="H88" t="str">
            <v>Operator 1</v>
          </cell>
          <cell r="I88" t="str">
            <v>DL</v>
          </cell>
          <cell r="J88">
            <v>104</v>
          </cell>
          <cell r="K88">
            <v>13</v>
          </cell>
          <cell r="L88">
            <v>600</v>
          </cell>
          <cell r="M88">
            <v>7800</v>
          </cell>
          <cell r="N88">
            <v>0</v>
          </cell>
          <cell r="O88">
            <v>1.25</v>
          </cell>
          <cell r="P88">
            <v>0</v>
          </cell>
          <cell r="Q88">
            <v>16</v>
          </cell>
          <cell r="R88">
            <v>93.75</v>
          </cell>
          <cell r="S88">
            <v>1500</v>
          </cell>
          <cell r="T88">
            <v>66</v>
          </cell>
          <cell r="U88">
            <v>7.5</v>
          </cell>
          <cell r="V88">
            <v>495</v>
          </cell>
          <cell r="W88">
            <v>14</v>
          </cell>
          <cell r="X88">
            <v>9.375</v>
          </cell>
          <cell r="Y88">
            <v>131.25</v>
          </cell>
          <cell r="Z88">
            <v>0</v>
          </cell>
          <cell r="AA88">
            <v>97.5</v>
          </cell>
          <cell r="AB88">
            <v>0</v>
          </cell>
          <cell r="AD88">
            <v>126.75</v>
          </cell>
          <cell r="AE88">
            <v>0</v>
          </cell>
          <cell r="AF88">
            <v>0</v>
          </cell>
          <cell r="AG88">
            <v>9.75</v>
          </cell>
          <cell r="AH88">
            <v>0</v>
          </cell>
          <cell r="AJ88">
            <v>112.5</v>
          </cell>
          <cell r="AK88">
            <v>0</v>
          </cell>
          <cell r="AM88">
            <v>146.25</v>
          </cell>
          <cell r="AN88">
            <v>0</v>
          </cell>
          <cell r="AP88">
            <v>11.25</v>
          </cell>
          <cell r="AQ88">
            <v>0</v>
          </cell>
          <cell r="AR88">
            <v>0</v>
          </cell>
          <cell r="AS88">
            <v>97.5</v>
          </cell>
          <cell r="AT88">
            <v>0</v>
          </cell>
          <cell r="AX88">
            <v>0</v>
          </cell>
          <cell r="AY88">
            <v>9.75</v>
          </cell>
          <cell r="AZ88">
            <v>0</v>
          </cell>
          <cell r="BA88">
            <v>0</v>
          </cell>
          <cell r="BB88">
            <v>150</v>
          </cell>
          <cell r="BC88">
            <v>0</v>
          </cell>
          <cell r="BJ88">
            <v>0</v>
          </cell>
          <cell r="BK88">
            <v>75</v>
          </cell>
          <cell r="BL88">
            <v>0</v>
          </cell>
          <cell r="CG88">
            <v>9926.25</v>
          </cell>
        </row>
        <row r="89">
          <cell r="C89">
            <v>14372</v>
          </cell>
          <cell r="D89" t="str">
            <v>GD250462</v>
          </cell>
          <cell r="E89" t="str">
            <v>Ravadavia, Jonalyn Paloyo</v>
          </cell>
          <cell r="F89" t="str">
            <v>METAL STAMPING</v>
          </cell>
          <cell r="G89" t="str">
            <v>PRODUCTION</v>
          </cell>
          <cell r="H89" t="str">
            <v>Operator 1</v>
          </cell>
          <cell r="I89" t="str">
            <v>DL</v>
          </cell>
          <cell r="J89">
            <v>104</v>
          </cell>
          <cell r="K89">
            <v>13</v>
          </cell>
          <cell r="L89">
            <v>600</v>
          </cell>
          <cell r="M89">
            <v>7800</v>
          </cell>
          <cell r="N89">
            <v>0</v>
          </cell>
          <cell r="O89">
            <v>1.25</v>
          </cell>
          <cell r="P89">
            <v>0</v>
          </cell>
          <cell r="Q89">
            <v>20</v>
          </cell>
          <cell r="R89">
            <v>93.75</v>
          </cell>
          <cell r="S89">
            <v>1875</v>
          </cell>
          <cell r="T89">
            <v>12</v>
          </cell>
          <cell r="U89">
            <v>7.5</v>
          </cell>
          <cell r="V89">
            <v>90</v>
          </cell>
          <cell r="W89">
            <v>2</v>
          </cell>
          <cell r="X89">
            <v>9.375</v>
          </cell>
          <cell r="Y89">
            <v>18.75</v>
          </cell>
          <cell r="Z89">
            <v>0</v>
          </cell>
          <cell r="AA89">
            <v>97.5</v>
          </cell>
          <cell r="AB89">
            <v>0</v>
          </cell>
          <cell r="AD89">
            <v>126.75</v>
          </cell>
          <cell r="AE89">
            <v>0</v>
          </cell>
          <cell r="AF89">
            <v>0</v>
          </cell>
          <cell r="AG89">
            <v>9.75</v>
          </cell>
          <cell r="AH89">
            <v>0</v>
          </cell>
          <cell r="AJ89">
            <v>112.5</v>
          </cell>
          <cell r="AK89">
            <v>0</v>
          </cell>
          <cell r="AM89">
            <v>146.25</v>
          </cell>
          <cell r="AN89">
            <v>0</v>
          </cell>
          <cell r="AP89">
            <v>11.25</v>
          </cell>
          <cell r="AQ89">
            <v>0</v>
          </cell>
          <cell r="AR89">
            <v>0</v>
          </cell>
          <cell r="AS89">
            <v>97.5</v>
          </cell>
          <cell r="AT89">
            <v>0</v>
          </cell>
          <cell r="AX89">
            <v>0</v>
          </cell>
          <cell r="AY89">
            <v>9.75</v>
          </cell>
          <cell r="AZ89">
            <v>0</v>
          </cell>
          <cell r="BA89">
            <v>0</v>
          </cell>
          <cell r="BB89">
            <v>150</v>
          </cell>
          <cell r="BC89">
            <v>0</v>
          </cell>
          <cell r="BJ89">
            <v>0</v>
          </cell>
          <cell r="BK89">
            <v>75</v>
          </cell>
          <cell r="BL89">
            <v>0</v>
          </cell>
          <cell r="CG89">
            <v>9783.75</v>
          </cell>
        </row>
        <row r="90">
          <cell r="C90">
            <v>3866</v>
          </cell>
          <cell r="D90" t="str">
            <v>GD250014</v>
          </cell>
          <cell r="E90" t="str">
            <v>Rementilla, Janice Lunar</v>
          </cell>
          <cell r="F90" t="str">
            <v>METAL STAMPING</v>
          </cell>
          <cell r="G90" t="str">
            <v>PRODUCTION</v>
          </cell>
          <cell r="H90" t="str">
            <v>Operator 1</v>
          </cell>
          <cell r="I90" t="str">
            <v>DL</v>
          </cell>
          <cell r="J90">
            <v>96</v>
          </cell>
          <cell r="K90">
            <v>12</v>
          </cell>
          <cell r="L90">
            <v>600</v>
          </cell>
          <cell r="M90">
            <v>7200</v>
          </cell>
          <cell r="N90">
            <v>0</v>
          </cell>
          <cell r="O90">
            <v>1.25</v>
          </cell>
          <cell r="P90">
            <v>0</v>
          </cell>
          <cell r="Q90">
            <v>16</v>
          </cell>
          <cell r="R90">
            <v>93.75</v>
          </cell>
          <cell r="S90">
            <v>1500</v>
          </cell>
          <cell r="T90">
            <v>12</v>
          </cell>
          <cell r="U90">
            <v>7.5</v>
          </cell>
          <cell r="V90">
            <v>90</v>
          </cell>
          <cell r="W90">
            <v>2</v>
          </cell>
          <cell r="X90">
            <v>9.375</v>
          </cell>
          <cell r="Y90">
            <v>18.75</v>
          </cell>
          <cell r="Z90">
            <v>0</v>
          </cell>
          <cell r="AA90">
            <v>97.5</v>
          </cell>
          <cell r="AB90">
            <v>0</v>
          </cell>
          <cell r="AD90">
            <v>126.75</v>
          </cell>
          <cell r="AE90">
            <v>0</v>
          </cell>
          <cell r="AF90">
            <v>0</v>
          </cell>
          <cell r="AG90">
            <v>9.75</v>
          </cell>
          <cell r="AH90">
            <v>0</v>
          </cell>
          <cell r="AJ90">
            <v>112.5</v>
          </cell>
          <cell r="AK90">
            <v>0</v>
          </cell>
          <cell r="AM90">
            <v>146.25</v>
          </cell>
          <cell r="AN90">
            <v>0</v>
          </cell>
          <cell r="AP90">
            <v>11.25</v>
          </cell>
          <cell r="AQ90">
            <v>0</v>
          </cell>
          <cell r="AR90">
            <v>0</v>
          </cell>
          <cell r="AS90">
            <v>97.5</v>
          </cell>
          <cell r="AT90">
            <v>0</v>
          </cell>
          <cell r="AX90">
            <v>0</v>
          </cell>
          <cell r="AY90">
            <v>9.75</v>
          </cell>
          <cell r="AZ90">
            <v>0</v>
          </cell>
          <cell r="BA90">
            <v>0</v>
          </cell>
          <cell r="BB90">
            <v>150</v>
          </cell>
          <cell r="BC90">
            <v>0</v>
          </cell>
          <cell r="BJ90">
            <v>0</v>
          </cell>
          <cell r="BK90">
            <v>75</v>
          </cell>
          <cell r="BL90">
            <v>0</v>
          </cell>
          <cell r="CG90">
            <v>8808.75</v>
          </cell>
        </row>
        <row r="91">
          <cell r="C91">
            <v>13312</v>
          </cell>
          <cell r="D91" t="str">
            <v>GD250216</v>
          </cell>
          <cell r="E91" t="str">
            <v>Rivero, Ronald Sta. Ana</v>
          </cell>
          <cell r="F91" t="str">
            <v>METAL STAMPING</v>
          </cell>
          <cell r="G91" t="str">
            <v>PRODUCTION</v>
          </cell>
          <cell r="H91" t="str">
            <v>Operator 1</v>
          </cell>
          <cell r="I91" t="str">
            <v>DL</v>
          </cell>
          <cell r="J91">
            <v>88</v>
          </cell>
          <cell r="K91">
            <v>11</v>
          </cell>
          <cell r="L91">
            <v>600</v>
          </cell>
          <cell r="M91">
            <v>6600</v>
          </cell>
          <cell r="N91">
            <v>1</v>
          </cell>
          <cell r="O91">
            <v>1.25</v>
          </cell>
          <cell r="P91">
            <v>-1.25</v>
          </cell>
          <cell r="Q91">
            <v>5.5</v>
          </cell>
          <cell r="R91">
            <v>93.75</v>
          </cell>
          <cell r="S91">
            <v>515.625</v>
          </cell>
          <cell r="T91">
            <v>53.5</v>
          </cell>
          <cell r="U91">
            <v>7.5</v>
          </cell>
          <cell r="V91">
            <v>401.25</v>
          </cell>
          <cell r="W91">
            <v>5.5</v>
          </cell>
          <cell r="X91">
            <v>9.375</v>
          </cell>
          <cell r="Y91">
            <v>51.5625</v>
          </cell>
          <cell r="Z91">
            <v>0</v>
          </cell>
          <cell r="AA91">
            <v>97.5</v>
          </cell>
          <cell r="AB91">
            <v>0</v>
          </cell>
          <cell r="AD91">
            <v>126.75</v>
          </cell>
          <cell r="AE91">
            <v>0</v>
          </cell>
          <cell r="AF91">
            <v>0</v>
          </cell>
          <cell r="AG91">
            <v>9.75</v>
          </cell>
          <cell r="AH91">
            <v>0</v>
          </cell>
          <cell r="AJ91">
            <v>112.5</v>
          </cell>
          <cell r="AK91">
            <v>0</v>
          </cell>
          <cell r="AM91">
            <v>146.25</v>
          </cell>
          <cell r="AN91">
            <v>0</v>
          </cell>
          <cell r="AP91">
            <v>11.25</v>
          </cell>
          <cell r="AQ91">
            <v>0</v>
          </cell>
          <cell r="AR91">
            <v>0</v>
          </cell>
          <cell r="AS91">
            <v>97.5</v>
          </cell>
          <cell r="AT91">
            <v>0</v>
          </cell>
          <cell r="AX91">
            <v>0</v>
          </cell>
          <cell r="AY91">
            <v>9.75</v>
          </cell>
          <cell r="AZ91">
            <v>0</v>
          </cell>
          <cell r="BA91">
            <v>0</v>
          </cell>
          <cell r="BB91">
            <v>150</v>
          </cell>
          <cell r="BC91">
            <v>0</v>
          </cell>
          <cell r="BJ91">
            <v>0</v>
          </cell>
          <cell r="BK91">
            <v>75</v>
          </cell>
          <cell r="BL91">
            <v>0</v>
          </cell>
          <cell r="CG91">
            <v>7567.1875</v>
          </cell>
        </row>
        <row r="92">
          <cell r="C92">
            <v>14555</v>
          </cell>
          <cell r="D92" t="str">
            <v>GD250270</v>
          </cell>
          <cell r="E92" t="str">
            <v>Salumbides, Luigi Lazo</v>
          </cell>
          <cell r="F92" t="str">
            <v>METAL STAMPING</v>
          </cell>
          <cell r="G92" t="str">
            <v>PRODUCTION</v>
          </cell>
          <cell r="H92" t="str">
            <v>Operator 1</v>
          </cell>
          <cell r="I92" t="str">
            <v>DL</v>
          </cell>
          <cell r="J92">
            <v>104</v>
          </cell>
          <cell r="K92">
            <v>13</v>
          </cell>
          <cell r="L92">
            <v>600</v>
          </cell>
          <cell r="M92">
            <v>7800</v>
          </cell>
          <cell r="N92">
            <v>0</v>
          </cell>
          <cell r="O92">
            <v>1.25</v>
          </cell>
          <cell r="P92">
            <v>0</v>
          </cell>
          <cell r="Q92">
            <v>18</v>
          </cell>
          <cell r="R92">
            <v>93.75</v>
          </cell>
          <cell r="S92">
            <v>1687.5</v>
          </cell>
          <cell r="T92">
            <v>12</v>
          </cell>
          <cell r="U92">
            <v>7.5</v>
          </cell>
          <cell r="V92">
            <v>90</v>
          </cell>
          <cell r="W92">
            <v>2</v>
          </cell>
          <cell r="X92">
            <v>9.375</v>
          </cell>
          <cell r="Y92">
            <v>18.75</v>
          </cell>
          <cell r="Z92">
            <v>0</v>
          </cell>
          <cell r="AA92">
            <v>97.5</v>
          </cell>
          <cell r="AB92">
            <v>0</v>
          </cell>
          <cell r="AD92">
            <v>126.75</v>
          </cell>
          <cell r="AE92">
            <v>0</v>
          </cell>
          <cell r="AF92">
            <v>0</v>
          </cell>
          <cell r="AG92">
            <v>9.75</v>
          </cell>
          <cell r="AH92">
            <v>0</v>
          </cell>
          <cell r="AJ92">
            <v>112.5</v>
          </cell>
          <cell r="AK92">
            <v>0</v>
          </cell>
          <cell r="AM92">
            <v>146.25</v>
          </cell>
          <cell r="AN92">
            <v>0</v>
          </cell>
          <cell r="AP92">
            <v>11.25</v>
          </cell>
          <cell r="AQ92">
            <v>0</v>
          </cell>
          <cell r="AR92">
            <v>0</v>
          </cell>
          <cell r="AS92">
            <v>97.5</v>
          </cell>
          <cell r="AT92">
            <v>0</v>
          </cell>
          <cell r="AX92">
            <v>0</v>
          </cell>
          <cell r="AY92">
            <v>9.75</v>
          </cell>
          <cell r="AZ92">
            <v>0</v>
          </cell>
          <cell r="BA92">
            <v>0</v>
          </cell>
          <cell r="BB92">
            <v>150</v>
          </cell>
          <cell r="BC92">
            <v>0</v>
          </cell>
          <cell r="BJ92">
            <v>0</v>
          </cell>
          <cell r="BK92">
            <v>75</v>
          </cell>
          <cell r="BL92">
            <v>0</v>
          </cell>
          <cell r="CG92">
            <v>9596.25</v>
          </cell>
        </row>
        <row r="93">
          <cell r="C93">
            <v>14396</v>
          </cell>
          <cell r="D93" t="str">
            <v>GD250474</v>
          </cell>
          <cell r="E93" t="str">
            <v>Sapallo, Marjorie Ramirez</v>
          </cell>
          <cell r="F93" t="str">
            <v>METAL STAMPING</v>
          </cell>
          <cell r="G93" t="str">
            <v>PRODUCTION</v>
          </cell>
          <cell r="H93" t="str">
            <v>Operator 1</v>
          </cell>
          <cell r="I93" t="str">
            <v>DL</v>
          </cell>
          <cell r="J93">
            <v>104</v>
          </cell>
          <cell r="K93">
            <v>13</v>
          </cell>
          <cell r="L93">
            <v>600</v>
          </cell>
          <cell r="M93">
            <v>7800</v>
          </cell>
          <cell r="N93">
            <v>0</v>
          </cell>
          <cell r="O93">
            <v>1.25</v>
          </cell>
          <cell r="P93">
            <v>0</v>
          </cell>
          <cell r="Q93">
            <v>18</v>
          </cell>
          <cell r="R93">
            <v>93.75</v>
          </cell>
          <cell r="S93">
            <v>1687.5</v>
          </cell>
          <cell r="T93">
            <v>0</v>
          </cell>
          <cell r="U93">
            <v>7.5</v>
          </cell>
          <cell r="V93">
            <v>0</v>
          </cell>
          <cell r="W93">
            <v>0</v>
          </cell>
          <cell r="X93">
            <v>9.375</v>
          </cell>
          <cell r="Y93">
            <v>0</v>
          </cell>
          <cell r="Z93">
            <v>16</v>
          </cell>
          <cell r="AA93">
            <v>97.5</v>
          </cell>
          <cell r="AB93">
            <v>1560</v>
          </cell>
          <cell r="AD93">
            <v>126.75</v>
          </cell>
          <cell r="AE93">
            <v>0</v>
          </cell>
          <cell r="AF93">
            <v>0</v>
          </cell>
          <cell r="AG93">
            <v>9.75</v>
          </cell>
          <cell r="AH93">
            <v>0</v>
          </cell>
          <cell r="AJ93">
            <v>112.5</v>
          </cell>
          <cell r="AK93">
            <v>0</v>
          </cell>
          <cell r="AM93">
            <v>146.25</v>
          </cell>
          <cell r="AN93">
            <v>0</v>
          </cell>
          <cell r="AP93">
            <v>11.25</v>
          </cell>
          <cell r="AQ93">
            <v>0</v>
          </cell>
          <cell r="AR93">
            <v>0</v>
          </cell>
          <cell r="AS93">
            <v>97.5</v>
          </cell>
          <cell r="AT93">
            <v>0</v>
          </cell>
          <cell r="AX93">
            <v>0</v>
          </cell>
          <cell r="AY93">
            <v>9.75</v>
          </cell>
          <cell r="AZ93">
            <v>0</v>
          </cell>
          <cell r="BA93">
            <v>0</v>
          </cell>
          <cell r="BB93">
            <v>150</v>
          </cell>
          <cell r="BC93">
            <v>0</v>
          </cell>
          <cell r="BJ93">
            <v>0</v>
          </cell>
          <cell r="BK93">
            <v>75</v>
          </cell>
          <cell r="BL93">
            <v>0</v>
          </cell>
          <cell r="CG93">
            <v>11047.5</v>
          </cell>
        </row>
        <row r="94">
          <cell r="C94">
            <v>8571</v>
          </cell>
          <cell r="D94" t="str">
            <v>GD250049</v>
          </cell>
          <cell r="E94" t="str">
            <v>Senosin, Sandylyn Cornelio</v>
          </cell>
          <cell r="F94" t="str">
            <v>METAL STAMPING</v>
          </cell>
          <cell r="G94" t="str">
            <v>PRODUCTION</v>
          </cell>
          <cell r="H94" t="str">
            <v>Operator 1</v>
          </cell>
          <cell r="I94" t="str">
            <v>DL</v>
          </cell>
          <cell r="J94">
            <v>96</v>
          </cell>
          <cell r="K94">
            <v>12</v>
          </cell>
          <cell r="L94">
            <v>600</v>
          </cell>
          <cell r="M94">
            <v>7200</v>
          </cell>
          <cell r="N94">
            <v>0</v>
          </cell>
          <cell r="O94">
            <v>1.25</v>
          </cell>
          <cell r="P94">
            <v>0</v>
          </cell>
          <cell r="Q94">
            <v>14</v>
          </cell>
          <cell r="R94">
            <v>93.75</v>
          </cell>
          <cell r="S94">
            <v>1312.5</v>
          </cell>
          <cell r="T94">
            <v>12</v>
          </cell>
          <cell r="U94">
            <v>7.5</v>
          </cell>
          <cell r="V94">
            <v>90</v>
          </cell>
          <cell r="W94">
            <v>2</v>
          </cell>
          <cell r="X94">
            <v>9.375</v>
          </cell>
          <cell r="Y94">
            <v>18.75</v>
          </cell>
          <cell r="Z94">
            <v>8</v>
          </cell>
          <cell r="AA94">
            <v>97.5</v>
          </cell>
          <cell r="AB94">
            <v>780</v>
          </cell>
          <cell r="AD94">
            <v>126.75</v>
          </cell>
          <cell r="AE94">
            <v>0</v>
          </cell>
          <cell r="AF94">
            <v>0</v>
          </cell>
          <cell r="AG94">
            <v>9.75</v>
          </cell>
          <cell r="AH94">
            <v>0</v>
          </cell>
          <cell r="AJ94">
            <v>112.5</v>
          </cell>
          <cell r="AK94">
            <v>0</v>
          </cell>
          <cell r="AM94">
            <v>146.25</v>
          </cell>
          <cell r="AN94">
            <v>0</v>
          </cell>
          <cell r="AP94">
            <v>11.25</v>
          </cell>
          <cell r="AQ94">
            <v>0</v>
          </cell>
          <cell r="AR94">
            <v>0</v>
          </cell>
          <cell r="AS94">
            <v>97.5</v>
          </cell>
          <cell r="AT94">
            <v>0</v>
          </cell>
          <cell r="AX94">
            <v>0</v>
          </cell>
          <cell r="AY94">
            <v>9.75</v>
          </cell>
          <cell r="AZ94">
            <v>0</v>
          </cell>
          <cell r="BA94">
            <v>0</v>
          </cell>
          <cell r="BB94">
            <v>150</v>
          </cell>
          <cell r="BC94">
            <v>0</v>
          </cell>
          <cell r="BJ94">
            <v>0</v>
          </cell>
          <cell r="BK94">
            <v>75</v>
          </cell>
          <cell r="BL94">
            <v>0</v>
          </cell>
          <cell r="CG94">
            <v>9401.25</v>
          </cell>
        </row>
        <row r="95">
          <cell r="C95">
            <v>12471</v>
          </cell>
          <cell r="D95" t="str">
            <v>GD250125</v>
          </cell>
          <cell r="E95" t="str">
            <v>Somera, Prix Janshien Namuro</v>
          </cell>
          <cell r="F95" t="str">
            <v>METAL STAMPING</v>
          </cell>
          <cell r="G95" t="str">
            <v>PRODUCTION</v>
          </cell>
          <cell r="H95" t="str">
            <v>Operator 1</v>
          </cell>
          <cell r="I95" t="str">
            <v>DL</v>
          </cell>
          <cell r="J95">
            <v>96</v>
          </cell>
          <cell r="K95">
            <v>12</v>
          </cell>
          <cell r="L95">
            <v>600</v>
          </cell>
          <cell r="M95">
            <v>7200</v>
          </cell>
          <cell r="N95">
            <v>0</v>
          </cell>
          <cell r="O95">
            <v>1.25</v>
          </cell>
          <cell r="P95">
            <v>0</v>
          </cell>
          <cell r="Q95">
            <v>6</v>
          </cell>
          <cell r="R95">
            <v>93.75</v>
          </cell>
          <cell r="S95">
            <v>562.5</v>
          </cell>
          <cell r="T95">
            <v>12</v>
          </cell>
          <cell r="U95">
            <v>7.5</v>
          </cell>
          <cell r="V95">
            <v>90</v>
          </cell>
          <cell r="W95">
            <v>2</v>
          </cell>
          <cell r="X95">
            <v>9.375</v>
          </cell>
          <cell r="Y95">
            <v>18.75</v>
          </cell>
          <cell r="Z95">
            <v>0</v>
          </cell>
          <cell r="AA95">
            <v>97.5</v>
          </cell>
          <cell r="AB95">
            <v>0</v>
          </cell>
          <cell r="AD95">
            <v>126.75</v>
          </cell>
          <cell r="AE95">
            <v>0</v>
          </cell>
          <cell r="AF95">
            <v>0</v>
          </cell>
          <cell r="AG95">
            <v>9.75</v>
          </cell>
          <cell r="AH95">
            <v>0</v>
          </cell>
          <cell r="AJ95">
            <v>112.5</v>
          </cell>
          <cell r="AK95">
            <v>0</v>
          </cell>
          <cell r="AM95">
            <v>146.25</v>
          </cell>
          <cell r="AN95">
            <v>0</v>
          </cell>
          <cell r="AP95">
            <v>11.25</v>
          </cell>
          <cell r="AQ95">
            <v>0</v>
          </cell>
          <cell r="AR95">
            <v>0</v>
          </cell>
          <cell r="AS95">
            <v>97.5</v>
          </cell>
          <cell r="AT95">
            <v>0</v>
          </cell>
          <cell r="AX95">
            <v>0</v>
          </cell>
          <cell r="AY95">
            <v>9.75</v>
          </cell>
          <cell r="AZ95">
            <v>0</v>
          </cell>
          <cell r="BA95">
            <v>0</v>
          </cell>
          <cell r="BB95">
            <v>150</v>
          </cell>
          <cell r="BC95">
            <v>0</v>
          </cell>
          <cell r="BJ95">
            <v>0</v>
          </cell>
          <cell r="BK95">
            <v>75</v>
          </cell>
          <cell r="BL95">
            <v>0</v>
          </cell>
          <cell r="CG95">
            <v>7871.25</v>
          </cell>
        </row>
        <row r="96">
          <cell r="C96">
            <v>13236</v>
          </cell>
          <cell r="D96" t="str">
            <v>GD250217</v>
          </cell>
          <cell r="E96" t="str">
            <v>Tabios, Angelite Balictar</v>
          </cell>
          <cell r="F96" t="str">
            <v>METAL STAMPING</v>
          </cell>
          <cell r="G96" t="str">
            <v>PRODUCTION</v>
          </cell>
          <cell r="H96" t="str">
            <v>Operator 1</v>
          </cell>
          <cell r="I96" t="str">
            <v>DL</v>
          </cell>
          <cell r="J96">
            <v>104</v>
          </cell>
          <cell r="K96">
            <v>13</v>
          </cell>
          <cell r="L96">
            <v>600</v>
          </cell>
          <cell r="M96">
            <v>7800</v>
          </cell>
          <cell r="N96">
            <v>0</v>
          </cell>
          <cell r="O96">
            <v>1.25</v>
          </cell>
          <cell r="P96">
            <v>0</v>
          </cell>
          <cell r="Q96">
            <v>22</v>
          </cell>
          <cell r="R96">
            <v>93.75</v>
          </cell>
          <cell r="S96">
            <v>2062.5</v>
          </cell>
          <cell r="T96">
            <v>12</v>
          </cell>
          <cell r="U96">
            <v>7.5</v>
          </cell>
          <cell r="V96">
            <v>90</v>
          </cell>
          <cell r="W96">
            <v>2</v>
          </cell>
          <cell r="X96">
            <v>9.375</v>
          </cell>
          <cell r="Y96">
            <v>18.75</v>
          </cell>
          <cell r="Z96">
            <v>8</v>
          </cell>
          <cell r="AA96">
            <v>97.5</v>
          </cell>
          <cell r="AB96">
            <v>780</v>
          </cell>
          <cell r="AD96">
            <v>126.75</v>
          </cell>
          <cell r="AE96">
            <v>0</v>
          </cell>
          <cell r="AF96">
            <v>0</v>
          </cell>
          <cell r="AG96">
            <v>9.75</v>
          </cell>
          <cell r="AH96">
            <v>0</v>
          </cell>
          <cell r="AJ96">
            <v>112.5</v>
          </cell>
          <cell r="AK96">
            <v>0</v>
          </cell>
          <cell r="AM96">
            <v>146.25</v>
          </cell>
          <cell r="AN96">
            <v>0</v>
          </cell>
          <cell r="AP96">
            <v>11.25</v>
          </cell>
          <cell r="AQ96">
            <v>0</v>
          </cell>
          <cell r="AR96">
            <v>0</v>
          </cell>
          <cell r="AS96">
            <v>97.5</v>
          </cell>
          <cell r="AT96">
            <v>0</v>
          </cell>
          <cell r="AX96">
            <v>0</v>
          </cell>
          <cell r="AY96">
            <v>9.75</v>
          </cell>
          <cell r="AZ96">
            <v>0</v>
          </cell>
          <cell r="BA96">
            <v>0</v>
          </cell>
          <cell r="BB96">
            <v>150</v>
          </cell>
          <cell r="BC96">
            <v>0</v>
          </cell>
          <cell r="BJ96">
            <v>0</v>
          </cell>
          <cell r="BK96">
            <v>75</v>
          </cell>
          <cell r="BL96">
            <v>0</v>
          </cell>
          <cell r="CG96">
            <v>10751.25</v>
          </cell>
        </row>
        <row r="97">
          <cell r="C97">
            <v>14753</v>
          </cell>
          <cell r="D97" t="str">
            <v>GD250198</v>
          </cell>
          <cell r="E97" t="str">
            <v>Timosa, Arliza N/A</v>
          </cell>
          <cell r="F97" t="str">
            <v>METAL STAMPING</v>
          </cell>
          <cell r="G97" t="str">
            <v>PRODUCTION</v>
          </cell>
          <cell r="H97" t="str">
            <v>Operator 1</v>
          </cell>
          <cell r="I97" t="str">
            <v>DL</v>
          </cell>
          <cell r="J97">
            <v>104</v>
          </cell>
          <cell r="K97">
            <v>13</v>
          </cell>
          <cell r="L97">
            <v>600</v>
          </cell>
          <cell r="M97">
            <v>7800</v>
          </cell>
          <cell r="N97">
            <v>0</v>
          </cell>
          <cell r="O97">
            <v>1.25</v>
          </cell>
          <cell r="P97">
            <v>0</v>
          </cell>
          <cell r="Q97">
            <v>14</v>
          </cell>
          <cell r="R97">
            <v>93.75</v>
          </cell>
          <cell r="S97">
            <v>1312.5</v>
          </cell>
          <cell r="T97">
            <v>12</v>
          </cell>
          <cell r="U97">
            <v>7.5</v>
          </cell>
          <cell r="V97">
            <v>90</v>
          </cell>
          <cell r="W97">
            <v>2</v>
          </cell>
          <cell r="X97">
            <v>9.375</v>
          </cell>
          <cell r="Y97">
            <v>18.75</v>
          </cell>
          <cell r="Z97">
            <v>0</v>
          </cell>
          <cell r="AA97">
            <v>97.5</v>
          </cell>
          <cell r="AB97">
            <v>0</v>
          </cell>
          <cell r="AD97">
            <v>126.75</v>
          </cell>
          <cell r="AE97">
            <v>0</v>
          </cell>
          <cell r="AF97">
            <v>0</v>
          </cell>
          <cell r="AG97">
            <v>9.75</v>
          </cell>
          <cell r="AH97">
            <v>0</v>
          </cell>
          <cell r="AJ97">
            <v>112.5</v>
          </cell>
          <cell r="AK97">
            <v>0</v>
          </cell>
          <cell r="AM97">
            <v>146.25</v>
          </cell>
          <cell r="AN97">
            <v>0</v>
          </cell>
          <cell r="AP97">
            <v>11.25</v>
          </cell>
          <cell r="AQ97">
            <v>0</v>
          </cell>
          <cell r="AR97">
            <v>0</v>
          </cell>
          <cell r="AS97">
            <v>97.5</v>
          </cell>
          <cell r="AT97">
            <v>0</v>
          </cell>
          <cell r="AX97">
            <v>0</v>
          </cell>
          <cell r="AY97">
            <v>9.75</v>
          </cell>
          <cell r="AZ97">
            <v>0</v>
          </cell>
          <cell r="BA97">
            <v>0</v>
          </cell>
          <cell r="BB97">
            <v>150</v>
          </cell>
          <cell r="BC97">
            <v>0</v>
          </cell>
          <cell r="BJ97">
            <v>0</v>
          </cell>
          <cell r="BK97">
            <v>75</v>
          </cell>
          <cell r="BL97">
            <v>0</v>
          </cell>
          <cell r="CG97">
            <v>9221.25</v>
          </cell>
        </row>
        <row r="98">
          <cell r="C98">
            <v>7502</v>
          </cell>
          <cell r="D98" t="str">
            <v>GD250489</v>
          </cell>
          <cell r="E98" t="str">
            <v>Ugaban, Dangie Nialla</v>
          </cell>
          <cell r="F98" t="str">
            <v>METAL STAMPING</v>
          </cell>
          <cell r="G98" t="str">
            <v>PRODUCTION</v>
          </cell>
          <cell r="H98" t="str">
            <v>Operator 1</v>
          </cell>
          <cell r="I98" t="str">
            <v>DL</v>
          </cell>
          <cell r="J98">
            <v>104</v>
          </cell>
          <cell r="K98">
            <v>13</v>
          </cell>
          <cell r="L98">
            <v>600</v>
          </cell>
          <cell r="M98">
            <v>7800</v>
          </cell>
          <cell r="N98">
            <v>0</v>
          </cell>
          <cell r="O98">
            <v>1.25</v>
          </cell>
          <cell r="P98">
            <v>0</v>
          </cell>
          <cell r="Q98">
            <v>20</v>
          </cell>
          <cell r="R98">
            <v>93.75</v>
          </cell>
          <cell r="S98">
            <v>1875</v>
          </cell>
          <cell r="T98">
            <v>12</v>
          </cell>
          <cell r="U98">
            <v>7.5</v>
          </cell>
          <cell r="V98">
            <v>90</v>
          </cell>
          <cell r="W98">
            <v>2</v>
          </cell>
          <cell r="X98">
            <v>9.375</v>
          </cell>
          <cell r="Y98">
            <v>18.75</v>
          </cell>
          <cell r="Z98">
            <v>0</v>
          </cell>
          <cell r="AA98">
            <v>97.5</v>
          </cell>
          <cell r="AB98">
            <v>0</v>
          </cell>
          <cell r="AD98">
            <v>126.75</v>
          </cell>
          <cell r="AE98">
            <v>0</v>
          </cell>
          <cell r="AF98">
            <v>0</v>
          </cell>
          <cell r="AG98">
            <v>9.75</v>
          </cell>
          <cell r="AH98">
            <v>0</v>
          </cell>
          <cell r="AJ98">
            <v>112.5</v>
          </cell>
          <cell r="AK98">
            <v>0</v>
          </cell>
          <cell r="AM98">
            <v>146.25</v>
          </cell>
          <cell r="AN98">
            <v>0</v>
          </cell>
          <cell r="AP98">
            <v>11.25</v>
          </cell>
          <cell r="AQ98">
            <v>0</v>
          </cell>
          <cell r="AR98">
            <v>0</v>
          </cell>
          <cell r="AS98">
            <v>97.5</v>
          </cell>
          <cell r="AT98">
            <v>0</v>
          </cell>
          <cell r="AX98">
            <v>0</v>
          </cell>
          <cell r="AY98">
            <v>9.75</v>
          </cell>
          <cell r="AZ98">
            <v>0</v>
          </cell>
          <cell r="BA98">
            <v>0</v>
          </cell>
          <cell r="BB98">
            <v>150</v>
          </cell>
          <cell r="BC98">
            <v>0</v>
          </cell>
          <cell r="BJ98">
            <v>0</v>
          </cell>
          <cell r="BK98">
            <v>75</v>
          </cell>
          <cell r="BL98">
            <v>0</v>
          </cell>
          <cell r="CG98">
            <v>9783.75</v>
          </cell>
        </row>
        <row r="99">
          <cell r="C99">
            <v>32240</v>
          </cell>
          <cell r="D99" t="str">
            <v>GD260739</v>
          </cell>
          <cell r="E99" t="str">
            <v>Untalan,Chris Joshua Semana</v>
          </cell>
          <cell r="F99" t="str">
            <v>METAL STAMPING</v>
          </cell>
          <cell r="G99" t="str">
            <v>PRODUCTION</v>
          </cell>
          <cell r="H99" t="str">
            <v>Operator 1</v>
          </cell>
          <cell r="I99" t="str">
            <v>DL</v>
          </cell>
          <cell r="J99">
            <v>88</v>
          </cell>
          <cell r="K99">
            <v>11</v>
          </cell>
          <cell r="L99">
            <v>600</v>
          </cell>
          <cell r="M99">
            <v>6600</v>
          </cell>
          <cell r="N99">
            <v>0</v>
          </cell>
          <cell r="O99">
            <v>1.25</v>
          </cell>
          <cell r="P99">
            <v>0</v>
          </cell>
          <cell r="Q99">
            <v>12</v>
          </cell>
          <cell r="R99">
            <v>93.75</v>
          </cell>
          <cell r="S99">
            <v>1125</v>
          </cell>
          <cell r="T99">
            <v>0</v>
          </cell>
          <cell r="U99">
            <v>7.5</v>
          </cell>
          <cell r="V99">
            <v>0</v>
          </cell>
          <cell r="W99">
            <v>0</v>
          </cell>
          <cell r="X99">
            <v>9.375</v>
          </cell>
          <cell r="Y99">
            <v>0</v>
          </cell>
          <cell r="Z99">
            <v>0</v>
          </cell>
          <cell r="AA99">
            <v>97.5</v>
          </cell>
          <cell r="AB99">
            <v>0</v>
          </cell>
          <cell r="AD99">
            <v>126.75</v>
          </cell>
          <cell r="AE99">
            <v>0</v>
          </cell>
          <cell r="AF99">
            <v>0</v>
          </cell>
          <cell r="AG99">
            <v>9.75</v>
          </cell>
          <cell r="AH99">
            <v>0</v>
          </cell>
          <cell r="AJ99">
            <v>112.5</v>
          </cell>
          <cell r="AK99">
            <v>0</v>
          </cell>
          <cell r="AM99">
            <v>146.25</v>
          </cell>
          <cell r="AN99">
            <v>0</v>
          </cell>
          <cell r="AP99">
            <v>11.25</v>
          </cell>
          <cell r="AQ99">
            <v>0</v>
          </cell>
          <cell r="AR99">
            <v>0</v>
          </cell>
          <cell r="AS99">
            <v>97.5</v>
          </cell>
          <cell r="AT99">
            <v>0</v>
          </cell>
          <cell r="AX99">
            <v>0</v>
          </cell>
          <cell r="AY99">
            <v>9.75</v>
          </cell>
          <cell r="AZ99">
            <v>0</v>
          </cell>
          <cell r="BA99">
            <v>0</v>
          </cell>
          <cell r="BB99">
            <v>150</v>
          </cell>
          <cell r="BC99">
            <v>0</v>
          </cell>
          <cell r="BJ99">
            <v>0</v>
          </cell>
          <cell r="BK99">
            <v>75</v>
          </cell>
          <cell r="BL99">
            <v>0</v>
          </cell>
          <cell r="CG99">
            <v>7725</v>
          </cell>
        </row>
        <row r="100">
          <cell r="C100">
            <v>11741</v>
          </cell>
          <cell r="D100" t="str">
            <v>GD250175</v>
          </cell>
          <cell r="E100" t="str">
            <v>Tolentino, Evangeline De Silva</v>
          </cell>
          <cell r="F100" t="str">
            <v>METAL STAMPING</v>
          </cell>
          <cell r="G100" t="str">
            <v>PRODUCTION</v>
          </cell>
          <cell r="H100" t="str">
            <v>Operator 1</v>
          </cell>
          <cell r="I100" t="str">
            <v>DL</v>
          </cell>
          <cell r="J100">
            <v>88</v>
          </cell>
          <cell r="K100">
            <v>11</v>
          </cell>
          <cell r="L100">
            <v>600</v>
          </cell>
          <cell r="M100">
            <v>6600</v>
          </cell>
          <cell r="N100">
            <v>13</v>
          </cell>
          <cell r="O100">
            <v>1.25</v>
          </cell>
          <cell r="P100">
            <v>-16.25</v>
          </cell>
          <cell r="Q100">
            <v>18</v>
          </cell>
          <cell r="R100">
            <v>93.75</v>
          </cell>
          <cell r="S100">
            <v>1687.5</v>
          </cell>
          <cell r="T100">
            <v>0</v>
          </cell>
          <cell r="U100">
            <v>7.5</v>
          </cell>
          <cell r="V100">
            <v>0</v>
          </cell>
          <cell r="W100">
            <v>0</v>
          </cell>
          <cell r="X100">
            <v>9.375</v>
          </cell>
          <cell r="Y100">
            <v>0</v>
          </cell>
          <cell r="Z100">
            <v>0</v>
          </cell>
          <cell r="AA100">
            <v>97.5</v>
          </cell>
          <cell r="AB100">
            <v>0</v>
          </cell>
          <cell r="AD100">
            <v>126.75</v>
          </cell>
          <cell r="AE100">
            <v>0</v>
          </cell>
          <cell r="AF100">
            <v>0</v>
          </cell>
          <cell r="AG100">
            <v>9.75</v>
          </cell>
          <cell r="AH100">
            <v>0</v>
          </cell>
          <cell r="AJ100">
            <v>112.5</v>
          </cell>
          <cell r="AK100">
            <v>0</v>
          </cell>
          <cell r="AM100">
            <v>146.25</v>
          </cell>
          <cell r="AN100">
            <v>0</v>
          </cell>
          <cell r="AP100">
            <v>11.25</v>
          </cell>
          <cell r="AQ100">
            <v>0</v>
          </cell>
          <cell r="AR100">
            <v>0</v>
          </cell>
          <cell r="AS100">
            <v>97.5</v>
          </cell>
          <cell r="AT100">
            <v>0</v>
          </cell>
          <cell r="AX100">
            <v>0</v>
          </cell>
          <cell r="AY100">
            <v>9.75</v>
          </cell>
          <cell r="AZ100">
            <v>0</v>
          </cell>
          <cell r="BA100">
            <v>0</v>
          </cell>
          <cell r="BB100">
            <v>150</v>
          </cell>
          <cell r="BC100">
            <v>0</v>
          </cell>
          <cell r="BJ100">
            <v>0</v>
          </cell>
          <cell r="BK100">
            <v>75</v>
          </cell>
          <cell r="BL100">
            <v>0</v>
          </cell>
          <cell r="CG100">
            <v>8271.25</v>
          </cell>
        </row>
        <row r="101">
          <cell r="C101">
            <v>7505</v>
          </cell>
          <cell r="D101" t="str">
            <v>GD250491</v>
          </cell>
          <cell r="E101" t="str">
            <v>Vale, Christine Ann</v>
          </cell>
          <cell r="F101" t="str">
            <v>METAL STAMPING</v>
          </cell>
          <cell r="G101" t="str">
            <v>PRODUCTION</v>
          </cell>
          <cell r="H101" t="str">
            <v>Operator 1</v>
          </cell>
          <cell r="I101" t="str">
            <v>DL</v>
          </cell>
          <cell r="J101">
            <v>96</v>
          </cell>
          <cell r="K101">
            <v>12</v>
          </cell>
          <cell r="L101">
            <v>600</v>
          </cell>
          <cell r="M101">
            <v>7200</v>
          </cell>
          <cell r="N101">
            <v>0</v>
          </cell>
          <cell r="O101">
            <v>1.25</v>
          </cell>
          <cell r="P101">
            <v>0</v>
          </cell>
          <cell r="Q101">
            <v>10</v>
          </cell>
          <cell r="R101">
            <v>93.75</v>
          </cell>
          <cell r="S101">
            <v>937.5</v>
          </cell>
          <cell r="T101">
            <v>12</v>
          </cell>
          <cell r="U101">
            <v>7.5</v>
          </cell>
          <cell r="V101">
            <v>90</v>
          </cell>
          <cell r="W101">
            <v>0</v>
          </cell>
          <cell r="X101">
            <v>9.375</v>
          </cell>
          <cell r="Y101">
            <v>0</v>
          </cell>
          <cell r="Z101">
            <v>0</v>
          </cell>
          <cell r="AA101">
            <v>97.5</v>
          </cell>
          <cell r="AB101">
            <v>0</v>
          </cell>
          <cell r="AD101">
            <v>126.75</v>
          </cell>
          <cell r="AE101">
            <v>0</v>
          </cell>
          <cell r="AF101">
            <v>0</v>
          </cell>
          <cell r="AG101">
            <v>9.75</v>
          </cell>
          <cell r="AH101">
            <v>0</v>
          </cell>
          <cell r="AJ101">
            <v>112.5</v>
          </cell>
          <cell r="AK101">
            <v>0</v>
          </cell>
          <cell r="AM101">
            <v>146.25</v>
          </cell>
          <cell r="AN101">
            <v>0</v>
          </cell>
          <cell r="AP101">
            <v>11.25</v>
          </cell>
          <cell r="AQ101">
            <v>0</v>
          </cell>
          <cell r="AR101">
            <v>0</v>
          </cell>
          <cell r="AS101">
            <v>97.5</v>
          </cell>
          <cell r="AT101">
            <v>0</v>
          </cell>
          <cell r="AX101">
            <v>0</v>
          </cell>
          <cell r="AY101">
            <v>9.75</v>
          </cell>
          <cell r="AZ101">
            <v>0</v>
          </cell>
          <cell r="BA101">
            <v>0</v>
          </cell>
          <cell r="BB101">
            <v>150</v>
          </cell>
          <cell r="BC101">
            <v>0</v>
          </cell>
          <cell r="BJ101">
            <v>0</v>
          </cell>
          <cell r="BK101">
            <v>75</v>
          </cell>
          <cell r="BL101">
            <v>0</v>
          </cell>
          <cell r="CG101">
            <v>8227.5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shiba" refreshedDate="46233.507772337965" createdVersion="8" refreshedVersion="8" minRefreshableVersion="3" recordCount="1640" xr:uid="{1B1DBCB5-A97A-435E-A2CD-37F806D44EBF}">
  <cacheSource type="worksheet">
    <worksheetSource ref="C1:AA1048576" sheet="F3 MS (2)"/>
  </cacheSource>
  <cacheFields count="25">
    <cacheField name="EN" numFmtId="0">
      <sharedItems containsBlank="1" containsMixedTypes="1" containsNumber="1" containsInteger="1" minValue="3866" maxValue="32518" count="95">
        <n v="4327"/>
        <m/>
        <s v="EN"/>
        <n v="5076"/>
        <n v="12927"/>
        <n v="14831"/>
        <n v="14915"/>
        <n v="10997"/>
        <n v="30019"/>
        <n v="13312"/>
        <n v="14555"/>
        <n v="12808"/>
        <n v="12830"/>
        <n v="14760"/>
        <n v="5585"/>
        <n v="13684"/>
        <n v="14275"/>
        <n v="14285"/>
        <n v="12460"/>
        <n v="8571"/>
        <n v="12471"/>
        <n v="32436"/>
        <n v="32515"/>
        <n v="32242"/>
        <n v="12956"/>
        <n v="12164"/>
        <n v="30356"/>
        <n v="30261"/>
        <n v="30679"/>
        <n v="30254"/>
        <n v="6317"/>
        <n v="8176"/>
        <n v="30680"/>
        <n v="32457"/>
        <n v="32504"/>
        <n v="14372"/>
        <n v="14479"/>
        <n v="14753"/>
        <n v="30332"/>
        <n v="12870"/>
        <n v="8064"/>
        <n v="5983"/>
        <n v="6354"/>
        <n v="14267"/>
        <n v="10424"/>
        <n v="6244"/>
        <n v="3866"/>
        <n v="7505"/>
        <n v="7502"/>
        <n v="12810"/>
        <n v="7708"/>
        <n v="11863"/>
        <n v="30766"/>
        <n v="12985"/>
        <n v="13646"/>
        <n v="14233"/>
        <n v="14291"/>
        <n v="14326"/>
        <n v="14328"/>
        <n v="10876"/>
        <n v="30612"/>
        <n v="30611"/>
        <n v="32240"/>
        <n v="12816"/>
        <n v="30296"/>
        <n v="30293"/>
        <n v="11872"/>
        <n v="30246"/>
        <n v="11829"/>
        <n v="14357"/>
        <n v="7244"/>
        <n v="12110"/>
        <n v="14370"/>
        <n v="14396"/>
        <n v="11775"/>
        <n v="11842"/>
        <n v="11742"/>
        <n v="30292"/>
        <n v="13236"/>
        <n v="14473"/>
        <n v="11834"/>
        <n v="14835"/>
        <n v="7646"/>
        <n v="32518"/>
        <n v="32498"/>
        <n v="32460"/>
        <n v="32488"/>
        <n v="32458"/>
        <n v="32494"/>
        <n v="12909"/>
        <n v="13337"/>
        <n v="12397"/>
        <n v="11741"/>
        <n v="32246" u="1"/>
        <n v="30682" u="1"/>
      </sharedItems>
    </cacheField>
    <cacheField name="HYS ID NUMBER" numFmtId="0">
      <sharedItems containsBlank="1"/>
    </cacheField>
    <cacheField name="NAME" numFmtId="0">
      <sharedItems containsBlank="1"/>
    </cacheField>
    <cacheField name="HYS ID NUMBER2" numFmtId="0">
      <sharedItems containsBlank="1"/>
    </cacheField>
    <cacheField name="DATE" numFmtId="0">
      <sharedItems containsDate="1" containsBlank="1" containsMixedTypes="1" minDate="2026-07-11T00:00:00" maxDate="2026-07-26T00:00:00"/>
    </cacheField>
    <cacheField name="Field6" caption="Field6" numFmtId="0">
      <sharedItems containsNonDate="0" containsString="0" containsBlank="1"/>
    </cacheField>
    <cacheField name="REG. TIME" numFmtId="0">
      <sharedItems containsBlank="1"/>
    </cacheField>
    <cacheField name="TIME IN" numFmtId="0">
      <sharedItems containsDate="1" containsBlank="1" containsMixedTypes="1" minDate="1899-12-30T06:32:00" maxDate="1899-12-30T20:48:00"/>
    </cacheField>
    <cacheField name="TIME OUT" numFmtId="0">
      <sharedItems containsDate="1" containsBlank="1" containsMixedTypes="1" minDate="1899-12-30T03:59:00" maxDate="1899-12-30T19:10:00"/>
    </cacheField>
    <cacheField name="SHIFT" numFmtId="0">
      <sharedItems containsBlank="1"/>
    </cacheField>
    <cacheField name="REG.HRS." numFmtId="0">
      <sharedItems containsBlank="1" containsMixedTypes="1" containsNumber="1" containsInteger="1" minValue="0" maxValue="587400"/>
    </cacheField>
    <cacheField name="REG. OT" numFmtId="0">
      <sharedItems containsBlank="1" containsMixedTypes="1" containsNumber="1" minValue="0" maxValue="65062.5"/>
    </cacheField>
    <cacheField name="ND" numFmtId="0">
      <sharedItems containsBlank="1" containsMixedTypes="1" containsNumber="1" minValue="0" maxValue="15648.75"/>
    </cacheField>
    <cacheField name="ND OT" numFmtId="0">
      <sharedItems containsBlank="1" containsMixedTypes="1" containsNumber="1" minValue="0" maxValue="1978.125"/>
    </cacheField>
    <cacheField name="RD" numFmtId="0">
      <sharedItems containsBlank="1" containsMixedTypes="1" containsNumber="1" containsInteger="1" minValue="0" maxValue="0"/>
    </cacheField>
    <cacheField name="RD OT" numFmtId="0">
      <sharedItems containsBlank="1" containsMixedTypes="1" containsNumber="1" containsInteger="1" minValue="0" maxValue="0"/>
    </cacheField>
    <cacheField name="RD ND" numFmtId="0">
      <sharedItems containsBlank="1" containsMixedTypes="1" containsNumber="1" containsInteger="1" minValue="0" maxValue="0"/>
    </cacheField>
    <cacheField name="SH" numFmtId="0">
      <sharedItems containsBlank="1" containsMixedTypes="1" containsNumber="1" containsInteger="1" minValue="0" maxValue="0"/>
    </cacheField>
    <cacheField name="SH OT" numFmtId="0">
      <sharedItems containsBlank="1" containsMixedTypes="1" containsNumber="1" containsInteger="1" minValue="0" maxValue="0"/>
    </cacheField>
    <cacheField name="SH ND" numFmtId="0">
      <sharedItems containsBlank="1" containsMixedTypes="1" containsNumber="1" containsInteger="1" minValue="0" maxValue="0"/>
    </cacheField>
    <cacheField name="ULH" numFmtId="0">
      <sharedItems containsBlank="1" containsMixedTypes="1" containsNumber="1" containsInteger="1" minValue="0" maxValue="0"/>
    </cacheField>
    <cacheField name="LH" numFmtId="0">
      <sharedItems containsBlank="1" containsMixedTypes="1" containsNumber="1" containsInteger="1" minValue="0" maxValue="0"/>
    </cacheField>
    <cacheField name="LH OT" numFmtId="0">
      <sharedItems containsBlank="1" containsMixedTypes="1" containsNumber="1" containsInteger="1" minValue="0" maxValue="0"/>
    </cacheField>
    <cacheField name="LH ND" numFmtId="0">
      <sharedItems containsBlank="1" containsMixedTypes="1" containsNumber="1" containsInteger="1" minValue="0" maxValue="0"/>
    </cacheField>
    <cacheField name="UT/LATE" numFmtId="0">
      <sharedItems containsBlank="1" containsMixedTypes="1" containsNumber="1" minValue="0" maxValue="15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0">
  <r>
    <x v="0"/>
    <s v="GD250042"/>
    <s v="Ada, Joemer Vera"/>
    <s v="GD250042"/>
    <d v="2026-07-11T00:00:00"/>
    <m/>
    <m/>
    <m/>
    <m/>
    <m/>
    <m/>
    <m/>
    <m/>
    <m/>
    <m/>
    <m/>
    <m/>
    <m/>
    <m/>
    <m/>
    <m/>
    <m/>
    <m/>
    <m/>
    <m/>
  </r>
  <r>
    <x v="0"/>
    <s v="GD250042"/>
    <s v="Ada, Joemer Vera"/>
    <s v="GD250042"/>
    <d v="2026-07-12T00:00:00"/>
    <m/>
    <m/>
    <s v="SUNDAY"/>
    <m/>
    <m/>
    <m/>
    <m/>
    <m/>
    <m/>
    <m/>
    <m/>
    <m/>
    <m/>
    <m/>
    <m/>
    <m/>
    <m/>
    <m/>
    <m/>
    <m/>
  </r>
  <r>
    <x v="0"/>
    <s v="GD250042"/>
    <s v="Ada, Joemer Vera"/>
    <s v="GD250042"/>
    <d v="2026-07-13T00:00:00"/>
    <m/>
    <s v="8AM-5PM"/>
    <d v="1899-12-30T07:55:00"/>
    <d v="1899-12-30T17:01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14T00:00:00"/>
    <m/>
    <s v="8AM-5PM"/>
    <d v="1899-12-30T07:55:00"/>
    <d v="1899-12-30T17:01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15T00:00:00"/>
    <m/>
    <s v="8AM-5PM"/>
    <d v="1899-12-30T07:56:00"/>
    <d v="1899-12-30T17:00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16T00:00:00"/>
    <m/>
    <s v="8AM-5PM"/>
    <d v="1899-12-30T07:54:00"/>
    <d v="1899-12-30T17:00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17T00:00:00"/>
    <m/>
    <s v="8AM-5PM"/>
    <d v="1899-12-30T07:54:00"/>
    <d v="1899-12-30T17:00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18T00:00:00"/>
    <m/>
    <m/>
    <m/>
    <m/>
    <m/>
    <m/>
    <m/>
    <m/>
    <m/>
    <m/>
    <m/>
    <m/>
    <m/>
    <m/>
    <m/>
    <m/>
    <m/>
    <m/>
    <m/>
    <m/>
  </r>
  <r>
    <x v="0"/>
    <s v="GD250042"/>
    <s v="Ada, Joemer Vera"/>
    <s v="GD250042"/>
    <d v="2026-07-19T00:00:00"/>
    <m/>
    <m/>
    <s v="SUNDAY"/>
    <m/>
    <m/>
    <m/>
    <m/>
    <m/>
    <m/>
    <m/>
    <m/>
    <m/>
    <m/>
    <m/>
    <m/>
    <m/>
    <m/>
    <m/>
    <m/>
    <m/>
  </r>
  <r>
    <x v="0"/>
    <s v="GD250042"/>
    <s v="Ada, Joemer Vera"/>
    <s v="GD250042"/>
    <d v="2026-07-20T00:00:00"/>
    <m/>
    <s v="8AM-5PM"/>
    <d v="1899-12-30T07:53:00"/>
    <d v="1899-12-30T17:01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21T00:00:00"/>
    <m/>
    <s v="8AM-5PM"/>
    <d v="1899-12-30T07:56:00"/>
    <d v="1899-12-30T17:00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22T00:00:00"/>
    <m/>
    <s v="8AM-5PM"/>
    <d v="1899-12-30T07:55:00"/>
    <d v="1899-12-30T17:00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23T00:00:00"/>
    <m/>
    <s v="8AM-5PM"/>
    <d v="1899-12-30T07:54:00"/>
    <d v="1899-12-30T19:01:00"/>
    <s v="A"/>
    <n v="8"/>
    <n v="2"/>
    <m/>
    <m/>
    <m/>
    <m/>
    <m/>
    <m/>
    <m/>
    <m/>
    <m/>
    <m/>
    <m/>
    <m/>
    <m/>
  </r>
  <r>
    <x v="0"/>
    <s v="GD250042"/>
    <s v="Ada, Joemer Vera"/>
    <s v="GD250042"/>
    <d v="2026-07-24T00:00:00"/>
    <m/>
    <s v="8AM-5PM"/>
    <d v="1899-12-30T07:54:00"/>
    <d v="1899-12-30T17:00:00"/>
    <s v="A"/>
    <n v="8"/>
    <m/>
    <m/>
    <m/>
    <m/>
    <m/>
    <m/>
    <m/>
    <m/>
    <m/>
    <m/>
    <m/>
    <m/>
    <m/>
    <m/>
  </r>
  <r>
    <x v="0"/>
    <s v="GD250042"/>
    <s v="Ada, Joemer Vera"/>
    <s v="GD250042"/>
    <d v="2026-07-25T00:00:00"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"/>
    <s v="GD250017"/>
    <s v="Aragdon, Edmun Aguilar"/>
    <s v="GD250017"/>
    <d v="2026-07-11T00:00:00"/>
    <m/>
    <m/>
    <m/>
    <m/>
    <m/>
    <m/>
    <m/>
    <m/>
    <m/>
    <m/>
    <m/>
    <m/>
    <m/>
    <m/>
    <m/>
    <m/>
    <m/>
    <m/>
    <m/>
    <m/>
  </r>
  <r>
    <x v="3"/>
    <s v="GD250017"/>
    <s v="Aragdon, Edmun Aguilar"/>
    <s v="GD250017"/>
    <d v="2026-07-12T00:00:00"/>
    <m/>
    <m/>
    <s v="SUNDAY"/>
    <m/>
    <m/>
    <m/>
    <m/>
    <m/>
    <m/>
    <m/>
    <m/>
    <m/>
    <m/>
    <m/>
    <m/>
    <m/>
    <m/>
    <m/>
    <m/>
    <m/>
  </r>
  <r>
    <x v="3"/>
    <s v="GD250017"/>
    <s v="Aragdon, Edmun Aguilar"/>
    <s v="GD250017"/>
    <d v="2026-07-13T00:00:00"/>
    <m/>
    <s v="8AM-5PM"/>
    <d v="1899-12-30T07:40:00"/>
    <d v="1899-12-30T17:01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14T00:00:00"/>
    <m/>
    <s v="8AM-5PM"/>
    <d v="1899-12-30T07:30:00"/>
    <d v="1899-12-30T17:00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15T00:00:00"/>
    <m/>
    <s v="8AM-5PM"/>
    <d v="1899-12-30T07:30:00"/>
    <d v="1899-12-30T17:01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16T00:00:00"/>
    <m/>
    <s v="8AM-5PM"/>
    <d v="1899-12-30T07:28:00"/>
    <d v="1899-12-30T17:00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17T00:00:00"/>
    <m/>
    <s v="8AM-5PM"/>
    <d v="1899-12-30T07:32:00"/>
    <d v="1899-12-30T17:01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18T00:00:00"/>
    <m/>
    <s v="8AM-5PM"/>
    <d v="1899-12-30T07:28:00"/>
    <d v="1899-12-30T17:01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19T00:00:00"/>
    <m/>
    <m/>
    <s v="SUNDAY"/>
    <m/>
    <m/>
    <m/>
    <m/>
    <m/>
    <m/>
    <m/>
    <m/>
    <m/>
    <m/>
    <m/>
    <m/>
    <m/>
    <m/>
    <m/>
    <m/>
    <m/>
  </r>
  <r>
    <x v="3"/>
    <s v="GD250017"/>
    <s v="Aragdon, Edmun Aguilar"/>
    <s v="GD250017"/>
    <d v="2026-07-20T00:00:00"/>
    <m/>
    <s v="8AM-5PM"/>
    <d v="1899-12-30T07:28:00"/>
    <d v="1899-12-30T17:01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21T00:00:00"/>
    <m/>
    <s v="8AM-5PM"/>
    <d v="1899-12-30T07:44:00"/>
    <d v="1899-12-30T17:00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22T00:00:00"/>
    <m/>
    <s v="8AM-5PM"/>
    <d v="1899-12-30T07:35:00"/>
    <d v="1899-12-30T17:01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23T00:00:00"/>
    <m/>
    <s v="8AM-5PM"/>
    <d v="1899-12-30T07:26:00"/>
    <d v="1899-12-30T17:00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24T00:00:00"/>
    <m/>
    <s v="8AM-5PM"/>
    <d v="1899-12-30T07:24:00"/>
    <d v="1899-12-30T17:00:00"/>
    <s v="A"/>
    <n v="8"/>
    <m/>
    <m/>
    <m/>
    <m/>
    <m/>
    <m/>
    <m/>
    <m/>
    <m/>
    <m/>
    <m/>
    <m/>
    <m/>
    <m/>
  </r>
  <r>
    <x v="3"/>
    <s v="GD250017"/>
    <s v="Aragdon, Edmun Aguilar"/>
    <s v="GD250017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"/>
    <s v="GD250343"/>
    <s v="Dagli, Renz Jemrick Zara"/>
    <s v="GD250343"/>
    <d v="2026-07-11T00:00:00"/>
    <m/>
    <s v="7PM-4AM"/>
    <d v="1899-12-30T18:56:00"/>
    <d v="1899-12-30T04:01:00"/>
    <s v="B"/>
    <n v="8"/>
    <m/>
    <n v="6"/>
    <m/>
    <m/>
    <m/>
    <m/>
    <m/>
    <m/>
    <m/>
    <m/>
    <m/>
    <m/>
    <m/>
    <m/>
  </r>
  <r>
    <x v="4"/>
    <s v="GD250343"/>
    <s v="Dagli, Renz Jemrick Zara"/>
    <s v="GD250343"/>
    <d v="2026-07-12T00:00:00"/>
    <m/>
    <m/>
    <s v="SUNDAY"/>
    <m/>
    <m/>
    <m/>
    <m/>
    <m/>
    <m/>
    <m/>
    <m/>
    <m/>
    <m/>
    <m/>
    <m/>
    <m/>
    <m/>
    <m/>
    <m/>
    <m/>
  </r>
  <r>
    <x v="4"/>
    <s v="GD250343"/>
    <s v="Dagli, Renz Jemrick Zara"/>
    <s v="GD250343"/>
    <d v="2026-07-13T00:00:00"/>
    <m/>
    <s v="8AM-5PM"/>
    <d v="1899-12-30T07:52:00"/>
    <d v="1899-12-30T17:01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14T00:00:00"/>
    <m/>
    <s v="8AM-5PM"/>
    <d v="1899-12-30T07:48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15T00:00:00"/>
    <m/>
    <s v="8AM-5PM"/>
    <d v="1899-12-30T07:50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16T00:00:00"/>
    <m/>
    <s v="8AM-5PM"/>
    <d v="1899-12-30T07:48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17T00:00:00"/>
    <m/>
    <s v="8AM-5PM"/>
    <d v="1899-12-30T07:47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18T00:00:00"/>
    <m/>
    <s v="8AM-5PM"/>
    <m/>
    <m/>
    <m/>
    <m/>
    <m/>
    <m/>
    <m/>
    <m/>
    <m/>
    <m/>
    <m/>
    <m/>
    <m/>
    <m/>
    <m/>
    <m/>
    <m/>
    <m/>
  </r>
  <r>
    <x v="4"/>
    <s v="GD250343"/>
    <s v="Dagli, Renz Jemrick Zara"/>
    <s v="GD250343"/>
    <d v="2026-07-19T00:00:00"/>
    <m/>
    <m/>
    <s v="SUNDAY"/>
    <m/>
    <m/>
    <m/>
    <m/>
    <m/>
    <m/>
    <m/>
    <m/>
    <m/>
    <m/>
    <m/>
    <m/>
    <m/>
    <m/>
    <m/>
    <m/>
    <m/>
  </r>
  <r>
    <x v="4"/>
    <s v="GD250343"/>
    <s v="Dagli, Renz Jemrick Zara"/>
    <s v="GD250343"/>
    <d v="2026-07-20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21T00:00:00"/>
    <m/>
    <s v="8AM-5PM"/>
    <d v="1899-12-30T07:49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22T00:00:00"/>
    <m/>
    <s v="8AM-5PM"/>
    <d v="1899-12-30T07:51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23T00:00:00"/>
    <m/>
    <s v="8AM-5PM"/>
    <d v="1899-12-30T07:49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24T00:00:00"/>
    <m/>
    <s v="8AM-5PM"/>
    <d v="1899-12-30T07:54:00"/>
    <d v="1899-12-30T17:00:00"/>
    <s v="A"/>
    <n v="8"/>
    <m/>
    <m/>
    <m/>
    <m/>
    <m/>
    <m/>
    <m/>
    <m/>
    <m/>
    <m/>
    <m/>
    <m/>
    <m/>
    <m/>
  </r>
  <r>
    <x v="4"/>
    <s v="GD250343"/>
    <s v="Dagli, Renz Jemrick Zara"/>
    <s v="GD250343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"/>
    <s v="GD250235"/>
    <s v="Gamilla, Karen Niña Lazaro"/>
    <s v="GD250235"/>
    <d v="2026-07-11T00:00:00"/>
    <m/>
    <m/>
    <m/>
    <m/>
    <m/>
    <m/>
    <m/>
    <m/>
    <m/>
    <m/>
    <m/>
    <m/>
    <m/>
    <m/>
    <m/>
    <m/>
    <m/>
    <m/>
    <m/>
    <m/>
  </r>
  <r>
    <x v="5"/>
    <s v="GD250235"/>
    <s v="Gamilla, Karen Niña Lazaro"/>
    <s v="GD250235"/>
    <d v="2026-07-12T00:00:00"/>
    <m/>
    <m/>
    <s v="SUNDAY"/>
    <m/>
    <m/>
    <m/>
    <m/>
    <m/>
    <m/>
    <m/>
    <m/>
    <m/>
    <m/>
    <m/>
    <m/>
    <m/>
    <m/>
    <m/>
    <m/>
    <m/>
  </r>
  <r>
    <x v="5"/>
    <s v="GD250235"/>
    <s v="Gamilla, Karen Niña Lazaro"/>
    <s v="GD250235"/>
    <d v="2026-07-13T00:00:00"/>
    <m/>
    <s v="8AM-5PM"/>
    <d v="1899-12-30T07:18:00"/>
    <d v="1899-12-30T17:01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14T00:00:00"/>
    <m/>
    <s v="8AM-5PM"/>
    <d v="1899-12-30T07:18:00"/>
    <d v="1899-12-30T17:00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15T00:00:00"/>
    <m/>
    <s v="8AM-5PM"/>
    <d v="1899-12-30T07:30:00"/>
    <d v="1899-12-30T17:00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16T00:00:00"/>
    <m/>
    <s v="8AM-5PM"/>
    <d v="1899-12-30T07:29:00"/>
    <d v="1899-12-30T19:03:00"/>
    <s v="A"/>
    <n v="8"/>
    <n v="2"/>
    <m/>
    <m/>
    <m/>
    <m/>
    <m/>
    <m/>
    <m/>
    <m/>
    <m/>
    <m/>
    <m/>
    <m/>
    <m/>
  </r>
  <r>
    <x v="5"/>
    <s v="GD250235"/>
    <s v="Gamilla, Karen Niña Lazaro"/>
    <s v="GD250235"/>
    <d v="2026-07-17T00:00:00"/>
    <m/>
    <s v="8AM-5PM"/>
    <d v="1899-12-30T07:27:00"/>
    <d v="1899-12-30T19:02:00"/>
    <s v="A"/>
    <n v="8"/>
    <n v="2"/>
    <m/>
    <m/>
    <m/>
    <m/>
    <m/>
    <m/>
    <m/>
    <m/>
    <m/>
    <m/>
    <m/>
    <m/>
    <m/>
  </r>
  <r>
    <x v="5"/>
    <s v="GD250235"/>
    <s v="Gamilla, Karen Niña Lazaro"/>
    <s v="GD250235"/>
    <d v="2026-07-18T00:00:00"/>
    <m/>
    <s v="8AM-5PM"/>
    <d v="1899-12-30T07:27:00"/>
    <d v="1899-12-30T17:02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19T00:00:00"/>
    <m/>
    <m/>
    <s v="SUNDAY"/>
    <m/>
    <m/>
    <m/>
    <m/>
    <m/>
    <m/>
    <m/>
    <m/>
    <m/>
    <m/>
    <m/>
    <m/>
    <m/>
    <m/>
    <m/>
    <m/>
    <m/>
  </r>
  <r>
    <x v="5"/>
    <s v="GD250235"/>
    <s v="Gamilla, Karen Niña Lazaro"/>
    <s v="GD250235"/>
    <d v="2026-07-20T00:00:00"/>
    <m/>
    <s v="8AM-5PM"/>
    <d v="1899-12-30T07:27:00"/>
    <d v="1899-12-30T19:02:00"/>
    <s v="A"/>
    <n v="8"/>
    <n v="2"/>
    <m/>
    <m/>
    <m/>
    <m/>
    <m/>
    <m/>
    <m/>
    <m/>
    <m/>
    <m/>
    <m/>
    <m/>
    <m/>
  </r>
  <r>
    <x v="5"/>
    <s v="GD250235"/>
    <s v="Gamilla, Karen Niña Lazaro"/>
    <s v="GD250235"/>
    <d v="2026-07-21T00:00:00"/>
    <m/>
    <s v="8AM-5PM"/>
    <d v="1899-12-30T07:27:00"/>
    <d v="1899-12-30T17:00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22T00:00:00"/>
    <m/>
    <s v="8AM-5PM"/>
    <d v="1899-12-30T07:30:00"/>
    <d v="1899-12-30T17:01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23T00:00:00"/>
    <m/>
    <s v="8AM-5PM"/>
    <d v="1899-12-30T07:33:00"/>
    <d v="1899-12-30T17:01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24T00:00:00"/>
    <m/>
    <s v="8AM-5PM"/>
    <d v="1899-12-30T07:34:00"/>
    <d v="1899-12-30T17:01:00"/>
    <s v="A"/>
    <n v="8"/>
    <m/>
    <m/>
    <m/>
    <m/>
    <m/>
    <m/>
    <m/>
    <m/>
    <m/>
    <m/>
    <m/>
    <m/>
    <m/>
    <m/>
  </r>
  <r>
    <x v="5"/>
    <s v="GD250235"/>
    <s v="Gamilla, Karen Niña Lazaro"/>
    <s v="GD25023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"/>
    <s v="GD250241"/>
    <s v="Natingga, Precious Gotera"/>
    <s v="GD250241"/>
    <d v="2026-07-11T00:00:00"/>
    <m/>
    <s v="7PM-4AM"/>
    <d v="1899-12-30T18:34:00"/>
    <d v="1899-12-30T04:03:00"/>
    <s v="B"/>
    <n v="8"/>
    <m/>
    <n v="6"/>
    <m/>
    <m/>
    <m/>
    <m/>
    <m/>
    <m/>
    <m/>
    <m/>
    <m/>
    <m/>
    <m/>
    <m/>
  </r>
  <r>
    <x v="6"/>
    <s v="GD250241"/>
    <s v="Natingga, Precious Gotera"/>
    <s v="GD250241"/>
    <d v="2026-07-12T00:00:00"/>
    <m/>
    <m/>
    <s v="SUNDAY"/>
    <m/>
    <m/>
    <m/>
    <m/>
    <m/>
    <m/>
    <m/>
    <m/>
    <m/>
    <m/>
    <m/>
    <m/>
    <m/>
    <m/>
    <m/>
    <m/>
    <m/>
  </r>
  <r>
    <x v="6"/>
    <s v="GD250241"/>
    <s v="Natingga, Precious Gotera"/>
    <s v="GD250241"/>
    <d v="2026-07-13T00:00:00"/>
    <m/>
    <s v="8AM-5PM"/>
    <d v="1899-12-30T07:33:00"/>
    <d v="1899-12-30T17:01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14T00:00:00"/>
    <m/>
    <s v="8AM-5PM"/>
    <d v="1899-12-30T07:36:00"/>
    <d v="1899-12-30T17:01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15T00:00:00"/>
    <m/>
    <s v="8AM-5PM"/>
    <d v="1899-12-30T07:39:00"/>
    <d v="1899-12-30T17:00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16T00:00:00"/>
    <m/>
    <s v="8AM-5PM"/>
    <d v="1899-12-30T07:54:00"/>
    <d v="1899-12-30T19:04:00"/>
    <s v="A"/>
    <n v="8"/>
    <n v="2"/>
    <m/>
    <m/>
    <m/>
    <m/>
    <m/>
    <m/>
    <m/>
    <m/>
    <m/>
    <m/>
    <m/>
    <m/>
    <m/>
  </r>
  <r>
    <x v="6"/>
    <s v="GD250241"/>
    <s v="Natingga, Precious Gotera"/>
    <s v="GD250241"/>
    <d v="2026-07-17T00:00:00"/>
    <m/>
    <s v="8AM-5PM"/>
    <d v="1899-12-30T07:53:00"/>
    <d v="1899-12-30T19:03:00"/>
    <s v="A"/>
    <n v="8"/>
    <n v="2"/>
    <m/>
    <m/>
    <m/>
    <m/>
    <m/>
    <m/>
    <m/>
    <m/>
    <m/>
    <m/>
    <m/>
    <m/>
    <m/>
  </r>
  <r>
    <x v="6"/>
    <s v="GD250241"/>
    <s v="Natingga, Precious Gotera"/>
    <s v="GD250241"/>
    <d v="2026-07-18T00:00:00"/>
    <m/>
    <s v="8AM-5PM"/>
    <d v="1899-12-30T07:53:00"/>
    <d v="1899-12-30T17:03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19T00:00:00"/>
    <m/>
    <m/>
    <s v="SUNDAY"/>
    <m/>
    <m/>
    <m/>
    <m/>
    <m/>
    <m/>
    <m/>
    <m/>
    <m/>
    <m/>
    <m/>
    <m/>
    <m/>
    <m/>
    <m/>
    <m/>
    <m/>
  </r>
  <r>
    <x v="6"/>
    <s v="GD250241"/>
    <s v="Natingga, Precious Gotera"/>
    <s v="GD250241"/>
    <d v="2026-07-20T00:00:00"/>
    <m/>
    <s v="8AM-5PM"/>
    <d v="1899-12-30T07:48:00"/>
    <d v="1899-12-30T19:05:00"/>
    <s v="A"/>
    <n v="8"/>
    <n v="2"/>
    <m/>
    <m/>
    <m/>
    <m/>
    <m/>
    <m/>
    <m/>
    <m/>
    <m/>
    <m/>
    <m/>
    <m/>
    <m/>
  </r>
  <r>
    <x v="6"/>
    <s v="GD250241"/>
    <s v="Natingga, Precious Gotera"/>
    <s v="GD250241"/>
    <d v="2026-07-21T00:00:00"/>
    <m/>
    <s v="8AM-5PM"/>
    <d v="1899-12-30T07:47:00"/>
    <d v="1899-12-30T17:00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22T00:00:00"/>
    <m/>
    <s v="8AM-5PM"/>
    <d v="1899-12-30T07:46:00"/>
    <d v="1899-12-30T17:00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23T00:00:00"/>
    <m/>
    <s v="8AM-5PM"/>
    <d v="1899-12-30T07:45:00"/>
    <d v="1899-12-30T17:00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24T00:00:00"/>
    <m/>
    <s v="8AM-5PM"/>
    <d v="1899-12-30T07:52:00"/>
    <d v="1899-12-30T17:00:00"/>
    <s v="A"/>
    <n v="8"/>
    <m/>
    <m/>
    <m/>
    <m/>
    <m/>
    <m/>
    <m/>
    <m/>
    <m/>
    <m/>
    <m/>
    <m/>
    <m/>
    <m/>
  </r>
  <r>
    <x v="6"/>
    <s v="GD250241"/>
    <s v="Natingga, Precious Gotera"/>
    <s v="GD250241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6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"/>
    <s v="GD250122"/>
    <s v="Nicolas, Joey Camigla"/>
    <s v="GD250122"/>
    <d v="2026-07-11T00:00:00"/>
    <m/>
    <m/>
    <m/>
    <m/>
    <m/>
    <m/>
    <m/>
    <m/>
    <m/>
    <m/>
    <m/>
    <m/>
    <m/>
    <m/>
    <m/>
    <m/>
    <m/>
    <m/>
    <m/>
    <m/>
  </r>
  <r>
    <x v="7"/>
    <s v="GD250122"/>
    <s v="Nicolas, Joey Camigla"/>
    <s v="GD250122"/>
    <d v="2026-07-12T00:00:00"/>
    <m/>
    <m/>
    <s v="SUNDAY"/>
    <m/>
    <m/>
    <m/>
    <m/>
    <m/>
    <m/>
    <m/>
    <m/>
    <m/>
    <m/>
    <m/>
    <m/>
    <m/>
    <m/>
    <m/>
    <m/>
    <m/>
  </r>
  <r>
    <x v="7"/>
    <s v="GD250122"/>
    <s v="Nicolas, Joey Camigla"/>
    <s v="GD250122"/>
    <d v="2026-07-13T00:00:00"/>
    <m/>
    <s v="8AM-5PM"/>
    <d v="1899-12-30T07:41:00"/>
    <d v="1899-12-30T17:01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14T00:00:00"/>
    <m/>
    <s v="8AM-5PM"/>
    <d v="1899-12-30T07:48:00"/>
    <d v="1899-12-30T17:00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15T00:00:00"/>
    <m/>
    <s v="8AM-5PM"/>
    <d v="1899-12-30T07:05:00"/>
    <d v="1899-12-30T17:01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16T00:00:00"/>
    <m/>
    <s v="8AM-5PM"/>
    <d v="1899-12-30T07:49:00"/>
    <d v="1899-12-30T17:01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17T00:00:00"/>
    <m/>
    <s v="8AM-5PM"/>
    <d v="1899-12-30T07:49:00"/>
    <d v="1899-12-30T17:00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18T00:00:00"/>
    <m/>
    <s v="8AM-5PM"/>
    <d v="1899-12-30T07:53:00"/>
    <d v="1899-12-30T17:00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19T00:00:00"/>
    <m/>
    <m/>
    <s v="SUNDAY"/>
    <m/>
    <m/>
    <m/>
    <m/>
    <m/>
    <m/>
    <m/>
    <m/>
    <m/>
    <m/>
    <m/>
    <m/>
    <m/>
    <m/>
    <m/>
    <m/>
    <m/>
  </r>
  <r>
    <x v="7"/>
    <s v="GD250122"/>
    <s v="Nicolas, Joey Camigla"/>
    <s v="GD250122"/>
    <d v="2026-07-20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21T00:00:00"/>
    <m/>
    <s v="8AM-5PM"/>
    <d v="1899-12-30T07:49:00"/>
    <d v="1899-12-30T17:01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22T00:00:00"/>
    <m/>
    <s v="8AM-5PM"/>
    <d v="1899-12-30T07:46:00"/>
    <d v="1899-12-30T17:00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23T00:00:00"/>
    <m/>
    <s v="8AM-5PM"/>
    <d v="1899-12-30T07:49:00"/>
    <d v="1899-12-30T17:00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24T00:00:00"/>
    <m/>
    <s v="8AM-5PM"/>
    <d v="1899-12-30T07:45:00"/>
    <d v="1899-12-30T17:00:00"/>
    <s v="A"/>
    <n v="8"/>
    <m/>
    <m/>
    <m/>
    <m/>
    <m/>
    <m/>
    <m/>
    <m/>
    <m/>
    <m/>
    <m/>
    <m/>
    <m/>
    <m/>
  </r>
  <r>
    <x v="7"/>
    <s v="GD250122"/>
    <s v="Nicolas, Joey Camigla"/>
    <s v="GD25012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"/>
    <s v="GD250452"/>
    <s v="Panta, Jerick"/>
    <s v="GD250452"/>
    <d v="2026-07-11T00:00:00"/>
    <m/>
    <m/>
    <m/>
    <m/>
    <m/>
    <m/>
    <m/>
    <m/>
    <m/>
    <m/>
    <m/>
    <m/>
    <m/>
    <m/>
    <m/>
    <m/>
    <m/>
    <m/>
    <m/>
    <m/>
  </r>
  <r>
    <x v="8"/>
    <s v="GD250452"/>
    <s v="Panta, Jerick"/>
    <s v="GD250452"/>
    <d v="2026-07-12T00:00:00"/>
    <m/>
    <m/>
    <s v="SUNDAY"/>
    <m/>
    <m/>
    <m/>
    <m/>
    <m/>
    <m/>
    <m/>
    <m/>
    <m/>
    <m/>
    <m/>
    <m/>
    <m/>
    <m/>
    <m/>
    <m/>
    <m/>
  </r>
  <r>
    <x v="8"/>
    <s v="GD250452"/>
    <s v="Panta, Jerick"/>
    <s v="GD250452"/>
    <d v="2026-07-13T00:00:00"/>
    <m/>
    <s v="8AM-5PM"/>
    <d v="1899-12-30T07:33:00"/>
    <d v="1899-12-30T17:01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14T00:00:00"/>
    <m/>
    <s v="8AM-5PM"/>
    <d v="1899-12-30T07:36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15T00:00:00"/>
    <m/>
    <s v="8AM-5PM"/>
    <d v="1899-12-30T07:39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16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17T00:00:00"/>
    <m/>
    <s v="8AM-5PM"/>
    <d v="1899-12-30T07:38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18T00:00:00"/>
    <m/>
    <s v="8AM-5PM"/>
    <d v="1899-12-30T07:40:00"/>
    <d v="1899-12-30T17:01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19T00:00:00"/>
    <m/>
    <m/>
    <s v="SUNDAY"/>
    <m/>
    <m/>
    <m/>
    <m/>
    <m/>
    <m/>
    <m/>
    <m/>
    <m/>
    <m/>
    <m/>
    <m/>
    <m/>
    <m/>
    <m/>
    <m/>
    <m/>
  </r>
  <r>
    <x v="8"/>
    <s v="GD250452"/>
    <s v="Panta, Jerick"/>
    <s v="GD250452"/>
    <d v="2026-07-20T00:00:00"/>
    <m/>
    <s v="8AM-5PM"/>
    <d v="1899-12-30T07:28:00"/>
    <d v="1899-12-30T17:01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21T00:00:00"/>
    <m/>
    <s v="8AM-5PM"/>
    <d v="1899-12-30T07:38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22T00:00:00"/>
    <m/>
    <s v="8AM-5PM"/>
    <d v="1899-12-30T07:41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23T00:00:00"/>
    <m/>
    <s v="8AM-5PM"/>
    <d v="1899-12-30T07:42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24T00:00:00"/>
    <m/>
    <s v="8AM-5PM"/>
    <d v="1899-12-30T07:35:00"/>
    <d v="1899-12-30T17:00:00"/>
    <s v="A"/>
    <n v="8"/>
    <m/>
    <m/>
    <m/>
    <m/>
    <m/>
    <m/>
    <m/>
    <m/>
    <m/>
    <m/>
    <m/>
    <m/>
    <m/>
    <m/>
  </r>
  <r>
    <x v="8"/>
    <s v="GD250452"/>
    <s v="Panta, Jerick"/>
    <s v="GD25045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9"/>
    <s v="GD250216"/>
    <s v="Rivero, Ronald Sta. Ana"/>
    <s v="GD250216"/>
    <d v="2026-07-11T00:00:00"/>
    <m/>
    <s v="7PM-4AM"/>
    <d v="1899-12-30T18:44:00"/>
    <d v="1899-12-30T04:01:00"/>
    <s v="B"/>
    <n v="8"/>
    <m/>
    <n v="6"/>
    <m/>
    <m/>
    <m/>
    <m/>
    <m/>
    <m/>
    <m/>
    <m/>
    <m/>
    <m/>
    <m/>
    <m/>
  </r>
  <r>
    <x v="9"/>
    <s v="GD250216"/>
    <s v="Rivero, Ronald Sta. Ana"/>
    <s v="GD250216"/>
    <d v="2026-07-12T00:00:00"/>
    <m/>
    <m/>
    <s v="SUNDAY"/>
    <m/>
    <m/>
    <m/>
    <m/>
    <m/>
    <m/>
    <m/>
    <m/>
    <m/>
    <m/>
    <m/>
    <m/>
    <m/>
    <m/>
    <m/>
    <m/>
    <m/>
  </r>
  <r>
    <x v="9"/>
    <s v="GD250216"/>
    <s v="Rivero, Ronald Sta. Ana"/>
    <s v="GD250216"/>
    <d v="2026-07-13T00:00:00"/>
    <m/>
    <s v="8AM-5PM"/>
    <d v="1899-12-30T07:40:00"/>
    <d v="1899-12-30T17:01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14T00:00:00"/>
    <m/>
    <s v="8AM-5PM"/>
    <d v="1899-12-30T07:23:00"/>
    <d v="1899-12-30T17:00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15T00:00:00"/>
    <m/>
    <s v="8AM-5PM"/>
    <d v="1899-12-30T07:36:00"/>
    <d v="1899-12-30T17:00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16T00:00:00"/>
    <m/>
    <s v="8AM-5PM"/>
    <d v="1899-12-30T07:46:00"/>
    <d v="1899-12-30T17:00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17T00:00:00"/>
    <m/>
    <s v="8AM-5PM"/>
    <d v="1899-12-30T07:35:00"/>
    <d v="1899-12-30T17:00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18T00:00:00"/>
    <m/>
    <s v="8AM-5PM"/>
    <m/>
    <m/>
    <m/>
    <m/>
    <m/>
    <m/>
    <m/>
    <m/>
    <m/>
    <m/>
    <m/>
    <m/>
    <m/>
    <m/>
    <m/>
    <m/>
    <m/>
    <m/>
  </r>
  <r>
    <x v="9"/>
    <s v="GD250216"/>
    <s v="Rivero, Ronald Sta. Ana"/>
    <s v="GD250216"/>
    <d v="2026-07-19T00:00:00"/>
    <m/>
    <m/>
    <s v="SUNDAY"/>
    <m/>
    <m/>
    <m/>
    <m/>
    <m/>
    <m/>
    <m/>
    <m/>
    <m/>
    <m/>
    <m/>
    <m/>
    <m/>
    <m/>
    <m/>
    <m/>
    <m/>
  </r>
  <r>
    <x v="9"/>
    <s v="GD250216"/>
    <s v="Rivero, Ronald Sta. Ana"/>
    <s v="GD250216"/>
    <d v="2026-07-20T00:00:00"/>
    <m/>
    <s v="8AM-5PM"/>
    <d v="1899-12-30T07:22:00"/>
    <d v="1899-12-30T17:01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21T00:00:00"/>
    <m/>
    <s v="8AM-5PM"/>
    <d v="1899-12-30T07:44:00"/>
    <d v="1899-12-30T17:00:00"/>
    <s v="A"/>
    <n v="8"/>
    <m/>
    <m/>
    <m/>
    <m/>
    <m/>
    <m/>
    <m/>
    <m/>
    <m/>
    <m/>
    <m/>
    <m/>
    <m/>
    <m/>
  </r>
  <r>
    <x v="9"/>
    <s v="GD250216"/>
    <s v="Rivero, Ronald Sta. Ana"/>
    <s v="GD250216"/>
    <d v="2026-07-22T00:00:00"/>
    <m/>
    <s v="8AM-5PM"/>
    <d v="1899-12-30T07:35:00"/>
    <d v="1899-12-30T19:03:00"/>
    <s v="A"/>
    <n v="8"/>
    <n v="2"/>
    <m/>
    <m/>
    <m/>
    <m/>
    <m/>
    <m/>
    <m/>
    <m/>
    <m/>
    <m/>
    <m/>
    <m/>
    <m/>
  </r>
  <r>
    <x v="9"/>
    <s v="GD250216"/>
    <s v="Rivero, Ronald Sta. Ana"/>
    <s v="GD250216"/>
    <d v="2026-07-23T00:00:00"/>
    <m/>
    <s v="8AM-5PM"/>
    <d v="1899-12-30T07:26:00"/>
    <d v="1899-12-30T19:01:00"/>
    <s v="A"/>
    <n v="8"/>
    <n v="2"/>
    <m/>
    <m/>
    <m/>
    <m/>
    <m/>
    <m/>
    <m/>
    <m/>
    <m/>
    <m/>
    <m/>
    <m/>
    <m/>
  </r>
  <r>
    <x v="9"/>
    <s v="GD250216"/>
    <s v="Rivero, Ronald Sta. Ana"/>
    <s v="GD250216"/>
    <d v="2026-07-24T00:00:00"/>
    <m/>
    <s v="8AM-5PM"/>
    <d v="1899-12-30T07:52:00"/>
    <d v="1899-12-30T19:01:00"/>
    <s v="A"/>
    <n v="8"/>
    <n v="2"/>
    <m/>
    <m/>
    <m/>
    <m/>
    <m/>
    <m/>
    <m/>
    <m/>
    <m/>
    <m/>
    <m/>
    <m/>
    <m/>
  </r>
  <r>
    <x v="9"/>
    <s v="GD250216"/>
    <s v="Rivero, Ronald Sta. Ana"/>
    <s v="GD250216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6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0"/>
    <s v="GD250270"/>
    <s v="Salumbides, Luigi Lazo"/>
    <s v="GD250270"/>
    <d v="2026-07-11T00:00:00"/>
    <m/>
    <s v="8AM-5PM"/>
    <d v="1899-12-30T07:33:00"/>
    <d v="1899-12-30T17:04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12T00:00:00"/>
    <m/>
    <m/>
    <s v="SUNDAY"/>
    <m/>
    <m/>
    <m/>
    <m/>
    <m/>
    <m/>
    <m/>
    <m/>
    <m/>
    <m/>
    <m/>
    <m/>
    <m/>
    <m/>
    <m/>
    <m/>
    <m/>
  </r>
  <r>
    <x v="10"/>
    <s v="GD250270"/>
    <s v="Salumbides, Luigi Lazo"/>
    <s v="GD250270"/>
    <d v="2026-07-13T00:00:00"/>
    <m/>
    <s v="8AM-5PM"/>
    <d v="1899-12-30T07:37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14T00:00:00"/>
    <m/>
    <s v="8AM-5PM"/>
    <d v="1899-12-30T07:37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15T00:00:00"/>
    <m/>
    <s v="8AM-5PM"/>
    <d v="1899-12-30T07:34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16T00:00:00"/>
    <m/>
    <s v="8AM-5PM"/>
    <d v="1899-12-30T07:26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17T00:00:00"/>
    <m/>
    <s v="8AM-5PM"/>
    <d v="1899-12-30T07:38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18T00:00:00"/>
    <m/>
    <m/>
    <m/>
    <m/>
    <m/>
    <m/>
    <m/>
    <m/>
    <m/>
    <m/>
    <m/>
    <m/>
    <m/>
    <m/>
    <m/>
    <m/>
    <m/>
    <m/>
    <m/>
    <m/>
  </r>
  <r>
    <x v="10"/>
    <s v="GD250270"/>
    <s v="Salumbides, Luigi Lazo"/>
    <s v="GD250270"/>
    <d v="2026-07-19T00:00:00"/>
    <m/>
    <m/>
    <s v="SUNDAY"/>
    <m/>
    <m/>
    <m/>
    <m/>
    <m/>
    <m/>
    <m/>
    <m/>
    <m/>
    <m/>
    <m/>
    <m/>
    <m/>
    <m/>
    <m/>
    <m/>
    <m/>
  </r>
  <r>
    <x v="10"/>
    <s v="GD250270"/>
    <s v="Salumbides, Luigi Lazo"/>
    <s v="GD250270"/>
    <d v="2026-07-20T00:00:00"/>
    <m/>
    <s v="8AM-5PM"/>
    <d v="1899-12-30T07:30:00"/>
    <d v="1899-12-30T17:03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21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22T00:00:00"/>
    <m/>
    <s v="8AM-5PM"/>
    <d v="1899-12-30T07:37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23T00:00:00"/>
    <m/>
    <s v="8AM-5PM"/>
    <d v="1899-12-30T07:37:00"/>
    <d v="1899-12-30T17:01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24T00:00:00"/>
    <m/>
    <s v="8AM-5PM"/>
    <d v="1899-12-30T07:36:00"/>
    <d v="1899-12-30T17:00:00"/>
    <s v="A"/>
    <n v="8"/>
    <m/>
    <m/>
    <m/>
    <m/>
    <m/>
    <m/>
    <m/>
    <m/>
    <m/>
    <m/>
    <m/>
    <m/>
    <m/>
    <m/>
  </r>
  <r>
    <x v="10"/>
    <s v="GD250270"/>
    <s v="Salumbides, Luigi Lazo"/>
    <s v="GD250270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1"/>
    <s v="GD250278"/>
    <s v="Aclan, Marvin Balmes"/>
    <s v="GD250278"/>
    <d v="2026-07-11T00:00:00"/>
    <m/>
    <m/>
    <m/>
    <m/>
    <m/>
    <m/>
    <m/>
    <m/>
    <m/>
    <m/>
    <m/>
    <m/>
    <m/>
    <m/>
    <m/>
    <m/>
    <m/>
    <m/>
    <m/>
    <m/>
  </r>
  <r>
    <x v="11"/>
    <s v="GD250278"/>
    <s v="Aclan, Marvin Balmes"/>
    <s v="GD250278"/>
    <d v="2026-07-12T00:00:00"/>
    <m/>
    <m/>
    <s v="SUNDAY"/>
    <m/>
    <m/>
    <m/>
    <m/>
    <m/>
    <m/>
    <m/>
    <m/>
    <m/>
    <m/>
    <m/>
    <m/>
    <m/>
    <m/>
    <m/>
    <m/>
    <m/>
  </r>
  <r>
    <x v="11"/>
    <s v="GD250278"/>
    <s v="Aclan, Marvin Balmes"/>
    <s v="GD250278"/>
    <d v="2026-07-13T00:00:00"/>
    <m/>
    <m/>
    <m/>
    <m/>
    <m/>
    <m/>
    <m/>
    <m/>
    <m/>
    <m/>
    <m/>
    <m/>
    <m/>
    <m/>
    <m/>
    <m/>
    <m/>
    <m/>
    <m/>
    <m/>
  </r>
  <r>
    <x v="11"/>
    <s v="GD250278"/>
    <s v="Aclan, Marvin Balmes"/>
    <s v="GD250278"/>
    <d v="2026-07-14T00:00:00"/>
    <m/>
    <s v="7PM-4AM"/>
    <d v="1899-12-30T18:43:00"/>
    <d v="1899-12-30T06:00:00"/>
    <s v="B"/>
    <n v="8"/>
    <n v="2"/>
    <n v="6"/>
    <n v="2"/>
    <m/>
    <m/>
    <m/>
    <m/>
    <m/>
    <m/>
    <m/>
    <m/>
    <m/>
    <m/>
    <m/>
  </r>
  <r>
    <x v="11"/>
    <s v="GD250278"/>
    <s v="Aclan, Marvin Balmes"/>
    <s v="GD250278"/>
    <d v="2026-07-15T00:00:00"/>
    <m/>
    <s v="7PM-4AM"/>
    <d v="1899-12-30T18:36:00"/>
    <d v="1899-12-30T06:00:00"/>
    <s v="B"/>
    <n v="8"/>
    <n v="2"/>
    <n v="6"/>
    <n v="2"/>
    <m/>
    <m/>
    <m/>
    <m/>
    <m/>
    <m/>
    <m/>
    <m/>
    <m/>
    <m/>
    <m/>
  </r>
  <r>
    <x v="11"/>
    <s v="GD250278"/>
    <s v="Aclan, Marvin Balmes"/>
    <s v="GD250278"/>
    <d v="2026-07-16T00:00:00"/>
    <m/>
    <s v="7PM-4AM"/>
    <d v="1899-12-30T18:34:00"/>
    <d v="1899-12-30T04:00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17T00:00:00"/>
    <m/>
    <s v="7PM-4AM"/>
    <d v="1899-12-30T18:45:00"/>
    <d v="1899-12-30T04:01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18T00:00:00"/>
    <m/>
    <s v="7PM-4AM"/>
    <d v="1899-12-30T18:46:00"/>
    <d v="1899-12-30T04:01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19T00:00:00"/>
    <m/>
    <m/>
    <s v="SUNDAY"/>
    <m/>
    <m/>
    <m/>
    <m/>
    <m/>
    <m/>
    <m/>
    <m/>
    <m/>
    <m/>
    <m/>
    <m/>
    <m/>
    <m/>
    <m/>
    <m/>
    <m/>
  </r>
  <r>
    <x v="11"/>
    <s v="GD250278"/>
    <s v="Aclan, Marvin Balmes"/>
    <s v="GD250278"/>
    <d v="2026-07-20T00:00:00"/>
    <m/>
    <s v="7PM-4AM"/>
    <d v="1899-12-30T18:38:00"/>
    <d v="1899-12-30T04:01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21T00:00:00"/>
    <m/>
    <s v="7PM-4AM"/>
    <d v="1899-12-30T18:29:00"/>
    <d v="1899-12-30T06:01:00"/>
    <s v="B"/>
    <n v="8"/>
    <n v="2"/>
    <n v="6"/>
    <n v="2"/>
    <m/>
    <m/>
    <m/>
    <m/>
    <m/>
    <m/>
    <m/>
    <m/>
    <m/>
    <m/>
    <m/>
  </r>
  <r>
    <x v="11"/>
    <s v="GD250278"/>
    <s v="Aclan, Marvin Balmes"/>
    <s v="GD250278"/>
    <d v="2026-07-22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23T00:00:00"/>
    <m/>
    <s v="7PM-4AM"/>
    <d v="1899-12-30T18:19:00"/>
    <d v="1899-12-30T04:00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24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11"/>
    <s v="GD250278"/>
    <s v="Aclan, Marvin Balmes"/>
    <s v="GD250278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6"/>
    <n v="60"/>
    <n v="6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2"/>
    <s v="GD250292"/>
    <s v="Ampon, Jerrold Mark Anday"/>
    <s v="GD250292"/>
    <d v="2026-07-11T00:00:00"/>
    <m/>
    <s v="8AM-5PM"/>
    <d v="1899-12-30T07:55:00"/>
    <d v="1899-12-30T12:07:00"/>
    <s v="A"/>
    <n v="4"/>
    <m/>
    <m/>
    <m/>
    <m/>
    <m/>
    <m/>
    <m/>
    <m/>
    <m/>
    <m/>
    <m/>
    <m/>
    <m/>
    <m/>
  </r>
  <r>
    <x v="12"/>
    <s v="GD250292"/>
    <s v="Ampon, Jerrold Mark Anday"/>
    <s v="GD250292"/>
    <d v="2026-07-12T00:00:00"/>
    <m/>
    <m/>
    <s v="SUNDAY"/>
    <m/>
    <m/>
    <m/>
    <m/>
    <m/>
    <m/>
    <m/>
    <m/>
    <m/>
    <m/>
    <m/>
    <m/>
    <m/>
    <m/>
    <m/>
    <m/>
    <m/>
  </r>
  <r>
    <x v="12"/>
    <s v="GD250292"/>
    <s v="Ampon, Jerrold Mark Anday"/>
    <s v="GD250292"/>
    <d v="2026-07-13T00:00:00"/>
    <m/>
    <s v="7PM-4AM"/>
    <d v="1899-12-30T18:28:00"/>
    <d v="1899-12-30T06:00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14T00:00:00"/>
    <m/>
    <s v="7PM-4AM"/>
    <d v="1899-12-30T18:29:00"/>
    <d v="1899-12-30T06:00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15T00:00:00"/>
    <m/>
    <s v="7PM-4AM"/>
    <d v="1899-12-30T18:23:00"/>
    <d v="1899-12-30T06:00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16T00:00:00"/>
    <m/>
    <s v="7PM-4AM"/>
    <d v="1899-12-30T18:14:00"/>
    <d v="1899-12-30T06:03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17T00:00:00"/>
    <m/>
    <s v="7PM-4AM"/>
    <d v="1899-12-30T18:56:00"/>
    <d v="1899-12-30T06:02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18T00:00:00"/>
    <m/>
    <s v="7PM-4AM"/>
    <d v="1899-12-30T18:59:00"/>
    <d v="1899-12-30T04:00:00"/>
    <s v="B"/>
    <n v="8"/>
    <m/>
    <n v="6"/>
    <m/>
    <m/>
    <m/>
    <m/>
    <m/>
    <m/>
    <m/>
    <m/>
    <m/>
    <m/>
    <m/>
    <m/>
  </r>
  <r>
    <x v="12"/>
    <s v="GD250292"/>
    <s v="Ampon, Jerrold Mark Anday"/>
    <s v="GD250292"/>
    <d v="2026-07-19T00:00:00"/>
    <m/>
    <m/>
    <s v="SUNDAY"/>
    <m/>
    <m/>
    <m/>
    <m/>
    <m/>
    <m/>
    <m/>
    <m/>
    <m/>
    <m/>
    <m/>
    <m/>
    <m/>
    <m/>
    <m/>
    <m/>
    <m/>
  </r>
  <r>
    <x v="12"/>
    <s v="GD250292"/>
    <s v="Ampon, Jerrold Mark Anday"/>
    <s v="GD250292"/>
    <d v="2026-07-20T00:00:00"/>
    <m/>
    <s v="7PM-4AM"/>
    <d v="1899-12-30T18:14:00"/>
    <d v="1899-12-30T06:01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21T00:00:00"/>
    <m/>
    <s v="7PM-4AM"/>
    <d v="1899-12-30T18:33:00"/>
    <d v="1899-12-30T06:01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22T00:00:00"/>
    <m/>
    <s v="7PM-4AM"/>
    <d v="1899-12-30T18:25:00"/>
    <d v="1899-12-30T04:00:00"/>
    <s v="B"/>
    <n v="8"/>
    <m/>
    <n v="6"/>
    <m/>
    <m/>
    <m/>
    <m/>
    <m/>
    <m/>
    <m/>
    <m/>
    <m/>
    <m/>
    <m/>
    <m/>
  </r>
  <r>
    <x v="12"/>
    <s v="GD250292"/>
    <s v="Ampon, Jerrold Mark Anday"/>
    <s v="GD250292"/>
    <d v="2026-07-23T00:00:00"/>
    <m/>
    <s v="7PM-4AM"/>
    <d v="1899-12-30T18:30:00"/>
    <d v="1899-12-30T06:02:00"/>
    <s v="B"/>
    <n v="8"/>
    <n v="2"/>
    <n v="6"/>
    <n v="2"/>
    <m/>
    <m/>
    <m/>
    <m/>
    <m/>
    <m/>
    <m/>
    <m/>
    <m/>
    <m/>
    <m/>
  </r>
  <r>
    <x v="12"/>
    <s v="GD250292"/>
    <s v="Ampon, Jerrold Mark Anday"/>
    <s v="GD250292"/>
    <d v="2026-07-24T00:00:00"/>
    <m/>
    <s v="7PM-4AM"/>
    <d v="1899-12-30T18:13:00"/>
    <d v="1899-12-30T04:00:00"/>
    <s v="B"/>
    <n v="8"/>
    <m/>
    <n v="6"/>
    <m/>
    <m/>
    <m/>
    <m/>
    <m/>
    <m/>
    <m/>
    <m/>
    <m/>
    <m/>
    <m/>
    <m/>
  </r>
  <r>
    <x v="12"/>
    <s v="GD250292"/>
    <s v="Ampon, Jerrold Mark Anday"/>
    <s v="GD250292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2"/>
    <n v="16"/>
    <n v="66"/>
    <n v="16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3"/>
    <s v="GD250201"/>
    <s v="Balba, Christopher Laloma"/>
    <s v="GD250201"/>
    <d v="2026-07-11T00:00:00"/>
    <m/>
    <m/>
    <m/>
    <m/>
    <m/>
    <m/>
    <m/>
    <m/>
    <m/>
    <m/>
    <m/>
    <m/>
    <m/>
    <m/>
    <m/>
    <m/>
    <m/>
    <m/>
    <m/>
    <m/>
  </r>
  <r>
    <x v="13"/>
    <s v="GD250201"/>
    <s v="Balba, Christopher Laloma"/>
    <s v="GD250201"/>
    <d v="2026-07-12T00:00:00"/>
    <m/>
    <m/>
    <s v="SUNDAY"/>
    <m/>
    <m/>
    <m/>
    <m/>
    <m/>
    <m/>
    <m/>
    <m/>
    <m/>
    <m/>
    <m/>
    <m/>
    <m/>
    <m/>
    <m/>
    <m/>
    <m/>
  </r>
  <r>
    <x v="13"/>
    <s v="GD250201"/>
    <s v="Balba, Christopher Laloma"/>
    <s v="GD250201"/>
    <d v="2026-07-13T00:00:00"/>
    <m/>
    <s v="7PM-4AM"/>
    <d v="1899-12-30T18:28:00"/>
    <d v="1899-12-30T06:00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14T00:00:00"/>
    <m/>
    <s v="7PM-4AM"/>
    <d v="1899-12-30T18:47:00"/>
    <d v="1899-12-30T06:00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15T00:00:00"/>
    <m/>
    <s v="7PM-4AM"/>
    <d v="1899-12-30T18:18:00"/>
    <d v="1899-12-30T06:00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16T00:00:00"/>
    <m/>
    <s v="7PM-4AM"/>
    <d v="1899-12-30T18:28:00"/>
    <d v="1899-12-30T06:00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17T00:00:00"/>
    <m/>
    <s v="7PM-4AM"/>
    <d v="1899-12-30T18:18:00"/>
    <d v="1899-12-30T04:01:00"/>
    <s v="B"/>
    <n v="8"/>
    <m/>
    <n v="6"/>
    <m/>
    <m/>
    <m/>
    <m/>
    <m/>
    <m/>
    <m/>
    <m/>
    <m/>
    <m/>
    <m/>
    <m/>
  </r>
  <r>
    <x v="13"/>
    <s v="GD250201"/>
    <s v="Balba, Christopher Laloma"/>
    <s v="GD250201"/>
    <d v="2026-07-18T00:00:00"/>
    <m/>
    <s v="7PM-4AM"/>
    <d v="1899-12-30T18:47:00"/>
    <d v="1899-12-30T04:01:00"/>
    <s v="B"/>
    <n v="8"/>
    <m/>
    <n v="6"/>
    <m/>
    <m/>
    <m/>
    <m/>
    <m/>
    <m/>
    <m/>
    <m/>
    <m/>
    <m/>
    <m/>
    <m/>
  </r>
  <r>
    <x v="13"/>
    <s v="GD250201"/>
    <s v="Balba, Christopher Laloma"/>
    <s v="GD250201"/>
    <d v="2026-07-19T00:00:00"/>
    <m/>
    <m/>
    <s v="SUNDAY"/>
    <m/>
    <m/>
    <m/>
    <m/>
    <m/>
    <m/>
    <m/>
    <m/>
    <m/>
    <m/>
    <m/>
    <m/>
    <m/>
    <m/>
    <m/>
    <m/>
    <m/>
  </r>
  <r>
    <x v="13"/>
    <s v="GD250201"/>
    <s v="Balba, Christopher Laloma"/>
    <s v="GD250201"/>
    <d v="2026-07-20T00:00:00"/>
    <m/>
    <s v="7PM-4AM"/>
    <d v="1899-12-30T18:18:00"/>
    <d v="1899-12-30T06:02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21T00:00:00"/>
    <m/>
    <s v="7PM-4AM"/>
    <d v="1899-12-30T18:21:00"/>
    <d v="1899-12-30T06:01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22T00:00:00"/>
    <m/>
    <s v="7PM-4AM"/>
    <d v="1899-12-30T18:33:00"/>
    <d v="1899-12-30T06:00:00"/>
    <s v="B"/>
    <n v="8"/>
    <n v="2"/>
    <n v="6"/>
    <n v="2"/>
    <m/>
    <m/>
    <m/>
    <m/>
    <m/>
    <m/>
    <m/>
    <m/>
    <m/>
    <m/>
    <m/>
  </r>
  <r>
    <x v="13"/>
    <s v="GD250201"/>
    <s v="Balba, Christopher Laloma"/>
    <s v="GD250201"/>
    <d v="2026-07-23T00:00:00"/>
    <m/>
    <s v="7PM-4AM"/>
    <d v="1899-12-30T18:19:00"/>
    <d v="1899-12-30T04:00:00"/>
    <s v="B"/>
    <n v="8"/>
    <m/>
    <n v="6"/>
    <m/>
    <m/>
    <m/>
    <m/>
    <m/>
    <m/>
    <m/>
    <m/>
    <m/>
    <m/>
    <m/>
    <m/>
  </r>
  <r>
    <x v="13"/>
    <s v="GD250201"/>
    <s v="Balba, Christopher Laloma"/>
    <s v="GD250201"/>
    <d v="2026-07-24T00:00:00"/>
    <m/>
    <s v="7PM-4AM"/>
    <d v="1899-12-30T18:21:00"/>
    <d v="1899-12-30T04:00:00"/>
    <s v="B"/>
    <n v="8"/>
    <m/>
    <n v="6"/>
    <m/>
    <m/>
    <m/>
    <m/>
    <m/>
    <m/>
    <m/>
    <m/>
    <m/>
    <m/>
    <m/>
    <m/>
  </r>
  <r>
    <x v="13"/>
    <s v="GD250201"/>
    <s v="Balba, Christopher Laloma"/>
    <s v="GD250201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14"/>
    <n v="66"/>
    <n v="14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4"/>
    <s v="GD250031"/>
    <s v="De Leon, Jenny Sinodlay"/>
    <s v="GD250031"/>
    <d v="2026-07-11T00:00:00"/>
    <m/>
    <s v="8AM-5PM"/>
    <d v="1899-12-30T07:27:00"/>
    <d v="1899-12-30T17:00:00"/>
    <s v="A"/>
    <n v="8"/>
    <m/>
    <m/>
    <m/>
    <m/>
    <m/>
    <m/>
    <m/>
    <m/>
    <m/>
    <m/>
    <m/>
    <m/>
    <m/>
    <m/>
  </r>
  <r>
    <x v="14"/>
    <s v="GD250031"/>
    <s v="De Leon, Jenny Sinodlay"/>
    <s v="GD250031"/>
    <d v="2026-07-12T00:00:00"/>
    <m/>
    <m/>
    <s v="SUNDAY"/>
    <m/>
    <m/>
    <m/>
    <m/>
    <m/>
    <m/>
    <m/>
    <m/>
    <m/>
    <m/>
    <m/>
    <m/>
    <m/>
    <m/>
    <m/>
    <m/>
    <m/>
  </r>
  <r>
    <x v="14"/>
    <s v="GD250031"/>
    <s v="De Leon, Jenny Sinodlay"/>
    <s v="GD250031"/>
    <d v="2026-07-13T00:00:00"/>
    <m/>
    <s v="7PM-4AM"/>
    <d v="1899-12-30T18:14:00"/>
    <d v="1899-12-30T06:00:00"/>
    <s v="B"/>
    <n v="8"/>
    <n v="2"/>
    <n v="6"/>
    <n v="2"/>
    <m/>
    <m/>
    <m/>
    <m/>
    <m/>
    <m/>
    <m/>
    <m/>
    <m/>
    <m/>
    <m/>
  </r>
  <r>
    <x v="14"/>
    <s v="GD250031"/>
    <s v="De Leon, Jenny Sinodlay"/>
    <s v="GD250031"/>
    <d v="2026-07-14T00:00:00"/>
    <m/>
    <s v="7PM-4AM"/>
    <d v="1899-12-30T18:35:00"/>
    <d v="1899-12-30T06:00:00"/>
    <s v="B"/>
    <n v="8"/>
    <n v="2"/>
    <n v="6"/>
    <n v="2"/>
    <m/>
    <m/>
    <m/>
    <m/>
    <m/>
    <m/>
    <m/>
    <m/>
    <m/>
    <m/>
    <m/>
  </r>
  <r>
    <x v="14"/>
    <s v="GD250031"/>
    <s v="De Leon, Jenny Sinodlay"/>
    <s v="GD250031"/>
    <d v="2026-07-15T00:00:00"/>
    <m/>
    <s v="7PM-4AM"/>
    <d v="1899-12-30T18:31:00"/>
    <d v="1899-12-30T06:00:00"/>
    <s v="B"/>
    <n v="8"/>
    <n v="2"/>
    <n v="6"/>
    <n v="2"/>
    <m/>
    <m/>
    <m/>
    <m/>
    <m/>
    <m/>
    <m/>
    <m/>
    <m/>
    <m/>
    <m/>
  </r>
  <r>
    <x v="14"/>
    <s v="GD250031"/>
    <s v="De Leon, Jenny Sinodlay"/>
    <s v="GD250031"/>
    <d v="2026-07-16T00:00:00"/>
    <m/>
    <s v="7PM-4AM"/>
    <d v="1899-12-30T18:34:00"/>
    <d v="1899-12-30T04:01:00"/>
    <s v="B"/>
    <n v="8"/>
    <m/>
    <n v="6"/>
    <m/>
    <m/>
    <m/>
    <m/>
    <m/>
    <m/>
    <m/>
    <m/>
    <m/>
    <m/>
    <m/>
    <m/>
  </r>
  <r>
    <x v="14"/>
    <s v="GD250031"/>
    <s v="De Leon, Jenny Sinodlay"/>
    <s v="GD250031"/>
    <d v="2026-07-17T00:00:00"/>
    <m/>
    <s v="7PM-4AM"/>
    <d v="1899-12-30T18:36:00"/>
    <d v="1899-12-30T06:00:00"/>
    <s v="B"/>
    <n v="8"/>
    <n v="2"/>
    <n v="6"/>
    <n v="2"/>
    <m/>
    <m/>
    <m/>
    <m/>
    <m/>
    <m/>
    <m/>
    <m/>
    <m/>
    <m/>
    <m/>
  </r>
  <r>
    <x v="14"/>
    <s v="GD250031"/>
    <s v="De Leon, Jenny Sinodlay"/>
    <s v="GD250031"/>
    <d v="2026-07-18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14"/>
    <s v="GD250031"/>
    <s v="De Leon, Jenny Sinodlay"/>
    <s v="GD250031"/>
    <d v="2026-07-19T00:00:00"/>
    <m/>
    <m/>
    <s v="SUNDAY"/>
    <m/>
    <m/>
    <m/>
    <m/>
    <m/>
    <m/>
    <m/>
    <m/>
    <m/>
    <m/>
    <m/>
    <m/>
    <m/>
    <m/>
    <m/>
    <m/>
    <m/>
  </r>
  <r>
    <x v="14"/>
    <s v="GD250031"/>
    <s v="De Leon, Jenny Sinodlay"/>
    <s v="GD250031"/>
    <d v="2026-07-20T00:00:00"/>
    <m/>
    <s v="7PM-4AM"/>
    <d v="1899-12-30T18:30:00"/>
    <d v="1899-12-30T04:00:00"/>
    <s v="B"/>
    <n v="8"/>
    <m/>
    <n v="6"/>
    <m/>
    <m/>
    <m/>
    <m/>
    <m/>
    <m/>
    <m/>
    <m/>
    <m/>
    <m/>
    <m/>
    <m/>
  </r>
  <r>
    <x v="14"/>
    <s v="GD250031"/>
    <s v="De Leon, Jenny Sinodlay"/>
    <s v="GD250031"/>
    <d v="2026-07-21T00:00:00"/>
    <m/>
    <s v="7PM-4AM"/>
    <d v="1899-12-30T18:29:00"/>
    <d v="1899-12-30T06:00:00"/>
    <s v="B"/>
    <n v="8"/>
    <n v="2"/>
    <n v="6"/>
    <n v="2"/>
    <m/>
    <m/>
    <m/>
    <m/>
    <m/>
    <m/>
    <m/>
    <m/>
    <m/>
    <m/>
    <m/>
  </r>
  <r>
    <x v="14"/>
    <s v="GD250031"/>
    <s v="De Leon, Jenny Sinodlay"/>
    <s v="GD250031"/>
    <d v="2026-07-22T00:00:00"/>
    <m/>
    <s v="7PM-4AM"/>
    <d v="1899-12-30T18:22:00"/>
    <d v="1899-12-30T04:00:00"/>
    <s v="B"/>
    <n v="8"/>
    <m/>
    <n v="6"/>
    <m/>
    <m/>
    <m/>
    <m/>
    <m/>
    <m/>
    <m/>
    <m/>
    <m/>
    <m/>
    <m/>
    <m/>
  </r>
  <r>
    <x v="14"/>
    <s v="GD250031"/>
    <s v="De Leon, Jenny Sinodlay"/>
    <s v="GD250031"/>
    <d v="2026-07-23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14"/>
    <s v="GD250031"/>
    <s v="De Leon, Jenny Sinodlay"/>
    <s v="GD250031"/>
    <d v="2026-07-24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14"/>
    <s v="GD250031"/>
    <s v="De Leon, Jenny Sinodlay"/>
    <s v="GD250031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0"/>
    <n v="66"/>
    <n v="1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5"/>
    <s v="GD250135"/>
    <s v="Doronela, Jimuel Belason"/>
    <s v="GD250135"/>
    <d v="2026-07-11T00:00:00"/>
    <m/>
    <m/>
    <m/>
    <m/>
    <m/>
    <m/>
    <m/>
    <m/>
    <m/>
    <m/>
    <m/>
    <m/>
    <m/>
    <m/>
    <m/>
    <m/>
    <m/>
    <m/>
    <m/>
    <m/>
  </r>
  <r>
    <x v="15"/>
    <s v="GD250135"/>
    <s v="Doronela, Jimuel Belason"/>
    <s v="GD250135"/>
    <d v="2026-07-12T00:00:00"/>
    <m/>
    <m/>
    <s v="SUNDAY"/>
    <m/>
    <m/>
    <m/>
    <m/>
    <m/>
    <m/>
    <m/>
    <m/>
    <m/>
    <m/>
    <m/>
    <m/>
    <m/>
    <m/>
    <m/>
    <m/>
    <m/>
  </r>
  <r>
    <x v="15"/>
    <s v="GD250135"/>
    <s v="Doronela, Jimuel Belason"/>
    <s v="GD250135"/>
    <d v="2026-07-13T00:00:00"/>
    <m/>
    <s v="8AM-5PM"/>
    <d v="1899-12-30T07:28:00"/>
    <d v="1899-12-30T17:01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14T00:00:00"/>
    <m/>
    <s v="8AM-5PM"/>
    <d v="1899-12-30T07:30:00"/>
    <d v="1899-12-30T17:01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15T00:00:00"/>
    <m/>
    <s v="8AM-5PM"/>
    <d v="1899-12-30T07:30:00"/>
    <d v="1899-12-30T17:01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16T00:00:00"/>
    <m/>
    <s v="8AM-5PM"/>
    <d v="1899-12-30T07:42:00"/>
    <d v="1899-12-30T17:01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17T00:00:00"/>
    <m/>
    <s v="8AM-5PM"/>
    <d v="1899-12-30T07:27:00"/>
    <d v="1899-12-30T19:03:00"/>
    <s v="A"/>
    <n v="8"/>
    <n v="2"/>
    <m/>
    <m/>
    <m/>
    <m/>
    <m/>
    <m/>
    <m/>
    <m/>
    <m/>
    <m/>
    <m/>
    <m/>
    <m/>
  </r>
  <r>
    <x v="15"/>
    <s v="GD250135"/>
    <s v="Doronela, Jimuel Belason"/>
    <s v="GD250135"/>
    <d v="2026-07-18T00:00:00"/>
    <m/>
    <s v="8AM-5PM"/>
    <d v="1899-12-30T07:27:00"/>
    <d v="1899-12-30T17:01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19T00:00:00"/>
    <m/>
    <m/>
    <s v="SUNDAY"/>
    <m/>
    <m/>
    <m/>
    <m/>
    <m/>
    <m/>
    <m/>
    <m/>
    <m/>
    <m/>
    <m/>
    <m/>
    <m/>
    <m/>
    <m/>
    <m/>
    <m/>
  </r>
  <r>
    <x v="15"/>
    <s v="GD250135"/>
    <s v="Doronela, Jimuel Belason"/>
    <s v="GD250135"/>
    <d v="2026-07-20T00:00:00"/>
    <m/>
    <s v="8AM-5PM"/>
    <d v="1899-12-30T07:27:00"/>
    <d v="1899-12-30T17:01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21T00:00:00"/>
    <m/>
    <s v="8AM-5PM"/>
    <d v="1899-12-30T07:27:00"/>
    <d v="1899-12-30T17:00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22T00:00:00"/>
    <m/>
    <s v="8AM-5PM"/>
    <d v="1899-12-30T07:34:00"/>
    <d v="1899-12-30T17:02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23T00:00:00"/>
    <m/>
    <s v="8AM-5PM"/>
    <d v="1899-12-30T07:28:00"/>
    <d v="1899-12-30T17:00:00"/>
    <s v="A"/>
    <n v="8"/>
    <m/>
    <m/>
    <m/>
    <m/>
    <m/>
    <m/>
    <m/>
    <m/>
    <m/>
    <m/>
    <m/>
    <m/>
    <m/>
    <m/>
  </r>
  <r>
    <x v="15"/>
    <s v="GD250135"/>
    <s v="Doronela, Jimuel Belason"/>
    <s v="GD250135"/>
    <d v="2026-07-24T00:00:00"/>
    <m/>
    <s v="8AM-5PM"/>
    <d v="1899-12-30T07:18:00"/>
    <d v="1899-12-30T19:01:00"/>
    <s v="A"/>
    <n v="8"/>
    <n v="2"/>
    <m/>
    <m/>
    <m/>
    <m/>
    <m/>
    <m/>
    <m/>
    <m/>
    <m/>
    <m/>
    <m/>
    <m/>
    <m/>
  </r>
  <r>
    <x v="15"/>
    <s v="GD250135"/>
    <s v="Doronela, Jimuel Belason"/>
    <s v="GD25013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4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6"/>
    <s v="GD250417"/>
    <s v="Magpao, Joven Dinolan"/>
    <s v="GD250417"/>
    <d v="2026-07-11T00:00:00"/>
    <m/>
    <m/>
    <m/>
    <m/>
    <m/>
    <m/>
    <m/>
    <m/>
    <m/>
    <m/>
    <m/>
    <m/>
    <m/>
    <m/>
    <m/>
    <m/>
    <m/>
    <m/>
    <m/>
    <m/>
  </r>
  <r>
    <x v="16"/>
    <s v="GD250417"/>
    <s v="Magpao, Joven Dinolan"/>
    <s v="GD250417"/>
    <d v="2026-07-12T00:00:00"/>
    <m/>
    <m/>
    <s v="SUNDAY"/>
    <m/>
    <m/>
    <m/>
    <m/>
    <m/>
    <m/>
    <m/>
    <m/>
    <m/>
    <m/>
    <m/>
    <m/>
    <m/>
    <m/>
    <m/>
    <m/>
    <m/>
  </r>
  <r>
    <x v="16"/>
    <s v="GD250417"/>
    <s v="Magpao, Joven Dinolan"/>
    <s v="GD250417"/>
    <d v="2026-07-13T00:00:00"/>
    <m/>
    <s v="7PM-4AM"/>
    <d v="1899-12-30T18:27:00"/>
    <d v="1899-12-30T06:00:00"/>
    <s v="B"/>
    <n v="8"/>
    <n v="2"/>
    <n v="6"/>
    <n v="2"/>
    <m/>
    <m/>
    <m/>
    <m/>
    <m/>
    <m/>
    <m/>
    <m/>
    <m/>
    <m/>
    <m/>
  </r>
  <r>
    <x v="16"/>
    <s v="GD250417"/>
    <s v="Magpao, Joven Dinolan"/>
    <s v="GD250417"/>
    <d v="2026-07-14T00:00:00"/>
    <m/>
    <s v="7PM-4AM"/>
    <d v="1899-12-30T18:32:00"/>
    <d v="1899-12-30T06:01:00"/>
    <s v="B"/>
    <n v="8"/>
    <n v="2"/>
    <n v="6"/>
    <n v="2"/>
    <m/>
    <m/>
    <m/>
    <m/>
    <m/>
    <m/>
    <m/>
    <m/>
    <m/>
    <m/>
    <m/>
  </r>
  <r>
    <x v="16"/>
    <s v="GD250417"/>
    <s v="Magpao, Joven Dinolan"/>
    <s v="GD250417"/>
    <d v="2026-07-15T00:00:00"/>
    <m/>
    <s v="7PM-4AM"/>
    <d v="1899-12-30T18:31:00"/>
    <d v="1899-12-30T06:01:00"/>
    <s v="B"/>
    <n v="8"/>
    <n v="2"/>
    <n v="6"/>
    <n v="2"/>
    <m/>
    <m/>
    <m/>
    <m/>
    <m/>
    <m/>
    <m/>
    <m/>
    <m/>
    <m/>
    <m/>
  </r>
  <r>
    <x v="16"/>
    <s v="GD250417"/>
    <s v="Magpao, Joven Dinolan"/>
    <s v="GD250417"/>
    <d v="2026-07-16T00:00:00"/>
    <m/>
    <s v="7PM-4AM"/>
    <d v="1899-12-30T18:29:00"/>
    <d v="1899-12-30T04:01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17T00:00:00"/>
    <m/>
    <s v="7PM-4AM"/>
    <d v="1899-12-30T18:30:00"/>
    <d v="1899-12-30T04:01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18T00:00:00"/>
    <m/>
    <s v="7PM-4AM"/>
    <d v="1899-12-30T18:23:00"/>
    <d v="1899-12-30T04:01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19T00:00:00"/>
    <m/>
    <m/>
    <s v="SUNDAY"/>
    <m/>
    <m/>
    <m/>
    <m/>
    <m/>
    <m/>
    <m/>
    <m/>
    <m/>
    <m/>
    <m/>
    <m/>
    <m/>
    <m/>
    <m/>
    <m/>
    <m/>
  </r>
  <r>
    <x v="16"/>
    <s v="GD250417"/>
    <s v="Magpao, Joven Dinolan"/>
    <s v="GD250417"/>
    <d v="2026-07-20T00:00:00"/>
    <m/>
    <s v="7PM-4AM"/>
    <d v="1899-12-30T18:27:00"/>
    <d v="1899-12-30T04:01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21T00:00:00"/>
    <m/>
    <s v="7PM-4AM"/>
    <d v="1899-12-30T18:29:00"/>
    <d v="1899-12-30T06:01:00"/>
    <s v="B"/>
    <n v="8"/>
    <n v="2"/>
    <n v="6"/>
    <n v="2"/>
    <m/>
    <m/>
    <m/>
    <m/>
    <m/>
    <m/>
    <m/>
    <m/>
    <m/>
    <m/>
    <m/>
  </r>
  <r>
    <x v="16"/>
    <s v="GD250417"/>
    <s v="Magpao, Joven Dinolan"/>
    <s v="GD250417"/>
    <d v="2026-07-22T00:00:00"/>
    <m/>
    <s v="7PM-4AM"/>
    <d v="1899-12-30T18:22:00"/>
    <d v="1899-12-30T04:00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23T00:00:00"/>
    <m/>
    <s v="7PM-4AM"/>
    <d v="1899-12-30T18:28:00"/>
    <d v="1899-12-30T04:00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24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16"/>
    <s v="GD250417"/>
    <s v="Magpao, Joven Dinolan"/>
    <s v="GD250417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8"/>
    <n v="66"/>
    <n v="8"/>
    <n v="0"/>
    <n v="0"/>
    <n v="0"/>
    <n v="0"/>
    <n v="0"/>
    <n v="0"/>
    <n v="0"/>
    <n v="0"/>
    <n v="0"/>
    <n v="0"/>
    <n v="0"/>
  </r>
  <r>
    <x v="2"/>
    <s v="HYS ID NUMBER"/>
    <s v="NAME"/>
    <s v="HYS ID NUMBER"/>
    <m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7"/>
    <s v="GD250424"/>
    <s v="Manalo, John Lester Romero"/>
    <s v="GD250424"/>
    <d v="2026-07-11T00:00:00"/>
    <m/>
    <m/>
    <m/>
    <m/>
    <m/>
    <m/>
    <m/>
    <m/>
    <m/>
    <m/>
    <m/>
    <m/>
    <m/>
    <m/>
    <m/>
    <m/>
    <m/>
    <m/>
    <m/>
    <m/>
  </r>
  <r>
    <x v="17"/>
    <s v="GD250424"/>
    <s v="Manalo, John Lester Romero"/>
    <s v="GD250424"/>
    <d v="2026-07-12T00:00:00"/>
    <m/>
    <m/>
    <s v="SUNDAY"/>
    <m/>
    <m/>
    <m/>
    <m/>
    <m/>
    <m/>
    <m/>
    <m/>
    <m/>
    <m/>
    <m/>
    <m/>
    <m/>
    <m/>
    <m/>
    <m/>
    <m/>
  </r>
  <r>
    <x v="17"/>
    <s v="GD250424"/>
    <s v="Manalo, John Lester Romero"/>
    <s v="GD250424"/>
    <d v="2026-07-13T00:00:00"/>
    <m/>
    <s v="7PM-4AM"/>
    <d v="1899-12-30T18:35:00"/>
    <d v="1899-12-30T06:01:00"/>
    <s v="B"/>
    <n v="8"/>
    <n v="2"/>
    <n v="6"/>
    <n v="2"/>
    <m/>
    <m/>
    <m/>
    <m/>
    <m/>
    <m/>
    <m/>
    <m/>
    <m/>
    <m/>
    <m/>
  </r>
  <r>
    <x v="17"/>
    <s v="GD250424"/>
    <s v="Manalo, John Lester Romero"/>
    <s v="GD250424"/>
    <d v="2026-07-14T00:00:00"/>
    <m/>
    <s v="7PM-4AM"/>
    <d v="1899-12-30T18:35:00"/>
    <d v="1899-12-30T06:01:00"/>
    <s v="B"/>
    <n v="8"/>
    <n v="2"/>
    <n v="6"/>
    <n v="2"/>
    <m/>
    <m/>
    <m/>
    <m/>
    <m/>
    <m/>
    <m/>
    <m/>
    <m/>
    <m/>
    <m/>
  </r>
  <r>
    <x v="17"/>
    <s v="GD250424"/>
    <s v="Manalo, John Lester Romero"/>
    <s v="GD250424"/>
    <d v="2026-07-15T00:00:00"/>
    <m/>
    <s v="7PM-4AM"/>
    <d v="1899-12-30T18:36:00"/>
    <d v="1899-12-30T06:01:00"/>
    <s v="B"/>
    <n v="8"/>
    <n v="2"/>
    <n v="6"/>
    <n v="2"/>
    <m/>
    <m/>
    <m/>
    <m/>
    <m/>
    <m/>
    <m/>
    <m/>
    <m/>
    <m/>
    <m/>
  </r>
  <r>
    <x v="17"/>
    <s v="GD250424"/>
    <s v="Manalo, John Lester Romero"/>
    <s v="GD250424"/>
    <d v="2026-07-16T00:00:00"/>
    <m/>
    <s v="7PM-4AM"/>
    <d v="1899-12-30T18:40:00"/>
    <d v="1899-12-30T04:01:00"/>
    <s v="B"/>
    <n v="8"/>
    <m/>
    <n v="6"/>
    <m/>
    <m/>
    <m/>
    <m/>
    <m/>
    <m/>
    <m/>
    <m/>
    <m/>
    <m/>
    <m/>
    <m/>
  </r>
  <r>
    <x v="17"/>
    <s v="GD250424"/>
    <s v="Manalo, John Lester Romero"/>
    <s v="GD250424"/>
    <d v="2026-07-17T00:00:00"/>
    <m/>
    <s v="7PM-4AM"/>
    <d v="1899-12-30T18:45:00"/>
    <d v="1899-12-30T04:01:00"/>
    <s v="B"/>
    <n v="8"/>
    <m/>
    <n v="6"/>
    <m/>
    <m/>
    <m/>
    <m/>
    <m/>
    <m/>
    <m/>
    <m/>
    <m/>
    <m/>
    <m/>
    <m/>
  </r>
  <r>
    <x v="17"/>
    <s v="GD250424"/>
    <s v="Manalo, John Lester Romero"/>
    <s v="GD250424"/>
    <d v="2026-07-18T00:00:00"/>
    <m/>
    <s v="7PM-4AM"/>
    <m/>
    <m/>
    <m/>
    <m/>
    <m/>
    <m/>
    <m/>
    <m/>
    <m/>
    <m/>
    <m/>
    <m/>
    <m/>
    <m/>
    <m/>
    <m/>
    <m/>
    <m/>
  </r>
  <r>
    <x v="17"/>
    <s v="GD250424"/>
    <s v="Manalo, John Lester Romero"/>
    <s v="GD250424"/>
    <d v="2026-07-19T00:00:00"/>
    <m/>
    <m/>
    <s v="SUNDAY"/>
    <m/>
    <m/>
    <m/>
    <m/>
    <m/>
    <m/>
    <m/>
    <m/>
    <m/>
    <m/>
    <m/>
    <m/>
    <m/>
    <m/>
    <m/>
    <m/>
    <m/>
  </r>
  <r>
    <x v="17"/>
    <s v="GD250424"/>
    <s v="Manalo, John Lester Romero"/>
    <s v="GD250424"/>
    <d v="2026-07-20T00:00:00"/>
    <m/>
    <s v="7PM-4AM"/>
    <d v="1899-12-30T18:30:00"/>
    <d v="1899-12-30T04:01:00"/>
    <s v="B"/>
    <n v="8"/>
    <m/>
    <n v="6"/>
    <m/>
    <m/>
    <m/>
    <m/>
    <m/>
    <m/>
    <m/>
    <m/>
    <m/>
    <m/>
    <m/>
    <m/>
  </r>
  <r>
    <x v="17"/>
    <s v="GD250424"/>
    <s v="Manalo, John Lester Romero"/>
    <s v="GD250424"/>
    <d v="2026-07-21T00:00:00"/>
    <m/>
    <s v="7PM-4AM"/>
    <d v="1899-12-30T18:36:00"/>
    <d v="1899-12-30T06:01:00"/>
    <s v="B"/>
    <n v="8"/>
    <n v="2"/>
    <n v="6"/>
    <n v="2"/>
    <m/>
    <m/>
    <m/>
    <m/>
    <m/>
    <m/>
    <m/>
    <m/>
    <m/>
    <m/>
    <m/>
  </r>
  <r>
    <x v="17"/>
    <s v="GD250424"/>
    <s v="Manalo, John Lester Romero"/>
    <s v="GD250424"/>
    <d v="2026-07-22T00:00:00"/>
    <m/>
    <s v="7PM-4AM"/>
    <d v="1899-12-30T18:38:00"/>
    <d v="1899-12-30T04:00:00"/>
    <s v="B"/>
    <n v="8"/>
    <m/>
    <n v="6"/>
    <m/>
    <m/>
    <m/>
    <m/>
    <m/>
    <m/>
    <m/>
    <m/>
    <m/>
    <m/>
    <m/>
    <m/>
  </r>
  <r>
    <x v="17"/>
    <s v="GD250424"/>
    <s v="Manalo, John Lester Romero"/>
    <s v="GD250424"/>
    <d v="2026-07-23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17"/>
    <s v="GD250424"/>
    <s v="Manalo, John Lester Romero"/>
    <s v="GD250424"/>
    <d v="2026-07-24T00:00:00"/>
    <m/>
    <s v="7PM-4AM"/>
    <d v="1899-12-30T19:00:00"/>
    <d v="1899-12-30T04:00:00"/>
    <s v="B"/>
    <n v="8"/>
    <m/>
    <n v="6"/>
    <m/>
    <m/>
    <m/>
    <m/>
    <m/>
    <m/>
    <m/>
    <m/>
    <m/>
    <m/>
    <m/>
    <m/>
  </r>
  <r>
    <x v="17"/>
    <s v="GD250424"/>
    <s v="Manalo, John Lester Romero"/>
    <s v="GD250424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8"/>
    <n v="60"/>
    <n v="8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8"/>
    <s v="GD250123"/>
    <s v="Pamplona, Hazel"/>
    <s v="GD250123"/>
    <d v="2026-07-11T00:00:00"/>
    <m/>
    <s v="8AM-5PM"/>
    <d v="1899-12-30T07:27:00"/>
    <d v="1899-12-30T17:01:00"/>
    <s v="A"/>
    <n v="8"/>
    <m/>
    <m/>
    <m/>
    <m/>
    <m/>
    <m/>
    <m/>
    <m/>
    <m/>
    <m/>
    <m/>
    <m/>
    <m/>
    <m/>
  </r>
  <r>
    <x v="18"/>
    <s v="GD250123"/>
    <s v="Pamplona, Hazel"/>
    <s v="GD250123"/>
    <d v="2026-07-12T00:00:00"/>
    <m/>
    <m/>
    <s v="SUNDAY"/>
    <m/>
    <m/>
    <m/>
    <m/>
    <m/>
    <m/>
    <m/>
    <m/>
    <m/>
    <m/>
    <m/>
    <m/>
    <m/>
    <m/>
    <m/>
    <m/>
    <m/>
  </r>
  <r>
    <x v="18"/>
    <s v="GD250123"/>
    <s v="Pamplona, Hazel"/>
    <s v="GD250123"/>
    <d v="2026-07-13T00:00:00"/>
    <m/>
    <s v="7PM-4AM"/>
    <d v="1899-12-30T18:14:00"/>
    <d v="1899-12-30T06:00:00"/>
    <s v="B"/>
    <n v="8"/>
    <n v="2"/>
    <n v="6"/>
    <n v="2"/>
    <m/>
    <m/>
    <m/>
    <m/>
    <m/>
    <m/>
    <m/>
    <m/>
    <m/>
    <m/>
    <m/>
  </r>
  <r>
    <x v="18"/>
    <s v="GD250123"/>
    <s v="Pamplona, Hazel"/>
    <s v="GD250123"/>
    <d v="2026-07-14T00:00:00"/>
    <m/>
    <s v="7PM-4AM"/>
    <d v="1899-12-30T18:35:00"/>
    <d v="1899-12-30T06:00:00"/>
    <s v="B"/>
    <n v="8"/>
    <n v="2"/>
    <n v="6"/>
    <n v="2"/>
    <m/>
    <m/>
    <m/>
    <m/>
    <m/>
    <m/>
    <m/>
    <m/>
    <m/>
    <m/>
    <m/>
  </r>
  <r>
    <x v="18"/>
    <s v="GD250123"/>
    <s v="Pamplona, Hazel"/>
    <s v="GD250123"/>
    <d v="2026-07-15T00:00:00"/>
    <m/>
    <s v="7PM-4AM"/>
    <d v="1899-12-30T18:31:00"/>
    <d v="1899-12-30T06:00:00"/>
    <s v="B"/>
    <n v="8"/>
    <n v="2"/>
    <n v="6"/>
    <n v="2"/>
    <m/>
    <m/>
    <m/>
    <m/>
    <m/>
    <m/>
    <m/>
    <m/>
    <m/>
    <m/>
    <m/>
  </r>
  <r>
    <x v="18"/>
    <s v="GD250123"/>
    <s v="Pamplona, Hazel"/>
    <s v="GD250123"/>
    <d v="2026-07-16T00:00:00"/>
    <m/>
    <s v="7PM-4AM"/>
    <d v="1899-12-30T18:35:00"/>
    <d v="1899-12-30T04:02:00"/>
    <s v="B"/>
    <n v="8"/>
    <m/>
    <n v="6"/>
    <m/>
    <m/>
    <m/>
    <m/>
    <m/>
    <m/>
    <m/>
    <m/>
    <m/>
    <m/>
    <m/>
    <m/>
  </r>
  <r>
    <x v="18"/>
    <s v="GD250123"/>
    <s v="Pamplona, Hazel"/>
    <s v="GD250123"/>
    <d v="2026-07-17T00:00:00"/>
    <m/>
    <s v="7PM-4AM"/>
    <d v="1899-12-30T18:37:00"/>
    <d v="1899-12-30T06:00:00"/>
    <s v="B"/>
    <n v="8"/>
    <n v="2"/>
    <n v="6"/>
    <n v="2"/>
    <m/>
    <m/>
    <m/>
    <m/>
    <m/>
    <m/>
    <m/>
    <m/>
    <m/>
    <m/>
    <m/>
  </r>
  <r>
    <x v="18"/>
    <s v="GD250123"/>
    <s v="Pamplona, Hazel"/>
    <s v="GD250123"/>
    <d v="2026-07-18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18"/>
    <s v="GD250123"/>
    <s v="Pamplona, Hazel"/>
    <s v="GD250123"/>
    <d v="2026-07-19T00:00:00"/>
    <m/>
    <m/>
    <s v="SUNDAY"/>
    <m/>
    <m/>
    <m/>
    <m/>
    <m/>
    <m/>
    <m/>
    <m/>
    <m/>
    <m/>
    <m/>
    <m/>
    <m/>
    <m/>
    <m/>
    <m/>
    <m/>
  </r>
  <r>
    <x v="18"/>
    <s v="GD250123"/>
    <s v="Pamplona, Hazel"/>
    <s v="GD250123"/>
    <d v="2026-07-20T00:00:00"/>
    <m/>
    <s v="7PM-4AM"/>
    <d v="1899-12-30T18:30:00"/>
    <d v="1899-12-30T04:01:00"/>
    <s v="B"/>
    <n v="8"/>
    <m/>
    <n v="6"/>
    <m/>
    <m/>
    <m/>
    <m/>
    <m/>
    <m/>
    <m/>
    <m/>
    <m/>
    <m/>
    <m/>
    <m/>
  </r>
  <r>
    <x v="18"/>
    <s v="GD250123"/>
    <s v="Pamplona, Hazel"/>
    <s v="GD250123"/>
    <d v="2026-07-21T00:00:00"/>
    <m/>
    <s v="7PM-4AM"/>
    <d v="1899-12-30T18:29:00"/>
    <d v="1899-12-30T06:00:00"/>
    <s v="B"/>
    <n v="8"/>
    <n v="2"/>
    <n v="6"/>
    <n v="2"/>
    <m/>
    <m/>
    <m/>
    <m/>
    <m/>
    <m/>
    <m/>
    <m/>
    <m/>
    <m/>
    <m/>
  </r>
  <r>
    <x v="18"/>
    <s v="GD250123"/>
    <s v="Pamplona, Hazel"/>
    <s v="GD250123"/>
    <d v="2026-07-22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18"/>
    <s v="GD250123"/>
    <s v="Pamplona, Hazel"/>
    <s v="GD250123"/>
    <d v="2026-07-23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18"/>
    <s v="GD250123"/>
    <s v="Pamplona, Hazel"/>
    <s v="GD250123"/>
    <d v="2026-07-24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18"/>
    <s v="GD250123"/>
    <s v="Pamplona, Hazel"/>
    <s v="GD250123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0"/>
    <n v="66"/>
    <n v="1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19"/>
    <s v="GD250049"/>
    <s v="Senosin, Sandylyn Cornelio"/>
    <s v="GD250049"/>
    <d v="2026-07-11T00:00:00"/>
    <m/>
    <s v="8AM-5PM"/>
    <d v="1899-12-30T07:19:00"/>
    <d v="1899-12-30T17:00:00"/>
    <s v="A"/>
    <n v="8"/>
    <m/>
    <m/>
    <m/>
    <m/>
    <m/>
    <m/>
    <m/>
    <m/>
    <m/>
    <m/>
    <m/>
    <m/>
    <m/>
    <m/>
  </r>
  <r>
    <x v="19"/>
    <s v="GD250049"/>
    <s v="Senosin, Sandylyn Cornelio"/>
    <s v="GD250049"/>
    <d v="2026-07-12T00:00:00"/>
    <m/>
    <m/>
    <s v="SUNDAY"/>
    <m/>
    <m/>
    <m/>
    <m/>
    <m/>
    <m/>
    <m/>
    <m/>
    <m/>
    <m/>
    <m/>
    <m/>
    <m/>
    <m/>
    <m/>
    <m/>
    <m/>
  </r>
  <r>
    <x v="19"/>
    <s v="GD250049"/>
    <s v="Senosin, Sandylyn Cornelio"/>
    <s v="GD250049"/>
    <d v="2026-07-13T00:00:00"/>
    <m/>
    <m/>
    <m/>
    <m/>
    <m/>
    <m/>
    <m/>
    <m/>
    <m/>
    <m/>
    <m/>
    <m/>
    <m/>
    <m/>
    <m/>
    <m/>
    <m/>
    <m/>
    <m/>
    <m/>
  </r>
  <r>
    <x v="19"/>
    <s v="GD250049"/>
    <s v="Senosin, Sandylyn Cornelio"/>
    <s v="GD250049"/>
    <d v="2026-07-14T00:00:00"/>
    <m/>
    <m/>
    <m/>
    <m/>
    <m/>
    <m/>
    <m/>
    <m/>
    <m/>
    <m/>
    <m/>
    <m/>
    <m/>
    <m/>
    <m/>
    <m/>
    <m/>
    <m/>
    <m/>
    <m/>
  </r>
  <r>
    <x v="19"/>
    <s v="GD250049"/>
    <s v="Senosin, Sandylyn Cornelio"/>
    <s v="GD250049"/>
    <d v="2026-07-15T00:00:00"/>
    <m/>
    <s v="7PM-4AM"/>
    <d v="1899-12-30T18:41:00"/>
    <d v="1899-12-30T06:00:00"/>
    <s v="B"/>
    <n v="8"/>
    <n v="2"/>
    <n v="6"/>
    <n v="2"/>
    <m/>
    <m/>
    <m/>
    <m/>
    <m/>
    <m/>
    <m/>
    <m/>
    <m/>
    <m/>
    <m/>
  </r>
  <r>
    <x v="19"/>
    <s v="GD250049"/>
    <s v="Senosin, Sandylyn Cornelio"/>
    <s v="GD250049"/>
    <d v="2026-07-16T00:00:00"/>
    <m/>
    <s v="7PM-4AM"/>
    <d v="1899-12-30T18:40:00"/>
    <d v="1899-12-30T04:00:00"/>
    <s v="B"/>
    <n v="8"/>
    <m/>
    <n v="6"/>
    <m/>
    <m/>
    <m/>
    <m/>
    <m/>
    <m/>
    <m/>
    <m/>
    <m/>
    <m/>
    <m/>
    <m/>
  </r>
  <r>
    <x v="19"/>
    <s v="GD250049"/>
    <s v="Senosin, Sandylyn Cornelio"/>
    <s v="GD250049"/>
    <d v="2026-07-17T00:00:00"/>
    <m/>
    <s v="7PM-4AM"/>
    <d v="1899-12-30T18:45:00"/>
    <d v="1899-12-30T06:00:00"/>
    <s v="B"/>
    <n v="8"/>
    <n v="2"/>
    <n v="6"/>
    <n v="2"/>
    <m/>
    <m/>
    <m/>
    <m/>
    <m/>
    <m/>
    <m/>
    <m/>
    <m/>
    <m/>
    <m/>
  </r>
  <r>
    <x v="19"/>
    <s v="GD250049"/>
    <s v="Senosin, Sandylyn Cornelio"/>
    <s v="GD250049"/>
    <d v="2026-07-18T00:00:00"/>
    <m/>
    <s v="7PM-4AM"/>
    <m/>
    <m/>
    <m/>
    <m/>
    <m/>
    <m/>
    <m/>
    <m/>
    <m/>
    <m/>
    <m/>
    <m/>
    <m/>
    <m/>
    <m/>
    <m/>
    <m/>
    <m/>
  </r>
  <r>
    <x v="19"/>
    <s v="GD250049"/>
    <s v="Senosin, Sandylyn Cornelio"/>
    <s v="GD250049"/>
    <d v="2026-07-19T00:00:00"/>
    <m/>
    <m/>
    <s v="SUNDAY"/>
    <m/>
    <m/>
    <m/>
    <m/>
    <m/>
    <m/>
    <m/>
    <m/>
    <m/>
    <m/>
    <m/>
    <m/>
    <m/>
    <m/>
    <m/>
    <m/>
    <m/>
  </r>
  <r>
    <x v="19"/>
    <s v="GD250049"/>
    <s v="Senosin, Sandylyn Cornelio"/>
    <s v="GD250049"/>
    <d v="2026-07-20T00:00:00"/>
    <m/>
    <s v="7PM-4AM"/>
    <d v="1899-12-30T18:38:00"/>
    <d v="1899-12-30T04:00:00"/>
    <s v="B"/>
    <n v="8"/>
    <m/>
    <n v="6"/>
    <m/>
    <m/>
    <m/>
    <m/>
    <m/>
    <m/>
    <m/>
    <m/>
    <m/>
    <m/>
    <m/>
    <m/>
  </r>
  <r>
    <x v="19"/>
    <s v="GD250049"/>
    <s v="Senosin, Sandylyn Cornelio"/>
    <s v="GD250049"/>
    <d v="2026-07-21T00:00:00"/>
    <m/>
    <s v="7PM-4AM"/>
    <d v="1899-12-30T18:36:00"/>
    <d v="1899-12-30T04:00:00"/>
    <s v="B"/>
    <n v="8"/>
    <m/>
    <n v="6"/>
    <m/>
    <m/>
    <m/>
    <m/>
    <m/>
    <m/>
    <m/>
    <m/>
    <m/>
    <m/>
    <m/>
    <m/>
  </r>
  <r>
    <x v="19"/>
    <s v="GD250049"/>
    <s v="Senosin, Sandylyn Cornelio"/>
    <s v="GD250049"/>
    <d v="2026-07-22T00:00:00"/>
    <m/>
    <s v="7PM-4AM"/>
    <d v="1899-12-30T18:44:00"/>
    <d v="1899-12-30T04:00:00"/>
    <s v="B"/>
    <n v="8"/>
    <m/>
    <n v="6"/>
    <m/>
    <m/>
    <m/>
    <m/>
    <m/>
    <m/>
    <m/>
    <m/>
    <m/>
    <m/>
    <m/>
    <m/>
  </r>
  <r>
    <x v="19"/>
    <s v="GD250049"/>
    <s v="Senosin, Sandylyn Cornelio"/>
    <s v="GD250049"/>
    <d v="2026-07-23T00:00:00"/>
    <m/>
    <s v="7PM-4AM"/>
    <d v="1899-12-30T18:54:00"/>
    <d v="1899-12-30T03:59:00"/>
    <s v="B"/>
    <n v="8"/>
    <m/>
    <n v="5.5"/>
    <m/>
    <m/>
    <m/>
    <m/>
    <m/>
    <m/>
    <m/>
    <m/>
    <m/>
    <m/>
    <m/>
    <n v="1"/>
  </r>
  <r>
    <x v="19"/>
    <s v="GD250049"/>
    <s v="Senosin, Sandylyn Cornelio"/>
    <s v="GD250049"/>
    <d v="2026-07-24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19"/>
    <s v="GD250049"/>
    <s v="Senosin, Sandylyn Cornelio"/>
    <s v="GD250049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72"/>
    <n v="4"/>
    <n v="47.5"/>
    <n v="4"/>
    <n v="0"/>
    <n v="0"/>
    <n v="0"/>
    <n v="0"/>
    <n v="0"/>
    <n v="0"/>
    <n v="0"/>
    <n v="0"/>
    <n v="0"/>
    <n v="0"/>
    <n v="1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0"/>
    <s v="GD250125"/>
    <s v="Somera, Prix Janshien Namuro"/>
    <s v="GD250125"/>
    <d v="2026-07-11T00:00:00"/>
    <m/>
    <m/>
    <m/>
    <m/>
    <m/>
    <m/>
    <m/>
    <m/>
    <m/>
    <m/>
    <m/>
    <m/>
    <m/>
    <m/>
    <m/>
    <m/>
    <m/>
    <m/>
    <m/>
    <m/>
  </r>
  <r>
    <x v="20"/>
    <s v="GD250125"/>
    <s v="Somera, Prix Janshien Namuro"/>
    <s v="GD250125"/>
    <d v="2026-07-12T00:00:00"/>
    <m/>
    <m/>
    <s v="SUNDAY"/>
    <m/>
    <m/>
    <m/>
    <m/>
    <m/>
    <m/>
    <m/>
    <m/>
    <m/>
    <m/>
    <m/>
    <m/>
    <m/>
    <m/>
    <m/>
    <m/>
    <m/>
  </r>
  <r>
    <x v="20"/>
    <s v="GD250125"/>
    <s v="Somera, Prix Janshien Namuro"/>
    <s v="GD250125"/>
    <d v="2026-07-13T00:00:00"/>
    <m/>
    <s v="7PM-4AM"/>
    <d v="1899-12-30T18:14:00"/>
    <d v="1899-12-30T06:00:00"/>
    <s v="B"/>
    <n v="8"/>
    <n v="2"/>
    <n v="6"/>
    <n v="2"/>
    <m/>
    <m/>
    <m/>
    <m/>
    <m/>
    <m/>
    <m/>
    <m/>
    <m/>
    <m/>
    <m/>
  </r>
  <r>
    <x v="20"/>
    <s v="GD250125"/>
    <s v="Somera, Prix Janshien Namuro"/>
    <s v="GD250125"/>
    <d v="2026-07-14T00:00:00"/>
    <m/>
    <s v="7PM-4AM"/>
    <d v="1899-12-30T18:34:00"/>
    <d v="1899-12-30T06:01:00"/>
    <s v="B"/>
    <n v="8"/>
    <n v="2"/>
    <n v="6"/>
    <n v="2"/>
    <m/>
    <m/>
    <m/>
    <m/>
    <m/>
    <m/>
    <m/>
    <m/>
    <m/>
    <m/>
    <m/>
  </r>
  <r>
    <x v="20"/>
    <s v="GD250125"/>
    <s v="Somera, Prix Janshien Namuro"/>
    <s v="GD250125"/>
    <d v="2026-07-15T00:00:00"/>
    <m/>
    <s v="7PM-4AM"/>
    <d v="1899-12-30T18:31:00"/>
    <d v="1899-12-30T06:01:00"/>
    <s v="B"/>
    <n v="8"/>
    <n v="2"/>
    <n v="6"/>
    <n v="2"/>
    <m/>
    <m/>
    <m/>
    <m/>
    <m/>
    <m/>
    <m/>
    <m/>
    <m/>
    <m/>
    <m/>
  </r>
  <r>
    <x v="20"/>
    <s v="GD250125"/>
    <s v="Somera, Prix Janshien Namuro"/>
    <s v="GD250125"/>
    <d v="2026-07-16T00:00:00"/>
    <m/>
    <s v="7PM-4AM"/>
    <d v="1899-12-30T18:34:00"/>
    <d v="1899-12-30T04:01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17T00:00:00"/>
    <m/>
    <s v="7PM-4AM"/>
    <d v="1899-12-30T18:36:00"/>
    <d v="1899-12-30T04:01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18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19T00:00:00"/>
    <m/>
    <m/>
    <s v="SUNDAY"/>
    <m/>
    <m/>
    <m/>
    <m/>
    <m/>
    <m/>
    <m/>
    <m/>
    <m/>
    <m/>
    <m/>
    <m/>
    <m/>
    <m/>
    <m/>
    <m/>
    <m/>
  </r>
  <r>
    <x v="20"/>
    <s v="GD250125"/>
    <s v="Somera, Prix Janshien Namuro"/>
    <s v="GD250125"/>
    <d v="2026-07-20T00:00:00"/>
    <m/>
    <s v="7PM-4AM"/>
    <d v="1899-12-30T18:27:00"/>
    <d v="1899-12-30T04:01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21T00:00:00"/>
    <m/>
    <s v="7PM-4AM"/>
    <d v="1899-12-30T18:29:00"/>
    <d v="1899-12-30T06:01:00"/>
    <s v="B"/>
    <n v="8"/>
    <n v="2"/>
    <n v="6"/>
    <n v="2"/>
    <m/>
    <m/>
    <m/>
    <m/>
    <m/>
    <m/>
    <m/>
    <m/>
    <m/>
    <m/>
    <m/>
  </r>
  <r>
    <x v="20"/>
    <s v="GD250125"/>
    <s v="Somera, Prix Janshien Namuro"/>
    <s v="GD250125"/>
    <d v="2026-07-22T00:00:00"/>
    <m/>
    <s v="7PM-4AM"/>
    <d v="1899-12-30T18:22:00"/>
    <d v="1899-12-30T04:00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23T00:00:00"/>
    <m/>
    <s v="7PM-4AM"/>
    <d v="1899-12-30T18:28:00"/>
    <d v="1899-12-30T04:00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24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20"/>
    <s v="GD250125"/>
    <s v="Somera, Prix Janshien Namuro"/>
    <s v="GD250125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8"/>
    <n v="66"/>
    <n v="8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1"/>
    <s v="GD260698"/>
    <s v="BAJAMONDE, MARLON SAN ANDRES"/>
    <s v="GD260698"/>
    <d v="2026-07-11T00:00:00"/>
    <m/>
    <m/>
    <m/>
    <m/>
    <m/>
    <m/>
    <m/>
    <m/>
    <m/>
    <m/>
    <m/>
    <m/>
    <m/>
    <m/>
    <m/>
    <m/>
    <m/>
    <m/>
    <m/>
    <m/>
  </r>
  <r>
    <x v="21"/>
    <s v="GD260698"/>
    <s v="BAJAMONDE, MARLON SAN ANDRES"/>
    <s v="GD260698"/>
    <d v="2026-07-12T00:00:00"/>
    <m/>
    <m/>
    <s v="SUNDAY"/>
    <m/>
    <m/>
    <m/>
    <m/>
    <m/>
    <m/>
    <m/>
    <m/>
    <m/>
    <m/>
    <m/>
    <m/>
    <m/>
    <m/>
    <m/>
    <m/>
    <m/>
  </r>
  <r>
    <x v="21"/>
    <s v="GD260698"/>
    <s v="BAJAMONDE, MARLON SAN ANDRES"/>
    <s v="GD260698"/>
    <d v="2026-07-13T00:00:00"/>
    <m/>
    <s v="7PM-4AM"/>
    <d v="1899-12-30T18:27:00"/>
    <d v="1899-12-30T06:00:00"/>
    <s v="B"/>
    <n v="8"/>
    <n v="2"/>
    <n v="6"/>
    <n v="2"/>
    <m/>
    <m/>
    <m/>
    <m/>
    <m/>
    <m/>
    <m/>
    <m/>
    <m/>
    <m/>
    <m/>
  </r>
  <r>
    <x v="21"/>
    <s v="GD260698"/>
    <s v="BAJAMONDE, MARLON SAN ANDRES"/>
    <s v="GD260698"/>
    <d v="2026-07-14T00:00:00"/>
    <m/>
    <s v="7PM-4AM"/>
    <d v="1899-12-30T18:22:00"/>
    <d v="1899-12-30T06:00:00"/>
    <s v="B"/>
    <n v="8"/>
    <n v="2"/>
    <n v="6"/>
    <n v="2"/>
    <m/>
    <m/>
    <m/>
    <m/>
    <m/>
    <m/>
    <m/>
    <m/>
    <m/>
    <m/>
    <m/>
  </r>
  <r>
    <x v="21"/>
    <s v="GD260698"/>
    <s v="BAJAMONDE, MARLON SAN ANDRES"/>
    <s v="GD260698"/>
    <d v="2026-07-15T00:00:00"/>
    <m/>
    <s v="7PM-4AM"/>
    <d v="1899-12-30T18:30:00"/>
    <d v="1899-12-30T06:00:00"/>
    <s v="B"/>
    <n v="8"/>
    <n v="2"/>
    <n v="6"/>
    <n v="2"/>
    <m/>
    <m/>
    <m/>
    <m/>
    <m/>
    <m/>
    <m/>
    <m/>
    <m/>
    <m/>
    <m/>
  </r>
  <r>
    <x v="21"/>
    <s v="GD260698"/>
    <s v="BAJAMONDE, MARLON SAN ANDRES"/>
    <s v="GD260698"/>
    <d v="2026-07-16T00:00:00"/>
    <m/>
    <s v="7PM-4AM"/>
    <d v="1899-12-30T18:27:00"/>
    <d v="1899-12-30T04:01:00"/>
    <s v="B"/>
    <n v="8"/>
    <m/>
    <n v="6"/>
    <m/>
    <m/>
    <m/>
    <m/>
    <m/>
    <m/>
    <m/>
    <m/>
    <m/>
    <m/>
    <m/>
    <m/>
  </r>
  <r>
    <x v="21"/>
    <s v="GD260698"/>
    <s v="BAJAMONDE, MARLON SAN ANDRES"/>
    <s v="GD260698"/>
    <d v="2026-07-17T00:00:00"/>
    <m/>
    <s v="7PM-4AM"/>
    <d v="1899-12-30T18:17:00"/>
    <d v="1899-12-30T04:01:00"/>
    <s v="B"/>
    <n v="8"/>
    <m/>
    <n v="6"/>
    <m/>
    <m/>
    <m/>
    <m/>
    <m/>
    <m/>
    <m/>
    <m/>
    <m/>
    <m/>
    <m/>
    <m/>
  </r>
  <r>
    <x v="21"/>
    <s v="GD260698"/>
    <s v="BAJAMONDE, MARLON SAN ANDRES"/>
    <s v="GD260698"/>
    <d v="2026-07-18T00:00:00"/>
    <m/>
    <s v="7PM-4AM"/>
    <m/>
    <m/>
    <m/>
    <m/>
    <m/>
    <m/>
    <m/>
    <m/>
    <m/>
    <m/>
    <m/>
    <m/>
    <m/>
    <m/>
    <m/>
    <m/>
    <m/>
    <m/>
  </r>
  <r>
    <x v="21"/>
    <s v="GD260698"/>
    <s v="BAJAMONDE, MARLON SAN ANDRES"/>
    <s v="GD260698"/>
    <d v="2026-07-19T00:00:00"/>
    <m/>
    <m/>
    <s v="SUNDAY"/>
    <m/>
    <m/>
    <m/>
    <m/>
    <m/>
    <m/>
    <m/>
    <m/>
    <m/>
    <m/>
    <m/>
    <m/>
    <m/>
    <m/>
    <m/>
    <m/>
    <m/>
  </r>
  <r>
    <x v="21"/>
    <s v="GD260698"/>
    <s v="BAJAMONDE, MARLON SAN ANDRES"/>
    <s v="GD260698"/>
    <d v="2026-07-20T00:00:00"/>
    <m/>
    <s v="7PM-4AM"/>
    <d v="1899-12-30T18:18:00"/>
    <d v="1899-12-30T04:01:00"/>
    <s v="B"/>
    <n v="8"/>
    <m/>
    <n v="6"/>
    <m/>
    <m/>
    <m/>
    <m/>
    <m/>
    <m/>
    <m/>
    <m/>
    <m/>
    <m/>
    <m/>
    <m/>
  </r>
  <r>
    <x v="21"/>
    <s v="GD260698"/>
    <s v="BAJAMONDE, MARLON SAN ANDRES"/>
    <s v="GD260698"/>
    <d v="2026-07-21T00:00:00"/>
    <m/>
    <s v="7PM-4AM"/>
    <d v="1899-12-30T18:21:00"/>
    <d v="1899-12-30T06:00:00"/>
    <s v="B"/>
    <n v="8"/>
    <n v="2"/>
    <n v="6"/>
    <n v="2"/>
    <m/>
    <m/>
    <m/>
    <m/>
    <m/>
    <m/>
    <m/>
    <m/>
    <m/>
    <m/>
    <m/>
  </r>
  <r>
    <x v="21"/>
    <s v="GD260698"/>
    <s v="BAJAMONDE, MARLON SAN ANDRES"/>
    <s v="GD260698"/>
    <d v="2026-07-22T00:00:00"/>
    <m/>
    <s v="7PM-4AM"/>
    <d v="1899-12-30T18:22:00"/>
    <d v="1899-12-30T04:00:00"/>
    <s v="B"/>
    <n v="8"/>
    <m/>
    <n v="6"/>
    <m/>
    <m/>
    <m/>
    <m/>
    <m/>
    <m/>
    <m/>
    <m/>
    <m/>
    <m/>
    <m/>
    <m/>
  </r>
  <r>
    <x v="21"/>
    <s v="GD260698"/>
    <s v="BAJAMONDE, MARLON SAN ANDRES"/>
    <s v="GD260698"/>
    <d v="2026-07-23T00:00:00"/>
    <m/>
    <s v="7PM-4AM"/>
    <d v="1899-12-30T18:19:00"/>
    <d v="1899-12-30T04:00:00"/>
    <s v="B"/>
    <n v="8"/>
    <m/>
    <n v="6"/>
    <m/>
    <m/>
    <m/>
    <m/>
    <m/>
    <m/>
    <m/>
    <m/>
    <m/>
    <m/>
    <m/>
    <m/>
  </r>
  <r>
    <x v="21"/>
    <s v="GD260698"/>
    <s v="BAJAMONDE, MARLON SAN ANDRES"/>
    <s v="GD260698"/>
    <d v="2026-07-24T00:00:00"/>
    <m/>
    <s v="7PM-4AM"/>
    <d v="1899-12-30T18:21:00"/>
    <d v="1899-12-30T04:00:00"/>
    <s v="B"/>
    <n v="8"/>
    <m/>
    <n v="6"/>
    <m/>
    <m/>
    <m/>
    <m/>
    <m/>
    <m/>
    <m/>
    <m/>
    <m/>
    <m/>
    <m/>
    <m/>
  </r>
  <r>
    <x v="21"/>
    <s v="GD260698"/>
    <s v="BAJAMONDE, MARLON SAN ANDRES"/>
    <s v="GD260698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8"/>
    <n v="60"/>
    <n v="8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2"/>
    <s v="GD260699"/>
    <s v="MORETE, JOHN DOMINIC "/>
    <s v="GD260699"/>
    <d v="2026-07-11T00:00:00"/>
    <m/>
    <m/>
    <m/>
    <m/>
    <m/>
    <m/>
    <m/>
    <m/>
    <m/>
    <m/>
    <m/>
    <m/>
    <m/>
    <m/>
    <m/>
    <m/>
    <m/>
    <m/>
    <m/>
    <m/>
  </r>
  <r>
    <x v="22"/>
    <s v="GD260699"/>
    <s v="MORETE, JOHN DOMINIC "/>
    <s v="GD260699"/>
    <d v="2026-07-12T00:00:00"/>
    <m/>
    <m/>
    <s v="SUNDAY"/>
    <m/>
    <m/>
    <m/>
    <m/>
    <m/>
    <m/>
    <m/>
    <m/>
    <m/>
    <m/>
    <m/>
    <m/>
    <m/>
    <m/>
    <m/>
    <m/>
    <m/>
  </r>
  <r>
    <x v="22"/>
    <s v="GD260699"/>
    <s v="MORETE, JOHN DOMINIC "/>
    <s v="GD260699"/>
    <d v="2026-07-13T00:00:00"/>
    <m/>
    <s v="7PM-4AM"/>
    <d v="1899-12-30T18:08:00"/>
    <d v="1899-12-30T06:00:00"/>
    <s v="B"/>
    <n v="8"/>
    <n v="2"/>
    <n v="6"/>
    <n v="2"/>
    <m/>
    <m/>
    <m/>
    <m/>
    <m/>
    <m/>
    <m/>
    <m/>
    <m/>
    <m/>
    <m/>
  </r>
  <r>
    <x v="22"/>
    <s v="GD260699"/>
    <s v="MORETE, JOHN DOMINIC "/>
    <s v="GD260699"/>
    <d v="2026-07-14T00:00:00"/>
    <m/>
    <s v="7PM-4AM"/>
    <d v="1899-12-30T18:37:00"/>
    <d v="1899-12-30T06:00:00"/>
    <s v="B"/>
    <n v="8"/>
    <n v="2"/>
    <n v="6"/>
    <n v="2"/>
    <m/>
    <m/>
    <m/>
    <m/>
    <m/>
    <m/>
    <m/>
    <m/>
    <m/>
    <m/>
    <m/>
  </r>
  <r>
    <x v="22"/>
    <s v="GD260699"/>
    <s v="MORETE, JOHN DOMINIC "/>
    <s v="GD260699"/>
    <d v="2026-07-15T00:00:00"/>
    <m/>
    <s v="7PM-4AM"/>
    <d v="1899-12-30T18:37:00"/>
    <d v="1899-12-30T06:00:00"/>
    <s v="B"/>
    <n v="8"/>
    <n v="2"/>
    <n v="6"/>
    <n v="2"/>
    <m/>
    <m/>
    <m/>
    <m/>
    <m/>
    <m/>
    <m/>
    <m/>
    <m/>
    <m/>
    <m/>
  </r>
  <r>
    <x v="22"/>
    <s v="GD260699"/>
    <s v="MORETE, JOHN DOMINIC "/>
    <s v="GD260699"/>
    <d v="2026-07-16T00:00:00"/>
    <m/>
    <s v="7PM-4AM"/>
    <d v="1899-12-30T18:35:00"/>
    <d v="1899-12-30T04:01:00"/>
    <s v="B"/>
    <n v="8"/>
    <m/>
    <n v="6"/>
    <m/>
    <m/>
    <m/>
    <m/>
    <m/>
    <m/>
    <m/>
    <m/>
    <m/>
    <m/>
    <m/>
    <m/>
  </r>
  <r>
    <x v="22"/>
    <s v="GD260699"/>
    <s v="MORETE, JOHN DOMINIC "/>
    <s v="GD260699"/>
    <d v="2026-07-17T00:00:00"/>
    <m/>
    <s v="7PM-4AM"/>
    <d v="1899-12-30T18:33:00"/>
    <d v="1899-12-30T04:01:00"/>
    <s v="B"/>
    <n v="8"/>
    <m/>
    <n v="6"/>
    <m/>
    <m/>
    <m/>
    <m/>
    <m/>
    <m/>
    <m/>
    <m/>
    <m/>
    <m/>
    <m/>
    <m/>
  </r>
  <r>
    <x v="22"/>
    <s v="GD260699"/>
    <s v="MORETE, JOHN DOMINIC "/>
    <s v="GD260699"/>
    <d v="2026-07-18T00:00:00"/>
    <m/>
    <s v="7PM-4AM"/>
    <m/>
    <m/>
    <m/>
    <m/>
    <m/>
    <m/>
    <m/>
    <m/>
    <m/>
    <m/>
    <m/>
    <m/>
    <m/>
    <m/>
    <m/>
    <m/>
    <m/>
    <m/>
  </r>
  <r>
    <x v="22"/>
    <s v="GD260699"/>
    <s v="MORETE, JOHN DOMINIC "/>
    <s v="GD260699"/>
    <d v="2026-07-19T00:00:00"/>
    <m/>
    <m/>
    <s v="SUNDAY"/>
    <m/>
    <m/>
    <m/>
    <m/>
    <m/>
    <m/>
    <m/>
    <m/>
    <m/>
    <m/>
    <m/>
    <m/>
    <m/>
    <m/>
    <m/>
    <m/>
    <m/>
  </r>
  <r>
    <x v="22"/>
    <s v="GD260699"/>
    <s v="MORETE, JOHN DOMINIC "/>
    <s v="GD260699"/>
    <d v="2026-07-20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22"/>
    <s v="GD260699"/>
    <s v="MORETE, JOHN DOMINIC "/>
    <s v="GD260699"/>
    <d v="2026-07-21T00:00:00"/>
    <m/>
    <s v="7PM-4AM"/>
    <d v="1899-12-30T18:37:00"/>
    <d v="1899-12-30T06:01:00"/>
    <s v="B"/>
    <n v="8"/>
    <n v="2"/>
    <n v="6"/>
    <n v="2"/>
    <m/>
    <m/>
    <m/>
    <m/>
    <m/>
    <m/>
    <m/>
    <m/>
    <m/>
    <m/>
    <m/>
  </r>
  <r>
    <x v="22"/>
    <s v="GD260699"/>
    <s v="MORETE, JOHN DOMINIC "/>
    <s v="GD260699"/>
    <d v="2026-07-22T00:00:00"/>
    <m/>
    <s v="7PM-4AM"/>
    <d v="1899-12-30T18:39:00"/>
    <d v="1899-12-30T06:02:00"/>
    <s v="B"/>
    <n v="8"/>
    <n v="2"/>
    <n v="6"/>
    <n v="2"/>
    <m/>
    <m/>
    <m/>
    <m/>
    <m/>
    <m/>
    <m/>
    <m/>
    <m/>
    <m/>
    <m/>
  </r>
  <r>
    <x v="22"/>
    <s v="GD260699"/>
    <s v="MORETE, JOHN DOMINIC "/>
    <s v="GD260699"/>
    <d v="2026-07-23T00:00:00"/>
    <m/>
    <s v="7PM-4AM"/>
    <d v="1899-12-30T18:07:00"/>
    <d v="1899-12-30T04:02:00"/>
    <s v="B"/>
    <n v="8"/>
    <m/>
    <n v="6"/>
    <m/>
    <m/>
    <m/>
    <m/>
    <m/>
    <m/>
    <m/>
    <m/>
    <m/>
    <m/>
    <m/>
    <m/>
  </r>
  <r>
    <x v="22"/>
    <s v="GD260699"/>
    <s v="MORETE, JOHN DOMINIC "/>
    <s v="GD260699"/>
    <d v="2026-07-24T00:00:00"/>
    <m/>
    <s v="7PM-4AM"/>
    <d v="1899-12-30T18:36:00"/>
    <d v="1899-12-30T04:00:00"/>
    <s v="B"/>
    <n v="8"/>
    <m/>
    <n v="6"/>
    <m/>
    <m/>
    <m/>
    <m/>
    <m/>
    <m/>
    <m/>
    <m/>
    <m/>
    <m/>
    <m/>
    <m/>
  </r>
  <r>
    <x v="22"/>
    <s v="GD260699"/>
    <s v="MORETE, JOHN DOMINIC "/>
    <s v="GD260699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10"/>
    <n v="60"/>
    <n v="1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3"/>
    <s v="GD260733"/>
    <s v="DE CHAVEZ,JOE ANTENOR"/>
    <s v="GD260733"/>
    <d v="2026-07-11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2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3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4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5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6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7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8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19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20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21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22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23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24T00:00:00"/>
    <m/>
    <m/>
    <m/>
    <m/>
    <m/>
    <m/>
    <m/>
    <m/>
    <m/>
    <m/>
    <m/>
    <m/>
    <m/>
    <m/>
    <m/>
    <m/>
    <m/>
    <m/>
    <m/>
    <m/>
  </r>
  <r>
    <x v="23"/>
    <s v="GD260733"/>
    <s v="DE CHAVEZ,JOE ANTENOR"/>
    <s v="GD260733"/>
    <d v="2026-07-25T00:00:00"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4"/>
    <s v="GD250359"/>
    <s v="Desalisa, Mark Jay Almaida"/>
    <s v="GD250359"/>
    <d v="2026-07-11T00:00:00"/>
    <m/>
    <m/>
    <m/>
    <m/>
    <m/>
    <m/>
    <m/>
    <m/>
    <m/>
    <m/>
    <m/>
    <m/>
    <m/>
    <m/>
    <m/>
    <m/>
    <m/>
    <m/>
    <m/>
    <m/>
  </r>
  <r>
    <x v="24"/>
    <s v="GD250359"/>
    <s v="Desalisa, Mark Jay Almaida"/>
    <s v="GD250359"/>
    <d v="2026-07-12T00:00:00"/>
    <m/>
    <m/>
    <s v="SUNDAY"/>
    <m/>
    <m/>
    <m/>
    <m/>
    <m/>
    <m/>
    <m/>
    <m/>
    <m/>
    <m/>
    <m/>
    <m/>
    <m/>
    <m/>
    <m/>
    <m/>
    <m/>
  </r>
  <r>
    <x v="24"/>
    <s v="GD250359"/>
    <s v="Desalisa, Mark Jay Almaida"/>
    <s v="GD250359"/>
    <d v="2026-07-13T00:00:00"/>
    <m/>
    <s v="8AM-5PM"/>
    <d v="1899-12-30T07:44:00"/>
    <d v="1899-12-30T19:01:00"/>
    <s v="A"/>
    <n v="8"/>
    <n v="2"/>
    <m/>
    <m/>
    <m/>
    <m/>
    <m/>
    <m/>
    <m/>
    <m/>
    <m/>
    <m/>
    <m/>
    <m/>
    <m/>
  </r>
  <r>
    <x v="24"/>
    <s v="GD250359"/>
    <s v="Desalisa, Mark Jay Almaida"/>
    <s v="GD250359"/>
    <d v="2026-07-14T00:00:00"/>
    <m/>
    <s v="8AM-5PM"/>
    <d v="1899-12-30T07:42:00"/>
    <d v="1899-12-30T19:02:00"/>
    <s v="A"/>
    <n v="8"/>
    <n v="2"/>
    <m/>
    <m/>
    <m/>
    <m/>
    <m/>
    <m/>
    <m/>
    <m/>
    <m/>
    <m/>
    <m/>
    <m/>
    <m/>
  </r>
  <r>
    <x v="24"/>
    <s v="GD250359"/>
    <s v="Desalisa, Mark Jay Almaida"/>
    <s v="GD250359"/>
    <d v="2026-07-15T00:00:00"/>
    <m/>
    <s v="8AM-5PM"/>
    <d v="1899-12-30T07:41:00"/>
    <d v="1899-12-30T17:02:00"/>
    <s v="A"/>
    <n v="8"/>
    <m/>
    <m/>
    <m/>
    <m/>
    <m/>
    <m/>
    <m/>
    <m/>
    <m/>
    <m/>
    <m/>
    <m/>
    <m/>
    <m/>
  </r>
  <r>
    <x v="24"/>
    <s v="GD250359"/>
    <s v="Desalisa, Mark Jay Almaida"/>
    <s v="GD250359"/>
    <d v="2026-07-16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24"/>
    <s v="GD250359"/>
    <s v="Desalisa, Mark Jay Almaida"/>
    <s v="GD250359"/>
    <d v="2026-07-17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24"/>
    <s v="GD250359"/>
    <s v="Desalisa, Mark Jay Almaida"/>
    <s v="GD250359"/>
    <d v="2026-07-18T00:00:00"/>
    <m/>
    <s v="8AM-5PM"/>
    <m/>
    <m/>
    <m/>
    <m/>
    <m/>
    <m/>
    <m/>
    <m/>
    <m/>
    <m/>
    <m/>
    <m/>
    <m/>
    <m/>
    <m/>
    <m/>
    <m/>
    <m/>
  </r>
  <r>
    <x v="24"/>
    <s v="GD250359"/>
    <s v="Desalisa, Mark Jay Almaida"/>
    <s v="GD250359"/>
    <d v="2026-07-19T00:00:00"/>
    <m/>
    <m/>
    <s v="SUNDAY"/>
    <m/>
    <m/>
    <m/>
    <m/>
    <m/>
    <m/>
    <m/>
    <m/>
    <m/>
    <m/>
    <m/>
    <m/>
    <m/>
    <m/>
    <m/>
    <m/>
    <m/>
  </r>
  <r>
    <x v="24"/>
    <s v="GD250359"/>
    <s v="Desalisa, Mark Jay Almaida"/>
    <s v="GD250359"/>
    <d v="2026-07-20T00:00:00"/>
    <m/>
    <s v="8AM-5PM"/>
    <d v="1899-12-30T07:42:00"/>
    <d v="1899-12-30T17:04:00"/>
    <s v="A"/>
    <n v="8"/>
    <m/>
    <m/>
    <m/>
    <m/>
    <m/>
    <m/>
    <m/>
    <m/>
    <m/>
    <m/>
    <m/>
    <m/>
    <m/>
    <m/>
  </r>
  <r>
    <x v="24"/>
    <s v="GD250359"/>
    <s v="Desalisa, Mark Jay Almaida"/>
    <s v="GD250359"/>
    <d v="2026-07-21T00:00:00"/>
    <m/>
    <s v="8AM-5PM"/>
    <d v="1899-12-30T07:36:00"/>
    <d v="1899-12-30T19:00:00"/>
    <s v="A"/>
    <n v="8"/>
    <n v="2"/>
    <m/>
    <m/>
    <m/>
    <m/>
    <m/>
    <m/>
    <m/>
    <m/>
    <m/>
    <m/>
    <m/>
    <m/>
    <m/>
  </r>
  <r>
    <x v="24"/>
    <s v="GD250359"/>
    <s v="Desalisa, Mark Jay Almaida"/>
    <s v="GD250359"/>
    <d v="2026-07-22T00:00:00"/>
    <m/>
    <s v="8AM-5PM"/>
    <d v="1899-12-30T07:40:00"/>
    <d v="1899-12-30T19:02:00"/>
    <s v="A"/>
    <n v="8"/>
    <n v="2"/>
    <m/>
    <m/>
    <m/>
    <m/>
    <m/>
    <m/>
    <m/>
    <m/>
    <m/>
    <m/>
    <m/>
    <m/>
    <m/>
  </r>
  <r>
    <x v="24"/>
    <s v="GD250359"/>
    <s v="Desalisa, Mark Jay Almaida"/>
    <s v="GD250359"/>
    <d v="2026-07-23T00:00:00"/>
    <m/>
    <s v="8AM-5PM"/>
    <d v="1899-12-30T07:38:00"/>
    <d v="1899-12-30T19:04:00"/>
    <s v="A"/>
    <n v="8"/>
    <n v="2"/>
    <m/>
    <m/>
    <m/>
    <m/>
    <m/>
    <m/>
    <m/>
    <m/>
    <m/>
    <m/>
    <m/>
    <m/>
    <m/>
  </r>
  <r>
    <x v="24"/>
    <s v="GD250359"/>
    <s v="Desalisa, Mark Jay Almaida"/>
    <s v="GD250359"/>
    <d v="2026-07-24T00:00:00"/>
    <m/>
    <s v="8AM-5PM"/>
    <d v="1899-12-30T07:41:00"/>
    <d v="1899-12-30T19:02:00"/>
    <s v="A"/>
    <n v="8"/>
    <n v="2"/>
    <m/>
    <m/>
    <m/>
    <m/>
    <m/>
    <m/>
    <m/>
    <m/>
    <m/>
    <m/>
    <m/>
    <m/>
    <m/>
  </r>
  <r>
    <x v="24"/>
    <s v="GD250359"/>
    <s v="Desalisa, Mark Jay Almaida"/>
    <s v="GD25035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5"/>
    <s v="GD250147"/>
    <s v="Lanzaderas, Crisanto Villagracia"/>
    <s v="GD250147"/>
    <d v="2026-07-11T00:00:00"/>
    <m/>
    <m/>
    <m/>
    <m/>
    <m/>
    <m/>
    <m/>
    <m/>
    <m/>
    <m/>
    <m/>
    <m/>
    <m/>
    <m/>
    <m/>
    <m/>
    <m/>
    <m/>
    <m/>
    <m/>
  </r>
  <r>
    <x v="25"/>
    <s v="GD250147"/>
    <s v="Lanzaderas, Crisanto Villagracia"/>
    <s v="GD250147"/>
    <d v="2026-07-12T00:00:00"/>
    <m/>
    <m/>
    <s v="SUNDAY"/>
    <m/>
    <m/>
    <m/>
    <m/>
    <m/>
    <m/>
    <m/>
    <m/>
    <m/>
    <m/>
    <m/>
    <m/>
    <m/>
    <m/>
    <m/>
    <m/>
    <m/>
  </r>
  <r>
    <x v="25"/>
    <s v="GD250147"/>
    <s v="Lanzaderas, Crisanto Villagracia"/>
    <s v="GD250147"/>
    <d v="2026-07-13T00:00:00"/>
    <m/>
    <s v="8AM-5PM"/>
    <d v="1899-12-30T07:43:00"/>
    <d v="1899-12-30T17:05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14T00:00:00"/>
    <m/>
    <s v="8AM-5PM"/>
    <d v="1899-12-30T07:41:00"/>
    <d v="1899-12-30T17:06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15T00:00:00"/>
    <m/>
    <s v="8AM-5PM"/>
    <d v="1899-12-30T07:41:00"/>
    <d v="1899-12-30T17:07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16T00:00:00"/>
    <m/>
    <s v="8AM-5PM"/>
    <d v="1899-12-30T07:33:00"/>
    <d v="1899-12-30T17:07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17T00:00:00"/>
    <m/>
    <s v="8AM-5PM"/>
    <d v="1899-12-30T07:38:00"/>
    <d v="1899-12-30T17:06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18T00:00:00"/>
    <m/>
    <s v="8AM-5PM"/>
    <m/>
    <m/>
    <m/>
    <m/>
    <m/>
    <m/>
    <m/>
    <m/>
    <m/>
    <m/>
    <m/>
    <m/>
    <m/>
    <m/>
    <m/>
    <m/>
    <m/>
    <m/>
  </r>
  <r>
    <x v="25"/>
    <s v="GD250147"/>
    <s v="Lanzaderas, Crisanto Villagracia"/>
    <s v="GD250147"/>
    <d v="2026-07-19T00:00:00"/>
    <m/>
    <m/>
    <s v="SUNDAY"/>
    <m/>
    <m/>
    <m/>
    <m/>
    <m/>
    <m/>
    <m/>
    <m/>
    <m/>
    <m/>
    <m/>
    <m/>
    <m/>
    <m/>
    <m/>
    <m/>
    <m/>
  </r>
  <r>
    <x v="25"/>
    <s v="GD250147"/>
    <s v="Lanzaderas, Crisanto Villagracia"/>
    <s v="GD250147"/>
    <d v="2026-07-20T00:00:00"/>
    <m/>
    <s v="8AM-5PM"/>
    <d v="1899-12-30T07:42:00"/>
    <d v="1899-12-30T17:05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21T00:00:00"/>
    <m/>
    <s v="8AM-5PM"/>
    <d v="1899-12-30T07:37:00"/>
    <d v="1899-12-30T17:05:00"/>
    <s v="A"/>
    <n v="8"/>
    <m/>
    <m/>
    <m/>
    <m/>
    <m/>
    <m/>
    <m/>
    <m/>
    <m/>
    <m/>
    <m/>
    <m/>
    <m/>
    <m/>
  </r>
  <r>
    <x v="25"/>
    <s v="GD250147"/>
    <s v="Lanzaderas, Crisanto Villagracia"/>
    <s v="GD250147"/>
    <d v="2026-07-22T00:00:00"/>
    <m/>
    <s v="8AM-5PM"/>
    <d v="1899-12-30T07:39:00"/>
    <d v="1899-12-30T19:02:00"/>
    <s v="A"/>
    <n v="8"/>
    <n v="2"/>
    <m/>
    <m/>
    <m/>
    <m/>
    <m/>
    <m/>
    <m/>
    <m/>
    <m/>
    <m/>
    <m/>
    <m/>
    <m/>
  </r>
  <r>
    <x v="25"/>
    <s v="GD250147"/>
    <s v="Lanzaderas, Crisanto Villagracia"/>
    <s v="GD250147"/>
    <d v="2026-07-23T00:00:00"/>
    <m/>
    <s v="8AM-5PM"/>
    <d v="1899-12-30T07:38:00"/>
    <d v="1899-12-30T19:04:00"/>
    <s v="A"/>
    <n v="8"/>
    <n v="2"/>
    <m/>
    <m/>
    <m/>
    <m/>
    <m/>
    <m/>
    <m/>
    <m/>
    <m/>
    <m/>
    <m/>
    <m/>
    <m/>
  </r>
  <r>
    <x v="25"/>
    <s v="GD250147"/>
    <s v="Lanzaderas, Crisanto Villagracia"/>
    <s v="GD250147"/>
    <d v="2026-07-24T00:00:00"/>
    <m/>
    <s v="8AM-5PM"/>
    <d v="1899-12-30T07:41:00"/>
    <d v="1899-12-30T19:02:00"/>
    <s v="A"/>
    <n v="8"/>
    <n v="2"/>
    <m/>
    <m/>
    <m/>
    <m/>
    <m/>
    <m/>
    <m/>
    <m/>
    <m/>
    <m/>
    <m/>
    <m/>
    <m/>
  </r>
  <r>
    <x v="25"/>
    <s v="GD250147"/>
    <s v="Lanzaderas, Crisanto Villagracia"/>
    <s v="GD250147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6"/>
    <s v="GD250503"/>
    <s v="Melgar, Billy Rey Watiwat"/>
    <s v="GD250503"/>
    <d v="2026-07-11T00:00:00"/>
    <m/>
    <m/>
    <m/>
    <m/>
    <m/>
    <m/>
    <m/>
    <m/>
    <m/>
    <m/>
    <m/>
    <m/>
    <m/>
    <m/>
    <m/>
    <m/>
    <m/>
    <m/>
    <m/>
    <m/>
  </r>
  <r>
    <x v="26"/>
    <s v="GD250503"/>
    <s v="Melgar, Billy Rey Watiwat"/>
    <s v="GD250503"/>
    <d v="2026-07-12T00:00:00"/>
    <m/>
    <m/>
    <s v="SUNDAY"/>
    <m/>
    <m/>
    <m/>
    <m/>
    <m/>
    <m/>
    <m/>
    <m/>
    <m/>
    <m/>
    <m/>
    <m/>
    <m/>
    <m/>
    <m/>
    <m/>
    <m/>
  </r>
  <r>
    <x v="26"/>
    <s v="GD250503"/>
    <s v="Melgar, Billy Rey Watiwat"/>
    <s v="GD250503"/>
    <d v="2026-07-13T00:00:00"/>
    <m/>
    <s v="8AM-5PM"/>
    <d v="1899-12-30T07:29:00"/>
    <d v="1899-12-30T17:04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14T00:00:00"/>
    <m/>
    <s v="8AM-5PM"/>
    <d v="1899-12-30T07:53:00"/>
    <d v="1899-12-30T17:04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15T00:00:00"/>
    <m/>
    <s v="8AM-5PM"/>
    <d v="1899-12-30T07:39:00"/>
    <d v="1899-12-30T17:04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16T00:00:00"/>
    <m/>
    <s v="8AM-5PM"/>
    <d v="1899-12-30T07:44:00"/>
    <d v="1899-12-30T17:03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17T00:00:00"/>
    <m/>
    <s v="8AM-5PM"/>
    <d v="1899-12-30T07:38:00"/>
    <d v="1899-12-30T17:04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18T00:00:00"/>
    <m/>
    <s v="8AM-5PM"/>
    <m/>
    <m/>
    <m/>
    <m/>
    <m/>
    <m/>
    <m/>
    <m/>
    <m/>
    <m/>
    <m/>
    <m/>
    <m/>
    <m/>
    <m/>
    <m/>
    <m/>
    <m/>
  </r>
  <r>
    <x v="26"/>
    <s v="GD250503"/>
    <s v="Melgar, Billy Rey Watiwat"/>
    <s v="GD250503"/>
    <d v="2026-07-19T00:00:00"/>
    <m/>
    <m/>
    <s v="SUNDAY"/>
    <m/>
    <m/>
    <m/>
    <m/>
    <m/>
    <m/>
    <m/>
    <m/>
    <m/>
    <m/>
    <m/>
    <m/>
    <m/>
    <m/>
    <m/>
    <m/>
    <m/>
  </r>
  <r>
    <x v="26"/>
    <s v="GD250503"/>
    <s v="Melgar, Billy Rey Watiwat"/>
    <s v="GD250503"/>
    <d v="2026-07-20T00:00:00"/>
    <m/>
    <s v="8AM-5PM"/>
    <d v="1899-12-30T07:34:00"/>
    <d v="1899-12-30T17:03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21T00:00:00"/>
    <m/>
    <s v="8AM-5PM"/>
    <d v="1899-12-30T07:38:00"/>
    <d v="1899-12-30T17:02:00"/>
    <s v="A"/>
    <n v="8"/>
    <m/>
    <m/>
    <m/>
    <m/>
    <m/>
    <m/>
    <m/>
    <m/>
    <m/>
    <m/>
    <m/>
    <m/>
    <m/>
    <m/>
  </r>
  <r>
    <x v="26"/>
    <s v="GD250503"/>
    <s v="Melgar, Billy Rey Watiwat"/>
    <s v="GD250503"/>
    <d v="2026-07-22T00:00:00"/>
    <m/>
    <s v="8AM-5PM"/>
    <d v="1899-12-30T07:29:00"/>
    <d v="1899-12-30T19:02:00"/>
    <s v="A"/>
    <n v="8"/>
    <n v="2"/>
    <m/>
    <m/>
    <m/>
    <m/>
    <m/>
    <m/>
    <m/>
    <m/>
    <m/>
    <m/>
    <m/>
    <m/>
    <m/>
  </r>
  <r>
    <x v="26"/>
    <s v="GD250503"/>
    <s v="Melgar, Billy Rey Watiwat"/>
    <s v="GD250503"/>
    <d v="2026-07-23T00:00:00"/>
    <m/>
    <s v="8AM-5PM"/>
    <d v="1899-12-30T07:40:00"/>
    <d v="1899-12-30T19:02:00"/>
    <s v="A"/>
    <n v="8"/>
    <n v="2"/>
    <m/>
    <m/>
    <m/>
    <m/>
    <m/>
    <m/>
    <m/>
    <m/>
    <m/>
    <m/>
    <m/>
    <m/>
    <m/>
  </r>
  <r>
    <x v="26"/>
    <s v="GD250503"/>
    <s v="Melgar, Billy Rey Watiwat"/>
    <s v="GD250503"/>
    <d v="2026-07-24T00:00:00"/>
    <m/>
    <s v="8AM-5PM"/>
    <d v="1899-12-30T07:34:00"/>
    <d v="1899-12-30T19:01:00"/>
    <s v="A"/>
    <n v="8"/>
    <n v="2"/>
    <m/>
    <m/>
    <m/>
    <m/>
    <m/>
    <m/>
    <m/>
    <m/>
    <m/>
    <m/>
    <m/>
    <m/>
    <m/>
  </r>
  <r>
    <x v="26"/>
    <s v="GD250503"/>
    <s v="Melgar, Billy Rey Watiwat"/>
    <s v="GD250503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7"/>
    <s v="GD250522"/>
    <s v="Dado, Jerome Romero"/>
    <s v="GD250522"/>
    <d v="2026-07-11T00:00:00"/>
    <m/>
    <m/>
    <m/>
    <m/>
    <m/>
    <m/>
    <m/>
    <m/>
    <m/>
    <m/>
    <m/>
    <m/>
    <m/>
    <m/>
    <m/>
    <m/>
    <m/>
    <m/>
    <m/>
    <m/>
  </r>
  <r>
    <x v="27"/>
    <s v="GD250522"/>
    <s v="Dado, Jerome Romero"/>
    <s v="GD250522"/>
    <d v="2026-07-12T00:00:00"/>
    <m/>
    <m/>
    <m/>
    <m/>
    <m/>
    <m/>
    <m/>
    <m/>
    <m/>
    <m/>
    <m/>
    <m/>
    <m/>
    <m/>
    <m/>
    <m/>
    <m/>
    <m/>
    <m/>
    <m/>
  </r>
  <r>
    <x v="27"/>
    <s v="GD250522"/>
    <s v="Dado, Jerome Romero"/>
    <s v="GD250522"/>
    <d v="2026-07-13T00:00:00"/>
    <m/>
    <s v="8AM-5PM"/>
    <d v="1899-12-30T07:35:00"/>
    <d v="1899-12-30T17:05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14T00:00:00"/>
    <m/>
    <s v="8AM-5PM"/>
    <d v="1899-12-30T07:35:00"/>
    <d v="1899-12-30T17:04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15T00:00:00"/>
    <m/>
    <s v="8AM-5PM"/>
    <d v="1899-12-30T07:41:00"/>
    <d v="1899-12-30T17:07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16T00:00:00"/>
    <m/>
    <s v="8AM-5PM"/>
    <d v="1899-12-30T07:33:00"/>
    <d v="1899-12-30T17:09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17T00:00:00"/>
    <m/>
    <s v="8AM-5PM"/>
    <d v="1899-12-30T07:37:00"/>
    <d v="1899-12-30T17:06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18T00:00:00"/>
    <m/>
    <s v="8AM-5PM"/>
    <m/>
    <m/>
    <m/>
    <m/>
    <m/>
    <m/>
    <m/>
    <m/>
    <m/>
    <m/>
    <m/>
    <m/>
    <m/>
    <m/>
    <m/>
    <m/>
    <m/>
    <m/>
  </r>
  <r>
    <x v="27"/>
    <s v="GD250522"/>
    <s v="Dado, Jerome Romero"/>
    <s v="GD250522"/>
    <d v="2026-07-19T00:00:00"/>
    <m/>
    <m/>
    <s v="SUNDAY"/>
    <m/>
    <m/>
    <m/>
    <m/>
    <m/>
    <m/>
    <m/>
    <m/>
    <m/>
    <m/>
    <m/>
    <m/>
    <m/>
    <m/>
    <m/>
    <m/>
    <m/>
  </r>
  <r>
    <x v="27"/>
    <s v="GD250522"/>
    <s v="Dado, Jerome Romero"/>
    <s v="GD250522"/>
    <d v="2026-07-20T00:00:00"/>
    <m/>
    <s v="8AM-5PM"/>
    <d v="1899-12-30T07:42:00"/>
    <d v="1899-12-30T17:05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21T00:00:00"/>
    <m/>
    <s v="8AM-5PM"/>
    <d v="1899-12-30T07:36:00"/>
    <d v="1899-12-30T17:06:00"/>
    <s v="A"/>
    <n v="8"/>
    <m/>
    <m/>
    <m/>
    <m/>
    <m/>
    <m/>
    <m/>
    <m/>
    <m/>
    <m/>
    <m/>
    <m/>
    <m/>
    <m/>
  </r>
  <r>
    <x v="27"/>
    <s v="GD250522"/>
    <s v="Dado, Jerome Romero"/>
    <s v="GD250522"/>
    <d v="2026-07-22T00:00:00"/>
    <m/>
    <s v="8AM-5PM"/>
    <d v="1899-12-30T07:36:00"/>
    <d v="1899-12-30T19:03:00"/>
    <s v="A"/>
    <n v="8"/>
    <n v="2"/>
    <m/>
    <m/>
    <m/>
    <m/>
    <m/>
    <m/>
    <m/>
    <m/>
    <m/>
    <m/>
    <m/>
    <m/>
    <m/>
  </r>
  <r>
    <x v="27"/>
    <s v="GD250522"/>
    <s v="Dado, Jerome Romero"/>
    <s v="GD250522"/>
    <d v="2026-07-23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27"/>
    <s v="GD250522"/>
    <s v="Dado, Jerome Romero"/>
    <s v="GD250522"/>
    <d v="2026-07-24T00:00:00"/>
    <m/>
    <s v="8AM-5PM"/>
    <d v="1899-12-30T07:48:00"/>
    <d v="1899-12-30T19:03:00"/>
    <s v="A"/>
    <n v="8"/>
    <n v="2"/>
    <m/>
    <m/>
    <m/>
    <m/>
    <m/>
    <m/>
    <m/>
    <m/>
    <m/>
    <m/>
    <m/>
    <m/>
    <m/>
  </r>
  <r>
    <x v="27"/>
    <s v="GD250522"/>
    <s v="Dado, Jerome Romero"/>
    <s v="GD25052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8"/>
    <s v="GD250548"/>
    <s v="Bardon, Norly Villacruel"/>
    <s v="GD250548"/>
    <d v="2026-07-11T00:00:00"/>
    <m/>
    <s v="8AM-5PM"/>
    <d v="1899-12-30T07:46:00"/>
    <d v="1899-12-30T17:01:00"/>
    <s v="A"/>
    <n v="8"/>
    <m/>
    <m/>
    <m/>
    <m/>
    <m/>
    <m/>
    <m/>
    <m/>
    <m/>
    <m/>
    <m/>
    <m/>
    <m/>
    <m/>
  </r>
  <r>
    <x v="28"/>
    <s v="GD250548"/>
    <s v="Bardon, Norly Villacruel"/>
    <s v="GD250548"/>
    <d v="2026-07-12T00:00:00"/>
    <m/>
    <m/>
    <s v="SUNDAY"/>
    <m/>
    <m/>
    <m/>
    <m/>
    <m/>
    <m/>
    <m/>
    <m/>
    <m/>
    <m/>
    <m/>
    <m/>
    <m/>
    <m/>
    <m/>
    <m/>
    <m/>
  </r>
  <r>
    <x v="28"/>
    <s v="GD250548"/>
    <s v="Bardon, Norly Villacruel"/>
    <s v="GD250548"/>
    <d v="2026-07-13T00:00:00"/>
    <m/>
    <s v="7PM-4AM"/>
    <d v="1899-12-30T18:34:00"/>
    <d v="1899-12-30T04:00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14T00:00:00"/>
    <m/>
    <s v="7PM-4AM"/>
    <d v="1899-12-30T18:35:00"/>
    <d v="1899-12-30T06:01:00"/>
    <s v="B"/>
    <n v="8"/>
    <n v="2"/>
    <n v="6"/>
    <n v="2"/>
    <m/>
    <m/>
    <m/>
    <m/>
    <m/>
    <m/>
    <m/>
    <m/>
    <m/>
    <m/>
    <m/>
  </r>
  <r>
    <x v="28"/>
    <s v="GD250548"/>
    <s v="Bardon, Norly Villacruel"/>
    <s v="GD250548"/>
    <d v="2026-07-15T00:00:00"/>
    <m/>
    <s v="7PM-4AM"/>
    <d v="1899-12-30T18:41:00"/>
    <d v="1899-12-30T04:01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16T00:00:00"/>
    <m/>
    <s v="7PM-4AM"/>
    <m/>
    <m/>
    <m/>
    <m/>
    <m/>
    <m/>
    <m/>
    <m/>
    <m/>
    <m/>
    <m/>
    <m/>
    <m/>
    <m/>
    <m/>
    <m/>
    <m/>
    <m/>
  </r>
  <r>
    <x v="28"/>
    <s v="GD250548"/>
    <s v="Bardon, Norly Villacruel"/>
    <s v="GD250548"/>
    <d v="2026-07-17T00:00:00"/>
    <m/>
    <s v="7PM-4AM"/>
    <d v="1899-12-30T18:30:00"/>
    <d v="1899-12-30T04:01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18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19T00:00:00"/>
    <m/>
    <m/>
    <s v="SUNDAY"/>
    <m/>
    <m/>
    <m/>
    <m/>
    <m/>
    <m/>
    <m/>
    <m/>
    <m/>
    <m/>
    <m/>
    <m/>
    <m/>
    <m/>
    <m/>
    <m/>
    <m/>
  </r>
  <r>
    <x v="28"/>
    <s v="GD250548"/>
    <s v="Bardon, Norly Villacruel"/>
    <s v="GD250548"/>
    <d v="2026-07-20T00:00:00"/>
    <m/>
    <s v="7PM-4AM"/>
    <d v="1899-12-30T18:30:00"/>
    <d v="1899-12-30T04:00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21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22T00:00:00"/>
    <m/>
    <s v="7PM-4AM"/>
    <d v="1899-12-30T18:38:00"/>
    <d v="1899-12-30T06:00:00"/>
    <s v="B"/>
    <n v="8"/>
    <n v="2"/>
    <n v="6"/>
    <n v="2"/>
    <m/>
    <m/>
    <m/>
    <m/>
    <m/>
    <m/>
    <m/>
    <m/>
    <m/>
    <m/>
    <m/>
  </r>
  <r>
    <x v="28"/>
    <s v="GD250548"/>
    <s v="Bardon, Norly Villacruel"/>
    <s v="GD250548"/>
    <d v="2026-07-23T00:00:00"/>
    <m/>
    <s v="7PM-4AM"/>
    <d v="1899-12-30T18:40:00"/>
    <d v="1899-12-30T06:00:00"/>
    <s v="B"/>
    <n v="8"/>
    <n v="2"/>
    <n v="6"/>
    <n v="2"/>
    <m/>
    <m/>
    <m/>
    <m/>
    <m/>
    <m/>
    <m/>
    <m/>
    <m/>
    <m/>
    <m/>
  </r>
  <r>
    <x v="28"/>
    <s v="GD250548"/>
    <s v="Bardon, Norly Villacruel"/>
    <s v="GD250548"/>
    <d v="2026-07-24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28"/>
    <s v="GD250548"/>
    <s v="Bardon, Norly Villacruel"/>
    <s v="GD250548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6"/>
    <n v="60"/>
    <n v="6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29"/>
    <s v="GD250519"/>
    <s v="Flores, Joey Brasula"/>
    <s v="GD250519"/>
    <d v="2026-07-11T00:00:00"/>
    <m/>
    <m/>
    <m/>
    <m/>
    <m/>
    <m/>
    <m/>
    <m/>
    <m/>
    <m/>
    <m/>
    <m/>
    <m/>
    <m/>
    <m/>
    <m/>
    <m/>
    <m/>
    <m/>
    <m/>
  </r>
  <r>
    <x v="29"/>
    <s v="GD250519"/>
    <s v="Flores, Joey Brasula"/>
    <s v="GD250519"/>
    <d v="2026-07-12T00:00:00"/>
    <m/>
    <m/>
    <s v="SUNDAY"/>
    <m/>
    <m/>
    <m/>
    <m/>
    <m/>
    <m/>
    <m/>
    <m/>
    <m/>
    <m/>
    <m/>
    <m/>
    <m/>
    <m/>
    <m/>
    <m/>
    <m/>
  </r>
  <r>
    <x v="29"/>
    <s v="GD250519"/>
    <s v="Flores, Joey Brasula"/>
    <s v="GD250519"/>
    <d v="2026-07-13T00:00:00"/>
    <m/>
    <s v="7PM-4AM"/>
    <d v="1899-12-30T18:07:00"/>
    <d v="1899-12-30T04:01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14T00:00:00"/>
    <m/>
    <s v="7PM-4AM"/>
    <d v="1899-12-30T18:19:00"/>
    <d v="1899-12-30T04:00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15T00:00:00"/>
    <m/>
    <s v="7PM-4AM"/>
    <d v="1899-12-30T18:06:00"/>
    <d v="1899-12-30T04:01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16T00:00:00"/>
    <m/>
    <s v="7PM-4AM"/>
    <d v="1899-12-30T18:21:00"/>
    <d v="1899-12-30T04:01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17T00:00:00"/>
    <m/>
    <s v="7PM-4AM"/>
    <d v="1899-12-30T18:23:00"/>
    <d v="1899-12-30T04:01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18T00:00:00"/>
    <m/>
    <s v="7PM-4AM"/>
    <m/>
    <m/>
    <m/>
    <m/>
    <m/>
    <m/>
    <m/>
    <m/>
    <m/>
    <m/>
    <m/>
    <m/>
    <m/>
    <m/>
    <m/>
    <m/>
    <m/>
    <m/>
  </r>
  <r>
    <x v="29"/>
    <s v="GD250519"/>
    <s v="Flores, Joey Brasula"/>
    <s v="GD250519"/>
    <d v="2026-07-19T00:00:00"/>
    <m/>
    <m/>
    <s v="SUNDAY"/>
    <m/>
    <m/>
    <m/>
    <m/>
    <m/>
    <m/>
    <m/>
    <m/>
    <m/>
    <m/>
    <m/>
    <m/>
    <m/>
    <m/>
    <m/>
    <m/>
    <m/>
  </r>
  <r>
    <x v="29"/>
    <s v="GD250519"/>
    <s v="Flores, Joey Brasula"/>
    <s v="GD250519"/>
    <d v="2026-07-20T00:00:00"/>
    <m/>
    <s v="7PM-4AM"/>
    <d v="1899-12-30T18:36:00"/>
    <d v="1899-12-30T04:02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21T00:00:00"/>
    <m/>
    <s v="7PM-4AM"/>
    <d v="1899-12-30T18:07:00"/>
    <d v="1899-12-30T04:02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22T00:00:00"/>
    <m/>
    <s v="7PM-4AM"/>
    <d v="1899-12-30T18:39:00"/>
    <d v="1899-12-30T05:59:00"/>
    <s v="B"/>
    <n v="8"/>
    <n v="1.5"/>
    <n v="5.5"/>
    <n v="1.5"/>
    <m/>
    <m/>
    <m/>
    <m/>
    <m/>
    <m/>
    <m/>
    <m/>
    <m/>
    <m/>
    <n v="1"/>
  </r>
  <r>
    <x v="29"/>
    <s v="GD250519"/>
    <s v="Flores, Joey Brasula"/>
    <s v="GD250519"/>
    <d v="2026-07-23T00:00:00"/>
    <m/>
    <s v="7PM-4AM"/>
    <d v="1899-12-30T18:35:00"/>
    <d v="1899-12-30T05:59:00"/>
    <s v="B"/>
    <n v="8"/>
    <n v="1.5"/>
    <n v="5.5"/>
    <n v="1.5"/>
    <m/>
    <m/>
    <m/>
    <m/>
    <m/>
    <m/>
    <m/>
    <m/>
    <m/>
    <m/>
    <n v="1"/>
  </r>
  <r>
    <x v="29"/>
    <s v="GD250519"/>
    <s v="Flores, Joey Brasula"/>
    <s v="GD250519"/>
    <d v="2026-07-24T00:00:00"/>
    <m/>
    <s v="7PM-4AM"/>
    <d v="1899-12-30T18:06:00"/>
    <d v="1899-12-30T04:00:00"/>
    <s v="B"/>
    <n v="8"/>
    <m/>
    <n v="6"/>
    <m/>
    <m/>
    <m/>
    <m/>
    <m/>
    <m/>
    <m/>
    <m/>
    <m/>
    <m/>
    <m/>
    <m/>
  </r>
  <r>
    <x v="29"/>
    <s v="GD250519"/>
    <s v="Flores, Joey Brasula"/>
    <s v="GD250519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3"/>
    <n v="59"/>
    <n v="3"/>
    <n v="0"/>
    <n v="0"/>
    <n v="0"/>
    <n v="0"/>
    <n v="0"/>
    <n v="0"/>
    <n v="0"/>
    <n v="0"/>
    <n v="0"/>
    <n v="0"/>
    <n v="2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0"/>
    <s v="GD250070"/>
    <s v="Jaway, Joshua Sangalang"/>
    <s v="GD250070"/>
    <d v="2026-07-11T00:00:00"/>
    <m/>
    <m/>
    <m/>
    <m/>
    <m/>
    <m/>
    <m/>
    <m/>
    <m/>
    <m/>
    <m/>
    <m/>
    <m/>
    <m/>
    <m/>
    <m/>
    <m/>
    <m/>
    <m/>
    <m/>
  </r>
  <r>
    <x v="30"/>
    <s v="GD250070"/>
    <s v="Jaway, Joshua Sangalang"/>
    <s v="GD250070"/>
    <d v="2026-07-12T00:00:00"/>
    <m/>
    <m/>
    <s v="SUNDAY"/>
    <m/>
    <m/>
    <m/>
    <m/>
    <m/>
    <m/>
    <m/>
    <m/>
    <m/>
    <m/>
    <m/>
    <m/>
    <m/>
    <m/>
    <m/>
    <m/>
    <m/>
  </r>
  <r>
    <x v="30"/>
    <s v="GD250070"/>
    <s v="Jaway, Joshua Sangalang"/>
    <s v="GD250070"/>
    <d v="2026-07-13T00:00:00"/>
    <m/>
    <s v="7PM-4AM"/>
    <d v="1899-12-30T18:35:00"/>
    <d v="1899-12-30T04:00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14T00:00:00"/>
    <m/>
    <s v="7PM-4AM"/>
    <d v="1899-12-30T18:33:00"/>
    <d v="1899-12-30T04:01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15T00:00:00"/>
    <m/>
    <s v="7PM-4AM"/>
    <d v="1899-12-30T18:31:00"/>
    <d v="1899-12-30T04:02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16T00:00:00"/>
    <m/>
    <s v="7PM-4AM"/>
    <d v="1899-12-30T18:35:00"/>
    <d v="1899-12-30T04:00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17T00:00:00"/>
    <m/>
    <s v="7PM-4AM"/>
    <d v="1899-12-30T18:28:00"/>
    <d v="1899-12-30T06:00:00"/>
    <s v="B"/>
    <n v="8"/>
    <n v="2"/>
    <n v="6"/>
    <n v="2"/>
    <m/>
    <m/>
    <m/>
    <m/>
    <m/>
    <m/>
    <m/>
    <m/>
    <m/>
    <m/>
    <m/>
  </r>
  <r>
    <x v="30"/>
    <s v="GD250070"/>
    <s v="Jaway, Joshua Sangalang"/>
    <s v="GD250070"/>
    <d v="2026-07-18T00:00:00"/>
    <m/>
    <s v="7PM-4AM"/>
    <d v="1899-12-30T18:36:00"/>
    <d v="1899-12-30T04:03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19T00:00:00"/>
    <m/>
    <m/>
    <s v="SUNDAY"/>
    <m/>
    <m/>
    <m/>
    <m/>
    <m/>
    <m/>
    <m/>
    <m/>
    <m/>
    <m/>
    <m/>
    <m/>
    <m/>
    <m/>
    <m/>
    <m/>
    <m/>
  </r>
  <r>
    <x v="30"/>
    <s v="GD250070"/>
    <s v="Jaway, Joshua Sangalang"/>
    <s v="GD250070"/>
    <d v="2026-07-20T00:00:00"/>
    <m/>
    <s v="7PM-4AM"/>
    <d v="1899-12-30T18:27:00"/>
    <d v="1899-12-30T04:00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21T00:00:00"/>
    <m/>
    <s v="7PM-4AM"/>
    <d v="1899-12-30T18:29:00"/>
    <d v="1899-12-30T04:00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22T00:00:00"/>
    <m/>
    <s v="7PM-4AM"/>
    <d v="1899-12-30T18:34:00"/>
    <d v="1899-12-30T06:00:00"/>
    <s v="B"/>
    <n v="8"/>
    <n v="2"/>
    <n v="6"/>
    <n v="2"/>
    <m/>
    <m/>
    <m/>
    <m/>
    <m/>
    <m/>
    <m/>
    <m/>
    <m/>
    <m/>
    <m/>
  </r>
  <r>
    <x v="30"/>
    <s v="GD250070"/>
    <s v="Jaway, Joshua Sangalang"/>
    <s v="GD250070"/>
    <d v="2026-07-23T00:00:00"/>
    <m/>
    <s v="7PM-4AM"/>
    <d v="1899-12-30T18:28:00"/>
    <d v="1899-12-30T06:00:00"/>
    <s v="B"/>
    <n v="8"/>
    <n v="2"/>
    <n v="6"/>
    <n v="2"/>
    <m/>
    <m/>
    <m/>
    <m/>
    <m/>
    <m/>
    <m/>
    <m/>
    <m/>
    <m/>
    <m/>
  </r>
  <r>
    <x v="30"/>
    <s v="GD250070"/>
    <s v="Jaway, Joshua Sangalang"/>
    <s v="GD250070"/>
    <d v="2026-07-24T00:00:00"/>
    <m/>
    <s v="7PM-4AM"/>
    <d v="1899-12-30T18:20:00"/>
    <d v="1899-12-30T04:00:00"/>
    <s v="B"/>
    <n v="8"/>
    <m/>
    <n v="6"/>
    <m/>
    <m/>
    <m/>
    <m/>
    <m/>
    <m/>
    <m/>
    <m/>
    <m/>
    <m/>
    <m/>
    <m/>
  </r>
  <r>
    <x v="30"/>
    <s v="GD250070"/>
    <s v="Jaway, Joshua Sangalang"/>
    <s v="GD250070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6"/>
    <n v="66"/>
    <n v="6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1"/>
    <s v="GD250051"/>
    <s v="Oclarino, Edena San Buenaventura"/>
    <s v="GD250051"/>
    <d v="2026-07-11T00:00:00"/>
    <m/>
    <s v="8AM-5PM"/>
    <d v="1899-12-30T07:20:00"/>
    <d v="1899-12-30T17:03:00"/>
    <s v="A"/>
    <n v="8"/>
    <m/>
    <m/>
    <m/>
    <m/>
    <m/>
    <m/>
    <m/>
    <m/>
    <m/>
    <m/>
    <m/>
    <m/>
    <m/>
    <m/>
  </r>
  <r>
    <x v="31"/>
    <s v="GD250051"/>
    <s v="Oclarino, Edena San Buenaventura"/>
    <s v="GD250051"/>
    <d v="2026-07-12T00:00:00"/>
    <m/>
    <m/>
    <s v="SUNDAY"/>
    <m/>
    <m/>
    <m/>
    <m/>
    <m/>
    <m/>
    <m/>
    <m/>
    <m/>
    <m/>
    <m/>
    <m/>
    <m/>
    <m/>
    <m/>
    <m/>
    <m/>
  </r>
  <r>
    <x v="31"/>
    <s v="GD250051"/>
    <s v="Oclarino, Edena San Buenaventura"/>
    <s v="GD250051"/>
    <d v="2026-07-13T00:00:00"/>
    <m/>
    <s v="7PM-4AM"/>
    <d v="1899-12-30T18:35:00"/>
    <d v="1899-12-30T04:24:00"/>
    <s v="B"/>
    <n v="8"/>
    <m/>
    <n v="6"/>
    <m/>
    <m/>
    <m/>
    <m/>
    <m/>
    <m/>
    <m/>
    <m/>
    <m/>
    <m/>
    <m/>
    <m/>
  </r>
  <r>
    <x v="31"/>
    <s v="GD250051"/>
    <s v="Oclarino, Edena San Buenaventura"/>
    <s v="GD250051"/>
    <d v="2026-07-14T00:00:00"/>
    <m/>
    <s v="7PM-4AM"/>
    <d v="1899-12-30T18:22:00"/>
    <d v="1899-12-30T06:02:00"/>
    <s v="B"/>
    <n v="8"/>
    <n v="2"/>
    <n v="6"/>
    <n v="2"/>
    <m/>
    <m/>
    <m/>
    <m/>
    <m/>
    <m/>
    <m/>
    <m/>
    <m/>
    <m/>
    <m/>
  </r>
  <r>
    <x v="31"/>
    <s v="GD250051"/>
    <s v="Oclarino, Edena San Buenaventura"/>
    <s v="GD250051"/>
    <d v="2026-07-15T00:00:00"/>
    <m/>
    <s v="7PM-4AM"/>
    <d v="1899-12-30T18:18:00"/>
    <d v="1899-12-30T04:02:00"/>
    <s v="B"/>
    <n v="8"/>
    <m/>
    <n v="6"/>
    <m/>
    <m/>
    <m/>
    <m/>
    <m/>
    <m/>
    <m/>
    <m/>
    <m/>
    <m/>
    <m/>
    <m/>
  </r>
  <r>
    <x v="31"/>
    <s v="GD250051"/>
    <s v="Oclarino, Edena San Buenaventura"/>
    <s v="GD250051"/>
    <d v="2026-07-16T00:00:00"/>
    <m/>
    <s v="7PM-4AM"/>
    <d v="1899-12-30T18:35:00"/>
    <d v="1899-12-30T04:03:00"/>
    <s v="B"/>
    <n v="8"/>
    <m/>
    <n v="6"/>
    <m/>
    <m/>
    <m/>
    <m/>
    <m/>
    <m/>
    <m/>
    <m/>
    <m/>
    <m/>
    <m/>
    <m/>
  </r>
  <r>
    <x v="31"/>
    <s v="GD250051"/>
    <s v="Oclarino, Edena San Buenaventura"/>
    <s v="GD250051"/>
    <d v="2026-07-17T00:00:00"/>
    <m/>
    <s v="7PM-4AM"/>
    <d v="1899-12-30T18:46:00"/>
    <d v="1899-12-30T04:06:00"/>
    <s v="B"/>
    <n v="8"/>
    <m/>
    <n v="6"/>
    <m/>
    <m/>
    <m/>
    <m/>
    <m/>
    <m/>
    <m/>
    <m/>
    <m/>
    <m/>
    <m/>
    <m/>
  </r>
  <r>
    <x v="31"/>
    <s v="GD250051"/>
    <s v="Oclarino, Edena San Buenaventura"/>
    <s v="GD250051"/>
    <d v="2026-07-18T00:00:00"/>
    <m/>
    <s v="7PM-4AM"/>
    <d v="1899-12-30T18:33:00"/>
    <d v="1899-12-30T04:01:00"/>
    <s v="B"/>
    <n v="8"/>
    <m/>
    <n v="6"/>
    <m/>
    <m/>
    <m/>
    <m/>
    <m/>
    <m/>
    <m/>
    <m/>
    <m/>
    <m/>
    <m/>
    <m/>
  </r>
  <r>
    <x v="31"/>
    <s v="GD250051"/>
    <s v="Oclarino, Edena San Buenaventura"/>
    <s v="GD250051"/>
    <d v="2026-07-19T00:00:00"/>
    <m/>
    <m/>
    <s v="SUNDAY"/>
    <m/>
    <m/>
    <m/>
    <m/>
    <m/>
    <m/>
    <m/>
    <m/>
    <m/>
    <m/>
    <m/>
    <m/>
    <m/>
    <m/>
    <m/>
    <m/>
    <m/>
  </r>
  <r>
    <x v="31"/>
    <s v="GD250051"/>
    <s v="Oclarino, Edena San Buenaventura"/>
    <s v="GD250051"/>
    <d v="2026-07-20T00:00:00"/>
    <m/>
    <s v="7PM-4AM"/>
    <d v="1899-12-30T18:31:00"/>
    <d v="1899-12-30T04:03:00"/>
    <s v="B"/>
    <n v="8"/>
    <m/>
    <n v="6"/>
    <m/>
    <m/>
    <m/>
    <m/>
    <m/>
    <m/>
    <m/>
    <m/>
    <m/>
    <m/>
    <m/>
    <m/>
  </r>
  <r>
    <x v="31"/>
    <s v="GD250051"/>
    <s v="Oclarino, Edena San Buenaventura"/>
    <s v="GD250051"/>
    <d v="2026-07-21T00:00:00"/>
    <m/>
    <s v="7PM-4AM"/>
    <d v="1899-12-30T18:29:00"/>
    <d v="1899-12-30T06:00:00"/>
    <s v="B"/>
    <n v="8"/>
    <n v="2"/>
    <n v="6"/>
    <n v="2"/>
    <m/>
    <m/>
    <m/>
    <m/>
    <m/>
    <m/>
    <m/>
    <m/>
    <m/>
    <m/>
    <m/>
  </r>
  <r>
    <x v="31"/>
    <s v="GD250051"/>
    <s v="Oclarino, Edena San Buenaventura"/>
    <s v="GD250051"/>
    <d v="2026-07-22T00:00:00"/>
    <m/>
    <s v="7PM-4AM"/>
    <m/>
    <m/>
    <m/>
    <m/>
    <m/>
    <m/>
    <m/>
    <m/>
    <m/>
    <m/>
    <m/>
    <m/>
    <m/>
    <m/>
    <m/>
    <m/>
    <m/>
    <m/>
  </r>
  <r>
    <x v="31"/>
    <s v="GD250051"/>
    <s v="Oclarino, Edena San Buenaventura"/>
    <s v="GD250051"/>
    <d v="2026-07-23T00:00:00"/>
    <m/>
    <s v="7PM-4AM"/>
    <m/>
    <m/>
    <m/>
    <m/>
    <m/>
    <m/>
    <m/>
    <m/>
    <m/>
    <m/>
    <m/>
    <m/>
    <m/>
    <m/>
    <m/>
    <m/>
    <m/>
    <m/>
  </r>
  <r>
    <x v="31"/>
    <s v="GD250051"/>
    <s v="Oclarino, Edena San Buenaventura"/>
    <s v="GD250051"/>
    <d v="2026-07-24T00:00:00"/>
    <m/>
    <s v="7PM-4AM"/>
    <m/>
    <m/>
    <m/>
    <m/>
    <m/>
    <m/>
    <m/>
    <m/>
    <m/>
    <m/>
    <m/>
    <m/>
    <m/>
    <m/>
    <m/>
    <m/>
    <m/>
    <m/>
  </r>
  <r>
    <x v="31"/>
    <s v="GD250051"/>
    <s v="Oclarino, Edena San Buenaventura"/>
    <s v="GD250051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72"/>
    <n v="4"/>
    <n v="48"/>
    <n v="4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2"/>
    <s v="GD250547"/>
    <s v="Pamada, James Benavidez"/>
    <s v="GD250547"/>
    <d v="2026-07-11T00:00:00"/>
    <m/>
    <m/>
    <m/>
    <m/>
    <m/>
    <m/>
    <m/>
    <m/>
    <m/>
    <m/>
    <m/>
    <m/>
    <m/>
    <m/>
    <m/>
    <m/>
    <m/>
    <m/>
    <m/>
    <m/>
  </r>
  <r>
    <x v="32"/>
    <s v="GD250547"/>
    <s v="Pamada, James Benavidez"/>
    <s v="GD250547"/>
    <d v="2026-07-12T00:00:00"/>
    <m/>
    <m/>
    <s v="SUNDAY"/>
    <m/>
    <m/>
    <m/>
    <m/>
    <m/>
    <m/>
    <m/>
    <m/>
    <m/>
    <m/>
    <m/>
    <m/>
    <m/>
    <m/>
    <m/>
    <m/>
    <m/>
  </r>
  <r>
    <x v="32"/>
    <s v="GD250547"/>
    <s v="Pamada, James Benavidez"/>
    <s v="GD250547"/>
    <d v="2026-07-13T00:00:00"/>
    <m/>
    <s v="7PM-4AM"/>
    <d v="1899-12-30T18:34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14T00:00:00"/>
    <m/>
    <s v="7PM-4AM"/>
    <d v="1899-12-30T18:35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15T00:00:00"/>
    <m/>
    <s v="7PM-4AM"/>
    <d v="1899-12-30T18:41:00"/>
    <d v="1899-12-30T04:01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16T00:00:00"/>
    <m/>
    <s v="7PM-4AM"/>
    <d v="1899-12-30T18:28:00"/>
    <d v="1899-12-30T04:01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17T00:00:00"/>
    <m/>
    <s v="7PM-4AM"/>
    <d v="1899-12-30T18:30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18T00:00:00"/>
    <m/>
    <s v="7PM-4AM"/>
    <d v="1899-12-30T18:33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19T00:00:00"/>
    <m/>
    <m/>
    <s v="SUNDAY"/>
    <m/>
    <m/>
    <m/>
    <m/>
    <m/>
    <m/>
    <m/>
    <m/>
    <m/>
    <m/>
    <m/>
    <m/>
    <m/>
    <m/>
    <m/>
    <m/>
    <m/>
  </r>
  <r>
    <x v="32"/>
    <s v="GD250547"/>
    <s v="Pamada, James Benavidez"/>
    <s v="GD250547"/>
    <d v="2026-07-20T00:00:00"/>
    <m/>
    <s v="7PM-4AM"/>
    <d v="1899-12-30T18:30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21T00:00:00"/>
    <m/>
    <s v="7PM-4AM"/>
    <d v="1899-12-30T18:36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22T00:00:00"/>
    <m/>
    <s v="7PM-4AM"/>
    <d v="1899-12-30T18:39:00"/>
    <d v="1899-12-30T06:00:00"/>
    <s v="B"/>
    <n v="8"/>
    <n v="2"/>
    <n v="6"/>
    <n v="2"/>
    <m/>
    <m/>
    <m/>
    <m/>
    <m/>
    <m/>
    <m/>
    <m/>
    <m/>
    <m/>
    <m/>
  </r>
  <r>
    <x v="32"/>
    <s v="GD250547"/>
    <s v="Pamada, James Benavidez"/>
    <s v="GD250547"/>
    <d v="2026-07-23T00:00:00"/>
    <m/>
    <s v="7PM-4AM"/>
    <d v="1899-12-30T18:40:00"/>
    <d v="1899-12-30T06:00:00"/>
    <s v="B"/>
    <n v="8"/>
    <n v="2"/>
    <n v="6"/>
    <n v="2"/>
    <m/>
    <m/>
    <m/>
    <m/>
    <m/>
    <m/>
    <m/>
    <m/>
    <m/>
    <m/>
    <m/>
  </r>
  <r>
    <x v="32"/>
    <s v="GD250547"/>
    <s v="Pamada, James Benavidez"/>
    <s v="GD250547"/>
    <d v="2026-07-24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32"/>
    <s v="GD250547"/>
    <s v="Pamada, James Benavidez"/>
    <s v="GD250547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4"/>
    <n v="66"/>
    <n v="4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3"/>
    <s v="GD260706"/>
    <s v="DECULAWAN, MARLON"/>
    <s v="GD260706"/>
    <d v="2026-07-11T00:00:00"/>
    <m/>
    <s v="8AM-5PM"/>
    <d v="1899-12-30T07:25:00"/>
    <d v="1899-12-30T17:02:00"/>
    <s v="A"/>
    <n v="8"/>
    <m/>
    <m/>
    <m/>
    <m/>
    <m/>
    <m/>
    <m/>
    <m/>
    <m/>
    <m/>
    <m/>
    <m/>
    <m/>
    <m/>
  </r>
  <r>
    <x v="33"/>
    <s v="GD260706"/>
    <s v="DECULAWAN, MARLON"/>
    <s v="GD260706"/>
    <d v="2026-07-12T00:00:00"/>
    <m/>
    <m/>
    <s v="SUNDAY"/>
    <m/>
    <m/>
    <m/>
    <m/>
    <m/>
    <m/>
    <m/>
    <m/>
    <m/>
    <m/>
    <m/>
    <m/>
    <m/>
    <m/>
    <m/>
    <m/>
    <m/>
  </r>
  <r>
    <x v="33"/>
    <s v="GD260706"/>
    <s v="DECULAWAN, MARLON"/>
    <s v="GD260706"/>
    <d v="2026-07-13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14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15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16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17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18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19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20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21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22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23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24T00:00:00"/>
    <m/>
    <m/>
    <m/>
    <m/>
    <m/>
    <m/>
    <m/>
    <m/>
    <m/>
    <m/>
    <m/>
    <m/>
    <m/>
    <m/>
    <m/>
    <m/>
    <m/>
    <m/>
    <m/>
    <m/>
  </r>
  <r>
    <x v="33"/>
    <s v="GD260706"/>
    <s v="DECULAWAN, MARLON"/>
    <s v="GD260706"/>
    <d v="2026-07-25T00:00:00"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4"/>
    <s v="GD260707"/>
    <s v="LUMBAYO, JEXON ATONG"/>
    <s v="GD260707"/>
    <d v="2026-07-11T00:00:00"/>
    <m/>
    <s v="8AM-5PM"/>
    <d v="1899-12-30T07:27:00"/>
    <d v="1899-12-30T17:03:00"/>
    <s v="A"/>
    <n v="8"/>
    <m/>
    <m/>
    <m/>
    <m/>
    <m/>
    <m/>
    <m/>
    <m/>
    <m/>
    <m/>
    <m/>
    <m/>
    <m/>
    <m/>
  </r>
  <r>
    <x v="34"/>
    <s v="GD260707"/>
    <s v="LUMBAYO, JEXON ATONG"/>
    <s v="GD260707"/>
    <d v="2026-07-12T00:00:00"/>
    <m/>
    <m/>
    <s v="SUNDAY"/>
    <m/>
    <m/>
    <m/>
    <m/>
    <m/>
    <m/>
    <m/>
    <m/>
    <m/>
    <m/>
    <m/>
    <m/>
    <m/>
    <m/>
    <m/>
    <m/>
    <m/>
  </r>
  <r>
    <x v="34"/>
    <s v="GD260707"/>
    <s v="LUMBAYO, JEXON ATONG"/>
    <s v="GD260707"/>
    <d v="2026-07-13T00:00:00"/>
    <m/>
    <s v="7PM-4AM"/>
    <d v="1899-12-30T18:27:00"/>
    <d v="1899-12-30T04:03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14T00:00:00"/>
    <m/>
    <s v="7PM-4AM"/>
    <d v="1899-12-30T18:33:00"/>
    <d v="1899-12-30T04:01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15T00:00:00"/>
    <m/>
    <s v="7PM-4AM"/>
    <d v="1899-12-30T18:41:00"/>
    <d v="1899-12-30T04:02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16T00:00:00"/>
    <m/>
    <s v="7PM-4AM"/>
    <d v="1899-12-30T18:41:00"/>
    <d v="1899-12-30T04:03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17T00:00:00"/>
    <m/>
    <s v="7PM-4AM"/>
    <d v="1899-12-30T18:36:00"/>
    <d v="1899-12-30T04:01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18T00:00:00"/>
    <m/>
    <s v="7PM-4AM"/>
    <m/>
    <m/>
    <m/>
    <m/>
    <m/>
    <m/>
    <m/>
    <m/>
    <m/>
    <m/>
    <m/>
    <m/>
    <m/>
    <m/>
    <m/>
    <m/>
    <m/>
    <m/>
  </r>
  <r>
    <x v="34"/>
    <s v="GD260707"/>
    <s v="LUMBAYO, JEXON ATONG"/>
    <s v="GD260707"/>
    <d v="2026-07-19T00:00:00"/>
    <m/>
    <m/>
    <s v="SUNDAY"/>
    <m/>
    <m/>
    <m/>
    <m/>
    <m/>
    <m/>
    <m/>
    <m/>
    <m/>
    <m/>
    <m/>
    <m/>
    <m/>
    <m/>
    <m/>
    <m/>
    <m/>
  </r>
  <r>
    <x v="34"/>
    <s v="GD260707"/>
    <s v="LUMBAYO, JEXON ATONG"/>
    <s v="GD260707"/>
    <d v="2026-07-20T00:00:00"/>
    <m/>
    <s v="7PM-4AM"/>
    <d v="1899-12-30T18:27:00"/>
    <d v="1899-12-30T04:00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21T00:00:00"/>
    <m/>
    <s v="7PM-4AM"/>
    <d v="1899-12-30T18:36:00"/>
    <d v="1899-12-30T04:01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22T00:00:00"/>
    <m/>
    <s v="7PM-4AM"/>
    <d v="1899-12-30T18:33:00"/>
    <d v="1899-12-30T06:00:00"/>
    <s v="B"/>
    <n v="8"/>
    <n v="2"/>
    <n v="6"/>
    <n v="2"/>
    <m/>
    <m/>
    <m/>
    <m/>
    <m/>
    <m/>
    <m/>
    <m/>
    <m/>
    <m/>
    <m/>
  </r>
  <r>
    <x v="34"/>
    <s v="GD260707"/>
    <s v="LUMBAYO, JEXON ATONG"/>
    <s v="GD260707"/>
    <d v="2026-07-23T00:00:00"/>
    <m/>
    <s v="7PM-4AM"/>
    <d v="1899-12-30T18:28:00"/>
    <d v="1899-12-30T06:00:00"/>
    <s v="B"/>
    <n v="8"/>
    <n v="2"/>
    <n v="6"/>
    <n v="2"/>
    <m/>
    <m/>
    <m/>
    <m/>
    <m/>
    <m/>
    <m/>
    <m/>
    <m/>
    <m/>
    <m/>
  </r>
  <r>
    <x v="34"/>
    <s v="GD260707"/>
    <s v="LUMBAYO, JEXON ATONG"/>
    <s v="GD260707"/>
    <d v="2026-07-24T00:00:00"/>
    <m/>
    <s v="7PM-4AM"/>
    <d v="1899-12-30T18:42:00"/>
    <d v="1899-12-30T04:00:00"/>
    <s v="B"/>
    <n v="8"/>
    <m/>
    <n v="6"/>
    <m/>
    <m/>
    <m/>
    <m/>
    <m/>
    <m/>
    <m/>
    <m/>
    <m/>
    <m/>
    <m/>
    <m/>
  </r>
  <r>
    <x v="34"/>
    <s v="GD260707"/>
    <s v="LUMBAYO, JEXON ATONG"/>
    <s v="GD260707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4"/>
    <n v="60"/>
    <n v="4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n v="0"/>
    <n v="0"/>
    <n v="0"/>
    <n v="0"/>
    <n v="0"/>
    <n v="0"/>
    <n v="0"/>
    <e v="#REF!"/>
    <e v="#REF!"/>
    <e v="#REF!"/>
    <e v="#REF!"/>
    <e v="#REF!"/>
    <e v="#REF!"/>
    <e v="#REF!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5"/>
    <s v="GD250462"/>
    <s v="Ravadavia, Jonalyn Paloyo"/>
    <s v="GD250462"/>
    <d v="2026-07-11T00:00:00"/>
    <m/>
    <s v="8AM-5PM"/>
    <d v="1899-12-30T07:49:00"/>
    <d v="1899-12-30T17:06:00"/>
    <s v="A"/>
    <n v="8"/>
    <m/>
    <m/>
    <m/>
    <m/>
    <m/>
    <m/>
    <m/>
    <m/>
    <m/>
    <m/>
    <m/>
    <m/>
    <m/>
    <m/>
  </r>
  <r>
    <x v="35"/>
    <s v="GD250462"/>
    <s v="Ravadavia, Jonalyn Paloyo"/>
    <s v="GD250462"/>
    <d v="2026-07-12T00:00:00"/>
    <m/>
    <m/>
    <s v="SUNDAY"/>
    <m/>
    <m/>
    <m/>
    <m/>
    <m/>
    <m/>
    <m/>
    <m/>
    <m/>
    <m/>
    <m/>
    <m/>
    <m/>
    <m/>
    <m/>
    <m/>
    <m/>
  </r>
  <r>
    <x v="35"/>
    <s v="GD250462"/>
    <s v="Ravadavia, Jonalyn Paloyo"/>
    <s v="GD250462"/>
    <d v="2026-07-13T00:00:00"/>
    <m/>
    <s v="7PM-4AM"/>
    <d v="1899-12-30T18:34:00"/>
    <d v="1899-12-30T04:08:00"/>
    <s v="B"/>
    <n v="8"/>
    <m/>
    <n v="6"/>
    <m/>
    <m/>
    <m/>
    <m/>
    <m/>
    <m/>
    <m/>
    <m/>
    <m/>
    <m/>
    <m/>
    <m/>
  </r>
  <r>
    <x v="35"/>
    <s v="GD250462"/>
    <s v="Ravadavia, Jonalyn Paloyo"/>
    <s v="GD250462"/>
    <d v="2026-07-14T00:00:00"/>
    <m/>
    <s v="7PM-4AM"/>
    <d v="1899-12-30T18:42:00"/>
    <d v="1899-12-30T06:04:00"/>
    <s v="B"/>
    <n v="8"/>
    <n v="2"/>
    <n v="6"/>
    <n v="2"/>
    <m/>
    <m/>
    <m/>
    <m/>
    <m/>
    <m/>
    <m/>
    <m/>
    <m/>
    <m/>
    <m/>
  </r>
  <r>
    <x v="35"/>
    <s v="GD250462"/>
    <s v="Ravadavia, Jonalyn Paloyo"/>
    <s v="GD250462"/>
    <d v="2026-07-15T00:00:00"/>
    <m/>
    <s v="7PM-4AM"/>
    <d v="1899-12-30T18:45:00"/>
    <d v="1899-12-30T04:04:00"/>
    <s v="B"/>
    <n v="8"/>
    <m/>
    <n v="6"/>
    <m/>
    <m/>
    <m/>
    <m/>
    <m/>
    <m/>
    <m/>
    <m/>
    <m/>
    <m/>
    <m/>
    <m/>
  </r>
  <r>
    <x v="35"/>
    <s v="GD250462"/>
    <s v="Ravadavia, Jonalyn Paloyo"/>
    <s v="GD250462"/>
    <d v="2026-07-16T00:00:00"/>
    <m/>
    <s v="7PM-4AM"/>
    <d v="1899-12-30T18:39:00"/>
    <d v="1899-12-30T06:03:00"/>
    <s v="B"/>
    <n v="8"/>
    <n v="2"/>
    <n v="6"/>
    <n v="2"/>
    <m/>
    <m/>
    <m/>
    <m/>
    <m/>
    <m/>
    <m/>
    <m/>
    <m/>
    <m/>
    <m/>
  </r>
  <r>
    <x v="35"/>
    <s v="GD250462"/>
    <s v="Ravadavia, Jonalyn Paloyo"/>
    <s v="GD250462"/>
    <d v="2026-07-17T00:00:00"/>
    <m/>
    <s v="7PM-4AM"/>
    <d v="1899-12-30T18:41:00"/>
    <d v="1899-12-30T06:02:00"/>
    <s v="B"/>
    <n v="8"/>
    <n v="2"/>
    <n v="6"/>
    <n v="2"/>
    <m/>
    <m/>
    <m/>
    <m/>
    <m/>
    <m/>
    <m/>
    <m/>
    <m/>
    <m/>
    <m/>
  </r>
  <r>
    <x v="35"/>
    <s v="GD250462"/>
    <s v="Ravadavia, Jonalyn Paloyo"/>
    <s v="GD250462"/>
    <d v="2026-07-18T00:00:00"/>
    <m/>
    <s v="7PM-4AM"/>
    <d v="1899-12-30T18:42:00"/>
    <d v="1899-12-30T04:02:00"/>
    <s v="B"/>
    <n v="8"/>
    <m/>
    <n v="6"/>
    <m/>
    <m/>
    <m/>
    <m/>
    <m/>
    <m/>
    <m/>
    <m/>
    <m/>
    <m/>
    <m/>
    <m/>
  </r>
  <r>
    <x v="35"/>
    <s v="GD250462"/>
    <s v="Ravadavia, Jonalyn Paloyo"/>
    <s v="GD250462"/>
    <d v="2026-07-19T00:00:00"/>
    <m/>
    <m/>
    <s v="SUNDAY"/>
    <m/>
    <m/>
    <m/>
    <m/>
    <m/>
    <m/>
    <m/>
    <m/>
    <m/>
    <m/>
    <m/>
    <m/>
    <m/>
    <m/>
    <m/>
    <m/>
    <m/>
  </r>
  <r>
    <x v="35"/>
    <s v="GD250462"/>
    <s v="Ravadavia, Jonalyn Paloyo"/>
    <s v="GD250462"/>
    <d v="2026-07-20T00:00:00"/>
    <m/>
    <s v="7PM-4AM"/>
    <d v="1899-12-30T18:39:00"/>
    <d v="1899-12-30T04:03:00"/>
    <s v="B"/>
    <n v="8"/>
    <m/>
    <n v="6"/>
    <m/>
    <m/>
    <m/>
    <m/>
    <m/>
    <m/>
    <m/>
    <m/>
    <m/>
    <m/>
    <m/>
    <m/>
  </r>
  <r>
    <x v="35"/>
    <s v="GD250462"/>
    <s v="Ravadavia, Jonalyn Paloyo"/>
    <s v="GD250462"/>
    <d v="2026-07-21T00:00:00"/>
    <m/>
    <s v="7PM-4AM"/>
    <d v="1899-12-30T18:31:00"/>
    <d v="1899-12-30T06:01:00"/>
    <s v="B"/>
    <n v="8"/>
    <n v="2"/>
    <n v="6"/>
    <n v="2"/>
    <m/>
    <m/>
    <m/>
    <m/>
    <m/>
    <m/>
    <m/>
    <m/>
    <m/>
    <m/>
    <m/>
  </r>
  <r>
    <x v="35"/>
    <s v="GD250462"/>
    <s v="Ravadavia, Jonalyn Paloyo"/>
    <s v="GD250462"/>
    <d v="2026-07-22T00:00:00"/>
    <m/>
    <s v="7PM-4AM"/>
    <d v="1899-12-30T18:50:00"/>
    <d v="1899-12-30T06:03:00"/>
    <s v="B"/>
    <n v="8"/>
    <n v="2"/>
    <n v="6"/>
    <n v="2"/>
    <m/>
    <m/>
    <m/>
    <m/>
    <m/>
    <m/>
    <m/>
    <m/>
    <m/>
    <m/>
    <m/>
  </r>
  <r>
    <x v="35"/>
    <s v="GD250462"/>
    <s v="Ravadavia, Jonalyn Paloyo"/>
    <s v="GD250462"/>
    <d v="2026-07-23T00:00:00"/>
    <m/>
    <s v="7PM-4AM"/>
    <d v="1899-12-30T18:35:00"/>
    <d v="1899-12-30T04:03:00"/>
    <s v="B"/>
    <n v="8"/>
    <m/>
    <n v="6"/>
    <m/>
    <m/>
    <m/>
    <m/>
    <m/>
    <m/>
    <m/>
    <m/>
    <m/>
    <m/>
    <m/>
    <m/>
  </r>
  <r>
    <x v="35"/>
    <s v="GD250462"/>
    <s v="Ravadavia, Jonalyn Paloyo"/>
    <s v="GD250462"/>
    <d v="2026-07-24T00:00:00"/>
    <m/>
    <s v="7PM-4AM"/>
    <d v="1899-12-30T18:35:00"/>
    <d v="1899-12-30T04:03:00"/>
    <s v="B"/>
    <n v="8"/>
    <m/>
    <n v="6"/>
    <m/>
    <m/>
    <m/>
    <m/>
    <m/>
    <m/>
    <m/>
    <m/>
    <m/>
    <m/>
    <m/>
    <m/>
  </r>
  <r>
    <x v="35"/>
    <s v="GD250462"/>
    <s v="Ravadavia, Jonalyn Paloyo"/>
    <s v="GD250462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0"/>
    <n v="66"/>
    <n v="1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6"/>
    <s v="GD250252"/>
    <s v="Albaña, Rose Marie Esternon"/>
    <s v="GD250252"/>
    <d v="2026-07-11T00:00:00"/>
    <m/>
    <s v="7PM-4AM"/>
    <d v="1899-12-30T18:50:00"/>
    <d v="1899-12-30T04:00:00"/>
    <s v="B"/>
    <n v="8"/>
    <m/>
    <n v="6"/>
    <m/>
    <m/>
    <m/>
    <m/>
    <m/>
    <m/>
    <m/>
    <m/>
    <m/>
    <m/>
    <m/>
    <m/>
  </r>
  <r>
    <x v="36"/>
    <s v="GD250252"/>
    <s v="Albaña, Rose Marie Esternon"/>
    <s v="GD250252"/>
    <d v="2026-07-12T00:00:00"/>
    <m/>
    <m/>
    <s v="SUNDAY"/>
    <m/>
    <m/>
    <m/>
    <m/>
    <m/>
    <m/>
    <m/>
    <m/>
    <m/>
    <m/>
    <m/>
    <m/>
    <m/>
    <m/>
    <m/>
    <m/>
    <m/>
  </r>
  <r>
    <x v="36"/>
    <s v="GD250252"/>
    <s v="Albaña, Rose Marie Esternon"/>
    <s v="GD250252"/>
    <d v="2026-07-13T00:00:00"/>
    <m/>
    <s v="8AM-5PM"/>
    <d v="1899-12-30T07:52:00"/>
    <d v="1899-12-30T17:01:00"/>
    <s v="A"/>
    <n v="8"/>
    <m/>
    <m/>
    <m/>
    <m/>
    <m/>
    <m/>
    <m/>
    <m/>
    <m/>
    <m/>
    <m/>
    <m/>
    <m/>
    <m/>
  </r>
  <r>
    <x v="36"/>
    <s v="GD250252"/>
    <s v="Albaña, Rose Marie Esternon"/>
    <s v="GD250252"/>
    <d v="2026-07-14T00:00:00"/>
    <m/>
    <s v="8AM-5PM"/>
    <d v="1899-12-30T07:41:00"/>
    <d v="1899-12-30T19:01:00"/>
    <s v="A"/>
    <n v="8"/>
    <n v="2"/>
    <m/>
    <m/>
    <m/>
    <m/>
    <m/>
    <m/>
    <m/>
    <m/>
    <m/>
    <m/>
    <m/>
    <m/>
    <m/>
  </r>
  <r>
    <x v="36"/>
    <s v="GD250252"/>
    <s v="Albaña, Rose Marie Esternon"/>
    <s v="GD250252"/>
    <d v="2026-07-15T00:00:00"/>
    <m/>
    <s v="8AM-5PM"/>
    <d v="1899-12-30T07:46:00"/>
    <d v="1899-12-30T17:01:00"/>
    <s v="A"/>
    <n v="8"/>
    <m/>
    <m/>
    <m/>
    <m/>
    <m/>
    <m/>
    <m/>
    <m/>
    <m/>
    <m/>
    <m/>
    <m/>
    <m/>
    <m/>
  </r>
  <r>
    <x v="36"/>
    <s v="GD250252"/>
    <s v="Albaña, Rose Marie Esternon"/>
    <s v="GD250252"/>
    <d v="2026-07-16T00:00:00"/>
    <m/>
    <s v="8AM-5PM"/>
    <d v="1899-12-30T07:42:00"/>
    <d v="1899-12-30T19:02:00"/>
    <s v="A"/>
    <n v="8"/>
    <n v="2"/>
    <m/>
    <m/>
    <m/>
    <m/>
    <m/>
    <m/>
    <m/>
    <m/>
    <m/>
    <m/>
    <m/>
    <m/>
    <m/>
  </r>
  <r>
    <x v="36"/>
    <s v="GD250252"/>
    <s v="Albaña, Rose Marie Esternon"/>
    <s v="GD250252"/>
    <d v="2026-07-17T00:00:00"/>
    <m/>
    <s v="8AM-5PM"/>
    <d v="1899-12-30T07:33:00"/>
    <d v="1899-12-30T17:01:00"/>
    <s v="A"/>
    <n v="8"/>
    <m/>
    <m/>
    <m/>
    <m/>
    <m/>
    <m/>
    <m/>
    <m/>
    <m/>
    <m/>
    <m/>
    <m/>
    <m/>
    <m/>
  </r>
  <r>
    <x v="36"/>
    <s v="GD250252"/>
    <s v="Albaña, Rose Marie Esternon"/>
    <s v="GD250252"/>
    <d v="2026-07-18T00:00:00"/>
    <m/>
    <s v="8AM-5PM"/>
    <d v="1899-12-30T07:38:00"/>
    <d v="1899-12-30T17:01:00"/>
    <s v="A"/>
    <n v="8"/>
    <m/>
    <m/>
    <m/>
    <m/>
    <m/>
    <m/>
    <m/>
    <m/>
    <m/>
    <m/>
    <m/>
    <m/>
    <m/>
    <m/>
  </r>
  <r>
    <x v="36"/>
    <s v="GD250252"/>
    <s v="Albaña, Rose Marie Esternon"/>
    <s v="GD250252"/>
    <d v="2026-07-19T00:00:00"/>
    <m/>
    <m/>
    <s v="SUNDAY"/>
    <m/>
    <m/>
    <m/>
    <m/>
    <m/>
    <m/>
    <m/>
    <m/>
    <m/>
    <m/>
    <m/>
    <m/>
    <m/>
    <m/>
    <m/>
    <m/>
    <m/>
  </r>
  <r>
    <x v="36"/>
    <s v="GD250252"/>
    <s v="Albaña, Rose Marie Esternon"/>
    <s v="GD250252"/>
    <d v="2026-07-20T00:00:00"/>
    <m/>
    <s v="8AM-5PM"/>
    <d v="1899-12-30T07:38:00"/>
    <d v="1899-12-30T17:00:00"/>
    <s v="A"/>
    <n v="8"/>
    <m/>
    <m/>
    <m/>
    <m/>
    <m/>
    <m/>
    <m/>
    <m/>
    <m/>
    <m/>
    <m/>
    <m/>
    <m/>
    <m/>
  </r>
  <r>
    <x v="36"/>
    <s v="GD250252"/>
    <s v="Albaña, Rose Marie Esternon"/>
    <s v="GD250252"/>
    <d v="2026-07-21T00:00:00"/>
    <m/>
    <s v="8AM-5PM"/>
    <d v="1899-12-30T07:38:00"/>
    <d v="1899-12-30T17:01:00"/>
    <s v="A"/>
    <n v="8"/>
    <m/>
    <m/>
    <m/>
    <m/>
    <m/>
    <m/>
    <m/>
    <m/>
    <m/>
    <m/>
    <m/>
    <m/>
    <m/>
    <m/>
  </r>
  <r>
    <x v="36"/>
    <s v="GD250252"/>
    <s v="Albaña, Rose Marie Esternon"/>
    <s v="GD250252"/>
    <d v="2026-07-22T00:00:00"/>
    <m/>
    <s v="8AM-5PM"/>
    <d v="1899-12-30T07:34:00"/>
    <d v="1899-12-30T19:01:00"/>
    <s v="A"/>
    <n v="8"/>
    <n v="2"/>
    <m/>
    <m/>
    <m/>
    <m/>
    <m/>
    <m/>
    <m/>
    <m/>
    <m/>
    <m/>
    <m/>
    <m/>
    <m/>
  </r>
  <r>
    <x v="36"/>
    <s v="GD250252"/>
    <s v="Albaña, Rose Marie Esternon"/>
    <s v="GD250252"/>
    <d v="2026-07-23T00:00:00"/>
    <m/>
    <s v="8AM-5PM"/>
    <d v="1899-12-30T07:45:00"/>
    <d v="1899-12-30T19:01:00"/>
    <s v="A"/>
    <n v="8"/>
    <n v="2"/>
    <m/>
    <m/>
    <m/>
    <m/>
    <m/>
    <m/>
    <m/>
    <m/>
    <m/>
    <m/>
    <m/>
    <m/>
    <m/>
  </r>
  <r>
    <x v="36"/>
    <s v="GD250252"/>
    <s v="Albaña, Rose Marie Esternon"/>
    <s v="GD250252"/>
    <d v="2026-07-24T00:00:00"/>
    <m/>
    <s v="8AM-5PM"/>
    <d v="1899-12-30T07:38:00"/>
    <d v="1899-12-30T19:00:00"/>
    <s v="A"/>
    <n v="8"/>
    <n v="2"/>
    <m/>
    <m/>
    <m/>
    <m/>
    <m/>
    <m/>
    <m/>
    <m/>
    <m/>
    <m/>
    <m/>
    <m/>
    <m/>
  </r>
  <r>
    <x v="36"/>
    <s v="GD250252"/>
    <s v="Albaña, Rose Marie Esternon"/>
    <s v="GD25025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7"/>
    <s v="GD250198"/>
    <s v="Timosa, Arliza N/A"/>
    <s v="GD250198"/>
    <d v="2026-07-11T00:00:00"/>
    <m/>
    <s v="8AM-5PM"/>
    <d v="1899-12-30T07:44:00"/>
    <d v="1899-12-30T17:02:00"/>
    <s v="A"/>
    <n v="8"/>
    <m/>
    <m/>
    <m/>
    <m/>
    <m/>
    <m/>
    <m/>
    <m/>
    <m/>
    <m/>
    <m/>
    <m/>
    <m/>
    <m/>
  </r>
  <r>
    <x v="37"/>
    <s v="GD250198"/>
    <s v="Timosa, Arliza N/A"/>
    <s v="GD250198"/>
    <d v="2026-07-12T00:00:00"/>
    <m/>
    <m/>
    <s v="SUNDAY"/>
    <m/>
    <m/>
    <m/>
    <m/>
    <m/>
    <m/>
    <m/>
    <m/>
    <m/>
    <m/>
    <m/>
    <m/>
    <m/>
    <m/>
    <m/>
    <m/>
    <m/>
  </r>
  <r>
    <x v="37"/>
    <s v="GD250198"/>
    <s v="Timosa, Arliza N/A"/>
    <s v="GD250198"/>
    <d v="2026-07-13T00:00:00"/>
    <m/>
    <s v="7PM-4AM"/>
    <d v="1899-12-30T18:35:00"/>
    <d v="1899-12-30T04:02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14T00:00:00"/>
    <m/>
    <s v="7PM-4AM"/>
    <d v="1899-12-30T18:54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15T00:00:00"/>
    <m/>
    <s v="7PM-4AM"/>
    <d v="1899-12-30T18:41:00"/>
    <d v="1899-12-30T04:01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16T00:00:00"/>
    <m/>
    <s v="7PM-4AM"/>
    <d v="1899-12-30T18:40:00"/>
    <d v="1899-12-30T06:00:00"/>
    <s v="B"/>
    <n v="8"/>
    <n v="2"/>
    <n v="6"/>
    <n v="2"/>
    <m/>
    <m/>
    <m/>
    <m/>
    <m/>
    <m/>
    <m/>
    <m/>
    <m/>
    <m/>
    <m/>
  </r>
  <r>
    <x v="37"/>
    <s v="GD250198"/>
    <s v="Timosa, Arliza N/A"/>
    <s v="GD250198"/>
    <d v="2026-07-17T00:00:00"/>
    <m/>
    <s v="7PM-4AM"/>
    <d v="1899-12-30T18:36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18T00:00:00"/>
    <m/>
    <s v="7PM-4AM"/>
    <d v="1899-12-30T18:39:00"/>
    <d v="1899-12-30T04:01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19T00:00:00"/>
    <m/>
    <m/>
    <s v="SUNDAY"/>
    <m/>
    <m/>
    <m/>
    <m/>
    <m/>
    <m/>
    <m/>
    <m/>
    <m/>
    <m/>
    <m/>
    <m/>
    <m/>
    <m/>
    <m/>
    <m/>
    <m/>
  </r>
  <r>
    <x v="37"/>
    <s v="GD250198"/>
    <s v="Timosa, Arliza N/A"/>
    <s v="GD250198"/>
    <d v="2026-07-20T00:00:00"/>
    <m/>
    <s v="7PM-4AM"/>
    <d v="1899-12-30T18:38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21T00:00:00"/>
    <m/>
    <s v="7PM-4AM"/>
    <d v="1899-12-30T18:36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22T00:00:00"/>
    <m/>
    <s v="7PM-4AM"/>
    <d v="1899-12-30T18:38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23T00:00:00"/>
    <m/>
    <s v="7PM-4AM"/>
    <d v="1899-12-30T18:37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24T00:00:00"/>
    <m/>
    <s v="7PM-4AM"/>
    <d v="1899-12-30T18:42:00"/>
    <d v="1899-12-30T04:00:00"/>
    <s v="B"/>
    <n v="8"/>
    <m/>
    <n v="6"/>
    <m/>
    <m/>
    <m/>
    <m/>
    <m/>
    <m/>
    <m/>
    <m/>
    <m/>
    <m/>
    <m/>
    <m/>
  </r>
  <r>
    <x v="37"/>
    <s v="GD250198"/>
    <s v="Timosa, Arliza N/A"/>
    <s v="GD250198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"/>
    <n v="66"/>
    <n v="2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8"/>
    <s v="GD250532"/>
    <s v="Acayin, Jerrick Butial"/>
    <s v="GD250532"/>
    <d v="2026-07-11T00:00:00"/>
    <m/>
    <m/>
    <m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12T00:00:00"/>
    <m/>
    <m/>
    <m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13T00:00:00"/>
    <m/>
    <m/>
    <m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14T00:00:00"/>
    <m/>
    <m/>
    <m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15T00:00:00"/>
    <m/>
    <m/>
    <m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16T00:00:00"/>
    <m/>
    <m/>
    <m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17T00:00:00"/>
    <m/>
    <s v="8AM-5PM"/>
    <d v="1899-12-30T07:26:00"/>
    <d v="1899-12-30T19:02:00"/>
    <s v="A"/>
    <n v="8"/>
    <n v="2"/>
    <m/>
    <m/>
    <m/>
    <m/>
    <m/>
    <m/>
    <m/>
    <m/>
    <m/>
    <m/>
    <m/>
    <m/>
    <m/>
  </r>
  <r>
    <x v="38"/>
    <s v="GD250532"/>
    <s v="Acayin, Jerrick Butial"/>
    <s v="GD250532"/>
    <d v="2026-07-18T00:00:00"/>
    <m/>
    <s v="8AM-5PM"/>
    <d v="1899-12-30T07:06:00"/>
    <d v="1899-12-30T17:06:00"/>
    <s v="A"/>
    <n v="8"/>
    <m/>
    <m/>
    <m/>
    <m/>
    <m/>
    <m/>
    <m/>
    <m/>
    <m/>
    <m/>
    <m/>
    <m/>
    <m/>
    <m/>
  </r>
  <r>
    <x v="38"/>
    <s v="GD250532"/>
    <s v="Acayin, Jerrick Butial"/>
    <s v="GD250532"/>
    <d v="2026-07-19T00:00:00"/>
    <m/>
    <m/>
    <s v="SUNDAY"/>
    <m/>
    <m/>
    <m/>
    <m/>
    <m/>
    <m/>
    <m/>
    <m/>
    <m/>
    <m/>
    <m/>
    <m/>
    <m/>
    <m/>
    <m/>
    <m/>
    <m/>
  </r>
  <r>
    <x v="38"/>
    <s v="GD250532"/>
    <s v="Acayin, Jerrick Butial"/>
    <s v="GD250532"/>
    <d v="2026-07-20T00:00:00"/>
    <m/>
    <s v="8AM-5PM"/>
    <d v="1899-12-30T07:30:00"/>
    <d v="1899-12-30T17:01:00"/>
    <s v="A"/>
    <n v="8"/>
    <m/>
    <m/>
    <m/>
    <m/>
    <m/>
    <m/>
    <m/>
    <m/>
    <m/>
    <m/>
    <m/>
    <m/>
    <m/>
    <m/>
  </r>
  <r>
    <x v="38"/>
    <s v="GD250532"/>
    <s v="Acayin, Jerrick Butial"/>
    <s v="GD250532"/>
    <d v="2026-07-21T00:00:00"/>
    <m/>
    <s v="8AM-5PM"/>
    <d v="1899-12-30T07:34:00"/>
    <d v="1899-12-30T17:02:00"/>
    <s v="A"/>
    <n v="8"/>
    <m/>
    <m/>
    <m/>
    <m/>
    <m/>
    <m/>
    <m/>
    <m/>
    <m/>
    <m/>
    <m/>
    <m/>
    <m/>
    <m/>
  </r>
  <r>
    <x v="38"/>
    <s v="GD250532"/>
    <s v="Acayin, Jerrick Butial"/>
    <s v="GD250532"/>
    <d v="2026-07-22T00:00:00"/>
    <m/>
    <s v="8AM-5PM"/>
    <d v="1899-12-30T07:27:00"/>
    <d v="1899-12-30T17:03:00"/>
    <s v="A"/>
    <n v="8"/>
    <m/>
    <m/>
    <m/>
    <m/>
    <m/>
    <m/>
    <m/>
    <m/>
    <m/>
    <m/>
    <m/>
    <m/>
    <m/>
    <m/>
  </r>
  <r>
    <x v="38"/>
    <s v="GD250532"/>
    <s v="Acayin, Jerrick Butial"/>
    <s v="GD250532"/>
    <d v="2026-07-23T00:00:00"/>
    <m/>
    <s v="8AM-5PM"/>
    <d v="1899-12-30T07:27:00"/>
    <d v="1899-12-30T17:02:00"/>
    <s v="A"/>
    <n v="8"/>
    <m/>
    <m/>
    <m/>
    <m/>
    <m/>
    <m/>
    <m/>
    <m/>
    <m/>
    <m/>
    <m/>
    <m/>
    <m/>
    <m/>
  </r>
  <r>
    <x v="38"/>
    <s v="GD250532"/>
    <s v="Acayin, Jerrick Butial"/>
    <s v="GD250532"/>
    <d v="2026-07-24T00:00:00"/>
    <m/>
    <s v="8AM-5PM"/>
    <d v="1899-12-30T07:36:00"/>
    <d v="1899-12-30T17:03:00"/>
    <s v="A"/>
    <n v="8"/>
    <m/>
    <m/>
    <m/>
    <m/>
    <m/>
    <m/>
    <m/>
    <m/>
    <m/>
    <m/>
    <m/>
    <m/>
    <m/>
    <m/>
  </r>
  <r>
    <x v="38"/>
    <s v="GD250532"/>
    <s v="Acayin, Jerrick Butial"/>
    <s v="GD25053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56"/>
    <n v="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39"/>
    <s v="GD250311"/>
    <s v="Blanco, Aireen Bambase"/>
    <s v="GD250311"/>
    <d v="2026-07-11T00:00:00"/>
    <m/>
    <s v="8AM-5PM"/>
    <d v="1899-12-30T07:38:00"/>
    <d v="1899-12-30T17:04:00"/>
    <s v="A"/>
    <n v="8"/>
    <m/>
    <m/>
    <m/>
    <m/>
    <m/>
    <m/>
    <m/>
    <m/>
    <m/>
    <m/>
    <m/>
    <m/>
    <m/>
    <m/>
  </r>
  <r>
    <x v="39"/>
    <s v="GD250311"/>
    <s v="Blanco, Aireen Bambase"/>
    <s v="GD250311"/>
    <d v="2026-07-12T00:00:00"/>
    <m/>
    <m/>
    <s v="SUNDAY"/>
    <m/>
    <m/>
    <m/>
    <m/>
    <m/>
    <m/>
    <m/>
    <m/>
    <m/>
    <m/>
    <m/>
    <m/>
    <m/>
    <m/>
    <m/>
    <m/>
    <m/>
  </r>
  <r>
    <x v="39"/>
    <s v="GD250311"/>
    <s v="Blanco, Aireen Bambase"/>
    <s v="GD250311"/>
    <d v="2026-07-13T00:00:00"/>
    <m/>
    <s v="7PM-4AM"/>
    <d v="1899-12-30T18:41:00"/>
    <d v="1899-12-30T04:00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14T00:00:00"/>
    <m/>
    <s v="7PM-4AM"/>
    <d v="1899-12-30T18:43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15T00:00:00"/>
    <m/>
    <s v="7PM-4AM"/>
    <d v="1899-12-30T18:41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16T00:00:00"/>
    <m/>
    <s v="7PM-4AM"/>
    <d v="1899-12-30T18:35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17T00:00:00"/>
    <m/>
    <s v="7PM-4AM"/>
    <d v="1899-12-30T18:37:00"/>
    <d v="1899-12-30T04:02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18T00:00:00"/>
    <m/>
    <s v="7PM-4AM"/>
    <d v="1899-12-30T18:39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19T00:00:00"/>
    <m/>
    <m/>
    <s v="SUNDAY"/>
    <m/>
    <m/>
    <m/>
    <m/>
    <m/>
    <m/>
    <m/>
    <m/>
    <m/>
    <m/>
    <m/>
    <m/>
    <m/>
    <m/>
    <m/>
    <m/>
    <m/>
  </r>
  <r>
    <x v="39"/>
    <s v="GD250311"/>
    <s v="Blanco, Aireen Bambase"/>
    <s v="GD250311"/>
    <d v="2026-07-20T00:00:00"/>
    <m/>
    <s v="7PM-4AM"/>
    <d v="1899-12-30T18:38:00"/>
    <d v="1899-12-30T04:00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21T00:00:00"/>
    <m/>
    <s v="7PM-4AM"/>
    <d v="1899-12-30T18:43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22T00:00:00"/>
    <m/>
    <s v="7PM-4AM"/>
    <d v="1899-12-30T18:44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23T00:00:00"/>
    <m/>
    <s v="7PM-4AM"/>
    <d v="1899-12-30T18:38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24T00:00:00"/>
    <m/>
    <s v="7PM-4AM"/>
    <d v="1899-12-30T18:42:00"/>
    <d v="1899-12-30T04:01:00"/>
    <s v="B"/>
    <n v="8"/>
    <m/>
    <n v="6"/>
    <m/>
    <m/>
    <m/>
    <m/>
    <m/>
    <m/>
    <m/>
    <m/>
    <m/>
    <m/>
    <m/>
    <m/>
  </r>
  <r>
    <x v="39"/>
    <s v="GD250311"/>
    <s v="Blanco, Aireen Bambase"/>
    <s v="GD250311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0"/>
    <s v="GD250048"/>
    <s v="Caudilla, Arlene"/>
    <s v="GD250048"/>
    <d v="2026-07-11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40"/>
    <s v="GD250048"/>
    <s v="Caudilla, Arlene"/>
    <s v="GD250048"/>
    <d v="2026-07-12T00:00:00"/>
    <m/>
    <m/>
    <s v="SUNDAY"/>
    <m/>
    <m/>
    <m/>
    <m/>
    <m/>
    <m/>
    <m/>
    <m/>
    <m/>
    <m/>
    <m/>
    <m/>
    <m/>
    <m/>
    <m/>
    <m/>
    <m/>
  </r>
  <r>
    <x v="40"/>
    <s v="GD250048"/>
    <s v="Caudilla, Arlene"/>
    <s v="GD250048"/>
    <d v="2026-07-13T00:00:00"/>
    <m/>
    <s v="7PM-4AM"/>
    <d v="1899-12-30T18:32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14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15T00:00:00"/>
    <m/>
    <s v="7PM-4AM"/>
    <d v="1899-12-30T19:06:00"/>
    <d v="1899-12-30T04:02:00"/>
    <s v="B"/>
    <n v="8"/>
    <m/>
    <n v="6"/>
    <m/>
    <m/>
    <m/>
    <m/>
    <m/>
    <m/>
    <m/>
    <m/>
    <m/>
    <m/>
    <m/>
    <n v="6"/>
  </r>
  <r>
    <x v="40"/>
    <s v="GD250048"/>
    <s v="Caudilla, Arlene"/>
    <s v="GD250048"/>
    <d v="2026-07-16T00:00:00"/>
    <m/>
    <s v="7PM-4AM"/>
    <d v="1899-12-30T18:35:00"/>
    <d v="1899-12-30T04:04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17T00:00:00"/>
    <m/>
    <s v="7PM-4AM"/>
    <d v="1899-12-30T18:37:00"/>
    <d v="1899-12-30T04:02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18T00:00:00"/>
    <m/>
    <s v="7PM-4AM"/>
    <d v="1899-12-30T18:39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19T00:00:00"/>
    <m/>
    <m/>
    <s v="SUNDAY"/>
    <m/>
    <m/>
    <m/>
    <m/>
    <m/>
    <m/>
    <m/>
    <m/>
    <m/>
    <m/>
    <m/>
    <m/>
    <m/>
    <m/>
    <m/>
    <m/>
    <m/>
  </r>
  <r>
    <x v="40"/>
    <s v="GD250048"/>
    <s v="Caudilla, Arlene"/>
    <s v="GD250048"/>
    <d v="2026-07-20T00:00:00"/>
    <m/>
    <s v="7PM-4AM"/>
    <d v="1899-12-30T18:38:00"/>
    <d v="1899-12-30T04:00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21T00:00:00"/>
    <m/>
    <s v="7PM-4AM"/>
    <d v="1899-12-30T18:43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22T00:00:00"/>
    <m/>
    <s v="7PM-4AM"/>
    <d v="1899-12-30T18:44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23T00:00:00"/>
    <m/>
    <s v="7PM-4AM"/>
    <d v="1899-12-30T18:38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24T00:00:00"/>
    <m/>
    <s v="7PM-4AM"/>
    <d v="1899-12-30T18:42:00"/>
    <d v="1899-12-30T04:01:00"/>
    <s v="B"/>
    <n v="8"/>
    <m/>
    <n v="6"/>
    <m/>
    <m/>
    <m/>
    <m/>
    <m/>
    <m/>
    <m/>
    <m/>
    <m/>
    <m/>
    <m/>
    <m/>
  </r>
  <r>
    <x v="40"/>
    <s v="GD250048"/>
    <s v="Caudilla, Arlene"/>
    <s v="GD250048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6"/>
    <n v="0"/>
    <n v="0"/>
    <n v="0"/>
    <n v="0"/>
    <n v="0"/>
    <n v="0"/>
    <n v="0"/>
    <n v="0"/>
    <n v="0"/>
    <n v="0"/>
    <n v="0"/>
    <n v="6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1"/>
    <s v="GD250036"/>
    <s v="Dimalibot, Cristine Barro"/>
    <s v="GD250036"/>
    <d v="2026-07-11T00:00:00"/>
    <m/>
    <s v="7PM-4AM"/>
    <d v="1899-12-30T18:50:00"/>
    <d v="1899-12-30T04:00:00"/>
    <s v="B"/>
    <n v="8"/>
    <m/>
    <n v="6"/>
    <m/>
    <m/>
    <m/>
    <m/>
    <m/>
    <m/>
    <m/>
    <m/>
    <m/>
    <m/>
    <m/>
    <m/>
  </r>
  <r>
    <x v="41"/>
    <s v="GD250036"/>
    <s v="Dimalibot, Cristine Barro"/>
    <s v="GD250036"/>
    <d v="2026-07-12T00:00:00"/>
    <m/>
    <m/>
    <s v="SUNDAY"/>
    <m/>
    <m/>
    <m/>
    <m/>
    <m/>
    <m/>
    <m/>
    <m/>
    <m/>
    <m/>
    <m/>
    <m/>
    <m/>
    <m/>
    <m/>
    <m/>
    <m/>
  </r>
  <r>
    <x v="41"/>
    <s v="GD250036"/>
    <s v="Dimalibot, Cristine Barro"/>
    <s v="GD250036"/>
    <d v="2026-07-13T00:00:00"/>
    <m/>
    <s v="8AM-5PM"/>
    <d v="1899-12-30T07:54:00"/>
    <d v="1899-12-30T17:02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14T00:00:00"/>
    <m/>
    <s v="8AM-5PM"/>
    <d v="1899-12-30T07:48:00"/>
    <d v="1899-12-30T19:01:00"/>
    <s v="A"/>
    <n v="8"/>
    <n v="2"/>
    <m/>
    <m/>
    <m/>
    <m/>
    <m/>
    <m/>
    <m/>
    <m/>
    <m/>
    <m/>
    <m/>
    <m/>
    <m/>
  </r>
  <r>
    <x v="41"/>
    <s v="GD250036"/>
    <s v="Dimalibot, Cristine Barro"/>
    <s v="GD250036"/>
    <d v="2026-07-15T00:00:00"/>
    <m/>
    <s v="8AM-5PM"/>
    <d v="1899-12-30T07:50:00"/>
    <d v="1899-12-30T17:01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16T00:00:00"/>
    <m/>
    <s v="8AM-5PM"/>
    <d v="1899-12-30T07:49:00"/>
    <d v="1899-12-30T17:02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17T00:00:00"/>
    <m/>
    <s v="8AM-5PM"/>
    <d v="1899-12-30T07:48:00"/>
    <d v="1899-12-30T17:02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18T00:00:00"/>
    <m/>
    <s v="8AM-5PM"/>
    <d v="1899-12-30T07:53:00"/>
    <d v="1899-12-30T17:02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19T00:00:00"/>
    <m/>
    <m/>
    <s v="SUNDAY"/>
    <m/>
    <m/>
    <m/>
    <m/>
    <m/>
    <m/>
    <m/>
    <m/>
    <m/>
    <m/>
    <m/>
    <m/>
    <m/>
    <m/>
    <m/>
    <m/>
    <m/>
  </r>
  <r>
    <x v="41"/>
    <s v="GD250036"/>
    <s v="Dimalibot, Cristine Barro"/>
    <s v="GD250036"/>
    <d v="2026-07-20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21T00:00:00"/>
    <m/>
    <s v="8AM-5PM"/>
    <d v="1899-12-30T07:49:00"/>
    <d v="1899-12-30T17:01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22T00:00:00"/>
    <m/>
    <s v="8AM-5PM"/>
    <d v="1899-12-30T07:51:00"/>
    <m/>
    <m/>
    <m/>
    <m/>
    <m/>
    <m/>
    <m/>
    <m/>
    <m/>
    <m/>
    <m/>
    <m/>
    <m/>
    <m/>
    <m/>
    <m/>
    <m/>
  </r>
  <r>
    <x v="41"/>
    <s v="GD250036"/>
    <s v="Dimalibot, Cristine Barro"/>
    <s v="GD250036"/>
    <d v="2026-07-23T00:00:00"/>
    <m/>
    <s v="8AM-5PM"/>
    <m/>
    <m/>
    <m/>
    <m/>
    <m/>
    <m/>
    <m/>
    <m/>
    <m/>
    <m/>
    <m/>
    <m/>
    <m/>
    <m/>
    <m/>
    <m/>
    <m/>
    <m/>
  </r>
  <r>
    <x v="41"/>
    <s v="GD250036"/>
    <s v="Dimalibot, Cristine Barro"/>
    <s v="GD250036"/>
    <d v="2026-07-24T00:00:00"/>
    <m/>
    <s v="8AM-5PM"/>
    <d v="1899-12-30T07:37:00"/>
    <d v="1899-12-30T17:01:00"/>
    <s v="A"/>
    <n v="8"/>
    <m/>
    <m/>
    <m/>
    <m/>
    <m/>
    <m/>
    <m/>
    <m/>
    <m/>
    <m/>
    <m/>
    <m/>
    <m/>
    <m/>
  </r>
  <r>
    <x v="41"/>
    <s v="GD250036"/>
    <s v="Dimalibot, Cristine Barro"/>
    <s v="GD250036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2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2"/>
    <s v="GD250069"/>
    <s v="Forte, Harlene Mae Frando"/>
    <s v="GD250069"/>
    <d v="2026-07-11T00:00:00"/>
    <m/>
    <s v="8AM-5PM"/>
    <d v="1899-12-30T07:19:00"/>
    <d v="1899-12-30T17:03:00"/>
    <s v="A"/>
    <n v="8"/>
    <m/>
    <m/>
    <m/>
    <m/>
    <m/>
    <m/>
    <m/>
    <m/>
    <m/>
    <m/>
    <m/>
    <m/>
    <m/>
    <m/>
  </r>
  <r>
    <x v="42"/>
    <s v="GD250069"/>
    <s v="Forte, Harlene Mae Frando"/>
    <s v="GD250069"/>
    <d v="2026-07-12T00:00:00"/>
    <m/>
    <m/>
    <s v="SUNDAY"/>
    <m/>
    <m/>
    <m/>
    <m/>
    <m/>
    <m/>
    <m/>
    <m/>
    <m/>
    <m/>
    <m/>
    <m/>
    <m/>
    <m/>
    <m/>
    <m/>
    <m/>
  </r>
  <r>
    <x v="42"/>
    <s v="GD250069"/>
    <s v="Forte, Harlene Mae Frando"/>
    <s v="GD250069"/>
    <d v="2026-07-13T00:00:00"/>
    <m/>
    <s v="7PM-4AM"/>
    <d v="1899-12-30T18:15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14T00:00:00"/>
    <m/>
    <s v="7PM-4AM"/>
    <d v="1899-12-30T18:21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15T00:00:00"/>
    <m/>
    <s v="7PM-4AM"/>
    <d v="1899-12-30T18:17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16T00:00:00"/>
    <m/>
    <s v="7PM-4AM"/>
    <d v="1899-12-30T18:14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17T00:00:00"/>
    <m/>
    <s v="7PM-4AM"/>
    <d v="1899-12-30T18:18:00"/>
    <d v="1899-12-30T04:01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18T00:00:00"/>
    <m/>
    <s v="7PM-4AM"/>
    <d v="1899-12-30T18:26:00"/>
    <d v="1899-12-30T04:01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19T00:00:00"/>
    <m/>
    <m/>
    <s v="SUNDAY"/>
    <m/>
    <m/>
    <m/>
    <m/>
    <m/>
    <m/>
    <m/>
    <m/>
    <m/>
    <m/>
    <m/>
    <m/>
    <m/>
    <m/>
    <m/>
    <m/>
    <m/>
  </r>
  <r>
    <x v="42"/>
    <s v="GD250069"/>
    <s v="Forte, Harlene Mae Frando"/>
    <s v="GD250069"/>
    <d v="2026-07-20T00:00:00"/>
    <m/>
    <s v="7PM-4AM"/>
    <d v="1899-12-30T18:18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21T00:00:00"/>
    <m/>
    <s v="7PM-4AM"/>
    <d v="1899-12-30T18:30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22T00:00:00"/>
    <m/>
    <s v="7PM-4AM"/>
    <d v="1899-12-30T18:23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23T00:00:00"/>
    <m/>
    <s v="7PM-4AM"/>
    <d v="1899-12-30T18:29:00"/>
    <d v="1899-12-30T04:00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24T00:00:00"/>
    <m/>
    <s v="7PM-4AM"/>
    <d v="1899-12-30T18:34:00"/>
    <d v="1899-12-30T04:02:00"/>
    <s v="B"/>
    <n v="8"/>
    <m/>
    <n v="6"/>
    <m/>
    <m/>
    <m/>
    <m/>
    <m/>
    <m/>
    <m/>
    <m/>
    <m/>
    <m/>
    <m/>
    <m/>
  </r>
  <r>
    <x v="42"/>
    <s v="GD250069"/>
    <s v="Forte, Harlene Mae Frando"/>
    <s v="GD250069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3"/>
    <s v="GD250412"/>
    <s v="Lucing, Analiza Aguilar"/>
    <s v="GD250412"/>
    <d v="2026-07-11T00:00:00"/>
    <m/>
    <m/>
    <m/>
    <m/>
    <m/>
    <m/>
    <m/>
    <m/>
    <m/>
    <m/>
    <m/>
    <m/>
    <m/>
    <m/>
    <m/>
    <m/>
    <m/>
    <m/>
    <m/>
    <m/>
  </r>
  <r>
    <x v="43"/>
    <s v="GD250412"/>
    <s v="Lucing, Analiza Aguilar"/>
    <s v="GD250412"/>
    <d v="2026-07-12T00:00:00"/>
    <m/>
    <m/>
    <s v="SUNDAY"/>
    <m/>
    <m/>
    <m/>
    <m/>
    <m/>
    <m/>
    <m/>
    <m/>
    <m/>
    <m/>
    <m/>
    <m/>
    <m/>
    <m/>
    <m/>
    <m/>
    <m/>
  </r>
  <r>
    <x v="43"/>
    <s v="GD250412"/>
    <s v="Lucing, Analiza Aguilar"/>
    <s v="GD250412"/>
    <d v="2026-07-13T00:00:00"/>
    <m/>
    <s v="7PM-4AM"/>
    <d v="1899-12-30T18:32:00"/>
    <d v="1899-12-30T04:02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14T00:00:00"/>
    <m/>
    <s v="7PM-4AM"/>
    <d v="1899-12-30T18:27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15T00:00:00"/>
    <m/>
    <s v="7PM-4AM"/>
    <d v="1899-12-30T18:37:00"/>
    <d v="1899-12-30T04:02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16T00:00:00"/>
    <m/>
    <s v="7PM-4AM"/>
    <d v="1899-12-30T18:35:00"/>
    <d v="1899-12-30T04:02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17T00:00:00"/>
    <m/>
    <s v="7PM-4AM"/>
    <d v="1899-12-30T18:32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18T00:00:00"/>
    <m/>
    <s v="7PM-4AM"/>
    <d v="1899-12-30T18:22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19T00:00:00"/>
    <m/>
    <m/>
    <s v="SUNDAY"/>
    <m/>
    <m/>
    <m/>
    <m/>
    <m/>
    <m/>
    <m/>
    <m/>
    <m/>
    <m/>
    <m/>
    <m/>
    <m/>
    <m/>
    <m/>
    <m/>
    <m/>
  </r>
  <r>
    <x v="43"/>
    <s v="GD250412"/>
    <s v="Lucing, Analiza Aguilar"/>
    <s v="GD250412"/>
    <d v="2026-07-20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21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22T00:00:00"/>
    <m/>
    <s v="7PM-4AM"/>
    <d v="1899-12-30T18:40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23T00:00:00"/>
    <m/>
    <s v="7PM-4AM"/>
    <d v="1899-12-30T18:36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24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43"/>
    <s v="GD250412"/>
    <s v="Lucing, Analiza Aguilar"/>
    <s v="GD250412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0"/>
    <n v="6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4"/>
    <s v="GD250117"/>
    <s v="Ochea, Adelfa Abrigo"/>
    <s v="GD250117"/>
    <d v="2026-07-11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44"/>
    <s v="GD250117"/>
    <s v="Ochea, Adelfa Abrigo"/>
    <s v="GD250117"/>
    <d v="2026-07-12T00:00:00"/>
    <m/>
    <m/>
    <s v="SUNDAY"/>
    <m/>
    <m/>
    <m/>
    <m/>
    <m/>
    <m/>
    <m/>
    <m/>
    <m/>
    <m/>
    <m/>
    <m/>
    <m/>
    <m/>
    <m/>
    <m/>
    <m/>
  </r>
  <r>
    <x v="44"/>
    <s v="GD250117"/>
    <s v="Ochea, Adelfa Abrigo"/>
    <s v="GD250117"/>
    <d v="2026-07-13T00:00:00"/>
    <m/>
    <s v="7PM-4AM"/>
    <d v="1899-12-30T18:34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14T00:00:00"/>
    <m/>
    <s v="7PM-4AM"/>
    <d v="1899-12-30T18:32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15T00:00:00"/>
    <m/>
    <s v="7PM-4AM"/>
    <d v="1899-12-30T18:36:00"/>
    <d v="1899-12-30T04:03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16T00:00:00"/>
    <m/>
    <s v="7PM-4AM"/>
    <d v="1899-12-30T18:35:00"/>
    <d v="1899-12-30T04:01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17T00:00:00"/>
    <m/>
    <s v="7PM-4AM"/>
    <d v="1899-12-30T18:30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18T00:00:00"/>
    <m/>
    <s v="7PM-4AM"/>
    <d v="1899-12-30T18:33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19T00:00:00"/>
    <m/>
    <m/>
    <s v="SUNDAY"/>
    <m/>
    <m/>
    <m/>
    <m/>
    <m/>
    <m/>
    <m/>
    <m/>
    <m/>
    <m/>
    <m/>
    <m/>
    <m/>
    <m/>
    <m/>
    <m/>
    <m/>
  </r>
  <r>
    <x v="44"/>
    <s v="GD250117"/>
    <s v="Ochea, Adelfa Abrigo"/>
    <s v="GD250117"/>
    <d v="2026-07-20T00:00:00"/>
    <m/>
    <s v="7PM-4AM"/>
    <d v="1899-12-30T18:31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21T00:00:00"/>
    <m/>
    <s v="7PM-4AM"/>
    <d v="1899-12-30T18:29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22T00:00:00"/>
    <m/>
    <s v="7PM-4AM"/>
    <d v="1899-12-30T18:34:00"/>
    <d v="1899-12-30T06:02:00"/>
    <s v="B"/>
    <n v="8"/>
    <n v="2"/>
    <n v="6"/>
    <n v="2"/>
    <m/>
    <m/>
    <m/>
    <m/>
    <m/>
    <m/>
    <m/>
    <m/>
    <m/>
    <m/>
    <m/>
  </r>
  <r>
    <x v="44"/>
    <s v="GD250117"/>
    <s v="Ochea, Adelfa Abrigo"/>
    <s v="GD250117"/>
    <d v="2026-07-23T00:00:00"/>
    <m/>
    <s v="7PM-4AM"/>
    <d v="1899-12-30T18:29:00"/>
    <d v="1899-12-30T06:00:00"/>
    <s v="B"/>
    <n v="8"/>
    <n v="2"/>
    <n v="6"/>
    <n v="2"/>
    <m/>
    <m/>
    <m/>
    <m/>
    <m/>
    <m/>
    <m/>
    <m/>
    <m/>
    <m/>
    <m/>
  </r>
  <r>
    <x v="44"/>
    <s v="GD250117"/>
    <s v="Ochea, Adelfa Abrigo"/>
    <s v="GD250117"/>
    <d v="2026-07-24T00:00:00"/>
    <m/>
    <s v="7PM-4AM"/>
    <d v="1899-12-30T18:34:00"/>
    <d v="1899-12-30T04:02:00"/>
    <s v="B"/>
    <n v="8"/>
    <m/>
    <n v="6"/>
    <m/>
    <m/>
    <m/>
    <m/>
    <m/>
    <m/>
    <m/>
    <m/>
    <m/>
    <m/>
    <m/>
    <m/>
  </r>
  <r>
    <x v="44"/>
    <s v="GD250117"/>
    <s v="Ochea, Adelfa Abrigo"/>
    <s v="GD250117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4"/>
    <n v="66"/>
    <n v="4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5"/>
    <s v="GD250073"/>
    <s v="Pagcaliwangan, Jessa Leyesa"/>
    <s v="GD250073"/>
    <d v="2026-07-11T00:00:00"/>
    <m/>
    <s v="8AM-5PM"/>
    <d v="1899-12-30T07:38:00"/>
    <d v="1899-12-30T17:05:00"/>
    <s v="A"/>
    <n v="8"/>
    <m/>
    <m/>
    <m/>
    <m/>
    <m/>
    <m/>
    <m/>
    <m/>
    <m/>
    <m/>
    <m/>
    <m/>
    <m/>
    <m/>
  </r>
  <r>
    <x v="45"/>
    <s v="GD250073"/>
    <s v="Pagcaliwangan, Jessa Leyesa"/>
    <s v="GD250073"/>
    <d v="2026-07-12T00:00:00"/>
    <m/>
    <m/>
    <s v="SUNDAY"/>
    <m/>
    <m/>
    <m/>
    <m/>
    <m/>
    <m/>
    <m/>
    <m/>
    <m/>
    <m/>
    <m/>
    <m/>
    <m/>
    <m/>
    <m/>
    <m/>
    <m/>
  </r>
  <r>
    <x v="45"/>
    <s v="GD250073"/>
    <s v="Pagcaliwangan, Jessa Leyesa"/>
    <s v="GD250073"/>
    <d v="2026-07-13T00:00:00"/>
    <m/>
    <s v="7PM-4AM"/>
    <d v="1899-12-30T18:21:00"/>
    <d v="1899-12-30T04:04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14T00:00:00"/>
    <m/>
    <s v="7PM-4AM"/>
    <d v="1899-12-30T18:36:00"/>
    <d v="1899-12-30T04:03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15T00:00:00"/>
    <m/>
    <s v="7PM-4AM"/>
    <d v="1899-12-30T18:43:00"/>
    <d v="1899-12-30T04:04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16T00:00:00"/>
    <m/>
    <s v="7PM-4AM"/>
    <d v="1899-12-30T18:03:00"/>
    <d v="1899-12-30T04:05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17T00:00:00"/>
    <m/>
    <m/>
    <m/>
    <m/>
    <m/>
    <m/>
    <m/>
    <m/>
    <m/>
    <m/>
    <m/>
    <m/>
    <m/>
    <m/>
    <m/>
    <m/>
    <m/>
    <m/>
    <m/>
    <m/>
  </r>
  <r>
    <x v="45"/>
    <s v="GD250073"/>
    <s v="Pagcaliwangan, Jessa Leyesa"/>
    <s v="GD250073"/>
    <d v="2026-07-18T00:00:00"/>
    <m/>
    <m/>
    <m/>
    <m/>
    <m/>
    <m/>
    <m/>
    <m/>
    <m/>
    <m/>
    <m/>
    <m/>
    <m/>
    <m/>
    <m/>
    <m/>
    <m/>
    <m/>
    <m/>
    <m/>
  </r>
  <r>
    <x v="45"/>
    <s v="GD250073"/>
    <s v="Pagcaliwangan, Jessa Leyesa"/>
    <s v="GD250073"/>
    <d v="2026-07-19T00:00:00"/>
    <m/>
    <m/>
    <s v="SUNDAY"/>
    <m/>
    <m/>
    <m/>
    <m/>
    <m/>
    <m/>
    <m/>
    <m/>
    <m/>
    <m/>
    <m/>
    <m/>
    <m/>
    <m/>
    <m/>
    <m/>
    <m/>
  </r>
  <r>
    <x v="45"/>
    <s v="GD250073"/>
    <s v="Pagcaliwangan, Jessa Leyesa"/>
    <s v="GD250073"/>
    <d v="2026-07-20T00:00:00"/>
    <m/>
    <s v="7PM-4AM"/>
    <d v="1899-12-30T18:43:00"/>
    <d v="1899-12-30T04:05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21T00:00:00"/>
    <m/>
    <s v="7PM-4AM"/>
    <d v="1899-12-30T18:50:00"/>
    <d v="1899-12-30T04:06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22T00:00:00"/>
    <m/>
    <s v="7PM-4AM"/>
    <d v="1899-12-30T18:47:00"/>
    <d v="1899-12-30T04:02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23T00:00:00"/>
    <m/>
    <s v="7PM-4AM"/>
    <d v="1899-12-30T18:42:00"/>
    <d v="1899-12-30T04:02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24T00:00:00"/>
    <m/>
    <s v="7PM-4AM"/>
    <d v="1899-12-30T18:44:00"/>
    <d v="1899-12-30T04:03:00"/>
    <s v="B"/>
    <n v="8"/>
    <m/>
    <n v="6"/>
    <m/>
    <m/>
    <m/>
    <m/>
    <m/>
    <m/>
    <m/>
    <m/>
    <m/>
    <m/>
    <m/>
    <m/>
  </r>
  <r>
    <x v="45"/>
    <s v="GD250073"/>
    <s v="Pagcaliwangan, Jessa Leyesa"/>
    <s v="GD250073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0"/>
    <n v="54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6"/>
    <s v="GD250014"/>
    <s v="Rementilla, Janice Lunar"/>
    <s v="GD250014"/>
    <d v="2026-07-11T00:00:00"/>
    <m/>
    <s v="8AM-5PM"/>
    <d v="1899-12-30T07:37:00"/>
    <d v="1899-12-30T17:04:00"/>
    <s v="A"/>
    <n v="8"/>
    <m/>
    <m/>
    <m/>
    <m/>
    <m/>
    <m/>
    <m/>
    <m/>
    <m/>
    <m/>
    <m/>
    <m/>
    <m/>
    <m/>
  </r>
  <r>
    <x v="46"/>
    <s v="GD250014"/>
    <s v="Rementilla, Janice Lunar"/>
    <s v="GD250014"/>
    <d v="2026-07-12T00:00:00"/>
    <m/>
    <m/>
    <s v="SUNDAY"/>
    <m/>
    <m/>
    <m/>
    <m/>
    <m/>
    <m/>
    <m/>
    <m/>
    <m/>
    <m/>
    <m/>
    <m/>
    <m/>
    <m/>
    <m/>
    <m/>
    <m/>
  </r>
  <r>
    <x v="46"/>
    <s v="GD250014"/>
    <s v="Rementilla, Janice Lunar"/>
    <s v="GD250014"/>
    <d v="2026-07-13T00:00:00"/>
    <m/>
    <s v="7PM-4AM"/>
    <d v="1899-12-30T18:41:00"/>
    <d v="1899-12-30T04:01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14T00:00:00"/>
    <m/>
    <s v="7PM-4AM"/>
    <d v="1899-12-30T18:34:00"/>
    <d v="1899-12-30T04:02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15T00:00:00"/>
    <m/>
    <s v="7PM-4AM"/>
    <d v="1899-12-30T18:41:00"/>
    <d v="1899-12-30T04:02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16T00:00:00"/>
    <m/>
    <s v="7PM-4AM"/>
    <d v="1899-12-30T18:34:00"/>
    <d v="1899-12-30T06:03:00"/>
    <s v="B"/>
    <n v="8"/>
    <n v="2"/>
    <n v="6"/>
    <n v="2"/>
    <m/>
    <m/>
    <m/>
    <m/>
    <m/>
    <m/>
    <m/>
    <m/>
    <m/>
    <m/>
    <m/>
  </r>
  <r>
    <x v="46"/>
    <s v="GD250014"/>
    <s v="Rementilla, Janice Lunar"/>
    <s v="GD250014"/>
    <d v="2026-07-17T00:00:00"/>
    <m/>
    <s v="7PM-4AM"/>
    <d v="1899-12-30T18:36:00"/>
    <d v="1899-12-30T06:00:00"/>
    <s v="B"/>
    <n v="8"/>
    <n v="2"/>
    <n v="6"/>
    <n v="2"/>
    <m/>
    <m/>
    <m/>
    <m/>
    <m/>
    <m/>
    <m/>
    <m/>
    <m/>
    <m/>
    <m/>
  </r>
  <r>
    <x v="46"/>
    <s v="GD250014"/>
    <s v="Rementilla, Janice Lunar"/>
    <s v="GD250014"/>
    <d v="2026-07-18T00:00:00"/>
    <m/>
    <s v="7PM-4AM"/>
    <d v="1899-12-30T18:39:00"/>
    <d v="1899-12-30T04:02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19T00:00:00"/>
    <m/>
    <m/>
    <s v="SUNDAY"/>
    <m/>
    <m/>
    <m/>
    <m/>
    <m/>
    <m/>
    <m/>
    <m/>
    <m/>
    <m/>
    <m/>
    <m/>
    <m/>
    <m/>
    <m/>
    <m/>
    <m/>
  </r>
  <r>
    <x v="46"/>
    <s v="GD250014"/>
    <s v="Rementilla, Janice Lunar"/>
    <s v="GD250014"/>
    <d v="2026-07-20T00:00:00"/>
    <m/>
    <s v="7PM-4AM"/>
    <d v="1899-12-30T18:27:00"/>
    <d v="1899-12-30T04:01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21T00:00:00"/>
    <m/>
    <s v="7PM-4AM"/>
    <d v="1899-12-30T18:36:00"/>
    <d v="1899-12-30T04:01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22T00:00:00"/>
    <m/>
    <s v="7PM-4AM"/>
    <d v="1899-12-30T18:44:00"/>
    <d v="1899-12-30T06:01:00"/>
    <s v="B"/>
    <n v="8"/>
    <n v="2"/>
    <n v="6"/>
    <n v="2"/>
    <m/>
    <m/>
    <m/>
    <m/>
    <m/>
    <m/>
    <m/>
    <m/>
    <m/>
    <m/>
    <m/>
  </r>
  <r>
    <x v="46"/>
    <s v="GD250014"/>
    <s v="Rementilla, Janice Lunar"/>
    <s v="GD250014"/>
    <d v="2026-07-23T00:00:00"/>
    <m/>
    <s v="7PM-4AM"/>
    <d v="1899-12-30T18:28:00"/>
    <d v="1899-12-30T06:03:00"/>
    <s v="B"/>
    <n v="8"/>
    <n v="2"/>
    <n v="6"/>
    <n v="2"/>
    <m/>
    <m/>
    <m/>
    <m/>
    <m/>
    <m/>
    <m/>
    <m/>
    <m/>
    <m/>
    <m/>
  </r>
  <r>
    <x v="46"/>
    <s v="GD250014"/>
    <s v="Rementilla, Janice Lunar"/>
    <s v="GD250014"/>
    <d v="2026-07-24T00:00:00"/>
    <m/>
    <s v="7PM-4AM"/>
    <d v="1899-12-30T18:42:00"/>
    <d v="1899-12-30T04:02:00"/>
    <s v="B"/>
    <n v="8"/>
    <m/>
    <n v="6"/>
    <m/>
    <m/>
    <m/>
    <m/>
    <m/>
    <m/>
    <m/>
    <m/>
    <m/>
    <m/>
    <m/>
    <m/>
  </r>
  <r>
    <x v="46"/>
    <s v="GD250014"/>
    <s v="Rementilla, Janice Lunar"/>
    <s v="GD250014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8"/>
    <n v="66"/>
    <n v="8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7"/>
    <s v="GD250491"/>
    <s v="Vale, Christine Ann"/>
    <s v="GD250491"/>
    <d v="2026-07-11T00:00:00"/>
    <m/>
    <s v="8AM-5PM"/>
    <d v="1899-12-30T06:53:00"/>
    <d v="1899-12-30T17:02:00"/>
    <s v="A"/>
    <n v="8"/>
    <m/>
    <m/>
    <m/>
    <m/>
    <m/>
    <m/>
    <m/>
    <m/>
    <m/>
    <m/>
    <m/>
    <m/>
    <m/>
    <m/>
  </r>
  <r>
    <x v="47"/>
    <s v="GD250491"/>
    <s v="Vale, Christine Ann"/>
    <s v="GD250491"/>
    <d v="2026-07-12T00:00:00"/>
    <m/>
    <m/>
    <s v="SUNDAY"/>
    <m/>
    <m/>
    <m/>
    <m/>
    <m/>
    <m/>
    <m/>
    <m/>
    <m/>
    <m/>
    <m/>
    <m/>
    <m/>
    <m/>
    <m/>
    <m/>
    <m/>
  </r>
  <r>
    <x v="47"/>
    <s v="GD250491"/>
    <s v="Vale, Christine Ann"/>
    <s v="GD250491"/>
    <d v="2026-07-13T00:00:00"/>
    <m/>
    <s v="7PM-4AM"/>
    <d v="1899-12-30T18:15:00"/>
    <d v="1899-12-30T04:01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14T00:00:00"/>
    <m/>
    <s v="7PM-4AM"/>
    <d v="1899-12-30T18:21:00"/>
    <d v="1899-12-30T04:00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15T00:00:00"/>
    <m/>
    <s v="7PM-4AM"/>
    <d v="1899-12-30T18:39:00"/>
    <d v="1899-12-30T04:04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16T00:00:00"/>
    <m/>
    <s v="7PM-4AM"/>
    <d v="1899-12-30T18:14:00"/>
    <d v="1899-12-30T04:01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17T00:00:00"/>
    <m/>
    <s v="7PM-4AM"/>
    <d v="1899-12-30T18:17:00"/>
    <d v="1899-12-30T04:01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18T00:00:00"/>
    <m/>
    <s v="7PM-4AM"/>
    <d v="1899-12-30T18:46:00"/>
    <d v="1899-12-30T04:01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19T00:00:00"/>
    <m/>
    <m/>
    <s v="SUNDAY"/>
    <m/>
    <m/>
    <m/>
    <m/>
    <m/>
    <m/>
    <m/>
    <m/>
    <m/>
    <m/>
    <m/>
    <m/>
    <m/>
    <m/>
    <m/>
    <m/>
    <m/>
  </r>
  <r>
    <x v="47"/>
    <s v="GD250491"/>
    <s v="Vale, Christine Ann"/>
    <s v="GD250491"/>
    <d v="2026-07-20T00:00:00"/>
    <m/>
    <s v="7PM-4AM"/>
    <d v="1899-12-30T18:18:00"/>
    <d v="1899-12-30T04:00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21T00:00:00"/>
    <m/>
    <s v="7PM-4AM"/>
    <d v="1899-12-30T18:21:00"/>
    <d v="1899-12-30T04:00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22T00:00:00"/>
    <m/>
    <s v="7PM-4AM"/>
    <d v="1899-12-30T18:22:00"/>
    <d v="1899-12-30T04:00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23T00:00:00"/>
    <m/>
    <s v="7PM-4AM"/>
    <d v="1899-12-30T18:19:00"/>
    <d v="1899-12-30T04:01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24T00:00:00"/>
    <m/>
    <s v="7PM-4AM"/>
    <d v="1899-12-30T18:21:00"/>
    <d v="1899-12-30T04:00:00"/>
    <s v="B"/>
    <n v="8"/>
    <m/>
    <n v="6"/>
    <m/>
    <m/>
    <m/>
    <m/>
    <m/>
    <m/>
    <m/>
    <m/>
    <m/>
    <m/>
    <m/>
    <m/>
  </r>
  <r>
    <x v="47"/>
    <s v="GD250491"/>
    <s v="Vale, Christine Ann"/>
    <s v="GD250491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8"/>
    <s v="GD250489"/>
    <s v="Ugaban, Dangie Nialla"/>
    <s v="GD250489"/>
    <d v="2026-07-11T00:00:00"/>
    <m/>
    <s v="8AM-5PM"/>
    <d v="1899-12-30T07:44:00"/>
    <d v="1899-12-30T17:05:00"/>
    <s v="A"/>
    <n v="8"/>
    <m/>
    <m/>
    <m/>
    <m/>
    <m/>
    <m/>
    <m/>
    <m/>
    <m/>
    <m/>
    <m/>
    <m/>
    <m/>
    <m/>
  </r>
  <r>
    <x v="48"/>
    <s v="GD250489"/>
    <s v="Ugaban, Dangie Nialla"/>
    <s v="GD250489"/>
    <d v="2026-07-12T00:00:00"/>
    <m/>
    <m/>
    <s v="SUNDAY"/>
    <m/>
    <m/>
    <m/>
    <m/>
    <m/>
    <m/>
    <m/>
    <m/>
    <m/>
    <m/>
    <m/>
    <m/>
    <m/>
    <m/>
    <m/>
    <m/>
    <m/>
  </r>
  <r>
    <x v="48"/>
    <s v="GD250489"/>
    <s v="Ugaban, Dangie Nialla"/>
    <s v="GD250489"/>
    <d v="2026-07-13T00:00:00"/>
    <m/>
    <s v="7PM-4AM"/>
    <d v="1899-12-30T20:48:00"/>
    <d v="1899-12-30T04:06:00"/>
    <s v="B"/>
    <n v="8"/>
    <m/>
    <n v="6"/>
    <m/>
    <m/>
    <m/>
    <m/>
    <m/>
    <m/>
    <m/>
    <m/>
    <m/>
    <m/>
    <m/>
    <n v="108"/>
  </r>
  <r>
    <x v="48"/>
    <s v="GD250489"/>
    <s v="Ugaban, Dangie Nialla"/>
    <s v="GD250489"/>
    <d v="2026-07-14T00:00:00"/>
    <m/>
    <s v="7PM-4AM"/>
    <d v="1899-12-30T18:42:00"/>
    <d v="1899-12-30T06:02:00"/>
    <s v="B"/>
    <n v="8"/>
    <n v="2"/>
    <n v="6"/>
    <n v="2"/>
    <m/>
    <m/>
    <m/>
    <m/>
    <m/>
    <m/>
    <m/>
    <m/>
    <m/>
    <m/>
    <m/>
  </r>
  <r>
    <x v="48"/>
    <s v="GD250489"/>
    <s v="Ugaban, Dangie Nialla"/>
    <s v="GD250489"/>
    <d v="2026-07-15T00:00:00"/>
    <m/>
    <s v="7PM-4AM"/>
    <d v="1899-12-30T18:39:00"/>
    <d v="1899-12-30T04:04:00"/>
    <s v="B"/>
    <n v="8"/>
    <m/>
    <n v="6"/>
    <m/>
    <m/>
    <m/>
    <m/>
    <m/>
    <m/>
    <m/>
    <m/>
    <m/>
    <m/>
    <m/>
    <m/>
  </r>
  <r>
    <x v="48"/>
    <s v="GD250489"/>
    <s v="Ugaban, Dangie Nialla"/>
    <s v="GD250489"/>
    <d v="2026-07-16T00:00:00"/>
    <m/>
    <s v="7PM-4AM"/>
    <d v="1899-12-30T18:40:00"/>
    <d v="1899-12-30T06:03:00"/>
    <s v="B"/>
    <n v="8"/>
    <n v="2"/>
    <n v="6"/>
    <n v="2"/>
    <m/>
    <m/>
    <m/>
    <m/>
    <m/>
    <m/>
    <m/>
    <m/>
    <m/>
    <m/>
    <m/>
  </r>
  <r>
    <x v="48"/>
    <s v="GD250489"/>
    <s v="Ugaban, Dangie Nialla"/>
    <s v="GD250489"/>
    <d v="2026-07-17T00:00:00"/>
    <m/>
    <s v="7PM-4AM"/>
    <d v="1899-12-30T18:38:00"/>
    <d v="1899-12-30T06:01:00"/>
    <s v="B"/>
    <n v="8"/>
    <n v="2"/>
    <n v="6"/>
    <n v="2"/>
    <m/>
    <m/>
    <m/>
    <m/>
    <m/>
    <m/>
    <m/>
    <m/>
    <m/>
    <m/>
    <m/>
  </r>
  <r>
    <x v="48"/>
    <s v="GD250489"/>
    <s v="Ugaban, Dangie Nialla"/>
    <s v="GD250489"/>
    <d v="2026-07-18T00:00:00"/>
    <m/>
    <s v="7PM-4AM"/>
    <d v="1899-12-30T18:42:00"/>
    <d v="1899-12-30T04:03:00"/>
    <s v="B"/>
    <n v="8"/>
    <m/>
    <n v="6"/>
    <m/>
    <m/>
    <m/>
    <m/>
    <m/>
    <m/>
    <m/>
    <m/>
    <m/>
    <m/>
    <m/>
    <m/>
  </r>
  <r>
    <x v="48"/>
    <s v="GD250489"/>
    <s v="Ugaban, Dangie Nialla"/>
    <s v="GD250489"/>
    <d v="2026-07-19T00:00:00"/>
    <m/>
    <m/>
    <s v="SUNDAY"/>
    <m/>
    <m/>
    <m/>
    <m/>
    <m/>
    <m/>
    <m/>
    <m/>
    <m/>
    <m/>
    <m/>
    <m/>
    <m/>
    <m/>
    <m/>
    <m/>
    <m/>
  </r>
  <r>
    <x v="48"/>
    <s v="GD250489"/>
    <s v="Ugaban, Dangie Nialla"/>
    <s v="GD250489"/>
    <d v="2026-07-20T00:00:00"/>
    <m/>
    <s v="7PM-4AM"/>
    <d v="1899-12-30T18:02:00"/>
    <d v="1899-12-30T04:04:00"/>
    <s v="B"/>
    <n v="8"/>
    <m/>
    <n v="6"/>
    <m/>
    <m/>
    <m/>
    <m/>
    <m/>
    <m/>
    <m/>
    <m/>
    <m/>
    <m/>
    <m/>
    <m/>
  </r>
  <r>
    <x v="48"/>
    <s v="GD250489"/>
    <s v="Ugaban, Dangie Nialla"/>
    <s v="GD250489"/>
    <d v="2026-07-21T00:00:00"/>
    <m/>
    <s v="7PM-4AM"/>
    <d v="1899-12-30T18:34:00"/>
    <d v="1899-12-30T06:02:00"/>
    <s v="B"/>
    <n v="8"/>
    <n v="2"/>
    <n v="6"/>
    <n v="2"/>
    <m/>
    <m/>
    <m/>
    <m/>
    <m/>
    <m/>
    <m/>
    <m/>
    <m/>
    <m/>
    <m/>
  </r>
  <r>
    <x v="48"/>
    <s v="GD250489"/>
    <s v="Ugaban, Dangie Nialla"/>
    <s v="GD250489"/>
    <d v="2026-07-22T00:00:00"/>
    <m/>
    <s v="7PM-4AM"/>
    <d v="1899-12-30T18:42:00"/>
    <d v="1899-12-30T06:04:00"/>
    <s v="B"/>
    <n v="8"/>
    <n v="2"/>
    <n v="6"/>
    <n v="2"/>
    <m/>
    <m/>
    <m/>
    <m/>
    <m/>
    <m/>
    <m/>
    <m/>
    <m/>
    <m/>
    <m/>
  </r>
  <r>
    <x v="48"/>
    <s v="GD250489"/>
    <s v="Ugaban, Dangie Nialla"/>
    <s v="GD250489"/>
    <d v="2026-07-23T00:00:00"/>
    <m/>
    <s v="7PM-4AM"/>
    <d v="1899-12-30T18:38:00"/>
    <d v="1899-12-30T06:03:00"/>
    <s v="B"/>
    <n v="8"/>
    <n v="2"/>
    <n v="6"/>
    <n v="2"/>
    <m/>
    <m/>
    <m/>
    <m/>
    <m/>
    <m/>
    <m/>
    <m/>
    <m/>
    <m/>
    <m/>
  </r>
  <r>
    <x v="48"/>
    <s v="GD250489"/>
    <s v="Ugaban, Dangie Nialla"/>
    <s v="GD250489"/>
    <d v="2026-07-24T00:00:00"/>
    <m/>
    <s v="7PM-4AM"/>
    <d v="1899-12-30T18:35:00"/>
    <d v="1899-12-30T04:03:00"/>
    <s v="B"/>
    <n v="8"/>
    <m/>
    <n v="6"/>
    <m/>
    <m/>
    <m/>
    <m/>
    <m/>
    <m/>
    <m/>
    <m/>
    <m/>
    <m/>
    <m/>
    <m/>
  </r>
  <r>
    <x v="48"/>
    <s v="GD250489"/>
    <s v="Ugaban, Dangie Nialla"/>
    <s v="GD250489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2"/>
    <n v="66"/>
    <n v="12"/>
    <n v="0"/>
    <n v="0"/>
    <n v="0"/>
    <n v="0"/>
    <n v="0"/>
    <n v="0"/>
    <n v="0"/>
    <n v="0"/>
    <n v="0"/>
    <n v="0"/>
    <n v="108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49"/>
    <s v="GD250280"/>
    <s v="Acosta, Alexis Dorongon"/>
    <s v="GD250280"/>
    <d v="2026-07-11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49"/>
    <s v="GD250280"/>
    <s v="Acosta, Alexis Dorongon"/>
    <s v="GD250280"/>
    <d v="2026-07-12T00:00:00"/>
    <m/>
    <m/>
    <m/>
    <m/>
    <m/>
    <m/>
    <m/>
    <m/>
    <m/>
    <m/>
    <m/>
    <m/>
    <m/>
    <m/>
    <m/>
    <m/>
    <m/>
    <m/>
    <m/>
    <m/>
  </r>
  <r>
    <x v="49"/>
    <s v="GD250280"/>
    <s v="Acosta, Alexis Dorongon"/>
    <s v="GD250280"/>
    <d v="2026-07-13T00:00:00"/>
    <m/>
    <m/>
    <m/>
    <m/>
    <m/>
    <m/>
    <m/>
    <m/>
    <m/>
    <m/>
    <m/>
    <m/>
    <m/>
    <m/>
    <m/>
    <m/>
    <m/>
    <m/>
    <m/>
    <m/>
  </r>
  <r>
    <x v="49"/>
    <s v="GD250280"/>
    <s v="Acosta, Alexis Dorongon"/>
    <s v="GD250280"/>
    <d v="2026-07-14T00:00:00"/>
    <m/>
    <s v="8AM-5PM"/>
    <d v="1899-12-30T07:24:00"/>
    <d v="1899-12-30T17:02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15T00:00:00"/>
    <m/>
    <s v="8AM-5PM"/>
    <d v="1899-12-30T07:30:00"/>
    <d v="1899-12-30T17:04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16T00:00:00"/>
    <m/>
    <s v="8AM-5PM"/>
    <d v="1899-12-30T07:35:00"/>
    <d v="1899-12-30T17:03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17T00:00:00"/>
    <m/>
    <s v="8AM-5PM"/>
    <d v="1899-12-30T07:31:00"/>
    <d v="1899-12-30T17:03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18T00:00:00"/>
    <m/>
    <s v="8AM-5PM"/>
    <d v="1899-12-30T07:34:00"/>
    <d v="1899-12-30T17:07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19T00:00:00"/>
    <m/>
    <m/>
    <s v="SUNDAY"/>
    <m/>
    <m/>
    <m/>
    <m/>
    <m/>
    <m/>
    <m/>
    <m/>
    <m/>
    <m/>
    <m/>
    <m/>
    <m/>
    <m/>
    <m/>
    <m/>
    <m/>
  </r>
  <r>
    <x v="49"/>
    <s v="GD250280"/>
    <s v="Acosta, Alexis Dorongon"/>
    <s v="GD250280"/>
    <d v="2026-07-20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21T00:00:00"/>
    <m/>
    <s v="8AM-5PM"/>
    <d v="1899-12-30T07:25:00"/>
    <d v="1899-12-30T17:03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22T00:00:00"/>
    <m/>
    <s v="8AM-5PM"/>
    <d v="1899-12-30T07:48:00"/>
    <d v="1899-12-30T17:03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23T00:00:00"/>
    <m/>
    <s v="8AM-5PM"/>
    <d v="1899-12-30T07:13:00"/>
    <d v="1899-12-30T17:03:00"/>
    <s v="A"/>
    <n v="8"/>
    <m/>
    <m/>
    <m/>
    <m/>
    <m/>
    <m/>
    <m/>
    <m/>
    <m/>
    <m/>
    <m/>
    <m/>
    <m/>
    <m/>
  </r>
  <r>
    <x v="49"/>
    <s v="GD250280"/>
    <s v="Acosta, Alexis Dorongon"/>
    <s v="GD250280"/>
    <d v="2026-07-24T00:00:00"/>
    <m/>
    <s v="8AM-5PM"/>
    <d v="1899-12-30T07:49:00"/>
    <d v="1899-12-30T18:00:00"/>
    <s v="A"/>
    <n v="8"/>
    <n v="1"/>
    <m/>
    <m/>
    <m/>
    <m/>
    <m/>
    <m/>
    <m/>
    <m/>
    <m/>
    <m/>
    <m/>
    <m/>
    <m/>
  </r>
  <r>
    <x v="49"/>
    <s v="GD250280"/>
    <s v="Acosta, Alexis Dorongon"/>
    <s v="GD250280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1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0"/>
    <s v="GD250089"/>
    <s v="Belarmino, Jade Espenida"/>
    <s v="GD250089"/>
    <d v="2026-07-11T00:00:00"/>
    <m/>
    <s v="7PM-4AM"/>
    <d v="1899-12-30T18:45:00"/>
    <d v="1899-12-30T04:01:00"/>
    <s v="B"/>
    <n v="8"/>
    <m/>
    <n v="6"/>
    <m/>
    <m/>
    <m/>
    <m/>
    <m/>
    <m/>
    <m/>
    <m/>
    <m/>
    <m/>
    <m/>
    <m/>
  </r>
  <r>
    <x v="50"/>
    <s v="GD250089"/>
    <s v="Belarmino, Jade Espenida"/>
    <s v="GD250089"/>
    <d v="2026-07-12T00:00:00"/>
    <m/>
    <m/>
    <s v="SUNDAY"/>
    <m/>
    <m/>
    <m/>
    <m/>
    <m/>
    <m/>
    <m/>
    <m/>
    <m/>
    <m/>
    <m/>
    <m/>
    <m/>
    <m/>
    <m/>
    <m/>
    <m/>
  </r>
  <r>
    <x v="50"/>
    <s v="GD250089"/>
    <s v="Belarmino, Jade Espenida"/>
    <s v="GD250089"/>
    <d v="2026-07-13T00:00:00"/>
    <m/>
    <s v="8AM-5PM"/>
    <d v="1899-12-30T07:43:00"/>
    <d v="1899-12-30T17:05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14T00:00:00"/>
    <m/>
    <s v="8AM-5PM"/>
    <d v="1899-12-30T07:41:00"/>
    <d v="1899-12-30T17:06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15T00:00:00"/>
    <m/>
    <s v="8AM-5PM"/>
    <d v="1899-12-30T07:41:00"/>
    <d v="1899-12-30T17:07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16T00:00:00"/>
    <m/>
    <s v="8AM-5PM"/>
    <d v="1899-12-30T07:33:00"/>
    <d v="1899-12-30T17:06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17T00:00:00"/>
    <m/>
    <s v="8AM-5PM"/>
    <d v="1899-12-30T07:37:00"/>
    <d v="1899-12-30T17:06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18T00:00:00"/>
    <m/>
    <s v="8AM-5PM"/>
    <d v="1899-12-30T07:28:00"/>
    <d v="1899-12-30T17:05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19T00:00:00"/>
    <m/>
    <m/>
    <s v="SUNDAY"/>
    <m/>
    <m/>
    <m/>
    <m/>
    <m/>
    <m/>
    <m/>
    <m/>
    <m/>
    <m/>
    <m/>
    <m/>
    <m/>
    <m/>
    <m/>
    <m/>
    <m/>
  </r>
  <r>
    <x v="50"/>
    <s v="GD250089"/>
    <s v="Belarmino, Jade Espenida"/>
    <s v="GD250089"/>
    <d v="2026-07-20T00:00:00"/>
    <m/>
    <s v="8AM-5PM"/>
    <d v="1899-12-30T07:43:00"/>
    <d v="1899-12-30T17:05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21T00:00:00"/>
    <m/>
    <s v="8AM-5PM"/>
    <d v="1899-12-30T07:36:00"/>
    <d v="1899-12-30T17:05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22T00:00:00"/>
    <m/>
    <s v="8AM-5PM"/>
    <d v="1899-12-30T07:39:00"/>
    <d v="1899-12-30T17:09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23T00:00:00"/>
    <m/>
    <s v="8AM-5PM"/>
    <d v="1899-12-30T07:38:00"/>
    <d v="1899-12-30T17:08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24T00:00:00"/>
    <m/>
    <s v="8AM-5PM"/>
    <d v="1899-12-30T07:41:00"/>
    <d v="1899-12-30T17:05:00"/>
    <s v="A"/>
    <n v="8"/>
    <m/>
    <m/>
    <m/>
    <m/>
    <m/>
    <m/>
    <m/>
    <m/>
    <m/>
    <m/>
    <m/>
    <m/>
    <m/>
    <m/>
  </r>
  <r>
    <x v="50"/>
    <s v="GD250089"/>
    <s v="Belarmino, Jade Espenida"/>
    <s v="GD25008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1"/>
    <s v="GD250159"/>
    <s v="Cortez, Armin Padis"/>
    <s v="GD250159"/>
    <d v="2026-07-11T00:00:00"/>
    <m/>
    <s v="7PM-4AM"/>
    <d v="1899-12-30T18:37:00"/>
    <d v="1899-12-30T04:01:00"/>
    <s v="B"/>
    <n v="8"/>
    <m/>
    <n v="6"/>
    <m/>
    <m/>
    <m/>
    <m/>
    <m/>
    <m/>
    <m/>
    <m/>
    <m/>
    <m/>
    <m/>
    <m/>
  </r>
  <r>
    <x v="51"/>
    <s v="GD250159"/>
    <s v="Cortez, Armin Padis"/>
    <s v="GD250159"/>
    <d v="2026-07-12T00:00:00"/>
    <m/>
    <m/>
    <s v="SUNDAY"/>
    <m/>
    <m/>
    <m/>
    <m/>
    <m/>
    <m/>
    <m/>
    <m/>
    <m/>
    <m/>
    <m/>
    <m/>
    <m/>
    <m/>
    <m/>
    <m/>
    <m/>
  </r>
  <r>
    <x v="51"/>
    <s v="GD250159"/>
    <s v="Cortez, Armin Padis"/>
    <s v="GD250159"/>
    <d v="2026-07-13T00:00:00"/>
    <m/>
    <s v="8AM-5PM"/>
    <d v="1899-12-30T07:31:00"/>
    <d v="1899-12-30T17:03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14T00:00:00"/>
    <m/>
    <s v="8AM-5PM"/>
    <d v="1899-12-30T07:24:00"/>
    <d v="1899-12-30T17:02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15T00:00:00"/>
    <m/>
    <s v="8AM-5PM"/>
    <d v="1899-12-30T07:29:00"/>
    <d v="1899-12-30T17:04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16T00:00:00"/>
    <m/>
    <s v="8AM-5PM"/>
    <d v="1899-12-30T07:42:00"/>
    <d v="1899-12-30T17:04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17T00:00:00"/>
    <m/>
    <s v="8AM-5PM"/>
    <d v="1899-12-30T07:07:00"/>
    <d v="1899-12-30T17:03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18T00:00:00"/>
    <m/>
    <s v="8AM-5PM"/>
    <d v="1899-12-30T07:34:00"/>
    <d v="1899-12-30T17:04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19T00:00:00"/>
    <m/>
    <m/>
    <s v="SUNDAY"/>
    <m/>
    <m/>
    <m/>
    <m/>
    <m/>
    <m/>
    <m/>
    <m/>
    <m/>
    <m/>
    <m/>
    <m/>
    <m/>
    <m/>
    <m/>
    <m/>
    <m/>
  </r>
  <r>
    <x v="51"/>
    <s v="GD250159"/>
    <s v="Cortez, Armin Padis"/>
    <s v="GD250159"/>
    <d v="2026-07-20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21T00:00:00"/>
    <m/>
    <s v="8AM-5PM"/>
    <d v="1899-12-30T07:25:00"/>
    <d v="1899-12-30T17:04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22T00:00:00"/>
    <m/>
    <s v="8AM-5PM"/>
    <d v="1899-12-30T07:28:00"/>
    <d v="1899-12-30T17:04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23T00:00:00"/>
    <m/>
    <s v="8AM-5PM"/>
    <d v="1899-12-30T07:08:00"/>
    <d v="1899-12-30T17:03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24T00:00:00"/>
    <m/>
    <s v="8AM-5PM"/>
    <d v="1899-12-30T07:49:00"/>
    <d v="1899-12-30T17:04:00"/>
    <s v="A"/>
    <n v="8"/>
    <m/>
    <m/>
    <m/>
    <m/>
    <m/>
    <m/>
    <m/>
    <m/>
    <m/>
    <m/>
    <m/>
    <m/>
    <m/>
    <m/>
  </r>
  <r>
    <x v="51"/>
    <s v="GD250159"/>
    <s v="Cortez, Armin Padis"/>
    <s v="GD25015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2"/>
    <s v="GD250540"/>
    <s v="Eguia, Mary Grace Deomampo"/>
    <s v="GD250540"/>
    <d v="2026-07-11T00:00:00"/>
    <m/>
    <m/>
    <m/>
    <m/>
    <m/>
    <m/>
    <m/>
    <m/>
    <m/>
    <m/>
    <m/>
    <m/>
    <m/>
    <m/>
    <m/>
    <m/>
    <m/>
    <m/>
    <m/>
    <m/>
  </r>
  <r>
    <x v="52"/>
    <s v="GD250540"/>
    <s v="Eguia, Mary Grace Deomampo"/>
    <s v="GD250540"/>
    <d v="2026-07-12T00:00:00"/>
    <m/>
    <m/>
    <s v="SUNDAY"/>
    <m/>
    <m/>
    <m/>
    <m/>
    <m/>
    <m/>
    <m/>
    <m/>
    <m/>
    <m/>
    <m/>
    <m/>
    <m/>
    <m/>
    <m/>
    <m/>
    <m/>
  </r>
  <r>
    <x v="52"/>
    <s v="GD250540"/>
    <s v="Eguia, Mary Grace Deomampo"/>
    <s v="GD250540"/>
    <d v="2026-07-13T00:00:00"/>
    <m/>
    <s v="8AM-5PM"/>
    <d v="1899-12-30T07:41:00"/>
    <d v="1899-12-30T17:02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14T00:00:00"/>
    <m/>
    <s v="8AM-5PM"/>
    <d v="1899-12-30T07:30:00"/>
    <d v="1899-12-30T17:02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15T00:00:00"/>
    <m/>
    <s v="8AM-5PM"/>
    <d v="1899-12-30T07:34:00"/>
    <d v="1899-12-30T17:02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16T00:00:00"/>
    <m/>
    <s v="8AM-5PM"/>
    <d v="1899-12-30T07:42:00"/>
    <d v="1899-12-30T17:02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17T00:00:00"/>
    <m/>
    <s v="8AM-5PM"/>
    <d v="1899-12-30T07:34:00"/>
    <d v="1899-12-30T12:00:00"/>
    <s v="A"/>
    <n v="4"/>
    <m/>
    <m/>
    <m/>
    <m/>
    <m/>
    <m/>
    <m/>
    <m/>
    <m/>
    <m/>
    <m/>
    <m/>
    <m/>
    <m/>
  </r>
  <r>
    <x v="52"/>
    <s v="GD250540"/>
    <s v="Eguia, Mary Grace Deomampo"/>
    <s v="GD250540"/>
    <d v="2026-07-18T00:00:00"/>
    <m/>
    <s v="8AM-5PM"/>
    <m/>
    <m/>
    <m/>
    <m/>
    <m/>
    <m/>
    <m/>
    <m/>
    <m/>
    <m/>
    <m/>
    <m/>
    <m/>
    <m/>
    <m/>
    <m/>
    <m/>
    <m/>
  </r>
  <r>
    <x v="52"/>
    <s v="GD250540"/>
    <s v="Eguia, Mary Grace Deomampo"/>
    <s v="GD250540"/>
    <d v="2026-07-19T00:00:00"/>
    <m/>
    <m/>
    <s v="SUNDAY"/>
    <m/>
    <m/>
    <m/>
    <m/>
    <m/>
    <m/>
    <m/>
    <m/>
    <m/>
    <m/>
    <m/>
    <m/>
    <m/>
    <m/>
    <m/>
    <m/>
    <m/>
  </r>
  <r>
    <x v="52"/>
    <s v="GD250540"/>
    <s v="Eguia, Mary Grace Deomampo"/>
    <s v="GD250540"/>
    <d v="2026-07-20T00:00:00"/>
    <m/>
    <s v="8AM-5PM"/>
    <d v="1899-12-30T07:29:00"/>
    <d v="1899-12-30T17:00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21T00:00:00"/>
    <m/>
    <s v="8AM-5PM"/>
    <d v="1899-12-30T07:27:00"/>
    <d v="1899-12-30T17:00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22T00:00:00"/>
    <m/>
    <s v="8AM-5PM"/>
    <d v="1899-12-30T07:30:00"/>
    <d v="1899-12-30T17:00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23T00:00:00"/>
    <m/>
    <s v="8AM-5PM"/>
    <d v="1899-12-30T07:40:00"/>
    <d v="1899-12-30T17:00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24T00:00:00"/>
    <m/>
    <s v="8AM-5PM"/>
    <d v="1899-12-30T07:33:00"/>
    <d v="1899-12-30T17:00:00"/>
    <s v="A"/>
    <n v="8"/>
    <m/>
    <m/>
    <m/>
    <m/>
    <m/>
    <m/>
    <m/>
    <m/>
    <m/>
    <m/>
    <m/>
    <m/>
    <m/>
    <m/>
  </r>
  <r>
    <x v="52"/>
    <s v="GD250540"/>
    <s v="Eguia, Mary Grace Deomampo"/>
    <s v="GD250540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76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m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3"/>
    <s v="GD250372"/>
    <s v="Flores, Jayson Cañoneo"/>
    <s v="GD250372"/>
    <s v="DATE"/>
    <m/>
    <s v="7PM-4AM"/>
    <d v="1899-12-30T18:45:00"/>
    <d v="1899-12-30T04:00:00"/>
    <s v="B"/>
    <n v="8"/>
    <m/>
    <n v="6"/>
    <m/>
    <m/>
    <m/>
    <m/>
    <m/>
    <m/>
    <m/>
    <m/>
    <m/>
    <m/>
    <m/>
    <m/>
  </r>
  <r>
    <x v="53"/>
    <s v="GD250372"/>
    <s v="Flores, Jayson Cañoneo"/>
    <s v="GD250372"/>
    <d v="2026-07-11T00:00:00"/>
    <m/>
    <m/>
    <s v="SUNDAY"/>
    <m/>
    <m/>
    <m/>
    <m/>
    <m/>
    <m/>
    <m/>
    <m/>
    <m/>
    <m/>
    <m/>
    <m/>
    <m/>
    <m/>
    <m/>
    <m/>
    <m/>
  </r>
  <r>
    <x v="53"/>
    <s v="GD250372"/>
    <s v="Flores, Jayson Cañoneo"/>
    <s v="GD250372"/>
    <d v="2026-07-12T00:00:00"/>
    <m/>
    <s v="8AM-5PM"/>
    <d v="1899-12-30T07:38:00"/>
    <d v="1899-12-30T17:04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13T00:00:00"/>
    <m/>
    <s v="8AM-5PM"/>
    <d v="1899-12-30T07:36:00"/>
    <d v="1899-12-30T17:02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14T00:00:00"/>
    <m/>
    <s v="8AM-5PM"/>
    <d v="1899-12-30T07:42:00"/>
    <d v="1899-12-30T17:04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15T00:00:00"/>
    <m/>
    <s v="8AM-5PM"/>
    <d v="1899-12-30T07:35:00"/>
    <d v="1899-12-30T17:03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16T00:00:00"/>
    <m/>
    <s v="8AM-5PM"/>
    <d v="1899-12-30T07:46:00"/>
    <d v="1899-12-30T17:02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17T00:00:00"/>
    <m/>
    <s v="8AM-5PM"/>
    <d v="1899-12-30T07:27:00"/>
    <d v="1899-12-30T17:00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18T00:00:00"/>
    <m/>
    <m/>
    <s v="SUNDAY"/>
    <m/>
    <m/>
    <m/>
    <m/>
    <m/>
    <m/>
    <m/>
    <m/>
    <m/>
    <m/>
    <m/>
    <m/>
    <m/>
    <m/>
    <m/>
    <m/>
    <m/>
  </r>
  <r>
    <x v="53"/>
    <s v="GD250372"/>
    <s v="Flores, Jayson Cañoneo"/>
    <s v="GD250372"/>
    <d v="2026-07-19T00:00:00"/>
    <m/>
    <s v="8AM-5PM"/>
    <d v="1899-12-30T07:29:00"/>
    <d v="1899-12-30T17:01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20T00:00:00"/>
    <m/>
    <s v="8AM-5PM"/>
    <d v="1899-12-30T07:27:00"/>
    <d v="1899-12-30T17:00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21T00:00:00"/>
    <m/>
    <s v="8AM-5PM"/>
    <d v="1899-12-30T07:30:00"/>
    <d v="1899-12-30T17:02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22T00:00:00"/>
    <m/>
    <s v="8AM-5PM"/>
    <d v="1899-12-30T07:40:00"/>
    <d v="1899-12-30T17:02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23T00:00:00"/>
    <m/>
    <s v="8AM-5PM"/>
    <d v="1899-12-30T07:33:00"/>
    <d v="1899-12-30T17:02:00"/>
    <s v="A"/>
    <n v="8"/>
    <m/>
    <m/>
    <m/>
    <m/>
    <m/>
    <m/>
    <m/>
    <m/>
    <m/>
    <m/>
    <m/>
    <m/>
    <m/>
    <m/>
  </r>
  <r>
    <x v="53"/>
    <s v="GD250372"/>
    <s v="Flores, Jayson Cañoneo"/>
    <s v="GD250372"/>
    <d v="2026-07-24T00:00:00"/>
    <m/>
    <s v="8AM-5PM"/>
    <m/>
    <m/>
    <m/>
    <m/>
    <m/>
    <m/>
    <m/>
    <m/>
    <m/>
    <m/>
    <m/>
    <m/>
    <m/>
    <m/>
    <m/>
    <m/>
    <m/>
    <m/>
  </r>
  <r>
    <x v="1"/>
    <m/>
    <m/>
    <m/>
    <d v="2026-07-25T00:00:00"/>
    <m/>
    <m/>
    <m/>
    <m/>
    <m/>
    <m/>
    <m/>
    <m/>
    <m/>
    <m/>
    <m/>
    <m/>
    <m/>
    <m/>
    <m/>
    <m/>
    <m/>
    <m/>
    <m/>
    <m/>
  </r>
  <r>
    <x v="1"/>
    <m/>
    <m/>
    <m/>
    <m/>
    <m/>
    <m/>
    <m/>
    <s v=" "/>
    <m/>
    <n v="96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m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4"/>
    <s v="GD250136"/>
    <s v="Gallego, Anna Jean Gallego"/>
    <s v="GD250136"/>
    <s v="DATE"/>
    <m/>
    <s v="7PM-4AM"/>
    <d v="1899-12-30T18:45:00"/>
    <d v="1899-12-30T04:00:00"/>
    <s v="B"/>
    <n v="8"/>
    <m/>
    <n v="6"/>
    <m/>
    <m/>
    <m/>
    <m/>
    <m/>
    <m/>
    <m/>
    <m/>
    <m/>
    <m/>
    <m/>
    <m/>
  </r>
  <r>
    <x v="54"/>
    <s v="GD250136"/>
    <s v="Gallego, Anna Jean Gallego"/>
    <s v="GD250136"/>
    <d v="2026-07-11T00:00:00"/>
    <m/>
    <m/>
    <m/>
    <m/>
    <m/>
    <m/>
    <m/>
    <m/>
    <m/>
    <m/>
    <m/>
    <m/>
    <m/>
    <m/>
    <m/>
    <m/>
    <m/>
    <m/>
    <m/>
    <m/>
  </r>
  <r>
    <x v="54"/>
    <s v="GD250136"/>
    <s v="Gallego, Anna Jean Gallego"/>
    <s v="GD250136"/>
    <d v="2026-07-12T00:00:00"/>
    <m/>
    <s v="8AM-5PM"/>
    <d v="1899-12-30T07:31:00"/>
    <d v="1899-12-30T17:02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13T00:00:00"/>
    <m/>
    <s v="8AM-5PM"/>
    <d v="1899-12-30T07:35:00"/>
    <d v="1899-12-30T17:04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14T00:00:00"/>
    <m/>
    <s v="8AM-5PM"/>
    <d v="1899-12-30T07:35:00"/>
    <d v="1899-12-30T17:03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15T00:00:00"/>
    <m/>
    <s v="8AM-5PM"/>
    <d v="1899-12-30T07:27:00"/>
    <d v="1899-12-30T17:03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16T00:00:00"/>
    <m/>
    <s v="8AM-5PM"/>
    <d v="1899-12-30T07:26:00"/>
    <d v="1899-12-30T17:03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17T00:00:00"/>
    <m/>
    <s v="8AM-5PM"/>
    <d v="1899-12-30T07:27:00"/>
    <d v="1899-12-30T12:00:00"/>
    <s v="A"/>
    <n v="4"/>
    <m/>
    <m/>
    <m/>
    <m/>
    <m/>
    <m/>
    <m/>
    <m/>
    <m/>
    <m/>
    <m/>
    <m/>
    <m/>
    <m/>
  </r>
  <r>
    <x v="54"/>
    <s v="GD250136"/>
    <s v="Gallego, Anna Jean Gallego"/>
    <s v="GD250136"/>
    <d v="2026-07-18T00:00:00"/>
    <m/>
    <m/>
    <s v="SUNDAY"/>
    <m/>
    <m/>
    <m/>
    <m/>
    <m/>
    <m/>
    <m/>
    <m/>
    <m/>
    <m/>
    <m/>
    <m/>
    <m/>
    <m/>
    <m/>
    <m/>
    <m/>
  </r>
  <r>
    <x v="54"/>
    <s v="GD250136"/>
    <s v="Gallego, Anna Jean Gallego"/>
    <s v="GD250136"/>
    <d v="2026-07-19T00:00:00"/>
    <m/>
    <s v="8AM-5PM"/>
    <d v="1899-12-30T07:30:00"/>
    <d v="1899-12-30T17:02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20T00:00:00"/>
    <m/>
    <s v="8AM-5PM"/>
    <d v="1899-12-30T07:34:00"/>
    <d v="1899-12-30T17:03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21T00:00:00"/>
    <m/>
    <s v="8AM-5PM"/>
    <d v="1899-12-30T07:28:00"/>
    <d v="1899-12-30T17:00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22T00:00:00"/>
    <m/>
    <s v="8AM-5PM"/>
    <d v="1899-12-30T07:28:00"/>
    <d v="1899-12-30T17:03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23T00:00:00"/>
    <m/>
    <s v="8AM-5PM"/>
    <d v="1899-12-30T07:29:00"/>
    <d v="1899-12-30T17:03:00"/>
    <s v="A"/>
    <n v="8"/>
    <m/>
    <m/>
    <m/>
    <m/>
    <m/>
    <m/>
    <m/>
    <m/>
    <m/>
    <m/>
    <m/>
    <m/>
    <m/>
    <m/>
  </r>
  <r>
    <x v="54"/>
    <s v="GD250136"/>
    <s v="Gallego, Anna Jean Gallego"/>
    <s v="GD250136"/>
    <d v="2026-07-24T00:00:00"/>
    <m/>
    <s v="8AM-5PM"/>
    <m/>
    <m/>
    <m/>
    <m/>
    <m/>
    <m/>
    <m/>
    <m/>
    <m/>
    <m/>
    <m/>
    <m/>
    <m/>
    <m/>
    <m/>
    <m/>
    <m/>
    <m/>
  </r>
  <r>
    <x v="1"/>
    <m/>
    <m/>
    <m/>
    <d v="2026-07-25T00:00:00"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2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5"/>
    <s v="GD250399"/>
    <s v="Jazmin, Geralyn Bermas"/>
    <s v="GD250399"/>
    <d v="2026-07-11T00:00:00"/>
    <m/>
    <s v="7PM-4AM"/>
    <d v="1899-12-30T18:41:00"/>
    <d v="1899-12-30T04:03:00"/>
    <s v="B"/>
    <n v="8"/>
    <m/>
    <n v="6"/>
    <m/>
    <m/>
    <m/>
    <m/>
    <m/>
    <m/>
    <m/>
    <m/>
    <m/>
    <m/>
    <m/>
    <m/>
  </r>
  <r>
    <x v="55"/>
    <s v="GD250399"/>
    <s v="Jazmin, Geralyn Bermas"/>
    <s v="GD250399"/>
    <d v="2026-07-12T00:00:00"/>
    <m/>
    <m/>
    <s v="SUNDAY"/>
    <m/>
    <m/>
    <m/>
    <m/>
    <m/>
    <m/>
    <m/>
    <m/>
    <m/>
    <m/>
    <m/>
    <m/>
    <m/>
    <m/>
    <m/>
    <m/>
    <m/>
  </r>
  <r>
    <x v="55"/>
    <s v="GD250399"/>
    <s v="Jazmin, Geralyn Bermas"/>
    <s v="GD250399"/>
    <d v="2026-07-13T00:00:00"/>
    <m/>
    <s v="8AM-5PM"/>
    <d v="1899-12-30T07:36:00"/>
    <d v="1899-12-30T17:06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14T00:00:00"/>
    <m/>
    <s v="8AM-5PM"/>
    <d v="1899-12-30T07:40:00"/>
    <d v="1899-12-30T17:08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15T00:00:00"/>
    <m/>
    <s v="8AM-5PM"/>
    <d v="1899-12-30T07:38:00"/>
    <d v="1899-12-30T17:07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16T00:00:00"/>
    <m/>
    <s v="8AM-5PM"/>
    <d v="1899-12-30T07:42:00"/>
    <d v="1899-12-30T17:09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17T00:00:00"/>
    <m/>
    <s v="8AM-5PM"/>
    <d v="1899-12-30T07:29:00"/>
    <d v="1899-12-30T17:08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18T00:00:00"/>
    <m/>
    <s v="8AM-5PM"/>
    <d v="1899-12-30T07:25:00"/>
    <d v="1899-12-30T17:07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19T00:00:00"/>
    <m/>
    <m/>
    <s v="SUNDAY"/>
    <m/>
    <m/>
    <m/>
    <m/>
    <m/>
    <m/>
    <m/>
    <m/>
    <m/>
    <m/>
    <m/>
    <m/>
    <m/>
    <m/>
    <m/>
    <m/>
    <m/>
  </r>
  <r>
    <x v="55"/>
    <s v="GD250399"/>
    <s v="Jazmin, Geralyn Bermas"/>
    <s v="GD250399"/>
    <d v="2026-07-20T00:00:00"/>
    <m/>
    <s v="8AM-5PM"/>
    <d v="1899-12-30T07:27:00"/>
    <d v="1899-12-30T17:06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21T00:00:00"/>
    <m/>
    <s v="8AM-5PM"/>
    <d v="1899-12-30T07:30:00"/>
    <d v="1899-12-30T17:07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22T00:00:00"/>
    <m/>
    <s v="8AM-5PM"/>
    <d v="1899-12-30T07:34:00"/>
    <d v="1899-12-30T17:08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23T00:00:00"/>
    <m/>
    <s v="8AM-5PM"/>
    <d v="1899-12-30T07:40:00"/>
    <d v="1899-12-30T17:07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24T00:00:00"/>
    <m/>
    <s v="8AM-5PM"/>
    <d v="1899-12-30T07:41:00"/>
    <d v="1899-12-30T17:07:00"/>
    <s v="A"/>
    <n v="8"/>
    <m/>
    <m/>
    <m/>
    <m/>
    <m/>
    <m/>
    <m/>
    <m/>
    <m/>
    <m/>
    <m/>
    <m/>
    <m/>
    <m/>
  </r>
  <r>
    <x v="55"/>
    <s v="GD250399"/>
    <s v="Jazmin, Geralyn Bermas"/>
    <s v="GD25039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6"/>
    <s v="GD250428"/>
    <s v="Maquiniana, Reymar Bio"/>
    <s v="GD250428"/>
    <d v="2026-07-11T00:00:00"/>
    <m/>
    <s v="7PM-4AM"/>
    <d v="1899-12-30T18:45:00"/>
    <d v="1899-12-30T04:00:00"/>
    <s v="B"/>
    <n v="8"/>
    <m/>
    <n v="6"/>
    <m/>
    <m/>
    <m/>
    <m/>
    <m/>
    <m/>
    <m/>
    <m/>
    <m/>
    <m/>
    <m/>
    <m/>
  </r>
  <r>
    <x v="56"/>
    <s v="GD250428"/>
    <s v="Maquiniana, Reymar Bio"/>
    <s v="GD250428"/>
    <d v="2026-07-12T00:00:00"/>
    <m/>
    <m/>
    <s v="SUNDAY"/>
    <m/>
    <m/>
    <m/>
    <m/>
    <m/>
    <m/>
    <m/>
    <m/>
    <m/>
    <m/>
    <m/>
    <m/>
    <m/>
    <m/>
    <m/>
    <m/>
    <m/>
  </r>
  <r>
    <x v="56"/>
    <s v="GD250428"/>
    <s v="Maquiniana, Reymar Bio"/>
    <s v="GD250428"/>
    <d v="2026-07-13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14T00:00:00"/>
    <m/>
    <s v="8AM-5PM"/>
    <d v="1899-12-30T07:35:00"/>
    <d v="1899-12-30T19:03:00"/>
    <s v="A"/>
    <n v="8"/>
    <n v="2"/>
    <m/>
    <m/>
    <m/>
    <m/>
    <m/>
    <m/>
    <m/>
    <m/>
    <m/>
    <m/>
    <m/>
    <m/>
    <m/>
  </r>
  <r>
    <x v="56"/>
    <s v="GD250428"/>
    <s v="Maquiniana, Reymar Bio"/>
    <s v="GD250428"/>
    <d v="2026-07-15T00:00:00"/>
    <m/>
    <s v="8AM-5PM"/>
    <d v="1899-12-30T07:42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16T00:00:00"/>
    <m/>
    <s v="8AM-5PM"/>
    <d v="1899-12-30T07:35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17T00:00:00"/>
    <m/>
    <s v="8AM-5PM"/>
    <d v="1899-12-30T07:46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18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19T00:00:00"/>
    <m/>
    <m/>
    <s v="SUNDAY"/>
    <m/>
    <m/>
    <m/>
    <m/>
    <m/>
    <m/>
    <m/>
    <m/>
    <m/>
    <m/>
    <m/>
    <m/>
    <m/>
    <m/>
    <m/>
    <m/>
    <m/>
  </r>
  <r>
    <x v="56"/>
    <s v="GD250428"/>
    <s v="Maquiniana, Reymar Bio"/>
    <s v="GD250428"/>
    <d v="2026-07-20T00:00:00"/>
    <m/>
    <s v="8AM-5PM"/>
    <d v="1899-12-30T07:33:00"/>
    <d v="1899-12-30T17:02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21T00:00:00"/>
    <m/>
    <s v="8AM-5PM"/>
    <d v="1899-12-30T07:33:00"/>
    <d v="1899-12-30T17:05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22T00:00:00"/>
    <m/>
    <s v="8AM-5PM"/>
    <d v="1899-12-30T07:51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23T00:00:00"/>
    <m/>
    <s v="8AM-5PM"/>
    <d v="1899-12-30T07:34:00"/>
    <d v="1899-12-30T17:03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24T00:00:00"/>
    <m/>
    <s v="8AM-5PM"/>
    <d v="1899-12-30T07:41:00"/>
    <d v="1899-12-30T17:05:00"/>
    <s v="A"/>
    <n v="8"/>
    <m/>
    <m/>
    <m/>
    <m/>
    <m/>
    <m/>
    <m/>
    <m/>
    <m/>
    <m/>
    <m/>
    <m/>
    <m/>
    <m/>
  </r>
  <r>
    <x v="56"/>
    <s v="GD250428"/>
    <s v="Maquiniana, Reymar Bio"/>
    <s v="GD250428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7"/>
    <s v="GD250439"/>
    <s v="Nazarita, Cherry Mae Badinas"/>
    <s v="GD250439"/>
    <d v="2026-07-11T00:00:00"/>
    <m/>
    <s v="7PM-4AM"/>
    <d v="1899-12-30T18:41:00"/>
    <d v="1899-12-30T04:03:00"/>
    <s v="B"/>
    <n v="8"/>
    <m/>
    <n v="6"/>
    <m/>
    <m/>
    <m/>
    <m/>
    <m/>
    <m/>
    <m/>
    <m/>
    <m/>
    <m/>
    <m/>
    <m/>
  </r>
  <r>
    <x v="57"/>
    <s v="GD250439"/>
    <s v="Nazarita, Cherry Mae Badinas"/>
    <s v="GD250439"/>
    <d v="2026-07-12T00:00:00"/>
    <m/>
    <m/>
    <s v="SUNDAY"/>
    <m/>
    <m/>
    <m/>
    <m/>
    <m/>
    <m/>
    <m/>
    <m/>
    <m/>
    <m/>
    <m/>
    <m/>
    <m/>
    <m/>
    <m/>
    <m/>
    <m/>
  </r>
  <r>
    <x v="57"/>
    <s v="GD250439"/>
    <s v="Nazarita, Cherry Mae Badinas"/>
    <s v="GD250439"/>
    <d v="2026-07-13T00:00:00"/>
    <m/>
    <s v="8AM-5PM"/>
    <d v="1899-12-30T07:36:00"/>
    <d v="1899-12-30T17:06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14T00:00:00"/>
    <m/>
    <s v="8AM-5PM"/>
    <d v="1899-12-30T07:40:00"/>
    <d v="1899-12-30T17:08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15T00:00:00"/>
    <m/>
    <s v="8AM-5PM"/>
    <d v="1899-12-30T07:38:00"/>
    <d v="1899-12-30T17:07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16T00:00:00"/>
    <m/>
    <s v="8AM-5PM"/>
    <d v="1899-12-30T07:42:00"/>
    <d v="1899-12-30T17:09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17T00:00:00"/>
    <m/>
    <s v="8AM-5PM"/>
    <d v="1899-12-30T07:28:00"/>
    <d v="1899-12-30T17:08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18T00:00:00"/>
    <m/>
    <s v="8AM-5PM"/>
    <d v="1899-12-30T07:25:00"/>
    <d v="1899-12-30T17:07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19T00:00:00"/>
    <m/>
    <m/>
    <s v="SUNDAY"/>
    <m/>
    <m/>
    <m/>
    <m/>
    <m/>
    <m/>
    <m/>
    <m/>
    <m/>
    <m/>
    <m/>
    <m/>
    <m/>
    <m/>
    <m/>
    <m/>
    <m/>
  </r>
  <r>
    <x v="57"/>
    <s v="GD250439"/>
    <s v="Nazarita, Cherry Mae Badinas"/>
    <s v="GD250439"/>
    <d v="2026-07-20T00:00:00"/>
    <m/>
    <s v="8AM-5PM"/>
    <d v="1899-12-30T07:27:00"/>
    <d v="1899-12-30T17:06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21T00:00:00"/>
    <m/>
    <s v="8AM-5PM"/>
    <d v="1899-12-30T07:31:00"/>
    <d v="1899-12-30T17:07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22T00:00:00"/>
    <m/>
    <s v="8AM-5PM"/>
    <d v="1899-12-30T07:34:00"/>
    <d v="1899-12-30T17:08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23T00:00:00"/>
    <m/>
    <s v="8AM-5PM"/>
    <d v="1899-12-30T07:40:00"/>
    <d v="1899-12-30T17:07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24T00:00:00"/>
    <m/>
    <s v="8AM-5PM"/>
    <d v="1899-12-30T07:40:00"/>
    <d v="1899-12-30T17:01:00"/>
    <s v="A"/>
    <n v="8"/>
    <m/>
    <m/>
    <m/>
    <m/>
    <m/>
    <m/>
    <m/>
    <m/>
    <m/>
    <m/>
    <m/>
    <m/>
    <m/>
    <m/>
  </r>
  <r>
    <x v="57"/>
    <s v="GD250439"/>
    <s v="Nazarita, Cherry Mae Badinas"/>
    <s v="GD25043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8"/>
    <s v="GD250441"/>
    <s v="Nialla, Jenny Mae Bravo"/>
    <s v="GD250441"/>
    <d v="2026-07-11T00:00:00"/>
    <m/>
    <m/>
    <m/>
    <m/>
    <m/>
    <m/>
    <m/>
    <m/>
    <m/>
    <m/>
    <m/>
    <m/>
    <m/>
    <m/>
    <m/>
    <m/>
    <m/>
    <m/>
    <m/>
    <m/>
  </r>
  <r>
    <x v="58"/>
    <s v="GD250441"/>
    <s v="Nialla, Jenny Mae Bravo"/>
    <s v="GD250441"/>
    <d v="2026-07-12T00:00:00"/>
    <m/>
    <m/>
    <s v="SUNDAY"/>
    <m/>
    <m/>
    <m/>
    <m/>
    <m/>
    <m/>
    <m/>
    <m/>
    <m/>
    <m/>
    <m/>
    <m/>
    <m/>
    <m/>
    <m/>
    <m/>
    <m/>
  </r>
  <r>
    <x v="58"/>
    <s v="GD250441"/>
    <s v="Nialla, Jenny Mae Bravo"/>
    <s v="GD250441"/>
    <d v="2026-07-13T00:00:00"/>
    <m/>
    <s v="7PM-4AM"/>
    <d v="1899-12-30T18:36:00"/>
    <d v="1899-12-30T04:06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14T00:00:00"/>
    <m/>
    <s v="7PM-4AM"/>
    <d v="1899-12-30T18:53:00"/>
    <d v="1899-12-30T06:04:00"/>
    <s v="B"/>
    <n v="8"/>
    <n v="2"/>
    <n v="6"/>
    <n v="2"/>
    <m/>
    <m/>
    <m/>
    <m/>
    <m/>
    <m/>
    <m/>
    <m/>
    <m/>
    <m/>
    <m/>
  </r>
  <r>
    <x v="58"/>
    <s v="GD250441"/>
    <s v="Nialla, Jenny Mae Bravo"/>
    <s v="GD250441"/>
    <d v="2026-07-15T00:00:00"/>
    <m/>
    <s v="7PM-4AM"/>
    <d v="1899-12-30T18:37:00"/>
    <d v="1899-12-30T04:04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16T00:00:00"/>
    <m/>
    <s v="7PM-4AM"/>
    <d v="1899-12-30T18:41:00"/>
    <d v="1899-12-30T04:04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17T00:00:00"/>
    <m/>
    <s v="7PM-4AM"/>
    <d v="1899-12-30T18:38:00"/>
    <d v="1899-12-30T04:03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18T00:00:00"/>
    <m/>
    <s v="7PM-4AM"/>
    <d v="1899-12-30T18:43:00"/>
    <d v="1899-12-30T04:03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19T00:00:00"/>
    <m/>
    <m/>
    <s v="SUNDAY"/>
    <m/>
    <m/>
    <m/>
    <m/>
    <m/>
    <m/>
    <m/>
    <m/>
    <m/>
    <m/>
    <m/>
    <m/>
    <m/>
    <m/>
    <m/>
    <m/>
    <m/>
  </r>
  <r>
    <x v="58"/>
    <s v="GD250441"/>
    <s v="Nialla, Jenny Mae Bravo"/>
    <s v="GD250441"/>
    <d v="2026-07-20T00:00:00"/>
    <m/>
    <s v="7PM-4AM"/>
    <d v="1899-12-30T18:30:00"/>
    <d v="1899-12-30T04:02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21T00:00:00"/>
    <m/>
    <s v="7PM-4AM"/>
    <d v="1899-12-30T18:35:00"/>
    <d v="1899-12-30T04:02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22T00:00:00"/>
    <m/>
    <s v="7PM-4AM"/>
    <d v="1899-12-30T18:42:00"/>
    <d v="1899-12-30T06:01:00"/>
    <s v="B"/>
    <n v="8"/>
    <n v="2"/>
    <n v="6"/>
    <n v="2"/>
    <m/>
    <m/>
    <m/>
    <m/>
    <m/>
    <m/>
    <m/>
    <m/>
    <m/>
    <m/>
    <m/>
  </r>
  <r>
    <x v="58"/>
    <s v="GD250441"/>
    <s v="Nialla, Jenny Mae Bravo"/>
    <s v="GD250441"/>
    <d v="2026-07-23T00:00:00"/>
    <m/>
    <s v="7PM-4AM"/>
    <d v="1899-12-30T18:40:00"/>
    <d v="1899-12-30T04:03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24T00:00:00"/>
    <m/>
    <s v="7PM-4AM"/>
    <d v="1899-12-30T18:36:00"/>
    <d v="1899-12-30T04:01:00"/>
    <s v="B"/>
    <n v="8"/>
    <m/>
    <n v="6"/>
    <m/>
    <m/>
    <m/>
    <m/>
    <m/>
    <m/>
    <m/>
    <m/>
    <m/>
    <m/>
    <m/>
    <m/>
  </r>
  <r>
    <x v="58"/>
    <s v="GD250441"/>
    <s v="Nialla, Jenny Mae Bravo"/>
    <s v="GD250441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4"/>
    <n v="66"/>
    <n v="4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59"/>
    <s v="GD250691"/>
    <s v="Ramos, Marie Rachielle Dumo"/>
    <s v="GD250691"/>
    <d v="2026-07-11T00:00:00"/>
    <m/>
    <s v="7PM-4AM"/>
    <d v="1899-12-30T18:34:00"/>
    <d v="1899-12-30T04:00:00"/>
    <s v="B"/>
    <n v="8"/>
    <m/>
    <n v="6"/>
    <m/>
    <m/>
    <m/>
    <m/>
    <m/>
    <m/>
    <m/>
    <m/>
    <m/>
    <m/>
    <m/>
    <m/>
  </r>
  <r>
    <x v="59"/>
    <s v="GD250691"/>
    <s v="Ramos, Marie Rachielle Dumo"/>
    <s v="GD250691"/>
    <d v="2026-07-12T00:00:00"/>
    <m/>
    <m/>
    <s v="SUNDAY"/>
    <m/>
    <m/>
    <m/>
    <m/>
    <m/>
    <m/>
    <m/>
    <m/>
    <m/>
    <m/>
    <m/>
    <m/>
    <m/>
    <m/>
    <m/>
    <m/>
    <m/>
  </r>
  <r>
    <x v="59"/>
    <s v="GD250691"/>
    <s v="Ramos, Marie Rachielle Dumo"/>
    <s v="GD250691"/>
    <d v="2026-07-13T00:00:00"/>
    <m/>
    <s v="8AM-5PM"/>
    <d v="1899-12-30T07:39:00"/>
    <d v="1899-12-30T17:02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14T00:00:00"/>
    <m/>
    <s v="8AM-5PM"/>
    <d v="1899-12-30T07:53:00"/>
    <d v="1899-12-30T17:02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15T00:00:00"/>
    <m/>
    <s v="8AM-5PM"/>
    <d v="1899-12-30T07:47:00"/>
    <d v="1899-12-30T17:03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16T00:00:00"/>
    <m/>
    <s v="8AM-5PM"/>
    <d v="1899-12-30T07:44:00"/>
    <d v="1899-12-30T17:02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17T00:00:00"/>
    <m/>
    <s v="8AM-5PM"/>
    <d v="1899-12-30T07:27:00"/>
    <d v="1899-12-30T19:00:00"/>
    <s v="A"/>
    <n v="8"/>
    <n v="2"/>
    <m/>
    <m/>
    <m/>
    <m/>
    <m/>
    <m/>
    <m/>
    <m/>
    <m/>
    <m/>
    <m/>
    <m/>
    <m/>
  </r>
  <r>
    <x v="59"/>
    <s v="GD250691"/>
    <s v="Ramos, Marie Rachielle Dumo"/>
    <s v="GD250691"/>
    <d v="2026-07-18T00:00:00"/>
    <m/>
    <s v="8AM-5PM"/>
    <d v="1899-12-30T07:48:00"/>
    <d v="1899-12-30T17:03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19T00:00:00"/>
    <m/>
    <m/>
    <s v="SUNDAY"/>
    <m/>
    <m/>
    <m/>
    <m/>
    <m/>
    <m/>
    <m/>
    <m/>
    <m/>
    <m/>
    <m/>
    <m/>
    <m/>
    <m/>
    <m/>
    <m/>
    <m/>
  </r>
  <r>
    <x v="59"/>
    <s v="GD250691"/>
    <s v="Ramos, Marie Rachielle Dumo"/>
    <s v="GD250691"/>
    <d v="2026-07-20T00:00:00"/>
    <m/>
    <s v="8AM-5PM"/>
    <d v="1899-12-30T07:29:00"/>
    <d v="1899-12-30T17:04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21T00:00:00"/>
    <m/>
    <s v="8AM-5PM"/>
    <d v="1899-12-30T07:27:00"/>
    <d v="1899-12-30T17:01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22T00:00:00"/>
    <m/>
    <s v="8AM-5PM"/>
    <d v="1899-12-30T07:34:00"/>
    <d v="1899-12-30T17:02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23T00:00:00"/>
    <m/>
    <s v="8AM-5PM"/>
    <d v="1899-12-30T07:40:00"/>
    <d v="1899-12-30T17:02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24T00:00:00"/>
    <m/>
    <s v="8AM-5PM"/>
    <d v="1899-12-30T07:29:00"/>
    <d v="1899-12-30T17:03:00"/>
    <s v="A"/>
    <n v="8"/>
    <m/>
    <m/>
    <m/>
    <m/>
    <m/>
    <m/>
    <m/>
    <m/>
    <m/>
    <m/>
    <m/>
    <m/>
    <m/>
    <m/>
  </r>
  <r>
    <x v="59"/>
    <s v="GD250691"/>
    <s v="Ramos, Marie Rachielle Dumo"/>
    <s v="GD250691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0"/>
    <s v="GD250593"/>
    <s v="Dipasupil, Joshua Garcia"/>
    <s v="GD250593"/>
    <d v="2026-07-11T00:00:00"/>
    <m/>
    <s v="7PM-4AM"/>
    <d v="1899-12-30T18:45:00"/>
    <d v="1899-12-30T04:01:00"/>
    <s v="B"/>
    <n v="8"/>
    <m/>
    <n v="6"/>
    <m/>
    <m/>
    <m/>
    <m/>
    <m/>
    <m/>
    <m/>
    <m/>
    <m/>
    <m/>
    <m/>
    <m/>
  </r>
  <r>
    <x v="60"/>
    <s v="GD250593"/>
    <s v="Dipasupil, Joshua Garcia"/>
    <s v="GD250593"/>
    <d v="2026-07-12T00:00:00"/>
    <m/>
    <m/>
    <s v="SUNDAY"/>
    <m/>
    <m/>
    <m/>
    <m/>
    <m/>
    <m/>
    <m/>
    <m/>
    <m/>
    <m/>
    <m/>
    <m/>
    <m/>
    <m/>
    <m/>
    <m/>
    <m/>
  </r>
  <r>
    <x v="60"/>
    <s v="GD250593"/>
    <s v="Dipasupil, Joshua Garcia"/>
    <s v="GD250593"/>
    <d v="2026-07-13T00:00:00"/>
    <m/>
    <s v="8AM-5PM"/>
    <d v="1899-12-30T07:30:00"/>
    <d v="1899-12-30T17:02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14T00:00:00"/>
    <m/>
    <s v="8AM-5PM"/>
    <d v="1899-12-30T07:41:00"/>
    <d v="1899-12-30T17:06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15T00:00:00"/>
    <m/>
    <s v="8AM-5PM"/>
    <d v="1899-12-30T07:40:00"/>
    <d v="1899-12-30T17:07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16T00:00:00"/>
    <m/>
    <s v="8AM-5PM"/>
    <d v="1899-12-30T08:05:00"/>
    <d v="1899-12-30T17:07:00"/>
    <s v="A"/>
    <n v="8"/>
    <m/>
    <m/>
    <m/>
    <m/>
    <m/>
    <m/>
    <m/>
    <m/>
    <m/>
    <m/>
    <m/>
    <m/>
    <m/>
    <n v="5"/>
  </r>
  <r>
    <x v="60"/>
    <s v="GD250593"/>
    <s v="Dipasupil, Joshua Garcia"/>
    <s v="GD250593"/>
    <d v="2026-07-17T00:00:00"/>
    <m/>
    <s v="8AM-5PM"/>
    <d v="1899-12-30T07:37:00"/>
    <d v="1899-12-30T17:06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18T00:00:00"/>
    <m/>
    <s v="8AM-5PM"/>
    <d v="1899-12-30T07:28:00"/>
    <d v="1899-12-30T17:05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19T00:00:00"/>
    <m/>
    <m/>
    <s v="SUNDAY"/>
    <m/>
    <m/>
    <m/>
    <m/>
    <m/>
    <m/>
    <m/>
    <m/>
    <m/>
    <m/>
    <m/>
    <m/>
    <m/>
    <m/>
    <m/>
    <m/>
    <m/>
  </r>
  <r>
    <x v="60"/>
    <s v="GD250593"/>
    <s v="Dipasupil, Joshua Garcia"/>
    <s v="GD250593"/>
    <d v="2026-07-20T00:00:00"/>
    <m/>
    <s v="8AM-5PM"/>
    <d v="1899-12-30T07:07:00"/>
    <d v="1899-12-30T17:06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21T00:00:00"/>
    <m/>
    <s v="8AM-5PM"/>
    <d v="1899-12-30T07:36:00"/>
    <d v="1899-12-30T17:07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22T00:00:00"/>
    <m/>
    <s v="8AM-5PM"/>
    <d v="1899-12-30T07:37:00"/>
    <d v="1899-12-30T17:10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23T00:00:00"/>
    <m/>
    <s v="8AM-5PM"/>
    <d v="1899-12-30T07:22:00"/>
    <d v="1899-12-30T17:08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24T00:00:00"/>
    <m/>
    <s v="8AM-5PM"/>
    <d v="1899-12-30T07:41:00"/>
    <d v="1899-12-30T17:05:00"/>
    <s v="A"/>
    <n v="8"/>
    <m/>
    <m/>
    <m/>
    <m/>
    <m/>
    <m/>
    <m/>
    <m/>
    <m/>
    <m/>
    <m/>
    <m/>
    <m/>
    <m/>
  </r>
  <r>
    <x v="60"/>
    <s v="GD250593"/>
    <s v="Dipasupil, Joshua Garcia"/>
    <s v="GD250593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s v="DATE"/>
    <m/>
    <m/>
    <m/>
    <m/>
    <m/>
    <n v="96"/>
    <n v="0"/>
    <n v="6"/>
    <n v="0"/>
    <n v="0"/>
    <n v="0"/>
    <n v="0"/>
    <n v="0"/>
    <n v="0"/>
    <n v="0"/>
    <n v="0"/>
    <n v="0"/>
    <n v="0"/>
    <n v="0"/>
    <n v="5"/>
  </r>
  <r>
    <x v="2"/>
    <s v="HYS ID NUMBER"/>
    <s v="NAME"/>
    <s v="HYS ID NUMBER"/>
    <d v="2026-07-11T00:00:00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1"/>
    <s v="GD250554"/>
    <s v="Pisuena, Jae Ann Espiritu"/>
    <s v="GD250554"/>
    <d v="2026-07-12T00:00:00"/>
    <m/>
    <s v="8AM-5PM"/>
    <d v="1899-12-30T07:36:00"/>
    <d v="1899-12-30T17:01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13T00:00:00"/>
    <m/>
    <m/>
    <s v="SUNDAY"/>
    <m/>
    <m/>
    <m/>
    <m/>
    <m/>
    <m/>
    <m/>
    <m/>
    <m/>
    <m/>
    <m/>
    <m/>
    <m/>
    <m/>
    <m/>
    <m/>
    <m/>
  </r>
  <r>
    <x v="61"/>
    <s v="GD250554"/>
    <s v="Pisuena, Jae Ann Espiritu"/>
    <s v="GD250554"/>
    <d v="2026-07-14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15T00:00:00"/>
    <m/>
    <s v="8AM-5PM"/>
    <d v="1899-12-30T07:35:00"/>
    <d v="1899-12-30T19:02:00"/>
    <s v="A"/>
    <n v="8"/>
    <n v="2"/>
    <m/>
    <m/>
    <m/>
    <m/>
    <m/>
    <m/>
    <m/>
    <m/>
    <m/>
    <m/>
    <m/>
    <m/>
    <m/>
  </r>
  <r>
    <x v="61"/>
    <s v="GD250554"/>
    <s v="Pisuena, Jae Ann Espiritu"/>
    <s v="GD250554"/>
    <d v="2026-07-16T00:00:00"/>
    <m/>
    <s v="8AM-5PM"/>
    <d v="1899-12-30T07:35:00"/>
    <d v="1899-12-30T17:02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17T00:00:00"/>
    <m/>
    <s v="8AM-5PM"/>
    <d v="1899-12-30T07:38:00"/>
    <d v="1899-12-30T19:02:00"/>
    <s v="A"/>
    <n v="8"/>
    <n v="2"/>
    <m/>
    <m/>
    <m/>
    <m/>
    <m/>
    <m/>
    <m/>
    <m/>
    <m/>
    <m/>
    <m/>
    <m/>
    <m/>
  </r>
  <r>
    <x v="61"/>
    <s v="GD250554"/>
    <s v="Pisuena, Jae Ann Espiritu"/>
    <s v="GD250554"/>
    <d v="2026-07-18T00:00:00"/>
    <m/>
    <s v="8AM-5PM"/>
    <d v="1899-12-30T07:27:00"/>
    <d v="1899-12-30T19:01:00"/>
    <s v="A"/>
    <n v="8"/>
    <n v="2"/>
    <m/>
    <m/>
    <m/>
    <m/>
    <m/>
    <m/>
    <m/>
    <m/>
    <m/>
    <m/>
    <m/>
    <m/>
    <m/>
  </r>
  <r>
    <x v="61"/>
    <s v="GD250554"/>
    <s v="Pisuena, Jae Ann Espiritu"/>
    <s v="GD250554"/>
    <d v="2026-07-19T00:00:00"/>
    <m/>
    <s v="8AM-5PM"/>
    <d v="1899-12-30T07:26:00"/>
    <d v="1899-12-30T17:02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20T00:00:00"/>
    <m/>
    <m/>
    <s v="SUNDAY"/>
    <m/>
    <m/>
    <m/>
    <m/>
    <m/>
    <m/>
    <m/>
    <m/>
    <m/>
    <m/>
    <m/>
    <m/>
    <m/>
    <m/>
    <m/>
    <m/>
    <m/>
  </r>
  <r>
    <x v="61"/>
    <s v="GD250554"/>
    <s v="Pisuena, Jae Ann Espiritu"/>
    <s v="GD250554"/>
    <d v="2026-07-21T00:00:00"/>
    <m/>
    <s v="8AM-5PM"/>
    <d v="1899-12-30T07:30:00"/>
    <d v="1899-12-30T17:01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22T00:00:00"/>
    <m/>
    <s v="8AM-5PM"/>
    <d v="1899-12-30T07:33:00"/>
    <d v="1899-12-30T17:02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23T00:00:00"/>
    <m/>
    <s v="8AM-5PM"/>
    <d v="1899-12-30T07:37:00"/>
    <d v="1899-12-30T17:02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24T00:00:00"/>
    <m/>
    <s v="8AM-5PM"/>
    <d v="1899-12-30T07:27:00"/>
    <d v="1899-12-30T17:02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d v="2026-07-25T00:00:00"/>
    <m/>
    <s v="8AM-5PM"/>
    <d v="1899-12-30T07:37:00"/>
    <d v="1899-12-30T17:02:00"/>
    <s v="A"/>
    <n v="8"/>
    <m/>
    <m/>
    <m/>
    <m/>
    <m/>
    <m/>
    <m/>
    <m/>
    <m/>
    <m/>
    <m/>
    <m/>
    <m/>
    <m/>
  </r>
  <r>
    <x v="61"/>
    <s v="GD250554"/>
    <s v="Pisuena, Jae Ann Espiritu"/>
    <s v="GD250554"/>
    <m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s v="DATE"/>
    <m/>
    <m/>
    <m/>
    <m/>
    <m/>
    <n v="96"/>
    <n v="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d v="2026-07-11T00:00:00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2"/>
    <s v="GD260739"/>
    <s v="UNTALAN,CHRIS JOSHUA SEMANA"/>
    <s v="GD260739"/>
    <d v="2026-07-12T00:00:00"/>
    <m/>
    <s v="8AM-5PM"/>
    <d v="1899-12-30T07:27:00"/>
    <d v="1899-12-30T17:02:00"/>
    <s v="A"/>
    <n v="8"/>
    <m/>
    <m/>
    <m/>
    <m/>
    <m/>
    <m/>
    <m/>
    <m/>
    <m/>
    <m/>
    <m/>
    <m/>
    <m/>
    <m/>
  </r>
  <r>
    <x v="62"/>
    <s v="GD260739"/>
    <s v="UNTALAN,CHRIS JOSHUA SEMANA"/>
    <s v="GD260739"/>
    <d v="2026-07-13T00:00:00"/>
    <m/>
    <m/>
    <s v="SUNDAY"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14T00:00:00"/>
    <m/>
    <s v="8AM-5PM"/>
    <d v="1899-12-30T07:41:00"/>
    <d v="1899-12-30T17:01:00"/>
    <s v="A"/>
    <n v="8"/>
    <m/>
    <m/>
    <m/>
    <m/>
    <m/>
    <m/>
    <m/>
    <m/>
    <m/>
    <m/>
    <m/>
    <m/>
    <m/>
    <m/>
  </r>
  <r>
    <x v="62"/>
    <s v="GD260739"/>
    <s v="UNTALAN,CHRIS JOSHUA SEMANA"/>
    <s v="GD260739"/>
    <d v="2026-07-15T00:00:00"/>
    <m/>
    <s v="8AM-5PM"/>
    <d v="1899-12-30T07:53:00"/>
    <d v="1899-12-30T17:00:00"/>
    <s v="A"/>
    <n v="8"/>
    <m/>
    <m/>
    <m/>
    <m/>
    <m/>
    <m/>
    <m/>
    <m/>
    <m/>
    <m/>
    <m/>
    <m/>
    <m/>
    <m/>
  </r>
  <r>
    <x v="62"/>
    <s v="GD260739"/>
    <s v="UNTALAN,CHRIS JOSHUA SEMANA"/>
    <s v="GD260739"/>
    <d v="2026-07-16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17T00:00:00"/>
    <m/>
    <s v="8AM-5PM"/>
    <d v="1899-12-30T07:42:00"/>
    <d v="1899-12-30T17:01:00"/>
    <s v="A"/>
    <n v="8"/>
    <m/>
    <m/>
    <m/>
    <m/>
    <m/>
    <m/>
    <m/>
    <m/>
    <m/>
    <m/>
    <m/>
    <m/>
    <m/>
    <m/>
  </r>
  <r>
    <x v="62"/>
    <s v="GD260739"/>
    <s v="UNTALAN,CHRIS JOSHUA SEMANA"/>
    <s v="GD260739"/>
    <d v="2026-07-18T00:00:00"/>
    <m/>
    <s v="8AM-5PM"/>
    <d v="1899-12-30T07:47:00"/>
    <d v="1899-12-30T17:02:00"/>
    <s v="A"/>
    <n v="8"/>
    <m/>
    <m/>
    <m/>
    <m/>
    <m/>
    <m/>
    <m/>
    <m/>
    <m/>
    <m/>
    <m/>
    <m/>
    <m/>
    <m/>
  </r>
  <r>
    <x v="62"/>
    <s v="GD260739"/>
    <s v="UNTALAN,CHRIS JOSHUA SEMANA"/>
    <s v="GD260739"/>
    <d v="2026-07-19T00:00:00"/>
    <m/>
    <s v="8AM-5PM"/>
    <d v="1899-12-30T07:54:00"/>
    <d v="1899-12-30T17:02:00"/>
    <s v="A"/>
    <n v="8"/>
    <m/>
    <m/>
    <m/>
    <m/>
    <m/>
    <m/>
    <m/>
    <m/>
    <m/>
    <m/>
    <m/>
    <m/>
    <m/>
    <m/>
  </r>
  <r>
    <x v="62"/>
    <s v="GD260739"/>
    <s v="UNTALAN,CHRIS JOSHUA SEMANA"/>
    <s v="GD260739"/>
    <d v="2026-07-20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21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22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23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24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d v="2026-07-25T00:00:00"/>
    <m/>
    <m/>
    <m/>
    <m/>
    <m/>
    <m/>
    <m/>
    <m/>
    <m/>
    <m/>
    <m/>
    <m/>
    <m/>
    <m/>
    <m/>
    <m/>
    <m/>
    <m/>
    <m/>
    <m/>
  </r>
  <r>
    <x v="62"/>
    <s v="GD260739"/>
    <s v="UNTALAN,CHRIS JOSHUA SEMANA"/>
    <s v="GD260739"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48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3"/>
    <s v="GD250285"/>
    <s v="Aguilera, Baby Rose Lacbay"/>
    <s v="GD250285"/>
    <d v="2026-07-11T00:00:00"/>
    <m/>
    <s v="8AM-5PM"/>
    <d v="1899-12-30T07:43:00"/>
    <d v="1899-12-30T17:06:00"/>
    <s v="A"/>
    <n v="8"/>
    <m/>
    <m/>
    <m/>
    <m/>
    <m/>
    <m/>
    <m/>
    <m/>
    <m/>
    <m/>
    <m/>
    <m/>
    <m/>
    <m/>
  </r>
  <r>
    <x v="63"/>
    <s v="GD250285"/>
    <s v="Aguilera, Baby Rose Lacbay"/>
    <s v="GD250285"/>
    <d v="2026-07-12T00:00:00"/>
    <m/>
    <m/>
    <s v="SUNDAY"/>
    <m/>
    <m/>
    <m/>
    <m/>
    <m/>
    <m/>
    <m/>
    <m/>
    <m/>
    <m/>
    <m/>
    <m/>
    <m/>
    <m/>
    <m/>
    <m/>
    <m/>
  </r>
  <r>
    <x v="63"/>
    <s v="GD250285"/>
    <s v="Aguilera, Baby Rose Lacbay"/>
    <s v="GD250285"/>
    <d v="2026-07-13T00:00:00"/>
    <m/>
    <s v="8AM-5PM"/>
    <d v="1899-12-30T07:33:00"/>
    <d v="1899-12-30T19:03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14T00:00:00"/>
    <m/>
    <s v="8AM-5PM"/>
    <d v="1899-12-30T07:30:00"/>
    <d v="1899-12-30T19:03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15T00:00:00"/>
    <m/>
    <s v="8AM-5PM"/>
    <d v="1899-12-30T07:46:00"/>
    <d v="1899-12-30T19:03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16T00:00:00"/>
    <m/>
    <s v="8AM-5PM"/>
    <d v="1899-12-30T07:44:00"/>
    <d v="1899-12-30T19:03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17T00:00:00"/>
    <m/>
    <s v="8AM-5PM"/>
    <d v="1899-12-30T07:34:00"/>
    <d v="1899-12-30T19:03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18T00:00:00"/>
    <m/>
    <s v="8AM-5PM"/>
    <d v="1899-12-30T07:18:00"/>
    <d v="1899-12-30T17:05:00"/>
    <s v="A"/>
    <n v="8"/>
    <m/>
    <m/>
    <m/>
    <m/>
    <m/>
    <m/>
    <m/>
    <m/>
    <m/>
    <m/>
    <m/>
    <m/>
    <m/>
    <m/>
  </r>
  <r>
    <x v="63"/>
    <s v="GD250285"/>
    <s v="Aguilera, Baby Rose Lacbay"/>
    <s v="GD250285"/>
    <d v="2026-07-19T00:00:00"/>
    <m/>
    <m/>
    <s v="SUNDAY"/>
    <m/>
    <m/>
    <m/>
    <m/>
    <m/>
    <m/>
    <m/>
    <m/>
    <m/>
    <m/>
    <m/>
    <m/>
    <m/>
    <m/>
    <m/>
    <m/>
    <m/>
  </r>
  <r>
    <x v="63"/>
    <s v="GD250285"/>
    <s v="Aguilera, Baby Rose Lacbay"/>
    <s v="GD250285"/>
    <d v="2026-07-20T00:00:00"/>
    <m/>
    <s v="8AM-5PM"/>
    <d v="1899-12-30T07:34:00"/>
    <d v="1899-12-30T19:05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21T00:00:00"/>
    <m/>
    <s v="8AM-5PM"/>
    <d v="1899-12-30T07:27:00"/>
    <d v="1899-12-30T19:08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22T00:00:00"/>
    <m/>
    <s v="8AM-5PM"/>
    <d v="1899-12-30T07:29:00"/>
    <d v="1899-12-30T19:04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23T00:00:00"/>
    <m/>
    <s v="8AM-5PM"/>
    <d v="1899-12-30T07:33:00"/>
    <d v="1899-12-30T19:03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24T00:00:00"/>
    <m/>
    <s v="8AM-5PM"/>
    <d v="1899-12-30T07:33:00"/>
    <d v="1899-12-30T19:05:00"/>
    <s v="A"/>
    <n v="8"/>
    <n v="2"/>
    <m/>
    <m/>
    <m/>
    <m/>
    <m/>
    <m/>
    <m/>
    <m/>
    <m/>
    <m/>
    <m/>
    <m/>
    <m/>
  </r>
  <r>
    <x v="63"/>
    <s v="GD250285"/>
    <s v="Aguilera, Baby Rose Lacbay"/>
    <s v="GD25028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4"/>
    <s v="GD250529"/>
    <s v="Donato, Maria Christina Payumo"/>
    <s v="GD250529"/>
    <d v="2026-07-11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64"/>
    <s v="GD250529"/>
    <s v="Donato, Maria Christina Payumo"/>
    <s v="GD250529"/>
    <d v="2026-07-12T00:00:00"/>
    <m/>
    <m/>
    <s v="SUNDAY"/>
    <m/>
    <m/>
    <m/>
    <m/>
    <m/>
    <m/>
    <m/>
    <m/>
    <m/>
    <m/>
    <m/>
    <m/>
    <m/>
    <m/>
    <m/>
    <m/>
    <m/>
  </r>
  <r>
    <x v="64"/>
    <s v="GD250529"/>
    <s v="Donato, Maria Christina Payumo"/>
    <s v="GD250529"/>
    <d v="2026-07-13T00:00:00"/>
    <m/>
    <s v="8AM-5PM"/>
    <d v="1899-12-30T07:39:00"/>
    <d v="1899-12-30T19:03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14T00:00:00"/>
    <m/>
    <s v="8AM-5PM"/>
    <d v="1899-12-30T07:48:00"/>
    <d v="1899-12-30T19:02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15T00:00:00"/>
    <m/>
    <s v="8AM-5PM"/>
    <d v="1899-12-30T07:46:00"/>
    <d v="1899-12-30T19:02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16T00:00:00"/>
    <m/>
    <s v="8AM-5PM"/>
    <d v="1899-12-30T07:48:00"/>
    <d v="1899-12-30T19:03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17T00:00:00"/>
    <m/>
    <s v="8AM-5PM"/>
    <d v="1899-12-30T07:34:00"/>
    <d v="1899-12-30T19:03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18T00:00:00"/>
    <m/>
    <s v="8AM-5PM"/>
    <d v="1899-12-30T07:40:00"/>
    <d v="1899-12-30T17:02:00"/>
    <s v="A"/>
    <n v="8"/>
    <m/>
    <m/>
    <m/>
    <m/>
    <m/>
    <m/>
    <m/>
    <m/>
    <m/>
    <m/>
    <m/>
    <m/>
    <m/>
    <m/>
  </r>
  <r>
    <x v="64"/>
    <s v="GD250529"/>
    <s v="Donato, Maria Christina Payumo"/>
    <s v="GD250529"/>
    <d v="2026-07-19T00:00:00"/>
    <m/>
    <m/>
    <s v="SUNDAY"/>
    <m/>
    <m/>
    <m/>
    <m/>
    <m/>
    <m/>
    <m/>
    <m/>
    <m/>
    <m/>
    <m/>
    <m/>
    <m/>
    <m/>
    <m/>
    <m/>
    <m/>
  </r>
  <r>
    <x v="64"/>
    <s v="GD250529"/>
    <s v="Donato, Maria Christina Payumo"/>
    <s v="GD250529"/>
    <d v="2026-07-20T00:00:00"/>
    <m/>
    <s v="8AM-5PM"/>
    <d v="1899-12-30T07:39:00"/>
    <d v="1899-12-30T17:02:00"/>
    <s v="A"/>
    <n v="8"/>
    <m/>
    <m/>
    <m/>
    <m/>
    <m/>
    <m/>
    <m/>
    <m/>
    <m/>
    <m/>
    <m/>
    <m/>
    <m/>
    <m/>
  </r>
  <r>
    <x v="64"/>
    <s v="GD250529"/>
    <s v="Donato, Maria Christina Payumo"/>
    <s v="GD250529"/>
    <d v="2026-07-21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22T00:00:00"/>
    <m/>
    <s v="8AM-5PM"/>
    <d v="1899-12-30T07:41:00"/>
    <d v="1899-12-30T19:02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23T00:00:00"/>
    <m/>
    <s v="8AM-5PM"/>
    <d v="1899-12-30T07:40:00"/>
    <d v="1899-12-30T19:02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24T00:00:00"/>
    <m/>
    <s v="8AM-5PM"/>
    <d v="1899-12-30T07:45:00"/>
    <d v="1899-12-30T19:02:00"/>
    <s v="A"/>
    <n v="8"/>
    <n v="2"/>
    <m/>
    <m/>
    <m/>
    <m/>
    <m/>
    <m/>
    <m/>
    <m/>
    <m/>
    <m/>
    <m/>
    <m/>
    <m/>
  </r>
  <r>
    <x v="64"/>
    <s v="GD250529"/>
    <s v="Donato, Maria Christina Payumo"/>
    <s v="GD25052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8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5"/>
    <s v="GD250531"/>
    <s v="Conzaga, Anna Fe Acopio"/>
    <s v="GD250531"/>
    <d v="2026-07-11T00:00:00"/>
    <m/>
    <s v="8AM-5PM"/>
    <d v="1899-12-30T07:38:00"/>
    <d v="1899-12-30T17:05:00"/>
    <s v="A"/>
    <n v="8"/>
    <m/>
    <m/>
    <m/>
    <m/>
    <m/>
    <m/>
    <m/>
    <m/>
    <m/>
    <m/>
    <m/>
    <m/>
    <m/>
    <m/>
  </r>
  <r>
    <x v="65"/>
    <s v="GD250531"/>
    <s v="Conzaga, Anna Fe Acopio"/>
    <s v="GD250531"/>
    <d v="2026-07-12T00:00:00"/>
    <m/>
    <m/>
    <s v="SUNDAY"/>
    <m/>
    <m/>
    <m/>
    <m/>
    <m/>
    <m/>
    <m/>
    <m/>
    <m/>
    <m/>
    <m/>
    <m/>
    <m/>
    <m/>
    <m/>
    <m/>
    <m/>
  </r>
  <r>
    <x v="65"/>
    <s v="GD250531"/>
    <s v="Conzaga, Anna Fe Acopio"/>
    <s v="GD250531"/>
    <d v="2026-07-13T00:00:00"/>
    <m/>
    <s v="8AM-5PM"/>
    <d v="1899-12-30T07:39:00"/>
    <d v="1899-12-30T19:05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14T00:00:00"/>
    <m/>
    <s v="8AM-5PM"/>
    <d v="1899-12-30T07:48:00"/>
    <d v="1899-12-30T19:02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15T00:00:00"/>
    <m/>
    <s v="8AM-5PM"/>
    <d v="1899-12-30T07:46:00"/>
    <d v="1899-12-30T19:03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16T00:00:00"/>
    <m/>
    <s v="8AM-5PM"/>
    <d v="1899-12-30T07:48:00"/>
    <d v="1899-12-30T19:03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17T00:00:00"/>
    <m/>
    <s v="8AM-5PM"/>
    <d v="1899-12-30T07:34:00"/>
    <d v="1899-12-30T19:03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18T00:00:00"/>
    <m/>
    <s v="8AM-5PM"/>
    <d v="1899-12-30T07:53:00"/>
    <d v="1899-12-30T17:07:00"/>
    <s v="A"/>
    <n v="8"/>
    <m/>
    <m/>
    <m/>
    <m/>
    <m/>
    <m/>
    <m/>
    <m/>
    <m/>
    <m/>
    <m/>
    <m/>
    <m/>
    <m/>
  </r>
  <r>
    <x v="65"/>
    <s v="GD250531"/>
    <s v="Conzaga, Anna Fe Acopio"/>
    <s v="GD250531"/>
    <d v="2026-07-19T00:00:00"/>
    <m/>
    <m/>
    <s v="SUNDAY"/>
    <m/>
    <m/>
    <m/>
    <m/>
    <m/>
    <m/>
    <m/>
    <m/>
    <m/>
    <m/>
    <m/>
    <m/>
    <m/>
    <m/>
    <m/>
    <m/>
    <m/>
  </r>
  <r>
    <x v="65"/>
    <s v="GD250531"/>
    <s v="Conzaga, Anna Fe Acopio"/>
    <s v="GD250531"/>
    <d v="2026-07-20T00:00:00"/>
    <m/>
    <s v="8AM-5PM"/>
    <d v="1899-12-30T07:47:00"/>
    <d v="1899-12-30T19:04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21T00:00:00"/>
    <m/>
    <s v="8AM-5PM"/>
    <d v="1899-12-30T07:38:00"/>
    <d v="1899-12-30T19:02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22T00:00:00"/>
    <m/>
    <s v="8AM-5PM"/>
    <d v="1899-12-30T07:46:00"/>
    <d v="1899-12-30T19:04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23T00:00:00"/>
    <m/>
    <s v="8AM-5PM"/>
    <d v="1899-12-30T07:45:00"/>
    <d v="1899-12-30T19:03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24T00:00:00"/>
    <m/>
    <s v="8AM-5PM"/>
    <d v="1899-12-30T07:45:00"/>
    <d v="1899-12-30T19:02:00"/>
    <s v="A"/>
    <n v="8"/>
    <n v="2"/>
    <m/>
    <m/>
    <m/>
    <m/>
    <m/>
    <m/>
    <m/>
    <m/>
    <m/>
    <m/>
    <m/>
    <m/>
    <m/>
  </r>
  <r>
    <x v="65"/>
    <s v="GD250531"/>
    <s v="Conzaga, Anna Fe Acopio"/>
    <s v="GD250531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6"/>
    <s v="GD250161"/>
    <s v="Hugo, Ma. Elizabeth Llaga"/>
    <s v="GD250161"/>
    <d v="2026-07-11T00:00:00"/>
    <m/>
    <s v="8AM-5PM"/>
    <d v="1899-12-30T07:35:00"/>
    <d v="1899-12-30T17:04:00"/>
    <s v="A"/>
    <n v="8"/>
    <m/>
    <m/>
    <m/>
    <m/>
    <m/>
    <m/>
    <m/>
    <m/>
    <m/>
    <m/>
    <m/>
    <m/>
    <m/>
    <m/>
  </r>
  <r>
    <x v="66"/>
    <s v="GD250161"/>
    <s v="Hugo, Ma. Elizabeth Llaga"/>
    <s v="GD250161"/>
    <d v="2026-07-12T00:00:00"/>
    <m/>
    <m/>
    <s v="SUNDAY"/>
    <m/>
    <m/>
    <m/>
    <m/>
    <m/>
    <m/>
    <m/>
    <m/>
    <m/>
    <m/>
    <m/>
    <m/>
    <m/>
    <m/>
    <m/>
    <m/>
    <m/>
  </r>
  <r>
    <x v="66"/>
    <s v="GD250161"/>
    <s v="Hugo, Ma. Elizabeth Llaga"/>
    <s v="GD250161"/>
    <d v="2026-07-13T00:00:00"/>
    <m/>
    <s v="8AM-5PM"/>
    <d v="1899-12-30T07:31:00"/>
    <d v="1899-12-30T19:04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14T00:00:00"/>
    <m/>
    <s v="8AM-5PM"/>
    <d v="1899-12-30T07:35:00"/>
    <d v="1899-12-30T19:04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15T00:00:00"/>
    <m/>
    <s v="8AM-5PM"/>
    <d v="1899-12-30T07:35:00"/>
    <d v="1899-12-30T19:03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16T00:00:00"/>
    <m/>
    <s v="8AM-5PM"/>
    <d v="1899-12-30T07:27:00"/>
    <d v="1899-12-30T19:04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17T00:00:00"/>
    <m/>
    <s v="8AM-5PM"/>
    <d v="1899-12-30T07:27:00"/>
    <d v="1899-12-30T19:03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18T00:00:00"/>
    <m/>
    <s v="8AM-5PM"/>
    <d v="1899-12-30T07:07:00"/>
    <d v="1899-12-30T17:04:00"/>
    <s v="A"/>
    <n v="8"/>
    <m/>
    <m/>
    <m/>
    <m/>
    <m/>
    <m/>
    <m/>
    <m/>
    <m/>
    <m/>
    <m/>
    <m/>
    <m/>
    <m/>
  </r>
  <r>
    <x v="66"/>
    <s v="GD250161"/>
    <s v="Hugo, Ma. Elizabeth Llaga"/>
    <s v="GD250161"/>
    <d v="2026-07-19T00:00:00"/>
    <m/>
    <m/>
    <s v="SUNDAY"/>
    <m/>
    <m/>
    <m/>
    <m/>
    <m/>
    <m/>
    <m/>
    <m/>
    <m/>
    <m/>
    <m/>
    <m/>
    <m/>
    <m/>
    <m/>
    <m/>
    <m/>
  </r>
  <r>
    <x v="66"/>
    <s v="GD250161"/>
    <s v="Hugo, Ma. Elizabeth Llaga"/>
    <s v="GD250161"/>
    <d v="2026-07-20T00:00:00"/>
    <m/>
    <s v="8AM-5PM"/>
    <d v="1899-12-30T07:30:00"/>
    <d v="1899-12-30T19:03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21T00:00:00"/>
    <m/>
    <s v="8AM-5PM"/>
    <d v="1899-12-30T07:34:00"/>
    <d v="1899-12-30T19:03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22T00:00:00"/>
    <m/>
    <s v="8AM-5PM"/>
    <d v="1899-12-30T07:37:00"/>
    <d v="1899-12-30T19:01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23T00:00:00"/>
    <m/>
    <s v="8AM-5PM"/>
    <d v="1899-12-30T07:34:00"/>
    <d v="1899-12-30T19:04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24T00:00:00"/>
    <m/>
    <s v="8AM-5PM"/>
    <d v="1899-12-30T07:29:00"/>
    <d v="1899-12-30T19:02:00"/>
    <s v="A"/>
    <n v="8"/>
    <n v="2"/>
    <m/>
    <m/>
    <m/>
    <m/>
    <m/>
    <m/>
    <m/>
    <m/>
    <m/>
    <m/>
    <m/>
    <m/>
    <m/>
  </r>
  <r>
    <x v="66"/>
    <s v="GD250161"/>
    <s v="Hugo, Ma. Elizabeth Llaga"/>
    <s v="GD250161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7"/>
    <s v="GD250508"/>
    <s v="Magalona, Jun-Rose Paran"/>
    <s v="GD250508"/>
    <d v="2026-07-11T00:00:00"/>
    <m/>
    <s v="8AM-5PM"/>
    <d v="1899-12-30T07:32:00"/>
    <d v="1899-12-30T17:01:00"/>
    <s v="A"/>
    <n v="8"/>
    <m/>
    <m/>
    <m/>
    <m/>
    <m/>
    <m/>
    <m/>
    <m/>
    <m/>
    <m/>
    <m/>
    <m/>
    <m/>
    <m/>
  </r>
  <r>
    <x v="67"/>
    <s v="GD250508"/>
    <s v="Magalona, Jun-Rose Paran"/>
    <s v="GD250508"/>
    <d v="2026-07-12T00:00:00"/>
    <m/>
    <m/>
    <m/>
    <m/>
    <m/>
    <m/>
    <m/>
    <m/>
    <m/>
    <m/>
    <m/>
    <m/>
    <m/>
    <m/>
    <m/>
    <m/>
    <m/>
    <m/>
    <m/>
    <m/>
  </r>
  <r>
    <x v="67"/>
    <s v="GD250508"/>
    <s v="Magalona, Jun-Rose Paran"/>
    <s v="GD250508"/>
    <d v="2026-07-13T00:00:00"/>
    <m/>
    <s v="8AM-5PM"/>
    <d v="1899-12-30T07:52:00"/>
    <d v="1899-12-30T17:00:00"/>
    <s v="A"/>
    <n v="8"/>
    <m/>
    <m/>
    <m/>
    <m/>
    <m/>
    <m/>
    <m/>
    <m/>
    <m/>
    <m/>
    <m/>
    <m/>
    <m/>
    <m/>
  </r>
  <r>
    <x v="67"/>
    <s v="GD250508"/>
    <s v="Magalona, Jun-Rose Paran"/>
    <s v="GD250508"/>
    <d v="2026-07-14T00:00:00"/>
    <m/>
    <s v="8AM-5PM"/>
    <d v="1899-12-30T07:41:00"/>
    <d v="1899-12-30T19:00:00"/>
    <s v="A"/>
    <n v="8"/>
    <n v="2"/>
    <m/>
    <m/>
    <m/>
    <m/>
    <m/>
    <m/>
    <m/>
    <m/>
    <m/>
    <m/>
    <m/>
    <m/>
    <m/>
  </r>
  <r>
    <x v="67"/>
    <s v="GD250508"/>
    <s v="Magalona, Jun-Rose Paran"/>
    <s v="GD250508"/>
    <d v="2026-07-15T00:00:00"/>
    <m/>
    <s v="8AM-5PM"/>
    <d v="1899-12-30T07:46:00"/>
    <d v="1899-12-30T19:00:00"/>
    <s v="A"/>
    <n v="8"/>
    <n v="2"/>
    <m/>
    <m/>
    <m/>
    <m/>
    <m/>
    <m/>
    <m/>
    <m/>
    <m/>
    <m/>
    <m/>
    <m/>
    <m/>
  </r>
  <r>
    <x v="67"/>
    <s v="GD250508"/>
    <s v="Magalona, Jun-Rose Paran"/>
    <s v="GD250508"/>
    <d v="2026-07-16T00:00:00"/>
    <m/>
    <s v="8AM-5PM"/>
    <d v="1899-12-30T07:44:00"/>
    <d v="1899-12-30T19:00:00"/>
    <s v="A"/>
    <n v="8"/>
    <n v="2"/>
    <m/>
    <m/>
    <m/>
    <m/>
    <m/>
    <m/>
    <m/>
    <m/>
    <m/>
    <m/>
    <m/>
    <m/>
    <m/>
  </r>
  <r>
    <x v="67"/>
    <s v="GD250508"/>
    <s v="Magalona, Jun-Rose Paran"/>
    <s v="GD250508"/>
    <d v="2026-07-17T00:00:00"/>
    <m/>
    <s v="8AM-5PM"/>
    <d v="1899-12-30T07:48:00"/>
    <d v="1899-12-30T19:00:00"/>
    <s v="A"/>
    <n v="8"/>
    <n v="2"/>
    <m/>
    <m/>
    <m/>
    <m/>
    <m/>
    <m/>
    <m/>
    <m/>
    <m/>
    <m/>
    <m/>
    <m/>
    <m/>
  </r>
  <r>
    <x v="67"/>
    <s v="GD250508"/>
    <s v="Magalona, Jun-Rose Paran"/>
    <s v="GD250508"/>
    <d v="2026-07-18T00:00:00"/>
    <m/>
    <s v="8AM-5PM"/>
    <d v="1899-12-30T07:38:00"/>
    <d v="1899-12-30T17:00:00"/>
    <s v="A"/>
    <n v="8"/>
    <m/>
    <m/>
    <m/>
    <m/>
    <m/>
    <m/>
    <m/>
    <m/>
    <m/>
    <m/>
    <m/>
    <m/>
    <m/>
    <m/>
  </r>
  <r>
    <x v="67"/>
    <s v="GD250508"/>
    <s v="Magalona, Jun-Rose Paran"/>
    <s v="GD250508"/>
    <d v="2026-07-19T00:00:00"/>
    <m/>
    <m/>
    <s v="SUNDAY"/>
    <m/>
    <m/>
    <m/>
    <m/>
    <m/>
    <m/>
    <m/>
    <m/>
    <m/>
    <m/>
    <m/>
    <m/>
    <m/>
    <m/>
    <m/>
    <m/>
    <m/>
  </r>
  <r>
    <x v="67"/>
    <s v="GD250508"/>
    <s v="Magalona, Jun-Rose Paran"/>
    <s v="GD250508"/>
    <d v="2026-07-20T00:00:00"/>
    <m/>
    <s v="8AM-5PM"/>
    <d v="1899-12-30T07:47:00"/>
    <d v="1899-12-30T17:00:00"/>
    <s v="A"/>
    <n v="8"/>
    <m/>
    <m/>
    <m/>
    <m/>
    <m/>
    <m/>
    <m/>
    <m/>
    <m/>
    <m/>
    <m/>
    <m/>
    <m/>
    <m/>
  </r>
  <r>
    <x v="67"/>
    <s v="GD250508"/>
    <s v="Magalona, Jun-Rose Paran"/>
    <s v="GD250508"/>
    <d v="2026-07-21T00:00:00"/>
    <m/>
    <s v="8AM-5PM"/>
    <m/>
    <m/>
    <m/>
    <m/>
    <m/>
    <m/>
    <m/>
    <m/>
    <m/>
    <m/>
    <m/>
    <m/>
    <m/>
    <m/>
    <m/>
    <m/>
    <m/>
    <m/>
  </r>
  <r>
    <x v="67"/>
    <s v="GD250508"/>
    <s v="Magalona, Jun-Rose Paran"/>
    <s v="GD250508"/>
    <d v="2026-07-22T00:00:00"/>
    <m/>
    <s v="8AM-5PM"/>
    <m/>
    <m/>
    <m/>
    <m/>
    <m/>
    <m/>
    <m/>
    <m/>
    <m/>
    <m/>
    <m/>
    <m/>
    <m/>
    <m/>
    <m/>
    <m/>
    <m/>
    <m/>
  </r>
  <r>
    <x v="67"/>
    <s v="GD250508"/>
    <s v="Magalona, Jun-Rose Paran"/>
    <s v="GD250508"/>
    <d v="2026-07-23T00:00:00"/>
    <m/>
    <s v="8AM-5PM"/>
    <d v="1899-12-30T07:45:00"/>
    <d v="1899-12-30T19:10:00"/>
    <s v="A"/>
    <n v="8"/>
    <n v="2"/>
    <m/>
    <m/>
    <m/>
    <m/>
    <m/>
    <m/>
    <m/>
    <m/>
    <m/>
    <m/>
    <m/>
    <m/>
    <m/>
  </r>
  <r>
    <x v="67"/>
    <s v="GD250508"/>
    <s v="Magalona, Jun-Rose Paran"/>
    <s v="GD250508"/>
    <d v="2026-07-24T00:00:00"/>
    <m/>
    <s v="8AM-5PM"/>
    <d v="1899-12-30T07:45:00"/>
    <d v="1899-12-30T17:00:00"/>
    <s v="A"/>
    <n v="8"/>
    <m/>
    <m/>
    <m/>
    <m/>
    <m/>
    <m/>
    <m/>
    <m/>
    <m/>
    <m/>
    <m/>
    <m/>
    <m/>
    <m/>
  </r>
  <r>
    <x v="67"/>
    <s v="GD250508"/>
    <s v="Magalona, Jun-Rose Paran"/>
    <s v="GD250508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1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8"/>
    <s v="GD250168"/>
    <s v="Melitante, Maricar Sueno"/>
    <s v="GD250168"/>
    <d v="2026-07-11T00:00:00"/>
    <m/>
    <s v="8AM-5PM"/>
    <d v="1899-12-30T07:40:00"/>
    <d v="1899-12-30T17:05:00"/>
    <s v="A"/>
    <n v="8"/>
    <m/>
    <m/>
    <m/>
    <m/>
    <m/>
    <m/>
    <m/>
    <m/>
    <m/>
    <m/>
    <m/>
    <m/>
    <m/>
    <m/>
  </r>
  <r>
    <x v="68"/>
    <s v="GD250168"/>
    <s v="Melitante, Maricar Sueno"/>
    <s v="GD250168"/>
    <d v="2026-07-12T00:00:00"/>
    <m/>
    <m/>
    <s v="SUNDAY"/>
    <m/>
    <m/>
    <m/>
    <m/>
    <m/>
    <m/>
    <m/>
    <m/>
    <m/>
    <m/>
    <m/>
    <m/>
    <m/>
    <m/>
    <m/>
    <m/>
    <m/>
  </r>
  <r>
    <x v="68"/>
    <s v="GD250168"/>
    <s v="Melitante, Maricar Sueno"/>
    <s v="GD250168"/>
    <d v="2026-07-13T00:00:00"/>
    <m/>
    <s v="8AM-5PM"/>
    <d v="1899-12-30T07:35:00"/>
    <d v="1899-12-30T19:05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14T00:00:00"/>
    <m/>
    <s v="8AM-5PM"/>
    <d v="1899-12-30T07:38:00"/>
    <d v="1899-12-30T19:04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15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16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17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18T00:00:00"/>
    <m/>
    <s v="8AM-5PM"/>
    <d v="1899-12-30T07:37:00"/>
    <d v="1899-12-30T17:04:00"/>
    <s v="A"/>
    <n v="8"/>
    <m/>
    <m/>
    <m/>
    <m/>
    <m/>
    <m/>
    <m/>
    <m/>
    <m/>
    <m/>
    <m/>
    <m/>
    <m/>
    <m/>
  </r>
  <r>
    <x v="68"/>
    <s v="GD250168"/>
    <s v="Melitante, Maricar Sueno"/>
    <s v="GD250168"/>
    <d v="2026-07-19T00:00:00"/>
    <m/>
    <m/>
    <s v="SUNDAY"/>
    <m/>
    <m/>
    <m/>
    <m/>
    <m/>
    <m/>
    <m/>
    <m/>
    <m/>
    <m/>
    <m/>
    <m/>
    <m/>
    <m/>
    <m/>
    <m/>
    <m/>
  </r>
  <r>
    <x v="68"/>
    <s v="GD250168"/>
    <s v="Melitante, Maricar Sueno"/>
    <s v="GD250168"/>
    <d v="2026-07-20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21T00:00:00"/>
    <m/>
    <s v="8AM-5PM"/>
    <d v="1899-12-30T07:38:00"/>
    <d v="1899-12-30T19:04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22T00:00:00"/>
    <m/>
    <s v="8AM-5PM"/>
    <d v="1899-12-30T07:37:00"/>
    <d v="1899-12-30T19:02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23T00:00:00"/>
    <m/>
    <s v="8AM-5PM"/>
    <d v="1899-12-30T07:38:00"/>
    <d v="1899-12-30T19:05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24T00:00:00"/>
    <m/>
    <s v="8AM-5PM"/>
    <d v="1899-12-30T07:17:00"/>
    <d v="1899-12-30T19:02:00"/>
    <s v="A"/>
    <n v="8"/>
    <n v="2"/>
    <m/>
    <m/>
    <m/>
    <m/>
    <m/>
    <m/>
    <m/>
    <m/>
    <m/>
    <m/>
    <m/>
    <m/>
    <m/>
  </r>
  <r>
    <x v="68"/>
    <s v="GD250168"/>
    <s v="Melitante, Maricar Sueno"/>
    <s v="GD250168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69"/>
    <s v="GD250455"/>
    <s v="Paz, Rochelle Perez"/>
    <s v="GD250455"/>
    <d v="2026-07-11T00:00:00"/>
    <m/>
    <s v="8AM-5PM"/>
    <d v="1899-12-30T07:54:00"/>
    <d v="1899-12-30T12:09:00"/>
    <s v="A"/>
    <n v="4"/>
    <m/>
    <m/>
    <m/>
    <m/>
    <m/>
    <m/>
    <m/>
    <m/>
    <m/>
    <m/>
    <m/>
    <m/>
    <m/>
    <m/>
  </r>
  <r>
    <x v="69"/>
    <s v="GD250455"/>
    <s v="Paz, Rochelle Perez"/>
    <s v="GD250455"/>
    <d v="2026-07-12T00:00:00"/>
    <m/>
    <m/>
    <s v="SUNDAY"/>
    <m/>
    <m/>
    <m/>
    <m/>
    <m/>
    <m/>
    <m/>
    <m/>
    <m/>
    <m/>
    <m/>
    <m/>
    <m/>
    <m/>
    <m/>
    <m/>
    <m/>
  </r>
  <r>
    <x v="69"/>
    <s v="GD250455"/>
    <s v="Paz, Rochelle Perez"/>
    <s v="GD250455"/>
    <d v="2026-07-13T00:00:00"/>
    <m/>
    <s v="8AM-5PM"/>
    <d v="1899-12-30T07:45:00"/>
    <d v="1899-12-30T19:03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14T00:00:00"/>
    <m/>
    <s v="8AM-5PM"/>
    <d v="1899-12-30T07:36:00"/>
    <d v="1899-12-30T19:02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15T00:00:00"/>
    <m/>
    <s v="8AM-5PM"/>
    <d v="1899-12-30T07:46:00"/>
    <d v="1899-12-30T19:03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16T00:00:00"/>
    <m/>
    <s v="8AM-5PM"/>
    <d v="1899-12-30T07:47:00"/>
    <d v="1899-12-30T19:03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17T00:00:00"/>
    <m/>
    <s v="8AM-5PM"/>
    <d v="1899-12-30T07:48:00"/>
    <d v="1899-12-30T17:03:00"/>
    <s v="A"/>
    <n v="8"/>
    <m/>
    <m/>
    <m/>
    <m/>
    <m/>
    <m/>
    <m/>
    <m/>
    <m/>
    <m/>
    <m/>
    <m/>
    <m/>
    <m/>
  </r>
  <r>
    <x v="69"/>
    <s v="GD250455"/>
    <s v="Paz, Rochelle Perez"/>
    <s v="GD250455"/>
    <d v="2026-07-18T00:00:00"/>
    <m/>
    <s v="8AM-5PM"/>
    <d v="1899-12-30T07:43:00"/>
    <d v="1899-12-30T17:04:00"/>
    <s v="A"/>
    <n v="8"/>
    <m/>
    <m/>
    <m/>
    <m/>
    <m/>
    <m/>
    <m/>
    <m/>
    <m/>
    <m/>
    <m/>
    <m/>
    <m/>
    <m/>
  </r>
  <r>
    <x v="69"/>
    <s v="GD250455"/>
    <s v="Paz, Rochelle Perez"/>
    <s v="GD250455"/>
    <d v="2026-07-19T00:00:00"/>
    <m/>
    <m/>
    <s v="SUNDAY"/>
    <m/>
    <m/>
    <m/>
    <m/>
    <m/>
    <m/>
    <m/>
    <m/>
    <m/>
    <m/>
    <m/>
    <m/>
    <m/>
    <m/>
    <m/>
    <m/>
    <m/>
  </r>
  <r>
    <x v="69"/>
    <s v="GD250455"/>
    <s v="Paz, Rochelle Perez"/>
    <s v="GD250455"/>
    <d v="2026-07-20T00:00:00"/>
    <m/>
    <s v="8AM-5PM"/>
    <d v="1899-12-30T07:42:00"/>
    <d v="1899-12-30T19:03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21T00:00:00"/>
    <m/>
    <s v="8AM-5PM"/>
    <d v="1899-12-30T07:45:00"/>
    <d v="1899-12-30T19:03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22T00:00:00"/>
    <m/>
    <s v="8AM-5PM"/>
    <d v="1899-12-30T07:47:00"/>
    <d v="1899-12-30T19:04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23T00:00:00"/>
    <m/>
    <s v="8AM-5PM"/>
    <d v="1899-12-30T07:45:00"/>
    <d v="1899-12-30T19:02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24T00:00:00"/>
    <m/>
    <s v="8AM-5PM"/>
    <d v="1899-12-30T07:45:00"/>
    <d v="1899-12-30T19:03:00"/>
    <s v="A"/>
    <n v="8"/>
    <n v="2"/>
    <m/>
    <m/>
    <m/>
    <m/>
    <m/>
    <m/>
    <m/>
    <m/>
    <m/>
    <m/>
    <m/>
    <m/>
    <m/>
  </r>
  <r>
    <x v="69"/>
    <s v="GD250455"/>
    <s v="Paz, Rochelle Perez"/>
    <s v="GD25045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2"/>
    <n v="18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0"/>
    <s v="GD250110"/>
    <s v="Raali, Analin Awan"/>
    <s v="GD250110"/>
    <d v="2026-07-11T00:00:00"/>
    <m/>
    <s v="8AM-5PM"/>
    <d v="1899-12-30T07:53:00"/>
    <d v="1899-12-30T17:04:00"/>
    <s v="A"/>
    <n v="8"/>
    <m/>
    <m/>
    <m/>
    <m/>
    <m/>
    <m/>
    <m/>
    <m/>
    <m/>
    <m/>
    <m/>
    <m/>
    <m/>
    <m/>
  </r>
  <r>
    <x v="70"/>
    <s v="GD250110"/>
    <s v="Raali, Analin Awan"/>
    <s v="GD250110"/>
    <d v="2026-07-12T00:00:00"/>
    <m/>
    <m/>
    <s v="SUNDAY"/>
    <m/>
    <m/>
    <m/>
    <m/>
    <m/>
    <m/>
    <m/>
    <m/>
    <m/>
    <m/>
    <m/>
    <m/>
    <m/>
    <m/>
    <m/>
    <m/>
    <m/>
  </r>
  <r>
    <x v="70"/>
    <s v="GD250110"/>
    <s v="Raali, Analin Awan"/>
    <s v="GD250110"/>
    <d v="2026-07-13T00:00:00"/>
    <m/>
    <s v="8AM-5PM"/>
    <d v="1899-12-30T07:49:00"/>
    <d v="1899-12-30T19:05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14T00:00:00"/>
    <m/>
    <s v="8AM-5PM"/>
    <d v="1899-12-30T07:50:00"/>
    <d v="1899-12-30T19:04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15T00:00:00"/>
    <m/>
    <s v="8AM-5PM"/>
    <d v="1899-12-30T07:54:00"/>
    <d v="1899-12-30T19:04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16T00:00:00"/>
    <m/>
    <s v="8AM-5PM"/>
    <d v="1899-12-30T11:05:00"/>
    <d v="1899-12-30T17:04:00"/>
    <s v="A"/>
    <n v="4"/>
    <m/>
    <m/>
    <m/>
    <m/>
    <m/>
    <m/>
    <m/>
    <m/>
    <m/>
    <m/>
    <m/>
    <m/>
    <m/>
    <m/>
  </r>
  <r>
    <x v="70"/>
    <s v="GD250110"/>
    <s v="Raali, Analin Awan"/>
    <s v="GD250110"/>
    <d v="2026-07-17T00:00:00"/>
    <m/>
    <s v="8AM-5PM"/>
    <d v="1899-12-30T07:43:00"/>
    <d v="1899-12-30T19:04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18T00:00:00"/>
    <m/>
    <s v="8AM-5PM"/>
    <d v="1899-12-30T07:34:00"/>
    <d v="1899-12-30T17:04:00"/>
    <s v="A"/>
    <n v="8"/>
    <m/>
    <m/>
    <m/>
    <m/>
    <m/>
    <m/>
    <m/>
    <m/>
    <m/>
    <m/>
    <m/>
    <m/>
    <m/>
    <m/>
  </r>
  <r>
    <x v="70"/>
    <s v="GD250110"/>
    <s v="Raali, Analin Awan"/>
    <s v="GD250110"/>
    <d v="2026-07-19T00:00:00"/>
    <m/>
    <m/>
    <s v="SUNDAY"/>
    <m/>
    <m/>
    <m/>
    <m/>
    <m/>
    <m/>
    <m/>
    <m/>
    <m/>
    <m/>
    <m/>
    <m/>
    <m/>
    <m/>
    <m/>
    <m/>
    <m/>
  </r>
  <r>
    <x v="70"/>
    <s v="GD250110"/>
    <s v="Raali, Analin Awan"/>
    <s v="GD250110"/>
    <d v="2026-07-20T00:00:00"/>
    <m/>
    <s v="8AM-5PM"/>
    <d v="1899-12-30T07:45:00"/>
    <d v="1899-12-30T19:05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21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22T00:00:00"/>
    <m/>
    <s v="8AM-5PM"/>
    <d v="1899-12-30T07:49:00"/>
    <d v="1899-12-30T19:04:00"/>
    <s v="A"/>
    <n v="8"/>
    <n v="2"/>
    <m/>
    <m/>
    <m/>
    <m/>
    <m/>
    <m/>
    <m/>
    <m/>
    <m/>
    <m/>
    <m/>
    <m/>
    <m/>
  </r>
  <r>
    <x v="70"/>
    <s v="GD250110"/>
    <s v="Raali, Analin Awan"/>
    <s v="GD250110"/>
    <d v="2026-07-23T00:00:00"/>
    <m/>
    <s v="8AM-5PM"/>
    <d v="1899-12-30T07:25:00"/>
    <d v="1899-12-30T17:05:00"/>
    <s v="A"/>
    <n v="8"/>
    <m/>
    <m/>
    <m/>
    <m/>
    <m/>
    <m/>
    <m/>
    <m/>
    <m/>
    <m/>
    <m/>
    <m/>
    <m/>
    <m/>
  </r>
  <r>
    <x v="70"/>
    <s v="GD250110"/>
    <s v="Raali, Analin Awan"/>
    <s v="GD250110"/>
    <d v="2026-07-24T00:00:00"/>
    <m/>
    <s v="8AM-5PM"/>
    <m/>
    <m/>
    <m/>
    <m/>
    <m/>
    <m/>
    <m/>
    <m/>
    <m/>
    <m/>
    <m/>
    <m/>
    <m/>
    <m/>
    <m/>
    <m/>
    <m/>
    <m/>
  </r>
  <r>
    <x v="70"/>
    <s v="GD250110"/>
    <s v="Raali, Analin Awan"/>
    <s v="GD250110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4"/>
    <n v="14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1"/>
    <s v="GD250143"/>
    <s v="Rabaja, Jocelyn Dulay"/>
    <s v="GD250143"/>
    <d v="2026-07-11T00:00:00"/>
    <m/>
    <m/>
    <m/>
    <m/>
    <m/>
    <m/>
    <m/>
    <m/>
    <m/>
    <m/>
    <m/>
    <m/>
    <m/>
    <m/>
    <m/>
    <m/>
    <m/>
    <m/>
    <m/>
    <m/>
  </r>
  <r>
    <x v="71"/>
    <s v="GD250143"/>
    <s v="Rabaja, Jocelyn Dulay"/>
    <s v="GD250143"/>
    <d v="2026-07-12T00:00:00"/>
    <m/>
    <m/>
    <s v="SUNDAY"/>
    <m/>
    <m/>
    <m/>
    <m/>
    <m/>
    <m/>
    <m/>
    <m/>
    <m/>
    <m/>
    <m/>
    <m/>
    <m/>
    <m/>
    <m/>
    <m/>
    <m/>
  </r>
  <r>
    <x v="71"/>
    <s v="GD250143"/>
    <s v="Rabaja, Jocelyn Dulay"/>
    <s v="GD250143"/>
    <d v="2026-07-13T00:00:00"/>
    <m/>
    <s v="8AM-5PM"/>
    <d v="1899-12-30T07:30:00"/>
    <d v="1899-12-30T19:03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14T00:00:00"/>
    <m/>
    <s v="8AM-5PM"/>
    <d v="1899-12-30T07:34:00"/>
    <d v="1899-12-30T19:02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15T00:00:00"/>
    <m/>
    <s v="8AM-5PM"/>
    <d v="1899-12-30T07:34:00"/>
    <d v="1899-12-30T19:03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16T00:00:00"/>
    <m/>
    <s v="8AM-5PM"/>
    <d v="1899-12-30T07:26:00"/>
    <d v="1899-12-30T19:03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17T00:00:00"/>
    <m/>
    <s v="8AM-5PM"/>
    <d v="1899-12-30T07:26:00"/>
    <d v="1899-12-30T17:03:00"/>
    <s v="A"/>
    <n v="8"/>
    <m/>
    <m/>
    <m/>
    <m/>
    <m/>
    <m/>
    <m/>
    <m/>
    <m/>
    <m/>
    <m/>
    <m/>
    <m/>
    <m/>
  </r>
  <r>
    <x v="71"/>
    <s v="GD250143"/>
    <s v="Rabaja, Jocelyn Dulay"/>
    <s v="GD250143"/>
    <d v="2026-07-18T00:00:00"/>
    <m/>
    <s v="8AM-5PM"/>
    <d v="1899-12-30T07:26:00"/>
    <d v="1899-12-30T17:03:00"/>
    <s v="A"/>
    <n v="8"/>
    <m/>
    <m/>
    <m/>
    <m/>
    <m/>
    <m/>
    <m/>
    <m/>
    <m/>
    <m/>
    <m/>
    <m/>
    <m/>
    <m/>
  </r>
  <r>
    <x v="71"/>
    <s v="GD250143"/>
    <s v="Rabaja, Jocelyn Dulay"/>
    <s v="GD250143"/>
    <d v="2026-07-19T00:00:00"/>
    <m/>
    <m/>
    <s v="SUNDAY"/>
    <m/>
    <m/>
    <m/>
    <m/>
    <m/>
    <m/>
    <m/>
    <m/>
    <m/>
    <m/>
    <m/>
    <m/>
    <m/>
    <m/>
    <m/>
    <m/>
    <m/>
  </r>
  <r>
    <x v="71"/>
    <s v="GD250143"/>
    <s v="Rabaja, Jocelyn Dulay"/>
    <s v="GD250143"/>
    <d v="2026-07-20T00:00:00"/>
    <m/>
    <s v="8AM-5PM"/>
    <d v="1899-12-30T07:03:00"/>
    <d v="1899-12-30T19:02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21T00:00:00"/>
    <m/>
    <s v="8AM-5PM"/>
    <d v="1899-12-30T07:33:00"/>
    <d v="1899-12-30T19:02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22T00:00:00"/>
    <m/>
    <s v="8AM-5PM"/>
    <d v="1899-12-30T07:37:00"/>
    <d v="1899-12-30T19:05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23T00:00:00"/>
    <m/>
    <s v="8AM-5PM"/>
    <d v="1899-12-30T07:27:00"/>
    <d v="1899-12-30T19:02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24T00:00:00"/>
    <m/>
    <s v="8AM-5PM"/>
    <d v="1899-12-30T07:36:00"/>
    <d v="1899-12-30T19:02:00"/>
    <s v="A"/>
    <n v="8"/>
    <n v="2"/>
    <m/>
    <m/>
    <m/>
    <m/>
    <m/>
    <m/>
    <m/>
    <m/>
    <m/>
    <m/>
    <m/>
    <m/>
    <m/>
  </r>
  <r>
    <x v="71"/>
    <s v="GD250143"/>
    <s v="Rabaja, Jocelyn Dulay"/>
    <s v="GD250143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18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2"/>
    <s v="GD250460"/>
    <s v="Ramos, Jairo Fabellar"/>
    <s v="GD250460"/>
    <d v="2026-07-11T00:00:00"/>
    <m/>
    <s v="8AM-5PM"/>
    <d v="1899-12-30T07:50:00"/>
    <d v="1899-12-30T17:06:00"/>
    <s v="A"/>
    <n v="8"/>
    <m/>
    <m/>
    <m/>
    <m/>
    <m/>
    <m/>
    <m/>
    <m/>
    <m/>
    <m/>
    <m/>
    <m/>
    <m/>
    <m/>
  </r>
  <r>
    <x v="72"/>
    <s v="GD250460"/>
    <s v="Ramos, Jairo Fabellar"/>
    <s v="GD250460"/>
    <d v="2026-07-12T00:00:00"/>
    <m/>
    <m/>
    <s v="SUNDAY"/>
    <m/>
    <m/>
    <m/>
    <m/>
    <m/>
    <m/>
    <m/>
    <m/>
    <m/>
    <m/>
    <m/>
    <m/>
    <m/>
    <m/>
    <m/>
    <m/>
    <m/>
  </r>
  <r>
    <x v="72"/>
    <s v="GD250460"/>
    <s v="Ramos, Jairo Fabellar"/>
    <s v="GD250460"/>
    <d v="2026-07-13T00:00:00"/>
    <m/>
    <s v="8AM-5PM"/>
    <d v="1899-12-30T07:52:00"/>
    <d v="1899-12-30T19:04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14T00:00:00"/>
    <m/>
    <s v="8AM-5PM"/>
    <d v="1899-12-30T07:53:00"/>
    <d v="1899-12-30T19:06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15T00:00:00"/>
    <m/>
    <s v="8AM-5PM"/>
    <d v="1899-12-30T07:50:00"/>
    <d v="1899-12-30T19:06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16T00:00:00"/>
    <m/>
    <s v="8AM-5PM"/>
    <d v="1899-12-30T07:54:00"/>
    <d v="1899-12-30T19:05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17T00:00:00"/>
    <m/>
    <s v="8AM-5PM"/>
    <d v="1899-12-30T07:54:00"/>
    <d v="1899-12-30T19:07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18T00:00:00"/>
    <m/>
    <s v="8AM-5PM"/>
    <d v="1899-12-30T07:54:00"/>
    <d v="1899-12-30T17:07:00"/>
    <s v="A"/>
    <n v="8"/>
    <m/>
    <m/>
    <m/>
    <m/>
    <m/>
    <m/>
    <m/>
    <m/>
    <m/>
    <m/>
    <m/>
    <m/>
    <m/>
    <m/>
  </r>
  <r>
    <x v="72"/>
    <s v="GD250460"/>
    <s v="Ramos, Jairo Fabellar"/>
    <s v="GD250460"/>
    <d v="2026-07-19T00:00:00"/>
    <m/>
    <m/>
    <s v="SUNDAY"/>
    <m/>
    <m/>
    <m/>
    <m/>
    <m/>
    <m/>
    <m/>
    <m/>
    <m/>
    <m/>
    <m/>
    <m/>
    <m/>
    <m/>
    <m/>
    <m/>
    <m/>
  </r>
  <r>
    <x v="72"/>
    <s v="GD250460"/>
    <s v="Ramos, Jairo Fabellar"/>
    <s v="GD250460"/>
    <d v="2026-07-20T00:00:00"/>
    <m/>
    <s v="8AM-5PM"/>
    <m/>
    <m/>
    <m/>
    <m/>
    <m/>
    <m/>
    <m/>
    <m/>
    <m/>
    <m/>
    <m/>
    <m/>
    <m/>
    <m/>
    <m/>
    <m/>
    <m/>
    <m/>
  </r>
  <r>
    <x v="72"/>
    <s v="GD250460"/>
    <s v="Ramos, Jairo Fabellar"/>
    <s v="GD250460"/>
    <d v="2026-07-21T00:00:00"/>
    <m/>
    <s v="8AM-5PM"/>
    <d v="1899-12-30T07:47:00"/>
    <d v="1899-12-30T19:07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22T00:00:00"/>
    <m/>
    <s v="8AM-5PM"/>
    <d v="1899-12-30T07:51:00"/>
    <d v="1899-12-30T19:04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23T00:00:00"/>
    <m/>
    <s v="8AM-5PM"/>
    <d v="1899-12-30T07:49:00"/>
    <d v="1899-12-30T19:05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24T00:00:00"/>
    <m/>
    <s v="8AM-5PM"/>
    <d v="1899-12-30T07:52:00"/>
    <d v="1899-12-30T19:06:00"/>
    <s v="A"/>
    <n v="8"/>
    <n v="2"/>
    <m/>
    <m/>
    <m/>
    <m/>
    <m/>
    <m/>
    <m/>
    <m/>
    <m/>
    <m/>
    <m/>
    <m/>
    <m/>
  </r>
  <r>
    <x v="72"/>
    <s v="GD250460"/>
    <s v="Ramos, Jairo Fabellar"/>
    <s v="GD250460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8"/>
    <n v="18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3"/>
    <s v="GD250474"/>
    <s v="Sapallo, Marjorie Ramirez"/>
    <s v="GD250474"/>
    <d v="2026-07-11T00:00:00"/>
    <m/>
    <s v="8AM-5PM"/>
    <d v="1899-12-30T07:43:00"/>
    <d v="1899-12-30T17:02:00"/>
    <s v="A"/>
    <n v="8"/>
    <m/>
    <m/>
    <m/>
    <m/>
    <m/>
    <m/>
    <m/>
    <m/>
    <m/>
    <m/>
    <m/>
    <m/>
    <m/>
    <m/>
  </r>
  <r>
    <x v="73"/>
    <s v="GD250474"/>
    <s v="Sapallo, Marjorie Ramirez"/>
    <s v="GD250474"/>
    <d v="2026-07-12T00:00:00"/>
    <m/>
    <m/>
    <s v="SUNDAY"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13T00:00:00"/>
    <m/>
    <s v="8AM-5PM"/>
    <d v="1899-12-30T07:40:00"/>
    <d v="1899-12-30T19:05:00"/>
    <s v="A"/>
    <n v="8"/>
    <n v="2"/>
    <m/>
    <m/>
    <m/>
    <m/>
    <m/>
    <m/>
    <m/>
    <m/>
    <m/>
    <m/>
    <m/>
    <m/>
    <m/>
  </r>
  <r>
    <x v="73"/>
    <s v="GD250474"/>
    <s v="Sapallo, Marjorie Ramirez"/>
    <s v="GD250474"/>
    <d v="2026-07-14T00:00:00"/>
    <m/>
    <m/>
    <m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15T00:00:00"/>
    <m/>
    <m/>
    <m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16T00:00:00"/>
    <m/>
    <m/>
    <m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17T00:00:00"/>
    <m/>
    <m/>
    <m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18T00:00:00"/>
    <m/>
    <m/>
    <m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19T00:00:00"/>
    <m/>
    <m/>
    <s v="SUNDAY"/>
    <m/>
    <m/>
    <m/>
    <m/>
    <m/>
    <m/>
    <m/>
    <m/>
    <m/>
    <m/>
    <m/>
    <m/>
    <m/>
    <m/>
    <m/>
    <m/>
    <m/>
  </r>
  <r>
    <x v="73"/>
    <s v="GD250474"/>
    <s v="Sapallo, Marjorie Ramirez"/>
    <s v="GD250474"/>
    <d v="2026-07-20T00:00:00"/>
    <m/>
    <s v="8AM-5PM"/>
    <d v="1899-12-30T07:39:00"/>
    <d v="1899-12-30T19:05:00"/>
    <s v="A"/>
    <n v="8"/>
    <n v="2"/>
    <m/>
    <m/>
    <m/>
    <m/>
    <m/>
    <m/>
    <m/>
    <m/>
    <m/>
    <m/>
    <m/>
    <m/>
    <m/>
  </r>
  <r>
    <x v="73"/>
    <s v="GD250474"/>
    <s v="Sapallo, Marjorie Ramirez"/>
    <s v="GD250474"/>
    <d v="2026-07-21T00:00:00"/>
    <m/>
    <s v="8AM-5PM"/>
    <d v="1899-12-30T07:47:00"/>
    <d v="1899-12-30T19:04:00"/>
    <s v="A"/>
    <n v="8"/>
    <n v="2"/>
    <m/>
    <m/>
    <m/>
    <m/>
    <m/>
    <m/>
    <m/>
    <m/>
    <m/>
    <m/>
    <m/>
    <m/>
    <m/>
  </r>
  <r>
    <x v="73"/>
    <s v="GD250474"/>
    <s v="Sapallo, Marjorie Ramirez"/>
    <s v="GD250474"/>
    <d v="2026-07-22T00:00:00"/>
    <m/>
    <s v="8AM-5PM"/>
    <d v="1899-12-30T07:41:00"/>
    <d v="1899-12-30T19:02:00"/>
    <s v="A"/>
    <n v="8"/>
    <n v="2"/>
    <m/>
    <m/>
    <m/>
    <m/>
    <m/>
    <m/>
    <m/>
    <m/>
    <m/>
    <m/>
    <m/>
    <m/>
    <m/>
  </r>
  <r>
    <x v="73"/>
    <s v="GD250474"/>
    <s v="Sapallo, Marjorie Ramirez"/>
    <s v="GD250474"/>
    <d v="2026-07-23T00:00:00"/>
    <m/>
    <s v="8AM-5PM"/>
    <d v="1899-12-30T07:40:00"/>
    <d v="1899-12-30T19:05:00"/>
    <s v="A"/>
    <n v="8"/>
    <n v="2"/>
    <m/>
    <m/>
    <m/>
    <m/>
    <m/>
    <m/>
    <m/>
    <m/>
    <m/>
    <m/>
    <m/>
    <m/>
    <m/>
  </r>
  <r>
    <x v="73"/>
    <s v="GD250474"/>
    <s v="Sapallo, Marjorie Ramirez"/>
    <s v="GD250474"/>
    <d v="2026-07-24T00:00:00"/>
    <m/>
    <s v="8AM-5PM"/>
    <d v="1899-12-30T07:45:00"/>
    <d v="1899-12-30T19:04:00"/>
    <s v="A"/>
    <n v="8"/>
    <n v="2"/>
    <m/>
    <m/>
    <m/>
    <m/>
    <m/>
    <m/>
    <m/>
    <m/>
    <m/>
    <m/>
    <m/>
    <m/>
    <m/>
  </r>
  <r>
    <x v="73"/>
    <s v="GD250474"/>
    <s v="Sapallo, Marjorie Ramirez"/>
    <s v="GD250474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56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4"/>
    <s v="GD250173"/>
    <s v="Herrera, Marcela Bramidas"/>
    <s v="GD250173"/>
    <d v="2026-07-11T00:00:00"/>
    <m/>
    <s v="8AM-5PM"/>
    <d v="1899-12-30T07:19:00"/>
    <d v="1899-12-30T17:05:00"/>
    <s v="A"/>
    <n v="8"/>
    <m/>
    <m/>
    <m/>
    <m/>
    <m/>
    <m/>
    <m/>
    <m/>
    <m/>
    <m/>
    <m/>
    <m/>
    <m/>
    <m/>
  </r>
  <r>
    <x v="74"/>
    <s v="GD250173"/>
    <s v="Herrera, Marcela Bramidas"/>
    <s v="GD250173"/>
    <d v="2026-07-12T00:00:00"/>
    <m/>
    <m/>
    <s v="SUNDAY"/>
    <m/>
    <m/>
    <m/>
    <m/>
    <m/>
    <m/>
    <m/>
    <m/>
    <m/>
    <m/>
    <m/>
    <m/>
    <m/>
    <m/>
    <m/>
    <m/>
    <m/>
  </r>
  <r>
    <x v="74"/>
    <s v="GD250173"/>
    <s v="Herrera, Marcela Bramidas"/>
    <s v="GD250173"/>
    <d v="2026-07-13T00:00:00"/>
    <m/>
    <m/>
    <m/>
    <m/>
    <m/>
    <m/>
    <m/>
    <m/>
    <m/>
    <m/>
    <m/>
    <m/>
    <m/>
    <m/>
    <m/>
    <m/>
    <m/>
    <m/>
    <m/>
    <m/>
  </r>
  <r>
    <x v="74"/>
    <s v="GD250173"/>
    <s v="Herrera, Marcela Bramidas"/>
    <s v="GD250173"/>
    <d v="2026-07-14T00:00:00"/>
    <m/>
    <s v="8AM-5PM"/>
    <d v="1899-12-30T07:17:00"/>
    <d v="1899-12-30T19:03:00"/>
    <s v="A"/>
    <n v="8"/>
    <n v="2"/>
    <m/>
    <m/>
    <m/>
    <m/>
    <m/>
    <m/>
    <m/>
    <m/>
    <m/>
    <m/>
    <m/>
    <m/>
    <m/>
  </r>
  <r>
    <x v="74"/>
    <s v="GD250173"/>
    <s v="Herrera, Marcela Bramidas"/>
    <s v="GD250173"/>
    <d v="2026-07-15T00:00:00"/>
    <m/>
    <s v="8AM-5PM"/>
    <d v="1899-12-30T07:30:00"/>
    <d v="1899-12-30T19:03:00"/>
    <s v="A"/>
    <n v="8"/>
    <n v="2"/>
    <m/>
    <m/>
    <m/>
    <m/>
    <m/>
    <m/>
    <m/>
    <m/>
    <m/>
    <m/>
    <m/>
    <m/>
    <m/>
  </r>
  <r>
    <x v="74"/>
    <s v="GD250173"/>
    <s v="Herrera, Marcela Bramidas"/>
    <s v="GD250173"/>
    <d v="2026-07-16T00:00:00"/>
    <m/>
    <s v="8AM-5PM"/>
    <d v="1899-12-30T07:22:00"/>
    <d v="1899-12-30T19:02:00"/>
    <s v="A"/>
    <n v="8"/>
    <n v="2"/>
    <m/>
    <m/>
    <m/>
    <m/>
    <m/>
    <m/>
    <m/>
    <m/>
    <m/>
    <m/>
    <m/>
    <m/>
    <m/>
  </r>
  <r>
    <x v="74"/>
    <s v="GD250173"/>
    <s v="Herrera, Marcela Bramidas"/>
    <s v="GD250173"/>
    <d v="2026-07-17T00:00:00"/>
    <m/>
    <s v="8AM-5PM"/>
    <d v="1899-12-30T07:21:00"/>
    <d v="1899-12-30T17:03:00"/>
    <s v="A"/>
    <n v="8"/>
    <m/>
    <m/>
    <m/>
    <m/>
    <m/>
    <m/>
    <m/>
    <m/>
    <m/>
    <m/>
    <m/>
    <m/>
    <m/>
    <m/>
  </r>
  <r>
    <x v="74"/>
    <s v="GD250173"/>
    <s v="Herrera, Marcela Bramidas"/>
    <s v="GD250173"/>
    <d v="2026-07-18T00:00:00"/>
    <m/>
    <s v="8AM-5PM"/>
    <d v="1899-12-30T07:19:00"/>
    <d v="1899-12-30T17:04:00"/>
    <s v="A"/>
    <n v="8"/>
    <m/>
    <m/>
    <m/>
    <m/>
    <m/>
    <m/>
    <m/>
    <m/>
    <m/>
    <m/>
    <m/>
    <m/>
    <m/>
    <m/>
  </r>
  <r>
    <x v="74"/>
    <s v="GD250173"/>
    <s v="Herrera, Marcela Bramidas"/>
    <s v="GD250173"/>
    <d v="2026-07-19T00:00:00"/>
    <m/>
    <m/>
    <s v="SUNDAY"/>
    <m/>
    <m/>
    <m/>
    <m/>
    <m/>
    <m/>
    <m/>
    <m/>
    <m/>
    <m/>
    <m/>
    <m/>
    <m/>
    <m/>
    <m/>
    <m/>
    <m/>
  </r>
  <r>
    <x v="74"/>
    <s v="GD250173"/>
    <s v="Herrera, Marcela Bramidas"/>
    <s v="GD250173"/>
    <d v="2026-07-20T00:00:00"/>
    <m/>
    <s v="8AM-5PM"/>
    <d v="1899-12-30T07:18:00"/>
    <d v="1899-12-30T12:07:00"/>
    <s v="A"/>
    <n v="4"/>
    <m/>
    <m/>
    <m/>
    <m/>
    <m/>
    <m/>
    <m/>
    <m/>
    <m/>
    <m/>
    <m/>
    <m/>
    <m/>
    <m/>
  </r>
  <r>
    <x v="74"/>
    <s v="GD250173"/>
    <s v="Herrera, Marcela Bramidas"/>
    <s v="GD250173"/>
    <d v="2026-07-21T00:00:00"/>
    <m/>
    <s v="8AM-5PM"/>
    <d v="1899-12-30T07:27:00"/>
    <d v="1899-12-30T19:03:00"/>
    <s v="A"/>
    <n v="8"/>
    <n v="2"/>
    <m/>
    <m/>
    <m/>
    <m/>
    <m/>
    <m/>
    <m/>
    <m/>
    <m/>
    <m/>
    <m/>
    <m/>
    <m/>
  </r>
  <r>
    <x v="74"/>
    <s v="GD250173"/>
    <s v="Herrera, Marcela Bramidas"/>
    <s v="GD250173"/>
    <d v="2026-07-22T00:00:00"/>
    <m/>
    <s v="8AM-5PM"/>
    <d v="1899-12-30T07:22:00"/>
    <d v="1899-12-30T17:05:00"/>
    <s v="A"/>
    <n v="8"/>
    <m/>
    <m/>
    <m/>
    <m/>
    <m/>
    <m/>
    <m/>
    <m/>
    <m/>
    <m/>
    <m/>
    <m/>
    <m/>
    <m/>
  </r>
  <r>
    <x v="74"/>
    <s v="GD250173"/>
    <s v="Herrera, Marcela Bramidas"/>
    <s v="GD250173"/>
    <d v="2026-07-23T00:00:00"/>
    <m/>
    <s v="8AM-5PM"/>
    <d v="1899-12-30T07:20:00"/>
    <d v="1899-12-30T19:02:00"/>
    <s v="A"/>
    <n v="8"/>
    <n v="2"/>
    <m/>
    <m/>
    <m/>
    <m/>
    <m/>
    <m/>
    <m/>
    <m/>
    <m/>
    <m/>
    <m/>
    <m/>
    <m/>
  </r>
  <r>
    <x v="74"/>
    <s v="GD250173"/>
    <s v="Herrera, Marcela Bramidas"/>
    <s v="GD250173"/>
    <d v="2026-07-24T00:00:00"/>
    <m/>
    <s v="8AM-5PM"/>
    <d v="1899-12-30T07:17:00"/>
    <d v="1899-12-30T19:02:00"/>
    <s v="A"/>
    <n v="8"/>
    <n v="2"/>
    <m/>
    <m/>
    <m/>
    <m/>
    <m/>
    <m/>
    <m/>
    <m/>
    <m/>
    <m/>
    <m/>
    <m/>
    <m/>
  </r>
  <r>
    <x v="74"/>
    <s v="GD250173"/>
    <s v="Herrera, Marcela Bramidas"/>
    <s v="GD250173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4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m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5"/>
    <s v="GD250167"/>
    <s v="Junio, Jenessa Miras"/>
    <s v="GD250167"/>
    <d v="2026-07-11T00:00:00"/>
    <m/>
    <s v="8AM-5PM"/>
    <d v="1899-12-30T07:32:00"/>
    <d v="1899-12-30T17:05:00"/>
    <s v="A"/>
    <n v="8"/>
    <m/>
    <m/>
    <m/>
    <m/>
    <m/>
    <m/>
    <m/>
    <m/>
    <m/>
    <m/>
    <m/>
    <m/>
    <m/>
    <m/>
  </r>
  <r>
    <x v="75"/>
    <s v="GD250167"/>
    <s v="Junio, Jenessa Miras"/>
    <s v="GD250167"/>
    <d v="2026-07-12T00:00:00"/>
    <m/>
    <m/>
    <s v="SUNDAY"/>
    <m/>
    <m/>
    <m/>
    <m/>
    <m/>
    <m/>
    <m/>
    <m/>
    <m/>
    <m/>
    <m/>
    <m/>
    <m/>
    <m/>
    <m/>
    <m/>
    <m/>
  </r>
  <r>
    <x v="75"/>
    <s v="GD250167"/>
    <s v="Junio, Jenessa Miras"/>
    <s v="GD250167"/>
    <d v="2026-07-13T00:00:00"/>
    <m/>
    <s v="8AM-5PM"/>
    <d v="1899-12-30T07:17:00"/>
    <d v="1899-12-30T19:03:00"/>
    <s v="A"/>
    <n v="8"/>
    <n v="2"/>
    <m/>
    <m/>
    <m/>
    <m/>
    <m/>
    <m/>
    <m/>
    <m/>
    <m/>
    <m/>
    <m/>
    <m/>
    <m/>
  </r>
  <r>
    <x v="75"/>
    <s v="GD250167"/>
    <s v="Junio, Jenessa Miras"/>
    <s v="GD250167"/>
    <d v="2026-07-14T00:00:00"/>
    <m/>
    <s v="8AM-5PM"/>
    <d v="1899-12-30T07:18:00"/>
    <d v="1899-12-30T19:02:00"/>
    <s v="A"/>
    <n v="8"/>
    <n v="2"/>
    <m/>
    <m/>
    <m/>
    <m/>
    <m/>
    <m/>
    <m/>
    <m/>
    <m/>
    <m/>
    <m/>
    <m/>
    <m/>
  </r>
  <r>
    <x v="75"/>
    <s v="GD250167"/>
    <s v="Junio, Jenessa Miras"/>
    <s v="GD250167"/>
    <d v="2026-07-15T00:00:00"/>
    <m/>
    <s v="8AM-5PM"/>
    <d v="1899-12-30T07:30:00"/>
    <d v="1899-12-30T19:01:00"/>
    <s v="A"/>
    <n v="8"/>
    <n v="2"/>
    <m/>
    <m/>
    <m/>
    <m/>
    <m/>
    <m/>
    <m/>
    <m/>
    <m/>
    <m/>
    <m/>
    <m/>
    <m/>
  </r>
  <r>
    <x v="75"/>
    <s v="GD250167"/>
    <s v="Junio, Jenessa Miras"/>
    <s v="GD250167"/>
    <d v="2026-07-16T00:00:00"/>
    <m/>
    <s v="8AM-5PM"/>
    <d v="1899-12-30T07:22:00"/>
    <d v="1899-12-30T19:01:00"/>
    <s v="A"/>
    <n v="8"/>
    <n v="2"/>
    <m/>
    <m/>
    <m/>
    <m/>
    <m/>
    <m/>
    <m/>
    <m/>
    <m/>
    <m/>
    <m/>
    <m/>
    <m/>
  </r>
  <r>
    <x v="75"/>
    <s v="GD250167"/>
    <s v="Junio, Jenessa Miras"/>
    <s v="GD250167"/>
    <d v="2026-07-17T00:00:00"/>
    <m/>
    <s v="8AM-5PM"/>
    <d v="1899-12-30T07:21:00"/>
    <m/>
    <s v="A"/>
    <m/>
    <m/>
    <m/>
    <m/>
    <m/>
    <m/>
    <m/>
    <m/>
    <m/>
    <m/>
    <m/>
    <m/>
    <m/>
    <m/>
    <m/>
  </r>
  <r>
    <x v="75"/>
    <s v="GD250167"/>
    <s v="Junio, Jenessa Miras"/>
    <s v="GD250167"/>
    <d v="2026-07-18T00:00:00"/>
    <m/>
    <m/>
    <m/>
    <m/>
    <m/>
    <m/>
    <m/>
    <m/>
    <m/>
    <m/>
    <m/>
    <m/>
    <m/>
    <m/>
    <m/>
    <m/>
    <m/>
    <m/>
    <m/>
    <m/>
  </r>
  <r>
    <x v="75"/>
    <s v="GD250167"/>
    <s v="Junio, Jenessa Miras"/>
    <s v="GD250167"/>
    <d v="2026-07-19T00:00:00"/>
    <m/>
    <m/>
    <s v="SUNDAY"/>
    <m/>
    <m/>
    <m/>
    <m/>
    <m/>
    <m/>
    <m/>
    <m/>
    <m/>
    <m/>
    <m/>
    <m/>
    <m/>
    <m/>
    <m/>
    <m/>
    <m/>
  </r>
  <r>
    <x v="75"/>
    <s v="GD250167"/>
    <s v="Junio, Jenessa Miras"/>
    <s v="GD250167"/>
    <d v="2026-07-20T00:00:00"/>
    <m/>
    <s v="7PM-4AM"/>
    <d v="1899-12-30T18:18:00"/>
    <d v="1899-12-30T06:01:00"/>
    <s v="B"/>
    <n v="8"/>
    <n v="2"/>
    <n v="6"/>
    <n v="2"/>
    <m/>
    <m/>
    <m/>
    <m/>
    <m/>
    <m/>
    <m/>
    <m/>
    <m/>
    <m/>
    <m/>
  </r>
  <r>
    <x v="75"/>
    <s v="GD250167"/>
    <s v="Junio, Jenessa Miras"/>
    <s v="GD250167"/>
    <d v="2026-07-21T00:00:00"/>
    <m/>
    <s v="7PM-4AM"/>
    <d v="1899-12-30T18:21:00"/>
    <d v="1899-12-30T04:02:00"/>
    <s v="B"/>
    <n v="8"/>
    <m/>
    <n v="6"/>
    <m/>
    <m/>
    <m/>
    <m/>
    <m/>
    <m/>
    <m/>
    <m/>
    <m/>
    <m/>
    <m/>
    <m/>
  </r>
  <r>
    <x v="75"/>
    <s v="GD250167"/>
    <s v="Junio, Jenessa Miras"/>
    <s v="GD250167"/>
    <d v="2026-07-22T00:00:00"/>
    <m/>
    <s v="7PM-4AM"/>
    <d v="1899-12-30T18:22:00"/>
    <d v="1899-12-30T06:01:00"/>
    <s v="B"/>
    <n v="8"/>
    <n v="2"/>
    <n v="6"/>
    <n v="2"/>
    <m/>
    <m/>
    <m/>
    <m/>
    <m/>
    <m/>
    <m/>
    <m/>
    <m/>
    <m/>
    <m/>
  </r>
  <r>
    <x v="75"/>
    <s v="GD250167"/>
    <s v="Junio, Jenessa Miras"/>
    <s v="GD250167"/>
    <d v="2026-07-23T00:00:00"/>
    <m/>
    <s v="7PM-4AM"/>
    <d v="1899-12-30T18:19:00"/>
    <d v="1899-12-30T06:01:00"/>
    <s v="B"/>
    <n v="8"/>
    <n v="2"/>
    <n v="6"/>
    <n v="2"/>
    <m/>
    <m/>
    <m/>
    <m/>
    <m/>
    <m/>
    <m/>
    <m/>
    <m/>
    <m/>
    <m/>
  </r>
  <r>
    <x v="75"/>
    <s v="GD250167"/>
    <s v="Junio, Jenessa Miras"/>
    <s v="GD250167"/>
    <d v="2026-07-24T00:00:00"/>
    <m/>
    <s v="7PM-4AM"/>
    <d v="1899-12-30T18:21:00"/>
    <d v="1899-12-30T04:02:00"/>
    <s v="B"/>
    <n v="8"/>
    <m/>
    <n v="6"/>
    <m/>
    <m/>
    <m/>
    <m/>
    <m/>
    <m/>
    <m/>
    <m/>
    <m/>
    <m/>
    <m/>
    <m/>
  </r>
  <r>
    <x v="75"/>
    <s v="GD250167"/>
    <s v="Junio, Jenessa Miras"/>
    <s v="GD250167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14"/>
    <n v="30"/>
    <n v="6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6"/>
    <s v="GD250174"/>
    <s v="Ordeniza, Lorna Salamangga"/>
    <s v="GD250174"/>
    <d v="2026-07-11T00:00:00"/>
    <m/>
    <s v="7PM-4AM"/>
    <d v="1899-12-30T18:08:00"/>
    <d v="1899-12-30T04:04:00"/>
    <s v="B"/>
    <n v="8"/>
    <m/>
    <n v="6"/>
    <m/>
    <m/>
    <m/>
    <m/>
    <m/>
    <m/>
    <m/>
    <m/>
    <m/>
    <m/>
    <m/>
    <m/>
  </r>
  <r>
    <x v="76"/>
    <s v="GD250174"/>
    <s v="Ordeniza, Lorna Salamangga"/>
    <s v="GD250174"/>
    <d v="2026-07-12T00:00:00"/>
    <m/>
    <m/>
    <s v="SUNDAY"/>
    <m/>
    <m/>
    <m/>
    <m/>
    <m/>
    <m/>
    <m/>
    <m/>
    <m/>
    <m/>
    <m/>
    <m/>
    <m/>
    <m/>
    <m/>
    <m/>
    <m/>
  </r>
  <r>
    <x v="76"/>
    <s v="GD250174"/>
    <s v="Ordeniza, Lorna Salamangga"/>
    <s v="GD250174"/>
    <d v="2026-07-13T00:00:00"/>
    <m/>
    <s v="8AM-5PM"/>
    <d v="1899-12-30T07:36:00"/>
    <d v="1899-12-30T17:03:00"/>
    <s v="A"/>
    <n v="8"/>
    <m/>
    <m/>
    <m/>
    <m/>
    <m/>
    <m/>
    <m/>
    <m/>
    <m/>
    <m/>
    <m/>
    <m/>
    <m/>
    <m/>
  </r>
  <r>
    <x v="76"/>
    <s v="GD250174"/>
    <s v="Ordeniza, Lorna Salamangga"/>
    <s v="GD250174"/>
    <d v="2026-07-14T00:00:00"/>
    <m/>
    <s v="8AM-5PM"/>
    <d v="1899-12-30T06:56:00"/>
    <d v="1899-12-30T19:04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15T00:00:00"/>
    <m/>
    <s v="8AM-5PM"/>
    <d v="1899-12-30T06:59:00"/>
    <d v="1899-12-30T19:05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16T00:00:00"/>
    <m/>
    <s v="8AM-5PM"/>
    <d v="1899-12-30T07:15:00"/>
    <d v="1899-12-30T19:04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17T00:00:00"/>
    <m/>
    <s v="8AM-5PM"/>
    <d v="1899-12-30T07:38:00"/>
    <d v="1899-12-30T19:05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18T00:00:00"/>
    <m/>
    <s v="8AM-5PM"/>
    <d v="1899-12-30T06:56:00"/>
    <d v="1899-12-30T17:05:00"/>
    <s v="A"/>
    <n v="8"/>
    <m/>
    <m/>
    <m/>
    <m/>
    <m/>
    <m/>
    <m/>
    <m/>
    <m/>
    <m/>
    <m/>
    <m/>
    <m/>
    <m/>
  </r>
  <r>
    <x v="76"/>
    <s v="GD250174"/>
    <s v="Ordeniza, Lorna Salamangga"/>
    <s v="GD250174"/>
    <d v="2026-07-19T00:00:00"/>
    <m/>
    <m/>
    <s v="SUNDAY"/>
    <m/>
    <m/>
    <m/>
    <m/>
    <m/>
    <m/>
    <m/>
    <m/>
    <m/>
    <m/>
    <m/>
    <m/>
    <m/>
    <m/>
    <m/>
    <m/>
    <m/>
  </r>
  <r>
    <x v="76"/>
    <s v="GD250174"/>
    <s v="Ordeniza, Lorna Salamangga"/>
    <s v="GD250174"/>
    <d v="2026-07-20T00:00:00"/>
    <m/>
    <s v="8AM-5PM"/>
    <d v="1899-12-30T07:07:00"/>
    <d v="1899-12-30T19:05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21T00:00:00"/>
    <m/>
    <s v="8AM-5PM"/>
    <d v="1899-12-30T06:42:00"/>
    <d v="1899-12-30T19:06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22T00:00:00"/>
    <m/>
    <s v="8AM-5PM"/>
    <d v="1899-12-30T07:16:00"/>
    <d v="1899-12-30T17:01:00"/>
    <s v="A"/>
    <n v="8"/>
    <m/>
    <m/>
    <m/>
    <m/>
    <m/>
    <m/>
    <m/>
    <m/>
    <m/>
    <m/>
    <m/>
    <m/>
    <m/>
    <m/>
  </r>
  <r>
    <x v="76"/>
    <s v="GD250174"/>
    <s v="Ordeniza, Lorna Salamangga"/>
    <s v="GD250174"/>
    <d v="2026-07-23T00:00:00"/>
    <m/>
    <s v="8AM-5PM"/>
    <d v="1899-12-30T07:15:00"/>
    <d v="1899-12-30T19:04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24T00:00:00"/>
    <m/>
    <s v="8AM-5PM"/>
    <d v="1899-12-30T06:57:00"/>
    <d v="1899-12-30T19:04:00"/>
    <s v="A"/>
    <n v="8"/>
    <n v="2"/>
    <m/>
    <m/>
    <m/>
    <m/>
    <m/>
    <m/>
    <m/>
    <m/>
    <m/>
    <m/>
    <m/>
    <m/>
    <m/>
  </r>
  <r>
    <x v="76"/>
    <s v="GD250174"/>
    <s v="Ordeniza, Lorna Salamangga"/>
    <s v="GD250174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6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7"/>
    <s v="GD250527"/>
    <s v="Pascua, Rechelle Macalalay"/>
    <s v="GD250527"/>
    <d v="2026-07-11T00:00:00"/>
    <m/>
    <s v="8AM-5PM"/>
    <d v="1899-12-30T07:37:00"/>
    <d v="1899-12-30T19:03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12T00:00:00"/>
    <m/>
    <m/>
    <s v="SUNDAY"/>
    <m/>
    <m/>
    <m/>
    <m/>
    <m/>
    <m/>
    <m/>
    <m/>
    <m/>
    <m/>
    <m/>
    <m/>
    <m/>
    <m/>
    <m/>
    <m/>
    <m/>
  </r>
  <r>
    <x v="77"/>
    <s v="GD250527"/>
    <s v="Pascua, Rechelle Macalalay"/>
    <s v="GD250527"/>
    <d v="2026-07-13T00:00:00"/>
    <m/>
    <s v="8AM-5PM"/>
    <d v="1899-12-30T07:39:00"/>
    <d v="1899-12-30T19:03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14T00:00:00"/>
    <m/>
    <s v="8AM-5PM"/>
    <d v="1899-12-30T07:53:00"/>
    <d v="1899-12-30T19:04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15T00:00:00"/>
    <m/>
    <s v="8AM-5PM"/>
    <d v="1899-12-30T07:34:00"/>
    <d v="1899-12-30T19:02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16T00:00:00"/>
    <m/>
    <s v="8AM-5PM"/>
    <d v="1899-12-30T07:42:00"/>
    <d v="1899-12-30T19:02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17T00:00:00"/>
    <m/>
    <s v="8AM-5PM"/>
    <d v="1899-12-30T07:28:00"/>
    <d v="1899-12-30T17:02:00"/>
    <s v="A"/>
    <n v="8"/>
    <m/>
    <m/>
    <m/>
    <m/>
    <m/>
    <m/>
    <m/>
    <m/>
    <m/>
    <m/>
    <m/>
    <m/>
    <m/>
    <m/>
  </r>
  <r>
    <x v="77"/>
    <s v="GD250527"/>
    <s v="Pascua, Rechelle Macalalay"/>
    <s v="GD250527"/>
    <d v="2026-07-18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77"/>
    <s v="GD250527"/>
    <s v="Pascua, Rechelle Macalalay"/>
    <s v="GD250527"/>
    <d v="2026-07-19T00:00:00"/>
    <m/>
    <m/>
    <s v="SUNDAY"/>
    <m/>
    <m/>
    <m/>
    <m/>
    <m/>
    <m/>
    <m/>
    <m/>
    <m/>
    <m/>
    <m/>
    <m/>
    <m/>
    <m/>
    <m/>
    <m/>
    <m/>
  </r>
  <r>
    <x v="77"/>
    <s v="GD250527"/>
    <s v="Pascua, Rechelle Macalalay"/>
    <s v="GD250527"/>
    <d v="2026-07-20T00:00:00"/>
    <m/>
    <s v="8AM-5PM"/>
    <d v="1899-12-30T06:32:00"/>
    <d v="1899-12-30T19:03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21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22T00:00:00"/>
    <m/>
    <s v="8AM-5PM"/>
    <d v="1899-12-30T07:41:00"/>
    <d v="1899-12-30T17:04:00"/>
    <s v="A"/>
    <n v="8"/>
    <m/>
    <m/>
    <m/>
    <m/>
    <m/>
    <m/>
    <m/>
    <m/>
    <m/>
    <m/>
    <m/>
    <m/>
    <m/>
    <m/>
  </r>
  <r>
    <x v="77"/>
    <s v="GD250527"/>
    <s v="Pascua, Rechelle Macalalay"/>
    <s v="GD250527"/>
    <d v="2026-07-23T00:00:00"/>
    <m/>
    <s v="8AM-5PM"/>
    <d v="1899-12-30T07:45:00"/>
    <d v="1899-12-30T19:03:00"/>
    <s v="A"/>
    <n v="8"/>
    <n v="2"/>
    <m/>
    <m/>
    <m/>
    <m/>
    <m/>
    <m/>
    <m/>
    <m/>
    <m/>
    <m/>
    <m/>
    <m/>
    <m/>
  </r>
  <r>
    <x v="77"/>
    <s v="GD250527"/>
    <s v="Pascua, Rechelle Macalalay"/>
    <s v="GD250527"/>
    <d v="2026-07-24T00:00:00"/>
    <m/>
    <s v="8AM-5PM"/>
    <d v="1899-12-30T07:38:00"/>
    <d v="1899-12-30T17:03:00"/>
    <s v="A"/>
    <n v="8"/>
    <m/>
    <m/>
    <m/>
    <m/>
    <m/>
    <m/>
    <m/>
    <m/>
    <m/>
    <m/>
    <m/>
    <m/>
    <m/>
    <m/>
  </r>
  <r>
    <x v="77"/>
    <s v="GD250527"/>
    <s v="Pascua, Rechelle Macalalay"/>
    <s v="GD250527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8"/>
    <s v="GD250217"/>
    <s v="Tabios, Angelite Balictar"/>
    <s v="GD250217"/>
    <d v="2026-07-11T00:00:00"/>
    <m/>
    <s v="8AM-5PM"/>
    <d v="1899-12-30T07:37:00"/>
    <d v="1899-12-30T17:07:00"/>
    <s v="A"/>
    <n v="8"/>
    <m/>
    <m/>
    <m/>
    <m/>
    <m/>
    <m/>
    <m/>
    <m/>
    <m/>
    <m/>
    <m/>
    <m/>
    <m/>
    <m/>
  </r>
  <r>
    <x v="78"/>
    <s v="GD250217"/>
    <s v="Tabios, Angelite Balictar"/>
    <s v="GD250217"/>
    <d v="2026-07-12T00:00:00"/>
    <m/>
    <m/>
    <s v="SUNDAY"/>
    <m/>
    <m/>
    <m/>
    <m/>
    <m/>
    <m/>
    <m/>
    <m/>
    <m/>
    <m/>
    <m/>
    <m/>
    <m/>
    <m/>
    <m/>
    <m/>
    <m/>
  </r>
  <r>
    <x v="78"/>
    <s v="GD250217"/>
    <s v="Tabios, Angelite Balictar"/>
    <s v="GD250217"/>
    <d v="2026-07-13T00:00:00"/>
    <m/>
    <s v="7PM-4AM"/>
    <d v="1899-12-30T18:44:00"/>
    <d v="1899-12-30T06:02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14T00:00:00"/>
    <m/>
    <s v="7PM-4AM"/>
    <d v="1899-12-30T18:33:00"/>
    <d v="1899-12-30T06:02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15T00:00:00"/>
    <m/>
    <s v="7PM-4AM"/>
    <d v="1899-12-30T18:46:00"/>
    <d v="1899-12-30T06:01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16T00:00:00"/>
    <m/>
    <s v="7PM-4AM"/>
    <d v="1899-12-30T18:44:00"/>
    <d v="1899-12-30T06:02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17T00:00:00"/>
    <m/>
    <s v="7PM-4AM"/>
    <d v="1899-12-30T18:45:00"/>
    <d v="1899-12-30T06:01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18T00:00:00"/>
    <m/>
    <s v="7PM-4AM"/>
    <d v="1899-12-30T18:46:00"/>
    <d v="1899-12-30T04:01:00"/>
    <s v="B"/>
    <n v="8"/>
    <m/>
    <n v="6"/>
    <m/>
    <m/>
    <m/>
    <m/>
    <m/>
    <m/>
    <m/>
    <m/>
    <m/>
    <m/>
    <m/>
    <m/>
  </r>
  <r>
    <x v="78"/>
    <s v="GD250217"/>
    <s v="Tabios, Angelite Balictar"/>
    <s v="GD250217"/>
    <d v="2026-07-19T00:00:00"/>
    <m/>
    <m/>
    <s v="SUNDAY"/>
    <m/>
    <m/>
    <m/>
    <m/>
    <m/>
    <m/>
    <m/>
    <m/>
    <m/>
    <m/>
    <m/>
    <m/>
    <m/>
    <m/>
    <m/>
    <m/>
    <m/>
  </r>
  <r>
    <x v="78"/>
    <s v="GD250217"/>
    <s v="Tabios, Angelite Balictar"/>
    <s v="GD250217"/>
    <d v="2026-07-20T00:00:00"/>
    <m/>
    <s v="7PM-4AM"/>
    <d v="1899-12-30T18:38:00"/>
    <d v="1899-12-30T06:02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21T00:00:00"/>
    <m/>
    <s v="7PM-4AM"/>
    <d v="1899-12-30T18:29:00"/>
    <d v="1899-12-30T06:01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22T00:00:00"/>
    <m/>
    <s v="7PM-4AM"/>
    <d v="1899-12-30T18:39:00"/>
    <d v="1899-12-30T06:05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23T00:00:00"/>
    <m/>
    <s v="7PM-4AM"/>
    <d v="1899-12-30T18:44:00"/>
    <d v="1899-12-30T06:01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24T00:00:00"/>
    <m/>
    <s v="7PM-4AM"/>
    <d v="1899-12-30T18:33:00"/>
    <d v="1899-12-30T06:01:00"/>
    <s v="B"/>
    <n v="8"/>
    <n v="2"/>
    <n v="6"/>
    <n v="2"/>
    <m/>
    <m/>
    <m/>
    <m/>
    <m/>
    <m/>
    <m/>
    <m/>
    <m/>
    <m/>
    <m/>
  </r>
  <r>
    <x v="78"/>
    <s v="GD250217"/>
    <s v="Tabios, Angelite Balictar"/>
    <s v="GD250217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0"/>
    <n v="66"/>
    <n v="2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n v="0"/>
    <n v="0"/>
    <n v="0"/>
    <n v="0"/>
    <n v="0"/>
    <n v="0"/>
    <n v="0"/>
    <n v="0"/>
    <e v="#REF!"/>
    <e v="#REF!"/>
    <e v="#REF!"/>
    <e v="#REF!"/>
    <e v="#REF!"/>
    <e v="#REF!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79"/>
    <s v="GD250254"/>
    <s v="De Jesus, John Lorren Liwanag"/>
    <s v="GD250254"/>
    <d v="2026-07-11T00:00:00"/>
    <m/>
    <s v="8AM-5PM"/>
    <d v="1899-12-30T07:32:00"/>
    <d v="1899-12-30T17:03:00"/>
    <s v="A"/>
    <n v="8"/>
    <m/>
    <m/>
    <m/>
    <m/>
    <m/>
    <m/>
    <m/>
    <m/>
    <m/>
    <m/>
    <m/>
    <m/>
    <m/>
    <m/>
  </r>
  <r>
    <x v="79"/>
    <s v="GD250254"/>
    <s v="De Jesus, John Lorren Liwanag"/>
    <s v="GD250254"/>
    <d v="2026-07-12T00:00:00"/>
    <m/>
    <m/>
    <s v="SUNDAY"/>
    <m/>
    <m/>
    <m/>
    <m/>
    <m/>
    <m/>
    <m/>
    <m/>
    <m/>
    <m/>
    <m/>
    <m/>
    <m/>
    <m/>
    <m/>
    <m/>
    <m/>
  </r>
  <r>
    <x v="79"/>
    <s v="GD250254"/>
    <s v="De Jesus, John Lorren Liwanag"/>
    <s v="GD250254"/>
    <d v="2026-07-13T00:00:00"/>
    <m/>
    <s v="8AM-5PM"/>
    <d v="1899-12-30T07:17:00"/>
    <d v="1899-12-30T19:03:00"/>
    <s v="A"/>
    <n v="8"/>
    <n v="2"/>
    <m/>
    <m/>
    <m/>
    <m/>
    <m/>
    <m/>
    <m/>
    <m/>
    <m/>
    <m/>
    <m/>
    <m/>
    <m/>
  </r>
  <r>
    <x v="79"/>
    <s v="GD250254"/>
    <s v="De Jesus, John Lorren Liwanag"/>
    <s v="GD250254"/>
    <d v="2026-07-14T00:00:00"/>
    <m/>
    <s v="8AM-5PM"/>
    <d v="1899-12-30T07:18:00"/>
    <d v="1899-12-30T17:02:00"/>
    <s v="A"/>
    <n v="8"/>
    <m/>
    <m/>
    <m/>
    <m/>
    <m/>
    <m/>
    <m/>
    <m/>
    <m/>
    <m/>
    <m/>
    <m/>
    <m/>
    <m/>
  </r>
  <r>
    <x v="79"/>
    <s v="GD250254"/>
    <s v="De Jesus, John Lorren Liwanag"/>
    <s v="GD250254"/>
    <d v="2026-07-15T00:00:00"/>
    <m/>
    <m/>
    <m/>
    <m/>
    <m/>
    <m/>
    <m/>
    <m/>
    <m/>
    <m/>
    <m/>
    <m/>
    <m/>
    <m/>
    <m/>
    <m/>
    <m/>
    <m/>
    <m/>
    <m/>
  </r>
  <r>
    <x v="79"/>
    <s v="GD250254"/>
    <s v="De Jesus, John Lorren Liwanag"/>
    <s v="GD250254"/>
    <d v="2026-07-16T00:00:00"/>
    <m/>
    <m/>
    <m/>
    <m/>
    <m/>
    <m/>
    <m/>
    <m/>
    <m/>
    <m/>
    <m/>
    <m/>
    <m/>
    <m/>
    <m/>
    <m/>
    <m/>
    <m/>
    <m/>
    <m/>
  </r>
  <r>
    <x v="79"/>
    <s v="GD250254"/>
    <s v="De Jesus, John Lorren Liwanag"/>
    <s v="GD250254"/>
    <d v="2026-07-17T00:00:00"/>
    <m/>
    <m/>
    <m/>
    <m/>
    <m/>
    <m/>
    <m/>
    <m/>
    <m/>
    <m/>
    <m/>
    <m/>
    <m/>
    <m/>
    <m/>
    <m/>
    <m/>
    <m/>
    <m/>
    <m/>
  </r>
  <r>
    <x v="79"/>
    <s v="GD250254"/>
    <s v="De Jesus, John Lorren Liwanag"/>
    <s v="GD250254"/>
    <d v="2026-07-18T00:00:00"/>
    <m/>
    <m/>
    <m/>
    <m/>
    <m/>
    <m/>
    <m/>
    <m/>
    <m/>
    <m/>
    <m/>
    <m/>
    <m/>
    <m/>
    <m/>
    <m/>
    <m/>
    <m/>
    <m/>
    <m/>
  </r>
  <r>
    <x v="79"/>
    <s v="GD250254"/>
    <s v="De Jesus, John Lorren Liwanag"/>
    <s v="GD250254"/>
    <d v="2026-07-19T00:00:00"/>
    <m/>
    <m/>
    <s v="SUNDAY"/>
    <m/>
    <m/>
    <m/>
    <m/>
    <m/>
    <m/>
    <m/>
    <m/>
    <m/>
    <m/>
    <m/>
    <m/>
    <m/>
    <m/>
    <m/>
    <m/>
    <m/>
  </r>
  <r>
    <x v="79"/>
    <s v="GD250254"/>
    <s v="De Jesus, John Lorren Liwanag"/>
    <s v="GD250254"/>
    <d v="2026-07-20T00:00:00"/>
    <m/>
    <s v="8AM-5PM"/>
    <d v="1899-12-30T07:18:00"/>
    <d v="1899-12-30T19:01:00"/>
    <s v="A"/>
    <n v="8"/>
    <n v="2"/>
    <m/>
    <m/>
    <m/>
    <m/>
    <m/>
    <m/>
    <m/>
    <m/>
    <m/>
    <m/>
    <m/>
    <m/>
    <m/>
  </r>
  <r>
    <x v="79"/>
    <s v="GD250254"/>
    <s v="De Jesus, John Lorren Liwanag"/>
    <s v="GD250254"/>
    <d v="2026-07-21T00:00:00"/>
    <m/>
    <s v="8AM-5PM"/>
    <d v="1899-12-30T07:18:00"/>
    <d v="1899-12-30T17:01:00"/>
    <s v="A"/>
    <n v="8"/>
    <m/>
    <m/>
    <m/>
    <m/>
    <m/>
    <m/>
    <m/>
    <m/>
    <m/>
    <m/>
    <m/>
    <m/>
    <m/>
    <m/>
  </r>
  <r>
    <x v="79"/>
    <s v="GD250254"/>
    <s v="De Jesus, John Lorren Liwanag"/>
    <s v="GD250254"/>
    <d v="2026-07-22T00:00:00"/>
    <m/>
    <s v="8AM-5PM"/>
    <d v="1899-12-30T07:22:00"/>
    <d v="1899-12-30T17:01:00"/>
    <s v="A"/>
    <n v="8"/>
    <m/>
    <m/>
    <m/>
    <m/>
    <m/>
    <m/>
    <m/>
    <m/>
    <m/>
    <m/>
    <m/>
    <m/>
    <m/>
    <m/>
  </r>
  <r>
    <x v="79"/>
    <s v="GD250254"/>
    <s v="De Jesus, John Lorren Liwanag"/>
    <s v="GD250254"/>
    <d v="2026-07-23T00:00:00"/>
    <m/>
    <s v="8AM-5PM"/>
    <d v="1899-12-30T07:20:00"/>
    <d v="1899-12-30T19:01:00"/>
    <s v="A"/>
    <n v="8"/>
    <n v="2"/>
    <m/>
    <m/>
    <m/>
    <m/>
    <m/>
    <m/>
    <m/>
    <m/>
    <m/>
    <m/>
    <m/>
    <m/>
    <m/>
  </r>
  <r>
    <x v="79"/>
    <s v="GD250254"/>
    <s v="De Jesus, John Lorren Liwanag"/>
    <s v="GD250254"/>
    <d v="2026-07-24T00:00:00"/>
    <m/>
    <s v="8AM-5PM"/>
    <d v="1899-12-30T07:18:00"/>
    <d v="1899-12-30T17:00:00"/>
    <s v="A"/>
    <n v="8"/>
    <m/>
    <m/>
    <m/>
    <m/>
    <m/>
    <m/>
    <m/>
    <m/>
    <m/>
    <m/>
    <m/>
    <m/>
    <m/>
    <m/>
  </r>
  <r>
    <x v="79"/>
    <s v="GD250254"/>
    <s v="De Jesus, John Lorren Liwanag"/>
    <s v="GD250254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64"/>
    <n v="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0"/>
    <s v="GD250169"/>
    <s v="Masapol, Mary Joy Sanchez"/>
    <s v="GD250169"/>
    <d v="2026-07-11T00:00:00"/>
    <m/>
    <s v="8AM-5PM"/>
    <d v="1899-12-30T07:40:00"/>
    <d v="1899-12-30T17:05:00"/>
    <s v="A"/>
    <n v="8"/>
    <m/>
    <m/>
    <m/>
    <m/>
    <m/>
    <m/>
    <m/>
    <m/>
    <m/>
    <m/>
    <m/>
    <m/>
    <m/>
    <m/>
  </r>
  <r>
    <x v="80"/>
    <s v="GD250169"/>
    <s v="Masapol, Mary Joy Sanchez"/>
    <s v="GD250169"/>
    <d v="2026-07-12T00:00:00"/>
    <m/>
    <m/>
    <m/>
    <m/>
    <m/>
    <m/>
    <m/>
    <m/>
    <m/>
    <m/>
    <m/>
    <m/>
    <m/>
    <m/>
    <m/>
    <m/>
    <m/>
    <m/>
    <m/>
    <m/>
  </r>
  <r>
    <x v="80"/>
    <s v="GD250169"/>
    <s v="Masapol, Mary Joy Sanchez"/>
    <s v="GD250169"/>
    <d v="2026-07-13T00:00:00"/>
    <m/>
    <s v="8AM-5PM"/>
    <d v="1899-12-30T07:36:00"/>
    <d v="1899-12-30T19:05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14T00:00:00"/>
    <m/>
    <s v="8AM-5PM"/>
    <d v="1899-12-30T07:38:00"/>
    <d v="1899-12-30T19:04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15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16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17T00:00:00"/>
    <m/>
    <s v="8AM-5PM"/>
    <d v="1899-12-30T07:38:00"/>
    <d v="1899-12-30T19:03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18T00:00:00"/>
    <m/>
    <s v="8AM-5PM"/>
    <d v="1899-12-30T07:37:00"/>
    <d v="1899-12-30T17:04:00"/>
    <s v="A"/>
    <n v="8"/>
    <m/>
    <m/>
    <m/>
    <m/>
    <m/>
    <m/>
    <m/>
    <m/>
    <m/>
    <m/>
    <m/>
    <m/>
    <m/>
    <m/>
  </r>
  <r>
    <x v="80"/>
    <s v="GD250169"/>
    <s v="Masapol, Mary Joy Sanchez"/>
    <s v="GD250169"/>
    <d v="2026-07-19T00:00:00"/>
    <m/>
    <m/>
    <s v="SUNDAY"/>
    <m/>
    <m/>
    <m/>
    <m/>
    <m/>
    <m/>
    <m/>
    <m/>
    <m/>
    <m/>
    <m/>
    <m/>
    <m/>
    <m/>
    <m/>
    <m/>
    <m/>
  </r>
  <r>
    <x v="80"/>
    <s v="GD250169"/>
    <s v="Masapol, Mary Joy Sanchez"/>
    <s v="GD250169"/>
    <d v="2026-07-20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21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22T00:00:00"/>
    <m/>
    <s v="8AM-5PM"/>
    <d v="1899-12-30T07:37:00"/>
    <d v="1899-12-30T17:02:00"/>
    <s v="A"/>
    <n v="8"/>
    <m/>
    <m/>
    <m/>
    <m/>
    <m/>
    <m/>
    <m/>
    <m/>
    <m/>
    <m/>
    <m/>
    <m/>
    <m/>
    <m/>
  </r>
  <r>
    <x v="80"/>
    <s v="GD250169"/>
    <s v="Masapol, Mary Joy Sanchez"/>
    <s v="GD250169"/>
    <d v="2026-07-23T00:00:00"/>
    <m/>
    <s v="8AM-5PM"/>
    <d v="1899-12-30T07:38:00"/>
    <d v="1899-12-30T19:05:00"/>
    <s v="A"/>
    <n v="8"/>
    <n v="2"/>
    <m/>
    <m/>
    <m/>
    <m/>
    <m/>
    <m/>
    <m/>
    <m/>
    <m/>
    <m/>
    <m/>
    <m/>
    <m/>
  </r>
  <r>
    <x v="80"/>
    <s v="GD250169"/>
    <s v="Masapol, Mary Joy Sanchez"/>
    <s v="GD250169"/>
    <d v="2026-07-24T00:00:00"/>
    <m/>
    <s v="8AM-5PM"/>
    <d v="1899-12-30T07:17:00"/>
    <d v="1899-12-30T17:03:00"/>
    <s v="A"/>
    <n v="8"/>
    <m/>
    <m/>
    <m/>
    <m/>
    <m/>
    <m/>
    <m/>
    <m/>
    <m/>
    <m/>
    <m/>
    <m/>
    <m/>
    <m/>
  </r>
  <r>
    <x v="80"/>
    <s v="GD250169"/>
    <s v="Masapol, Mary Joy Sanchez"/>
    <s v="GD250169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1"/>
    <s v="GD250237"/>
    <s v="Payopas, Kyla Marie Sanico"/>
    <s v="GD250237"/>
    <d v="2026-07-11T00:00:00"/>
    <m/>
    <s v="7PM-4AM"/>
    <d v="1899-12-30T18:34:00"/>
    <d v="1899-12-30T04:01:00"/>
    <s v="B"/>
    <n v="8"/>
    <m/>
    <n v="6"/>
    <m/>
    <m/>
    <m/>
    <m/>
    <m/>
    <m/>
    <m/>
    <m/>
    <m/>
    <m/>
    <m/>
    <m/>
  </r>
  <r>
    <x v="81"/>
    <s v="GD250237"/>
    <s v="Payopas, Kyla Marie Sanico"/>
    <s v="GD250237"/>
    <d v="2026-07-12T00:00:00"/>
    <m/>
    <m/>
    <s v="SUNDAY"/>
    <m/>
    <m/>
    <m/>
    <m/>
    <m/>
    <m/>
    <m/>
    <m/>
    <m/>
    <m/>
    <m/>
    <m/>
    <m/>
    <m/>
    <m/>
    <m/>
    <m/>
  </r>
  <r>
    <x v="81"/>
    <s v="GD250237"/>
    <s v="Payopas, Kyla Marie Sanico"/>
    <s v="GD250237"/>
    <d v="2026-07-13T00:00:00"/>
    <m/>
    <s v="8AM-5PM"/>
    <d v="1899-12-30T07:28:00"/>
    <d v="1899-12-30T17:00:00"/>
    <s v="A"/>
    <n v="8"/>
    <m/>
    <m/>
    <m/>
    <m/>
    <m/>
    <m/>
    <m/>
    <m/>
    <m/>
    <m/>
    <m/>
    <m/>
    <m/>
    <m/>
  </r>
  <r>
    <x v="81"/>
    <s v="GD250237"/>
    <s v="Payopas, Kyla Marie Sanico"/>
    <s v="GD250237"/>
    <d v="2026-07-14T00:00:00"/>
    <m/>
    <s v="8AM-5PM"/>
    <d v="1899-12-30T07:18:00"/>
    <d v="1899-12-30T19:03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15T00:00:00"/>
    <m/>
    <s v="8AM-5PM"/>
    <d v="1899-12-30T07:22:00"/>
    <d v="1899-12-30T19:02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16T00:00:00"/>
    <m/>
    <s v="8AM-5PM"/>
    <d v="1899-12-30T07:22:00"/>
    <d v="1899-12-30T19:01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17T00:00:00"/>
    <m/>
    <s v="8AM-5PM"/>
    <d v="1899-12-30T07:27:00"/>
    <d v="1899-12-30T19:02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18T00:00:00"/>
    <m/>
    <s v="8AM-5PM"/>
    <d v="1899-12-30T07:27:00"/>
    <d v="1899-12-30T19:04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19T00:00:00"/>
    <m/>
    <m/>
    <s v="SUNDAY"/>
    <m/>
    <m/>
    <m/>
    <m/>
    <m/>
    <m/>
    <m/>
    <m/>
    <m/>
    <m/>
    <m/>
    <m/>
    <m/>
    <m/>
    <m/>
    <m/>
    <m/>
  </r>
  <r>
    <x v="81"/>
    <s v="GD250237"/>
    <s v="Payopas, Kyla Marie Sanico"/>
    <s v="GD250237"/>
    <d v="2026-07-20T00:00:00"/>
    <m/>
    <s v="8AM-5PM"/>
    <d v="1899-12-30T07:29:00"/>
    <d v="1899-12-30T19:03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21T00:00:00"/>
    <m/>
    <s v="8AM-5PM"/>
    <d v="1899-12-30T07:38:00"/>
    <d v="1899-12-30T19:02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22T00:00:00"/>
    <m/>
    <s v="8AM-5PM"/>
    <d v="1899-12-30T07:34:00"/>
    <d v="1899-12-30T19:03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23T00:00:00"/>
    <m/>
    <s v="8AM-5PM"/>
    <d v="1899-12-30T07:33:00"/>
    <d v="1899-12-30T19:01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24T00:00:00"/>
    <m/>
    <s v="8AM-5PM"/>
    <d v="1899-12-30T07:29:00"/>
    <d v="1899-12-30T19:01:00"/>
    <s v="A"/>
    <n v="8"/>
    <n v="2"/>
    <m/>
    <m/>
    <m/>
    <m/>
    <m/>
    <m/>
    <m/>
    <m/>
    <m/>
    <m/>
    <m/>
    <m/>
    <m/>
  </r>
  <r>
    <x v="81"/>
    <s v="GD250237"/>
    <s v="Payopas, Kyla Marie Sanico"/>
    <s v="GD250237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20"/>
    <n v="6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2"/>
    <s v="GD250088"/>
    <s v="Delos Reyes, Renante Pernecita"/>
    <s v="GD250088"/>
    <d v="2026-07-11T00:00:00"/>
    <m/>
    <m/>
    <m/>
    <m/>
    <m/>
    <m/>
    <m/>
    <m/>
    <m/>
    <m/>
    <m/>
    <m/>
    <m/>
    <m/>
    <m/>
    <m/>
    <m/>
    <m/>
    <m/>
    <m/>
  </r>
  <r>
    <x v="82"/>
    <s v="GD250088"/>
    <s v="Delos Reyes, Renante Pernecita"/>
    <s v="GD250088"/>
    <d v="2026-07-12T00:00:00"/>
    <m/>
    <m/>
    <s v="SUNDAY"/>
    <m/>
    <m/>
    <m/>
    <m/>
    <m/>
    <m/>
    <m/>
    <m/>
    <m/>
    <m/>
    <m/>
    <m/>
    <m/>
    <m/>
    <m/>
    <m/>
    <m/>
  </r>
  <r>
    <x v="82"/>
    <s v="GD250088"/>
    <s v="Delos Reyes, Renante Pernecita"/>
    <s v="GD250088"/>
    <d v="2026-07-13T00:00:00"/>
    <m/>
    <m/>
    <m/>
    <m/>
    <m/>
    <m/>
    <m/>
    <m/>
    <m/>
    <m/>
    <m/>
    <m/>
    <m/>
    <m/>
    <m/>
    <m/>
    <m/>
    <m/>
    <m/>
    <m/>
  </r>
  <r>
    <x v="82"/>
    <s v="GD250088"/>
    <s v="Delos Reyes, Renante Pernecita"/>
    <s v="GD250088"/>
    <d v="2026-07-14T00:00:00"/>
    <m/>
    <m/>
    <m/>
    <m/>
    <m/>
    <m/>
    <m/>
    <m/>
    <m/>
    <m/>
    <m/>
    <m/>
    <m/>
    <m/>
    <m/>
    <m/>
    <m/>
    <m/>
    <m/>
    <m/>
  </r>
  <r>
    <x v="82"/>
    <s v="GD250088"/>
    <s v="Delos Reyes, Renante Pernecita"/>
    <s v="GD250088"/>
    <d v="2026-07-15T00:00:00"/>
    <m/>
    <m/>
    <m/>
    <m/>
    <m/>
    <m/>
    <m/>
    <m/>
    <m/>
    <m/>
    <m/>
    <m/>
    <m/>
    <m/>
    <m/>
    <m/>
    <m/>
    <m/>
    <m/>
    <m/>
  </r>
  <r>
    <x v="82"/>
    <s v="GD250088"/>
    <s v="Delos Reyes, Renante Pernecita"/>
    <s v="GD250088"/>
    <d v="2026-07-16T00:00:00"/>
    <m/>
    <s v="8AM-5PM"/>
    <d v="1899-12-30T07:29:00"/>
    <d v="1899-12-30T19:01:00"/>
    <s v="A"/>
    <n v="8"/>
    <n v="2"/>
    <m/>
    <m/>
    <m/>
    <m/>
    <m/>
    <m/>
    <m/>
    <m/>
    <m/>
    <m/>
    <m/>
    <m/>
    <m/>
  </r>
  <r>
    <x v="82"/>
    <s v="GD250088"/>
    <s v="Delos Reyes, Renante Pernecita"/>
    <s v="GD250088"/>
    <d v="2026-07-17T00:00:00"/>
    <m/>
    <s v="8AM-5PM"/>
    <d v="1899-12-30T07:27:00"/>
    <d v="1899-12-30T19:01:00"/>
    <s v="A"/>
    <n v="8"/>
    <n v="2"/>
    <m/>
    <m/>
    <m/>
    <m/>
    <m/>
    <m/>
    <m/>
    <m/>
    <m/>
    <m/>
    <m/>
    <m/>
    <m/>
  </r>
  <r>
    <x v="82"/>
    <s v="GD250088"/>
    <s v="Delos Reyes, Renante Pernecita"/>
    <s v="GD250088"/>
    <d v="2026-07-18T00:00:00"/>
    <m/>
    <s v="8AM-5PM"/>
    <d v="1899-12-30T07:27:00"/>
    <d v="1899-12-30T17:02:00"/>
    <s v="A"/>
    <n v="8"/>
    <m/>
    <m/>
    <m/>
    <m/>
    <m/>
    <m/>
    <m/>
    <m/>
    <m/>
    <m/>
    <m/>
    <m/>
    <m/>
    <m/>
  </r>
  <r>
    <x v="82"/>
    <s v="GD250088"/>
    <s v="Delos Reyes, Renante Pernecita"/>
    <s v="GD250088"/>
    <d v="2026-07-19T00:00:00"/>
    <m/>
    <m/>
    <s v="SUNDAY"/>
    <m/>
    <m/>
    <m/>
    <m/>
    <m/>
    <m/>
    <m/>
    <m/>
    <m/>
    <m/>
    <m/>
    <m/>
    <m/>
    <m/>
    <m/>
    <m/>
    <m/>
  </r>
  <r>
    <x v="82"/>
    <s v="GD250088"/>
    <s v="Delos Reyes, Renante Pernecita"/>
    <s v="GD250088"/>
    <d v="2026-07-20T00:00:00"/>
    <m/>
    <s v="8AM-5PM"/>
    <d v="1899-12-30T07:27:00"/>
    <d v="1899-12-30T19:01:00"/>
    <s v="A"/>
    <n v="8"/>
    <n v="2"/>
    <m/>
    <m/>
    <m/>
    <m/>
    <m/>
    <m/>
    <m/>
    <m/>
    <m/>
    <m/>
    <m/>
    <m/>
    <m/>
  </r>
  <r>
    <x v="82"/>
    <s v="GD250088"/>
    <s v="Delos Reyes, Renante Pernecita"/>
    <s v="GD250088"/>
    <d v="2026-07-21T00:00:00"/>
    <m/>
    <s v="8AM-5PM"/>
    <d v="1899-12-30T07:27:00"/>
    <d v="1899-12-30T19:01:00"/>
    <s v="A"/>
    <n v="8"/>
    <n v="2"/>
    <m/>
    <m/>
    <m/>
    <m/>
    <m/>
    <m/>
    <m/>
    <m/>
    <m/>
    <m/>
    <m/>
    <m/>
    <m/>
  </r>
  <r>
    <x v="82"/>
    <s v="GD250088"/>
    <s v="Delos Reyes, Renante Pernecita"/>
    <s v="GD250088"/>
    <d v="2026-07-22T00:00:00"/>
    <m/>
    <s v="8AM-5PM"/>
    <d v="1899-12-30T07:30:00"/>
    <d v="1899-12-30T19:01:00"/>
    <s v="A"/>
    <n v="8"/>
    <n v="2"/>
    <m/>
    <m/>
    <m/>
    <m/>
    <m/>
    <m/>
    <m/>
    <m/>
    <m/>
    <m/>
    <m/>
    <m/>
    <m/>
  </r>
  <r>
    <x v="82"/>
    <s v="GD250088"/>
    <s v="Delos Reyes, Renante Pernecita"/>
    <s v="GD250088"/>
    <d v="2026-07-23T00:00:00"/>
    <m/>
    <s v="8AM-5PM"/>
    <d v="1899-12-30T07:27:00"/>
    <d v="1899-12-30T19:00:00"/>
    <s v="A"/>
    <n v="8"/>
    <n v="2"/>
    <m/>
    <m/>
    <m/>
    <m/>
    <m/>
    <m/>
    <m/>
    <m/>
    <m/>
    <m/>
    <m/>
    <m/>
    <m/>
  </r>
  <r>
    <x v="82"/>
    <s v="GD250088"/>
    <s v="Delos Reyes, Renante Pernecita"/>
    <s v="GD250088"/>
    <d v="2026-07-24T00:00:00"/>
    <m/>
    <s v="8AM-5PM"/>
    <d v="1899-12-30T07:30:00"/>
    <d v="1899-12-30T17:00:00"/>
    <s v="A"/>
    <n v="8"/>
    <m/>
    <m/>
    <m/>
    <m/>
    <m/>
    <m/>
    <m/>
    <m/>
    <m/>
    <m/>
    <m/>
    <m/>
    <m/>
    <m/>
  </r>
  <r>
    <x v="82"/>
    <s v="GD250088"/>
    <s v="Delos Reyes, Renante Pernecita"/>
    <s v="GD250088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64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3"/>
    <s v="GD260754"/>
    <s v="CARINGAL, JENNYLYN "/>
    <s v="GD260754"/>
    <d v="2026-07-11T00:00:00"/>
    <m/>
    <s v="8AM-5PM"/>
    <d v="1899-12-30T07:38:00"/>
    <d v="1899-12-30T17:04:00"/>
    <s v="A"/>
    <n v="8"/>
    <m/>
    <m/>
    <m/>
    <m/>
    <m/>
    <m/>
    <m/>
    <m/>
    <m/>
    <m/>
    <m/>
    <m/>
    <m/>
    <m/>
  </r>
  <r>
    <x v="83"/>
    <s v="GD260754"/>
    <s v="CARINGAL, JENNYLYN "/>
    <s v="GD260754"/>
    <d v="2026-07-12T00:00:00"/>
    <m/>
    <m/>
    <s v="SUNDAY"/>
    <m/>
    <m/>
    <m/>
    <m/>
    <m/>
    <m/>
    <m/>
    <m/>
    <m/>
    <m/>
    <m/>
    <m/>
    <m/>
    <m/>
    <m/>
    <m/>
    <m/>
  </r>
  <r>
    <x v="83"/>
    <s v="GD260754"/>
    <s v="CARINGAL, JENNYLYN "/>
    <s v="GD260754"/>
    <d v="2026-07-13T00:00:00"/>
    <m/>
    <s v="8AM-5PM"/>
    <d v="1899-12-30T07:29:00"/>
    <d v="1899-12-30T19:05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14T00:00:00"/>
    <m/>
    <s v="8AM-5PM"/>
    <d v="1899-12-30T07:36:00"/>
    <d v="1899-12-30T19:01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15T00:00:00"/>
    <m/>
    <s v="8AM-5PM"/>
    <d v="1899-12-30T07:30:00"/>
    <d v="1899-12-30T19:03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16T00:00:00"/>
    <m/>
    <s v="8AM-5PM"/>
    <d v="1899-12-30T07:29:00"/>
    <d v="1899-12-30T19:03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17T00:00:00"/>
    <m/>
    <s v="8AM-5PM"/>
    <d v="1899-12-30T07:34:00"/>
    <d v="1899-12-30T19:00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18T00:00:00"/>
    <m/>
    <s v="8AM-5PM"/>
    <d v="1899-12-30T07:40:00"/>
    <d v="1899-12-30T17:07:00"/>
    <s v="A"/>
    <n v="8"/>
    <m/>
    <m/>
    <m/>
    <m/>
    <m/>
    <m/>
    <m/>
    <m/>
    <m/>
    <m/>
    <m/>
    <m/>
    <m/>
    <m/>
  </r>
  <r>
    <x v="83"/>
    <s v="GD260754"/>
    <s v="CARINGAL, JENNYLYN "/>
    <s v="GD260754"/>
    <d v="2026-07-19T00:00:00"/>
    <m/>
    <m/>
    <s v="SUNDAY"/>
    <m/>
    <m/>
    <m/>
    <m/>
    <m/>
    <m/>
    <m/>
    <m/>
    <m/>
    <m/>
    <m/>
    <m/>
    <m/>
    <m/>
    <m/>
    <m/>
    <m/>
  </r>
  <r>
    <x v="83"/>
    <s v="GD260754"/>
    <s v="CARINGAL, JENNYLYN "/>
    <s v="GD260754"/>
    <d v="2026-07-20T00:00:00"/>
    <m/>
    <s v="8AM-5PM"/>
    <m/>
    <m/>
    <m/>
    <m/>
    <m/>
    <m/>
    <m/>
    <m/>
    <m/>
    <m/>
    <m/>
    <m/>
    <m/>
    <m/>
    <m/>
    <m/>
    <m/>
    <m/>
  </r>
  <r>
    <x v="83"/>
    <s v="GD260754"/>
    <s v="CARINGAL, JENNYLYN "/>
    <s v="GD260754"/>
    <d v="2026-07-21T00:00:00"/>
    <m/>
    <s v="8AM-5PM"/>
    <m/>
    <m/>
    <m/>
    <m/>
    <m/>
    <m/>
    <m/>
    <m/>
    <m/>
    <m/>
    <m/>
    <m/>
    <m/>
    <m/>
    <m/>
    <m/>
    <m/>
    <m/>
  </r>
  <r>
    <x v="83"/>
    <s v="GD260754"/>
    <s v="CARINGAL, JENNYLYN "/>
    <s v="GD260754"/>
    <d v="2026-07-22T00:00:00"/>
    <m/>
    <s v="8AM-5PM"/>
    <d v="1899-12-30T07:29:00"/>
    <m/>
    <m/>
    <m/>
    <m/>
    <m/>
    <m/>
    <m/>
    <m/>
    <m/>
    <m/>
    <m/>
    <m/>
    <m/>
    <m/>
    <m/>
    <m/>
    <m/>
  </r>
  <r>
    <x v="83"/>
    <s v="GD260754"/>
    <s v="CARINGAL, JENNYLYN "/>
    <s v="GD260754"/>
    <d v="2026-07-23T00:00:00"/>
    <m/>
    <s v="8AM-5PM"/>
    <d v="1899-12-30T07:27:00"/>
    <d v="1899-12-30T19:03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24T00:00:00"/>
    <m/>
    <s v="8AM-5PM"/>
    <d v="1899-12-30T07:33:00"/>
    <d v="1899-12-30T19:02:00"/>
    <s v="A"/>
    <n v="8"/>
    <n v="2"/>
    <m/>
    <m/>
    <m/>
    <m/>
    <m/>
    <m/>
    <m/>
    <m/>
    <m/>
    <m/>
    <m/>
    <m/>
    <m/>
  </r>
  <r>
    <x v="83"/>
    <s v="GD260754"/>
    <s v="CARINGAL, JENNYLYN "/>
    <s v="GD260754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72"/>
    <n v="14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4"/>
    <s v="GD260701"/>
    <s v="DEZA, SHAE ANN"/>
    <s v="GD260701"/>
    <d v="2026-07-11T00:00:00"/>
    <m/>
    <s v="8AM-5PM"/>
    <d v="1899-12-30T07:27:00"/>
    <d v="1899-12-30T17:04:00"/>
    <s v="A"/>
    <n v="8"/>
    <m/>
    <m/>
    <m/>
    <m/>
    <m/>
    <m/>
    <m/>
    <m/>
    <m/>
    <m/>
    <m/>
    <m/>
    <m/>
    <m/>
  </r>
  <r>
    <x v="84"/>
    <s v="GD260701"/>
    <s v="DEZA, SHAE ANN"/>
    <s v="GD260701"/>
    <d v="2026-07-12T00:00:00"/>
    <m/>
    <m/>
    <s v="SUNDAY"/>
    <m/>
    <m/>
    <m/>
    <m/>
    <m/>
    <m/>
    <m/>
    <m/>
    <m/>
    <m/>
    <m/>
    <m/>
    <m/>
    <m/>
    <m/>
    <m/>
    <m/>
  </r>
  <r>
    <x v="84"/>
    <s v="GD260701"/>
    <s v="DEZA, SHAE ANN"/>
    <s v="GD260701"/>
    <d v="2026-07-13T00:00:00"/>
    <m/>
    <s v="8AM-5PM"/>
    <d v="1899-12-30T07:52:00"/>
    <d v="1899-12-30T19:02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14T00:00:00"/>
    <m/>
    <s v="8AM-5PM"/>
    <d v="1899-12-30T07:36:00"/>
    <d v="1899-12-30T19:02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15T00:00:00"/>
    <m/>
    <s v="8AM-5PM"/>
    <d v="1899-12-30T07:30:00"/>
    <d v="1899-12-30T19:02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16T00:00:00"/>
    <m/>
    <s v="8AM-5PM"/>
    <d v="1899-12-30T07:29:00"/>
    <d v="1899-12-30T19:03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17T00:00:00"/>
    <m/>
    <s v="8AM-5PM"/>
    <d v="1899-12-30T07:46:00"/>
    <d v="1899-12-30T17:02:00"/>
    <s v="A"/>
    <n v="8"/>
    <m/>
    <m/>
    <m/>
    <m/>
    <m/>
    <m/>
    <m/>
    <m/>
    <m/>
    <m/>
    <m/>
    <m/>
    <m/>
    <m/>
  </r>
  <r>
    <x v="84"/>
    <s v="GD260701"/>
    <s v="DEZA, SHAE ANN"/>
    <s v="GD260701"/>
    <d v="2026-07-18T00:00:00"/>
    <m/>
    <s v="8AM-5PM"/>
    <d v="1899-12-30T07:18:00"/>
    <d v="1899-12-30T17:03:00"/>
    <s v="A"/>
    <n v="8"/>
    <m/>
    <m/>
    <m/>
    <m/>
    <m/>
    <m/>
    <m/>
    <m/>
    <m/>
    <m/>
    <m/>
    <m/>
    <m/>
    <m/>
  </r>
  <r>
    <x v="84"/>
    <s v="GD260701"/>
    <s v="DEZA, SHAE ANN"/>
    <s v="GD260701"/>
    <d v="2026-07-19T00:00:00"/>
    <m/>
    <m/>
    <s v="SUNDAY"/>
    <m/>
    <m/>
    <m/>
    <m/>
    <m/>
    <m/>
    <m/>
    <m/>
    <m/>
    <m/>
    <m/>
    <m/>
    <m/>
    <m/>
    <m/>
    <m/>
    <m/>
  </r>
  <r>
    <x v="84"/>
    <s v="GD260701"/>
    <s v="DEZA, SHAE ANN"/>
    <s v="GD260701"/>
    <d v="2026-07-20T00:00:00"/>
    <m/>
    <s v="8AM-5PM"/>
    <d v="1899-12-30T07:27:00"/>
    <d v="1899-12-30T19:02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21T00:00:00"/>
    <m/>
    <s v="8AM-5PM"/>
    <d v="1899-12-30T07:19:00"/>
    <d v="1899-12-30T17:02:00"/>
    <s v="A"/>
    <n v="8"/>
    <m/>
    <m/>
    <m/>
    <m/>
    <m/>
    <m/>
    <m/>
    <m/>
    <m/>
    <m/>
    <m/>
    <m/>
    <m/>
    <m/>
  </r>
  <r>
    <x v="84"/>
    <s v="GD260701"/>
    <s v="DEZA, SHAE ANN"/>
    <s v="GD260701"/>
    <d v="2026-07-22T00:00:00"/>
    <m/>
    <s v="8AM-5PM"/>
    <d v="1899-12-30T07:23:00"/>
    <d v="1899-12-30T19:02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23T00:00:00"/>
    <m/>
    <s v="8AM-5PM"/>
    <d v="1899-12-30T07:20:00"/>
    <d v="1899-12-30T19:03:00"/>
    <s v="A"/>
    <n v="8"/>
    <n v="2"/>
    <m/>
    <m/>
    <m/>
    <m/>
    <m/>
    <m/>
    <m/>
    <m/>
    <m/>
    <m/>
    <m/>
    <m/>
    <m/>
  </r>
  <r>
    <x v="84"/>
    <s v="GD260701"/>
    <s v="DEZA, SHAE ANN"/>
    <s v="GD260701"/>
    <d v="2026-07-24T00:00:00"/>
    <m/>
    <s v="8AM-5PM"/>
    <d v="1899-12-30T07:17:00"/>
    <d v="1899-12-30T17:03:00"/>
    <s v="A"/>
    <n v="8"/>
    <m/>
    <m/>
    <m/>
    <m/>
    <m/>
    <m/>
    <m/>
    <m/>
    <m/>
    <m/>
    <m/>
    <m/>
    <m/>
    <m/>
  </r>
  <r>
    <x v="84"/>
    <s v="GD260701"/>
    <s v="DEZA, SHAE ANN"/>
    <s v="GD260701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4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5"/>
    <s v="GD260702"/>
    <s v="PRADO, MARY GRACE "/>
    <s v="GD260702"/>
    <d v="2026-07-11T00:00:00"/>
    <m/>
    <s v="8AM-5PM"/>
    <d v="1899-12-30T07:37:00"/>
    <d v="1899-12-30T17:03:00"/>
    <s v="A"/>
    <n v="8"/>
    <m/>
    <m/>
    <m/>
    <m/>
    <m/>
    <m/>
    <m/>
    <m/>
    <m/>
    <m/>
    <m/>
    <m/>
    <m/>
    <m/>
  </r>
  <r>
    <x v="85"/>
    <s v="GD260702"/>
    <s v="PRADO, MARY GRACE "/>
    <s v="GD260702"/>
    <d v="2026-07-12T00:00:00"/>
    <m/>
    <m/>
    <s v="SUNDAY"/>
    <m/>
    <m/>
    <m/>
    <m/>
    <m/>
    <m/>
    <m/>
    <m/>
    <m/>
    <m/>
    <m/>
    <m/>
    <m/>
    <m/>
    <m/>
    <m/>
    <m/>
  </r>
  <r>
    <x v="85"/>
    <s v="GD260702"/>
    <s v="PRADO, MARY GRACE "/>
    <s v="GD260702"/>
    <d v="2026-07-13T00:00:00"/>
    <m/>
    <s v="8AM-5PM"/>
    <d v="1899-12-30T07:28:00"/>
    <d v="1899-12-30T19:02:00"/>
    <s v="A"/>
    <n v="8"/>
    <n v="2"/>
    <m/>
    <m/>
    <m/>
    <m/>
    <m/>
    <m/>
    <m/>
    <m/>
    <m/>
    <m/>
    <m/>
    <m/>
    <m/>
  </r>
  <r>
    <x v="85"/>
    <s v="GD260702"/>
    <s v="PRADO, MARY GRACE "/>
    <s v="GD260702"/>
    <d v="2026-07-14T00:00:00"/>
    <m/>
    <s v="8AM-5PM"/>
    <d v="1899-12-30T07:36:00"/>
    <d v="1899-12-30T19:01:00"/>
    <s v="A"/>
    <n v="8"/>
    <n v="2"/>
    <m/>
    <m/>
    <m/>
    <m/>
    <m/>
    <m/>
    <m/>
    <m/>
    <m/>
    <m/>
    <m/>
    <m/>
    <m/>
  </r>
  <r>
    <x v="85"/>
    <s v="GD260702"/>
    <s v="PRADO, MARY GRACE "/>
    <s v="GD260702"/>
    <d v="2026-07-15T00:00:00"/>
    <m/>
    <s v="8AM-5PM"/>
    <d v="1899-12-30T07:34:00"/>
    <d v="1899-12-30T17:02:00"/>
    <s v="A"/>
    <n v="8"/>
    <m/>
    <m/>
    <m/>
    <m/>
    <m/>
    <m/>
    <m/>
    <m/>
    <m/>
    <m/>
    <m/>
    <m/>
    <m/>
    <m/>
  </r>
  <r>
    <x v="85"/>
    <s v="GD260702"/>
    <s v="PRADO, MARY GRACE "/>
    <s v="GD260702"/>
    <d v="2026-07-16T00:00:00"/>
    <m/>
    <s v="8AM-5PM"/>
    <d v="1899-12-30T07:35:00"/>
    <d v="1899-12-30T19:02:00"/>
    <s v="A"/>
    <n v="8"/>
    <n v="2"/>
    <m/>
    <m/>
    <m/>
    <m/>
    <m/>
    <m/>
    <m/>
    <m/>
    <m/>
    <m/>
    <m/>
    <m/>
    <m/>
  </r>
  <r>
    <x v="85"/>
    <s v="GD260702"/>
    <s v="PRADO, MARY GRACE "/>
    <s v="GD260702"/>
    <d v="2026-07-17T00:00:00"/>
    <m/>
    <s v="8AM-5PM"/>
    <d v="1899-12-30T07:38:00"/>
    <d v="1899-12-30T17:02:00"/>
    <s v="A"/>
    <n v="8"/>
    <m/>
    <m/>
    <m/>
    <m/>
    <m/>
    <m/>
    <m/>
    <m/>
    <m/>
    <m/>
    <m/>
    <m/>
    <m/>
    <m/>
  </r>
  <r>
    <x v="85"/>
    <s v="GD260702"/>
    <s v="PRADO, MARY GRACE "/>
    <s v="GD260702"/>
    <d v="2026-07-18T00:00:00"/>
    <m/>
    <s v="8AM-5PM"/>
    <d v="1899-12-30T07:40:00"/>
    <d v="1899-12-30T17:02:00"/>
    <s v="A"/>
    <n v="8"/>
    <m/>
    <m/>
    <m/>
    <m/>
    <m/>
    <m/>
    <m/>
    <m/>
    <m/>
    <m/>
    <m/>
    <m/>
    <m/>
    <m/>
  </r>
  <r>
    <x v="85"/>
    <s v="GD260702"/>
    <s v="PRADO, MARY GRACE "/>
    <s v="GD260702"/>
    <d v="2026-07-19T00:00:00"/>
    <m/>
    <m/>
    <s v="SUNDAY"/>
    <m/>
    <m/>
    <m/>
    <m/>
    <m/>
    <m/>
    <m/>
    <m/>
    <m/>
    <m/>
    <m/>
    <m/>
    <m/>
    <m/>
    <m/>
    <m/>
    <m/>
  </r>
  <r>
    <x v="85"/>
    <s v="GD260702"/>
    <s v="PRADO, MARY GRACE "/>
    <s v="GD260702"/>
    <d v="2026-07-20T00:00:00"/>
    <m/>
    <s v="8AM-5PM"/>
    <d v="1899-12-30T07:38:00"/>
    <d v="1899-12-30T17:01:00"/>
    <s v="A"/>
    <n v="8"/>
    <m/>
    <m/>
    <m/>
    <m/>
    <m/>
    <m/>
    <m/>
    <m/>
    <m/>
    <m/>
    <m/>
    <m/>
    <m/>
    <m/>
  </r>
  <r>
    <x v="85"/>
    <s v="GD260702"/>
    <s v="PRADO, MARY GRACE "/>
    <s v="GD260702"/>
    <d v="2026-07-21T00:00:00"/>
    <m/>
    <s v="8AM-5PM"/>
    <d v="1899-12-30T07:39:00"/>
    <d v="1899-12-30T19:02:00"/>
    <s v="A"/>
    <n v="8"/>
    <n v="2"/>
    <m/>
    <m/>
    <m/>
    <m/>
    <m/>
    <m/>
    <m/>
    <m/>
    <m/>
    <m/>
    <m/>
    <m/>
    <m/>
  </r>
  <r>
    <x v="85"/>
    <s v="GD260702"/>
    <s v="PRADO, MARY GRACE "/>
    <s v="GD260702"/>
    <d v="2026-07-22T00:00:00"/>
    <m/>
    <s v="8AM-5PM"/>
    <d v="1899-12-30T07:34:00"/>
    <d v="1899-12-30T19:02:00"/>
    <s v="A"/>
    <n v="8"/>
    <n v="2"/>
    <m/>
    <m/>
    <m/>
    <m/>
    <m/>
    <m/>
    <m/>
    <m/>
    <m/>
    <m/>
    <m/>
    <m/>
    <m/>
  </r>
  <r>
    <x v="85"/>
    <s v="GD260702"/>
    <s v="PRADO, MARY GRACE "/>
    <s v="GD260702"/>
    <d v="2026-07-23T00:00:00"/>
    <m/>
    <s v="8AM-5PM"/>
    <d v="1899-12-30T07:33:00"/>
    <d v="1899-12-30T19:03:00"/>
    <s v="A"/>
    <n v="8"/>
    <n v="2"/>
    <m/>
    <m/>
    <m/>
    <m/>
    <m/>
    <m/>
    <m/>
    <m/>
    <m/>
    <m/>
    <m/>
    <m/>
    <m/>
  </r>
  <r>
    <x v="85"/>
    <s v="GD260702"/>
    <s v="PRADO, MARY GRACE "/>
    <s v="GD260702"/>
    <d v="2026-07-24T00:00:00"/>
    <m/>
    <s v="8AM-5PM"/>
    <d v="1899-12-30T07:34:00"/>
    <d v="1899-12-30T17:03:00"/>
    <s v="A"/>
    <n v="8"/>
    <m/>
    <m/>
    <m/>
    <m/>
    <m/>
    <m/>
    <m/>
    <m/>
    <m/>
    <m/>
    <m/>
    <m/>
    <m/>
    <m/>
  </r>
  <r>
    <x v="85"/>
    <s v="GD260702"/>
    <s v="PRADO, MARY GRACE "/>
    <s v="GD26070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6"/>
    <s v="GD260703"/>
    <s v="MANLONGAT, AMYLITA JAMILLA"/>
    <s v="GD260703"/>
    <d v="2026-07-11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86"/>
    <s v="GD260703"/>
    <s v="MANLONGAT, AMYLITA JAMILLA"/>
    <s v="GD260703"/>
    <d v="2026-07-12T00:00:00"/>
    <m/>
    <m/>
    <m/>
    <m/>
    <m/>
    <m/>
    <m/>
    <m/>
    <m/>
    <m/>
    <m/>
    <m/>
    <m/>
    <m/>
    <m/>
    <m/>
    <m/>
    <m/>
    <m/>
    <m/>
  </r>
  <r>
    <x v="86"/>
    <s v="GD260703"/>
    <s v="MANLONGAT, AMYLITA JAMILLA"/>
    <s v="GD260703"/>
    <d v="2026-07-13T00:00:00"/>
    <m/>
    <s v="8AM-5PM"/>
    <d v="1899-12-30T07:35:00"/>
    <d v="1899-12-30T19:00:00"/>
    <s v="A"/>
    <n v="8"/>
    <n v="2"/>
    <m/>
    <m/>
    <m/>
    <m/>
    <m/>
    <m/>
    <m/>
    <m/>
    <m/>
    <m/>
    <m/>
    <m/>
    <m/>
  </r>
  <r>
    <x v="86"/>
    <s v="GD260703"/>
    <s v="MANLONGAT, AMYLITA JAMILLA"/>
    <s v="GD260703"/>
    <d v="2026-07-14T00:00:00"/>
    <m/>
    <s v="8AM-5PM"/>
    <d v="1899-12-30T06:55:00"/>
    <d v="1899-12-30T19:02:00"/>
    <s v="A"/>
    <n v="8"/>
    <n v="2"/>
    <m/>
    <m/>
    <m/>
    <m/>
    <m/>
    <m/>
    <m/>
    <m/>
    <m/>
    <m/>
    <m/>
    <m/>
    <m/>
  </r>
  <r>
    <x v="86"/>
    <s v="GD260703"/>
    <s v="MANLONGAT, AMYLITA JAMILLA"/>
    <s v="GD260703"/>
    <d v="2026-07-15T00:00:00"/>
    <m/>
    <s v="8AM-5PM"/>
    <d v="1899-12-30T07:23:00"/>
    <d v="1899-12-30T19:02:00"/>
    <s v="A"/>
    <n v="8"/>
    <n v="2"/>
    <m/>
    <m/>
    <m/>
    <m/>
    <m/>
    <m/>
    <m/>
    <m/>
    <m/>
    <m/>
    <m/>
    <m/>
    <m/>
  </r>
  <r>
    <x v="86"/>
    <s v="GD260703"/>
    <s v="MANLONGAT, AMYLITA JAMILLA"/>
    <s v="GD260703"/>
    <d v="2026-07-16T00:00:00"/>
    <m/>
    <s v="8AM-5PM"/>
    <d v="1899-12-30T07:23:00"/>
    <d v="1899-12-30T19:02:00"/>
    <s v="A"/>
    <n v="8"/>
    <n v="2"/>
    <m/>
    <m/>
    <m/>
    <m/>
    <m/>
    <m/>
    <m/>
    <m/>
    <m/>
    <m/>
    <m/>
    <m/>
    <m/>
  </r>
  <r>
    <x v="86"/>
    <s v="GD260703"/>
    <s v="MANLONGAT, AMYLITA JAMILLA"/>
    <s v="GD260703"/>
    <d v="2026-07-17T00:00:00"/>
    <m/>
    <s v="8AM-5PM"/>
    <d v="1899-12-30T07:22:00"/>
    <d v="1899-12-30T17:02:00"/>
    <s v="A"/>
    <n v="8"/>
    <m/>
    <m/>
    <m/>
    <m/>
    <m/>
    <m/>
    <m/>
    <m/>
    <m/>
    <m/>
    <m/>
    <m/>
    <m/>
    <m/>
  </r>
  <r>
    <x v="86"/>
    <s v="GD260703"/>
    <s v="MANLONGAT, AMYLITA JAMILLA"/>
    <s v="GD260703"/>
    <d v="2026-07-18T00:00:00"/>
    <m/>
    <s v="8AM-5PM"/>
    <d v="1899-12-30T07:19:00"/>
    <d v="1899-12-30T17:03:00"/>
    <s v="A"/>
    <n v="8"/>
    <m/>
    <m/>
    <m/>
    <m/>
    <m/>
    <m/>
    <m/>
    <m/>
    <m/>
    <m/>
    <m/>
    <m/>
    <m/>
    <m/>
  </r>
  <r>
    <x v="86"/>
    <s v="GD260703"/>
    <s v="MANLONGAT, AMYLITA JAMILLA"/>
    <s v="GD260703"/>
    <d v="2026-07-19T00:00:00"/>
    <m/>
    <m/>
    <s v="SUNDAY"/>
    <m/>
    <m/>
    <m/>
    <m/>
    <m/>
    <m/>
    <m/>
    <m/>
    <m/>
    <m/>
    <m/>
    <m/>
    <m/>
    <m/>
    <m/>
    <m/>
    <m/>
  </r>
  <r>
    <x v="86"/>
    <s v="GD260703"/>
    <s v="MANLONGAT, AMYLITA JAMILLA"/>
    <s v="GD260703"/>
    <d v="2026-07-20T00:00:00"/>
    <m/>
    <s v="8AM-5PM"/>
    <d v="1899-12-30T07:18:00"/>
    <d v="1899-12-30T17:01:00"/>
    <s v="A"/>
    <n v="8"/>
    <m/>
    <m/>
    <m/>
    <m/>
    <m/>
    <m/>
    <m/>
    <m/>
    <m/>
    <m/>
    <m/>
    <m/>
    <m/>
    <m/>
  </r>
  <r>
    <x v="86"/>
    <s v="GD260703"/>
    <s v="MANLONGAT, AMYLITA JAMILLA"/>
    <s v="GD260703"/>
    <d v="2026-07-21T00:00:00"/>
    <m/>
    <s v="8AM-5PM"/>
    <d v="1899-12-30T07:28:00"/>
    <d v="1899-12-30T19:03:00"/>
    <s v="A"/>
    <n v="8"/>
    <n v="2"/>
    <m/>
    <m/>
    <m/>
    <m/>
    <m/>
    <m/>
    <m/>
    <m/>
    <m/>
    <m/>
    <m/>
    <m/>
    <m/>
  </r>
  <r>
    <x v="86"/>
    <s v="GD260703"/>
    <s v="MANLONGAT, AMYLITA JAMILLA"/>
    <s v="GD260703"/>
    <d v="2026-07-22T00:00:00"/>
    <m/>
    <s v="8AM-5PM"/>
    <d v="1899-12-30T07:23:00"/>
    <d v="1899-12-30T17:03:00"/>
    <s v="A"/>
    <n v="8"/>
    <m/>
    <m/>
    <m/>
    <m/>
    <m/>
    <m/>
    <m/>
    <m/>
    <m/>
    <m/>
    <m/>
    <m/>
    <m/>
    <m/>
  </r>
  <r>
    <x v="86"/>
    <s v="GD260703"/>
    <s v="MANLONGAT, AMYLITA JAMILLA"/>
    <s v="GD260703"/>
    <d v="2026-07-23T00:00:00"/>
    <m/>
    <s v="8AM-5PM"/>
    <d v="1899-12-30T07:21:00"/>
    <d v="1899-12-30T19:02:00"/>
    <s v="A"/>
    <n v="8"/>
    <n v="2"/>
    <m/>
    <m/>
    <m/>
    <m/>
    <m/>
    <m/>
    <m/>
    <m/>
    <m/>
    <m/>
    <m/>
    <m/>
    <m/>
  </r>
  <r>
    <x v="86"/>
    <s v="GD260703"/>
    <s v="MANLONGAT, AMYLITA JAMILLA"/>
    <s v="GD260703"/>
    <d v="2026-07-24T00:00:00"/>
    <m/>
    <s v="8AM-5PM"/>
    <d v="1899-12-30T07:30:00"/>
    <d v="1899-12-30T17:03:00"/>
    <s v="A"/>
    <n v="8"/>
    <m/>
    <m/>
    <m/>
    <m/>
    <m/>
    <m/>
    <m/>
    <m/>
    <m/>
    <m/>
    <m/>
    <m/>
    <m/>
    <m/>
  </r>
  <r>
    <x v="86"/>
    <s v="GD260703"/>
    <s v="MANLONGAT, AMYLITA JAMILLA"/>
    <s v="GD260703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7"/>
    <s v="GD260704"/>
    <s v="PUNZALAN, ANGELICA MAE"/>
    <s v="GD260704"/>
    <d v="2026-07-11T00:00:00"/>
    <m/>
    <s v="8AM-5PM"/>
    <d v="1899-12-30T07:27:00"/>
    <d v="1899-12-30T17:04:00"/>
    <s v="A"/>
    <n v="8"/>
    <m/>
    <m/>
    <m/>
    <m/>
    <m/>
    <m/>
    <m/>
    <m/>
    <m/>
    <m/>
    <m/>
    <m/>
    <m/>
    <m/>
  </r>
  <r>
    <x v="87"/>
    <s v="GD260704"/>
    <s v="PUNZALAN, ANGELICA MAE"/>
    <s v="GD260704"/>
    <d v="2026-07-12T00:00:00"/>
    <m/>
    <m/>
    <s v="SUNDAY"/>
    <m/>
    <m/>
    <m/>
    <m/>
    <m/>
    <m/>
    <m/>
    <m/>
    <m/>
    <m/>
    <m/>
    <m/>
    <m/>
    <m/>
    <m/>
    <m/>
    <m/>
  </r>
  <r>
    <x v="87"/>
    <s v="GD260704"/>
    <s v="PUNZALAN, ANGELICA MAE"/>
    <s v="GD260704"/>
    <d v="2026-07-13T00:00:00"/>
    <m/>
    <s v="8AM-5PM"/>
    <d v="1899-12-30T07:40:00"/>
    <d v="1899-12-30T19:02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14T00:00:00"/>
    <m/>
    <s v="8AM-5PM"/>
    <d v="1899-12-30T07:53:00"/>
    <d v="1899-12-30T19:01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15T00:00:00"/>
    <m/>
    <s v="8AM-5PM"/>
    <d v="1899-12-30T07:39:00"/>
    <d v="1899-12-30T19:02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16T00:00:00"/>
    <m/>
    <s v="8AM-5PM"/>
    <d v="1899-12-30T07:42:00"/>
    <d v="1899-12-30T19:02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17T00:00:00"/>
    <m/>
    <s v="8AM-5PM"/>
    <d v="1899-12-30T07:38:00"/>
    <d v="1899-12-30T17:02:00"/>
    <s v="A"/>
    <n v="8"/>
    <m/>
    <m/>
    <m/>
    <m/>
    <m/>
    <m/>
    <m/>
    <m/>
    <m/>
    <m/>
    <m/>
    <m/>
    <m/>
    <m/>
  </r>
  <r>
    <x v="87"/>
    <s v="GD260704"/>
    <s v="PUNZALAN, ANGELICA MAE"/>
    <s v="GD260704"/>
    <d v="2026-07-18T00:00:00"/>
    <m/>
    <s v="8AM-5PM"/>
    <d v="1899-12-30T07:54:00"/>
    <d v="1899-12-30T17:02:00"/>
    <s v="A"/>
    <n v="8"/>
    <m/>
    <m/>
    <m/>
    <m/>
    <m/>
    <m/>
    <m/>
    <m/>
    <m/>
    <m/>
    <m/>
    <m/>
    <m/>
    <m/>
  </r>
  <r>
    <x v="87"/>
    <s v="GD260704"/>
    <s v="PUNZALAN, ANGELICA MAE"/>
    <s v="GD260704"/>
    <d v="2026-07-19T00:00:00"/>
    <m/>
    <m/>
    <s v="SUNDAY"/>
    <m/>
    <m/>
    <m/>
    <m/>
    <m/>
    <m/>
    <m/>
    <m/>
    <m/>
    <m/>
    <m/>
    <m/>
    <m/>
    <m/>
    <m/>
    <m/>
    <m/>
  </r>
  <r>
    <x v="87"/>
    <s v="GD260704"/>
    <s v="PUNZALAN, ANGELICA MAE"/>
    <s v="GD260704"/>
    <d v="2026-07-20T00:00:00"/>
    <m/>
    <s v="8AM-5PM"/>
    <d v="1899-12-30T07:38:00"/>
    <d v="1899-12-30T19:02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21T00:00:00"/>
    <m/>
    <s v="8AM-5PM"/>
    <d v="1899-12-30T07:38:00"/>
    <d v="1899-12-30T19:02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22T00:00:00"/>
    <m/>
    <s v="8AM-5PM"/>
    <d v="1899-12-30T07:41:00"/>
    <d v="1899-12-30T19:02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23T00:00:00"/>
    <m/>
    <s v="8AM-5PM"/>
    <d v="1899-12-30T07:33:00"/>
    <d v="1899-12-30T19:03:00"/>
    <s v="A"/>
    <n v="8"/>
    <n v="2"/>
    <m/>
    <m/>
    <m/>
    <m/>
    <m/>
    <m/>
    <m/>
    <m/>
    <m/>
    <m/>
    <m/>
    <m/>
    <m/>
  </r>
  <r>
    <x v="87"/>
    <s v="GD260704"/>
    <s v="PUNZALAN, ANGELICA MAE"/>
    <s v="GD260704"/>
    <d v="2026-07-24T00:00:00"/>
    <m/>
    <s v="8AM-5PM"/>
    <d v="1899-12-30T07:45:00"/>
    <d v="1899-12-30T17:03:00"/>
    <s v="A"/>
    <n v="8"/>
    <m/>
    <m/>
    <m/>
    <m/>
    <m/>
    <m/>
    <m/>
    <m/>
    <m/>
    <m/>
    <m/>
    <m/>
    <m/>
    <m/>
  </r>
  <r>
    <x v="87"/>
    <s v="GD260704"/>
    <s v="PUNZALAN, ANGELICA MAE"/>
    <s v="GD260704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6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8"/>
    <s v="GD260705"/>
    <s v="ORTIZ, NEOMIE"/>
    <s v="GD260705"/>
    <d v="2026-07-11T00:00:00"/>
    <m/>
    <s v="8AM-5PM"/>
    <d v="1899-12-30T07:37:00"/>
    <d v="1899-12-30T17:03:00"/>
    <s v="A"/>
    <n v="8"/>
    <m/>
    <m/>
    <m/>
    <m/>
    <m/>
    <m/>
    <m/>
    <m/>
    <m/>
    <m/>
    <m/>
    <m/>
    <m/>
    <m/>
  </r>
  <r>
    <x v="88"/>
    <s v="GD260705"/>
    <s v="ORTIZ, NEOMIE"/>
    <s v="GD260705"/>
    <d v="2026-07-12T00:00:00"/>
    <m/>
    <m/>
    <s v="SUNDAY"/>
    <m/>
    <m/>
    <m/>
    <m/>
    <m/>
    <m/>
    <m/>
    <m/>
    <m/>
    <m/>
    <m/>
    <m/>
    <m/>
    <m/>
    <m/>
    <m/>
    <m/>
  </r>
  <r>
    <x v="88"/>
    <s v="GD260705"/>
    <s v="ORTIZ, NEOMIE"/>
    <s v="GD260705"/>
    <d v="2026-07-13T00:00:00"/>
    <m/>
    <s v="8AM-5PM"/>
    <d v="1899-12-30T07:28:00"/>
    <d v="1899-12-30T17:00:00"/>
    <s v="A"/>
    <n v="8"/>
    <m/>
    <m/>
    <m/>
    <m/>
    <m/>
    <m/>
    <m/>
    <m/>
    <m/>
    <m/>
    <m/>
    <m/>
    <m/>
    <m/>
  </r>
  <r>
    <x v="88"/>
    <s v="GD260705"/>
    <s v="ORTIZ, NEOMIE"/>
    <s v="GD260705"/>
    <d v="2026-07-14T00:00:00"/>
    <m/>
    <s v="8AM-5PM"/>
    <d v="1899-12-30T07:36:00"/>
    <d v="1899-12-30T19:02:00"/>
    <s v="A"/>
    <n v="8"/>
    <n v="2"/>
    <m/>
    <m/>
    <m/>
    <m/>
    <m/>
    <m/>
    <m/>
    <m/>
    <m/>
    <m/>
    <m/>
    <m/>
    <m/>
  </r>
  <r>
    <x v="88"/>
    <s v="GD260705"/>
    <s v="ORTIZ, NEOMIE"/>
    <s v="GD260705"/>
    <d v="2026-07-15T00:00:00"/>
    <m/>
    <s v="8AM-5PM"/>
    <d v="1899-12-30T07:34:00"/>
    <d v="1899-12-30T19:02:00"/>
    <s v="A"/>
    <n v="8"/>
    <n v="2"/>
    <m/>
    <m/>
    <m/>
    <m/>
    <m/>
    <m/>
    <m/>
    <m/>
    <m/>
    <m/>
    <m/>
    <m/>
    <m/>
  </r>
  <r>
    <x v="88"/>
    <s v="GD260705"/>
    <s v="ORTIZ, NEOMIE"/>
    <s v="GD260705"/>
    <d v="2026-07-16T00:00:00"/>
    <m/>
    <s v="8AM-5PM"/>
    <d v="1899-12-30T07:35:00"/>
    <d v="1899-12-30T19:02:00"/>
    <s v="A"/>
    <n v="8"/>
    <n v="2"/>
    <m/>
    <m/>
    <m/>
    <m/>
    <m/>
    <m/>
    <m/>
    <m/>
    <m/>
    <m/>
    <m/>
    <m/>
    <m/>
  </r>
  <r>
    <x v="88"/>
    <s v="GD260705"/>
    <s v="ORTIZ, NEOMIE"/>
    <s v="GD260705"/>
    <d v="2026-07-17T00:00:00"/>
    <m/>
    <s v="8AM-5PM"/>
    <d v="1899-12-30T07:38:00"/>
    <d v="1899-12-30T17:02:00"/>
    <s v="A"/>
    <n v="8"/>
    <m/>
    <m/>
    <m/>
    <m/>
    <m/>
    <m/>
    <m/>
    <m/>
    <m/>
    <m/>
    <m/>
    <m/>
    <m/>
    <m/>
  </r>
  <r>
    <x v="88"/>
    <s v="GD260705"/>
    <s v="ORTIZ, NEOMIE"/>
    <s v="GD260705"/>
    <d v="2026-07-18T00:00:00"/>
    <m/>
    <s v="8AM-5PM"/>
    <d v="1899-12-30T07:40:00"/>
    <d v="1899-12-30T17:03:00"/>
    <s v="A"/>
    <n v="8"/>
    <m/>
    <m/>
    <m/>
    <m/>
    <m/>
    <m/>
    <m/>
    <m/>
    <m/>
    <m/>
    <m/>
    <m/>
    <m/>
    <m/>
  </r>
  <r>
    <x v="88"/>
    <s v="GD260705"/>
    <s v="ORTIZ, NEOMIE"/>
    <s v="GD260705"/>
    <d v="2026-07-19T00:00:00"/>
    <m/>
    <m/>
    <s v="SUNDAY"/>
    <m/>
    <m/>
    <m/>
    <m/>
    <m/>
    <m/>
    <m/>
    <m/>
    <m/>
    <m/>
    <m/>
    <m/>
    <m/>
    <m/>
    <m/>
    <m/>
    <m/>
  </r>
  <r>
    <x v="88"/>
    <s v="GD260705"/>
    <s v="ORTIZ, NEOMIE"/>
    <s v="GD260705"/>
    <d v="2026-07-20T00:00:00"/>
    <m/>
    <s v="8AM-5PM"/>
    <d v="1899-12-30T07:39:00"/>
    <d v="1899-12-30T19:02:00"/>
    <s v="A"/>
    <n v="8"/>
    <n v="2"/>
    <m/>
    <m/>
    <m/>
    <m/>
    <m/>
    <m/>
    <m/>
    <m/>
    <m/>
    <m/>
    <m/>
    <m/>
    <m/>
  </r>
  <r>
    <x v="88"/>
    <s v="GD260705"/>
    <s v="ORTIZ, NEOMIE"/>
    <s v="GD260705"/>
    <d v="2026-07-21T00:00:00"/>
    <m/>
    <s v="8AM-5PM"/>
    <d v="1899-12-30T07:38:00"/>
    <d v="1899-12-30T17:02:00"/>
    <s v="A"/>
    <n v="8"/>
    <m/>
    <m/>
    <m/>
    <m/>
    <m/>
    <m/>
    <m/>
    <m/>
    <m/>
    <m/>
    <m/>
    <m/>
    <m/>
    <m/>
  </r>
  <r>
    <x v="88"/>
    <s v="GD260705"/>
    <s v="ORTIZ, NEOMIE"/>
    <s v="GD260705"/>
    <d v="2026-07-22T00:00:00"/>
    <m/>
    <s v="8AM-5PM"/>
    <d v="1899-12-30T07:34:00"/>
    <d v="1899-12-30T19:02:00"/>
    <s v="A"/>
    <n v="8"/>
    <n v="2"/>
    <m/>
    <m/>
    <m/>
    <m/>
    <m/>
    <m/>
    <m/>
    <m/>
    <m/>
    <m/>
    <m/>
    <m/>
    <m/>
  </r>
  <r>
    <x v="88"/>
    <s v="GD260705"/>
    <s v="ORTIZ, NEOMIE"/>
    <s v="GD260705"/>
    <d v="2026-07-23T00:00:00"/>
    <m/>
    <s v="8AM-5PM"/>
    <d v="1899-12-30T07:33:00"/>
    <d v="1899-12-30T19:03:00"/>
    <s v="A"/>
    <n v="8"/>
    <n v="2"/>
    <m/>
    <m/>
    <m/>
    <m/>
    <m/>
    <m/>
    <m/>
    <m/>
    <m/>
    <m/>
    <m/>
    <m/>
    <m/>
  </r>
  <r>
    <x v="88"/>
    <s v="GD260705"/>
    <s v="ORTIZ, NEOMIE"/>
    <s v="GD260705"/>
    <d v="2026-07-24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88"/>
    <s v="GD260705"/>
    <s v="ORTIZ, NEOMIE"/>
    <s v="GD26070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89"/>
    <s v="GD250332"/>
    <s v="Cerda, Josephine Tirados"/>
    <s v="GD250332"/>
    <d v="2026-07-11T00:00:00"/>
    <m/>
    <s v="8AM-5PM"/>
    <d v="1899-12-30T07:51:00"/>
    <d v="1899-12-30T17:00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2T00:00:00"/>
    <m/>
    <m/>
    <s v="SUNDAY"/>
    <m/>
    <m/>
    <m/>
    <m/>
    <m/>
    <m/>
    <m/>
    <m/>
    <m/>
    <m/>
    <m/>
    <m/>
    <m/>
    <m/>
    <m/>
    <m/>
    <m/>
  </r>
  <r>
    <x v="89"/>
    <s v="GD250332"/>
    <s v="Cerda, Josephine Tirados"/>
    <s v="GD250332"/>
    <d v="2026-07-13T00:00:00"/>
    <m/>
    <s v="8AM-5PM"/>
    <d v="1899-12-30T07:52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4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5T00:00:00"/>
    <m/>
    <s v="8AM-5PM"/>
    <d v="1899-12-30T07:46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6T00:00:00"/>
    <m/>
    <s v="8AM-5PM"/>
    <d v="1899-12-30T07:42:00"/>
    <d v="1899-12-30T17:03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7T00:00:00"/>
    <m/>
    <s v="8AM-5PM"/>
    <d v="1899-12-30T07:38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8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19T00:00:00"/>
    <m/>
    <m/>
    <s v="SUNDAY"/>
    <m/>
    <m/>
    <m/>
    <m/>
    <m/>
    <m/>
    <m/>
    <m/>
    <m/>
    <m/>
    <m/>
    <m/>
    <m/>
    <m/>
    <m/>
    <m/>
    <m/>
  </r>
  <r>
    <x v="89"/>
    <s v="GD250332"/>
    <s v="Cerda, Josephine Tirados"/>
    <s v="GD250332"/>
    <d v="2026-07-20T00:00:00"/>
    <m/>
    <s v="8AM-5PM"/>
    <d v="1899-12-30T07:48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21T00:00:00"/>
    <m/>
    <s v="8AM-5PM"/>
    <m/>
    <m/>
    <m/>
    <m/>
    <m/>
    <m/>
    <m/>
    <m/>
    <m/>
    <m/>
    <m/>
    <m/>
    <m/>
    <m/>
    <m/>
    <m/>
    <m/>
    <m/>
  </r>
  <r>
    <x v="89"/>
    <s v="GD250332"/>
    <s v="Cerda, Josephine Tirados"/>
    <s v="GD250332"/>
    <d v="2026-07-22T00:00:00"/>
    <m/>
    <s v="8AM-5PM"/>
    <m/>
    <m/>
    <m/>
    <m/>
    <m/>
    <m/>
    <m/>
    <m/>
    <m/>
    <m/>
    <m/>
    <m/>
    <m/>
    <m/>
    <m/>
    <m/>
    <m/>
    <m/>
  </r>
  <r>
    <x v="89"/>
    <s v="GD250332"/>
    <s v="Cerda, Josephine Tirados"/>
    <s v="GD250332"/>
    <d v="2026-07-23T00:00:00"/>
    <m/>
    <s v="8AM-5PM"/>
    <d v="1899-12-30T07:49:00"/>
    <d v="1899-12-30T17:03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24T00:00:00"/>
    <m/>
    <s v="8AM-5PM"/>
    <d v="1899-12-30T07:45:00"/>
    <d v="1899-12-30T17:01:00"/>
    <s v="A"/>
    <n v="8"/>
    <m/>
    <m/>
    <m/>
    <m/>
    <m/>
    <m/>
    <m/>
    <m/>
    <m/>
    <m/>
    <m/>
    <m/>
    <m/>
    <m/>
  </r>
  <r>
    <x v="89"/>
    <s v="GD250332"/>
    <s v="Cerda, Josephine Tirados"/>
    <s v="GD250332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80"/>
    <n v="0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90"/>
    <s v="GD250225"/>
    <s v="Dueñas, Mannex Alvendia"/>
    <s v="GD250225"/>
    <d v="2026-07-11T00:00:00"/>
    <m/>
    <s v="8AM-5PM"/>
    <d v="1899-12-30T07:43:00"/>
    <d v="1899-12-30T17:01:00"/>
    <s v="A"/>
    <n v="8"/>
    <m/>
    <m/>
    <m/>
    <m/>
    <m/>
    <m/>
    <m/>
    <m/>
    <m/>
    <m/>
    <m/>
    <m/>
    <m/>
    <m/>
  </r>
  <r>
    <x v="90"/>
    <s v="GD250225"/>
    <s v="Dueñas, Mannex Alvendia"/>
    <s v="GD250225"/>
    <d v="2026-07-12T00:00:00"/>
    <m/>
    <m/>
    <m/>
    <m/>
    <m/>
    <m/>
    <m/>
    <m/>
    <m/>
    <m/>
    <m/>
    <m/>
    <m/>
    <m/>
    <m/>
    <m/>
    <m/>
    <m/>
    <m/>
    <m/>
  </r>
  <r>
    <x v="90"/>
    <s v="GD250225"/>
    <s v="Dueñas, Mannex Alvendia"/>
    <s v="GD250225"/>
    <d v="2026-07-13T00:00:00"/>
    <m/>
    <s v="7PM-4AM"/>
    <d v="1899-12-30T18:41:00"/>
    <d v="1899-12-30T06:02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14T00:00:00"/>
    <m/>
    <s v="7PM-4AM"/>
    <d v="1899-12-30T18:43:00"/>
    <d v="1899-12-30T06:03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15T00:00:00"/>
    <m/>
    <s v="7PM-4AM"/>
    <d v="1899-12-30T18:36:00"/>
    <d v="1899-12-30T06:01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16T00:00:00"/>
    <m/>
    <s v="7PM-4AM"/>
    <d v="1899-12-30T18:40:00"/>
    <d v="1899-12-30T06:02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17T00:00:00"/>
    <m/>
    <s v="7PM-4AM"/>
    <d v="1899-12-30T18:36:00"/>
    <d v="1899-12-30T06:01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18T00:00:00"/>
    <m/>
    <s v="7PM-4AM"/>
    <d v="1899-12-30T18:39:00"/>
    <d v="1899-12-30T04:02:00"/>
    <s v="B"/>
    <n v="8"/>
    <m/>
    <n v="6"/>
    <m/>
    <m/>
    <m/>
    <m/>
    <m/>
    <m/>
    <m/>
    <m/>
    <m/>
    <m/>
    <m/>
    <m/>
  </r>
  <r>
    <x v="90"/>
    <s v="GD250225"/>
    <s v="Dueñas, Mannex Alvendia"/>
    <s v="GD250225"/>
    <d v="2026-07-19T00:00:00"/>
    <m/>
    <m/>
    <s v="SUNDAY"/>
    <m/>
    <m/>
    <m/>
    <m/>
    <m/>
    <m/>
    <m/>
    <m/>
    <m/>
    <m/>
    <m/>
    <m/>
    <m/>
    <m/>
    <m/>
    <m/>
    <m/>
  </r>
  <r>
    <x v="90"/>
    <s v="GD250225"/>
    <s v="Dueñas, Mannex Alvendia"/>
    <s v="GD250225"/>
    <d v="2026-07-20T00:00:00"/>
    <m/>
    <s v="7PM-4AM"/>
    <d v="1899-12-30T18:27:00"/>
    <d v="1899-12-30T06:02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21T00:00:00"/>
    <m/>
    <s v="7PM-4AM"/>
    <d v="1899-12-30T18:21:00"/>
    <d v="1899-12-30T04:01:00"/>
    <s v="B"/>
    <n v="8"/>
    <m/>
    <n v="6"/>
    <m/>
    <m/>
    <m/>
    <m/>
    <m/>
    <m/>
    <m/>
    <m/>
    <m/>
    <m/>
    <m/>
    <m/>
  </r>
  <r>
    <x v="90"/>
    <s v="GD250225"/>
    <s v="Dueñas, Mannex Alvendia"/>
    <s v="GD250225"/>
    <d v="2026-07-22T00:00:00"/>
    <m/>
    <s v="7PM-4AM"/>
    <d v="1899-12-30T18:39:00"/>
    <d v="1899-12-30T06:01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23T00:00:00"/>
    <m/>
    <s v="7PM-4AM"/>
    <d v="1899-12-30T18:40:00"/>
    <d v="1899-12-30T04:01:00"/>
    <s v="B"/>
    <n v="8"/>
    <m/>
    <n v="6"/>
    <m/>
    <m/>
    <m/>
    <m/>
    <m/>
    <m/>
    <m/>
    <m/>
    <m/>
    <m/>
    <m/>
    <m/>
  </r>
  <r>
    <x v="90"/>
    <s v="GD250225"/>
    <s v="Dueñas, Mannex Alvendia"/>
    <s v="GD250225"/>
    <d v="2026-07-24T00:00:00"/>
    <m/>
    <s v="7PM-4AM"/>
    <d v="1899-12-30T18:37:00"/>
    <d v="1899-12-30T06:01:00"/>
    <s v="B"/>
    <n v="8"/>
    <n v="2"/>
    <n v="6"/>
    <n v="2"/>
    <m/>
    <m/>
    <m/>
    <m/>
    <m/>
    <m/>
    <m/>
    <m/>
    <m/>
    <m/>
    <m/>
  </r>
  <r>
    <x v="90"/>
    <s v="GD250225"/>
    <s v="Dueñas, Mannex Alvendia"/>
    <s v="GD250225"/>
    <d v="2026-07-25T00:00:00"/>
    <m/>
    <s v="7PM-4A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6"/>
    <n v="66"/>
    <n v="16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91"/>
    <s v="GD250185"/>
    <s v="Capuno, Janarah Nicole Ical"/>
    <s v="GD250185"/>
    <d v="2026-07-11T00:00:00"/>
    <m/>
    <s v="8AM-5PM"/>
    <d v="1899-12-30T07:33:00"/>
    <d v="1899-12-30T17:03:00"/>
    <s v="A"/>
    <n v="8"/>
    <m/>
    <m/>
    <m/>
    <m/>
    <m/>
    <m/>
    <m/>
    <m/>
    <m/>
    <m/>
    <m/>
    <m/>
    <m/>
    <m/>
  </r>
  <r>
    <x v="91"/>
    <s v="GD250185"/>
    <s v="Capuno, Janarah Nicole Ical"/>
    <s v="GD250185"/>
    <d v="2026-07-12T00:00:00"/>
    <m/>
    <m/>
    <s v="SUNDAY"/>
    <m/>
    <m/>
    <m/>
    <m/>
    <m/>
    <m/>
    <m/>
    <m/>
    <m/>
    <m/>
    <m/>
    <m/>
    <m/>
    <m/>
    <m/>
    <m/>
    <m/>
  </r>
  <r>
    <x v="91"/>
    <s v="GD250185"/>
    <s v="Capuno, Janarah Nicole Ical"/>
    <s v="GD250185"/>
    <d v="2026-07-13T00:00:00"/>
    <m/>
    <s v="8AM-5PM"/>
    <d v="1899-12-30T07:38:00"/>
    <d v="1899-12-30T19:02:00"/>
    <s v="A"/>
    <n v="8"/>
    <n v="2"/>
    <m/>
    <m/>
    <m/>
    <m/>
    <m/>
    <m/>
    <m/>
    <m/>
    <m/>
    <m/>
    <m/>
    <m/>
    <m/>
  </r>
  <r>
    <x v="91"/>
    <s v="GD250185"/>
    <s v="Capuno, Janarah Nicole Ical"/>
    <s v="GD250185"/>
    <d v="2026-07-14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91"/>
    <s v="GD250185"/>
    <s v="Capuno, Janarah Nicole Ical"/>
    <s v="GD250185"/>
    <d v="2026-07-15T00:00:00"/>
    <m/>
    <s v="8AM-5PM"/>
    <d v="1899-12-30T07:34:00"/>
    <d v="1899-12-30T19:02:00"/>
    <s v="A"/>
    <n v="8"/>
    <n v="2"/>
    <m/>
    <m/>
    <m/>
    <m/>
    <m/>
    <m/>
    <m/>
    <m/>
    <m/>
    <m/>
    <m/>
    <m/>
    <m/>
  </r>
  <r>
    <x v="91"/>
    <s v="GD250185"/>
    <s v="Capuno, Janarah Nicole Ical"/>
    <s v="GD250185"/>
    <d v="2026-07-16T00:00:00"/>
    <m/>
    <s v="8AM-5PM"/>
    <d v="1899-12-30T07:33:00"/>
    <d v="1899-12-30T17:02:00"/>
    <s v="A"/>
    <n v="8"/>
    <m/>
    <m/>
    <m/>
    <m/>
    <m/>
    <m/>
    <m/>
    <m/>
    <m/>
    <m/>
    <m/>
    <m/>
    <m/>
    <m/>
  </r>
  <r>
    <x v="91"/>
    <s v="GD250185"/>
    <s v="Capuno, Janarah Nicole Ical"/>
    <s v="GD250185"/>
    <d v="2026-07-17T00:00:00"/>
    <m/>
    <s v="8AM-5PM"/>
    <d v="1899-12-30T07:37:00"/>
    <d v="1899-12-30T17:02:00"/>
    <s v="A"/>
    <n v="8"/>
    <m/>
    <m/>
    <m/>
    <m/>
    <m/>
    <m/>
    <m/>
    <m/>
    <m/>
    <m/>
    <m/>
    <m/>
    <m/>
    <m/>
  </r>
  <r>
    <x v="91"/>
    <s v="GD250185"/>
    <s v="Capuno, Janarah Nicole Ical"/>
    <s v="GD250185"/>
    <d v="2026-07-18T00:00:00"/>
    <m/>
    <s v="8AM-5PM"/>
    <d v="1899-12-30T07:55:00"/>
    <d v="1899-12-30T17:03:00"/>
    <s v="A"/>
    <n v="8"/>
    <m/>
    <m/>
    <m/>
    <m/>
    <m/>
    <m/>
    <m/>
    <m/>
    <m/>
    <m/>
    <m/>
    <m/>
    <m/>
    <m/>
  </r>
  <r>
    <x v="91"/>
    <s v="GD250185"/>
    <s v="Capuno, Janarah Nicole Ical"/>
    <s v="GD250185"/>
    <d v="2026-07-19T00:00:00"/>
    <m/>
    <m/>
    <s v="SUNDAY"/>
    <m/>
    <m/>
    <m/>
    <m/>
    <m/>
    <m/>
    <m/>
    <m/>
    <m/>
    <m/>
    <m/>
    <m/>
    <m/>
    <m/>
    <m/>
    <m/>
    <m/>
  </r>
  <r>
    <x v="91"/>
    <s v="GD250185"/>
    <s v="Capuno, Janarah Nicole Ical"/>
    <s v="GD250185"/>
    <d v="2026-07-20T00:00:00"/>
    <m/>
    <s v="8AM-5PM"/>
    <d v="1899-12-30T07:42:00"/>
    <d v="1899-12-30T19:04:00"/>
    <s v="A"/>
    <n v="8"/>
    <n v="2"/>
    <m/>
    <m/>
    <m/>
    <m/>
    <m/>
    <m/>
    <m/>
    <m/>
    <m/>
    <m/>
    <m/>
    <m/>
    <m/>
  </r>
  <r>
    <x v="91"/>
    <s v="GD250185"/>
    <s v="Capuno, Janarah Nicole Ical"/>
    <s v="GD250185"/>
    <d v="2026-07-21T00:00:00"/>
    <m/>
    <s v="8AM-5PM"/>
    <d v="1899-12-30T07:36:00"/>
    <d v="1899-12-30T19:03:00"/>
    <s v="A"/>
    <n v="8"/>
    <n v="2"/>
    <m/>
    <m/>
    <m/>
    <m/>
    <m/>
    <m/>
    <m/>
    <m/>
    <m/>
    <m/>
    <m/>
    <m/>
    <m/>
  </r>
  <r>
    <x v="91"/>
    <s v="GD250185"/>
    <s v="Capuno, Janarah Nicole Ical"/>
    <s v="GD250185"/>
    <d v="2026-07-22T00:00:00"/>
    <m/>
    <s v="8AM-5PM"/>
    <d v="1899-12-30T07:37:00"/>
    <d v="1899-12-30T17:04:00"/>
    <s v="A"/>
    <n v="8"/>
    <m/>
    <m/>
    <m/>
    <m/>
    <m/>
    <m/>
    <m/>
    <m/>
    <m/>
    <m/>
    <m/>
    <m/>
    <m/>
    <m/>
  </r>
  <r>
    <x v="91"/>
    <s v="GD250185"/>
    <s v="Capuno, Janarah Nicole Ical"/>
    <s v="GD250185"/>
    <d v="2026-07-23T00:00:00"/>
    <m/>
    <s v="8AM-5PM"/>
    <d v="1899-12-30T07:38:00"/>
    <d v="1899-12-30T19:01:00"/>
    <s v="A"/>
    <n v="8"/>
    <n v="2"/>
    <m/>
    <m/>
    <m/>
    <m/>
    <m/>
    <m/>
    <m/>
    <m/>
    <m/>
    <m/>
    <m/>
    <m/>
    <m/>
  </r>
  <r>
    <x v="91"/>
    <s v="GD250185"/>
    <s v="Capuno, Janarah Nicole Ical"/>
    <s v="GD250185"/>
    <d v="2026-07-24T00:00:00"/>
    <m/>
    <s v="8AM-5PM"/>
    <d v="1899-12-30T07:29:00"/>
    <d v="1899-12-30T17:03:00"/>
    <s v="A"/>
    <n v="8"/>
    <m/>
    <m/>
    <m/>
    <m/>
    <m/>
    <m/>
    <m/>
    <m/>
    <m/>
    <m/>
    <m/>
    <m/>
    <m/>
    <m/>
  </r>
  <r>
    <x v="91"/>
    <s v="GD250185"/>
    <s v="Capuno, Janarah Nicole Ical"/>
    <s v="GD25018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2"/>
    <n v="0"/>
    <n v="0"/>
    <n v="0"/>
    <n v="0"/>
    <n v="0"/>
    <n v="0"/>
    <n v="0"/>
    <n v="0"/>
    <n v="0"/>
    <n v="0"/>
    <n v="0"/>
    <n v="0"/>
    <n v="0"/>
  </r>
  <r>
    <x v="2"/>
    <s v="HYS ID NUMBER"/>
    <s v="NAME"/>
    <s v="HYS ID NUMBER"/>
    <s v="DATE"/>
    <m/>
    <s v="REG. TIME"/>
    <s v="TIME IN"/>
    <s v="TIME OUT"/>
    <s v="SHIFT"/>
    <s v="REG.HRS."/>
    <s v="REG. OT"/>
    <s v="ND"/>
    <s v="ND OT"/>
    <s v="RD"/>
    <s v="RD OT"/>
    <s v="RD ND"/>
    <s v="SH"/>
    <s v="SH OT"/>
    <s v="SH ND"/>
    <s v="ULH"/>
    <s v="LH"/>
    <s v="LH OT"/>
    <s v="LH ND"/>
    <s v="UT/LATE"/>
  </r>
  <r>
    <x v="92"/>
    <s v="GD250175"/>
    <s v="Tolentino,Evangeline"/>
    <s v="GD250175"/>
    <d v="2026-07-11T00:00:00"/>
    <m/>
    <s v="8AM-5PM"/>
    <d v="1899-12-30T07:32:00"/>
    <d v="1899-12-30T17:01:00"/>
    <s v="A"/>
    <n v="8"/>
    <m/>
    <m/>
    <m/>
    <m/>
    <m/>
    <m/>
    <m/>
    <m/>
    <m/>
    <m/>
    <m/>
    <m/>
    <m/>
    <m/>
  </r>
  <r>
    <x v="92"/>
    <s v="GD250175"/>
    <s v="Tolentino,Evangeline"/>
    <s v="GD250175"/>
    <d v="2026-07-12T00:00:00"/>
    <m/>
    <m/>
    <s v="SUNDAY"/>
    <m/>
    <m/>
    <m/>
    <m/>
    <m/>
    <m/>
    <m/>
    <m/>
    <m/>
    <m/>
    <m/>
    <m/>
    <m/>
    <m/>
    <m/>
    <m/>
    <m/>
  </r>
  <r>
    <x v="92"/>
    <s v="GD250175"/>
    <s v="Tolentino,Evangeline"/>
    <s v="GD250175"/>
    <d v="2026-07-13T00:00:00"/>
    <m/>
    <s v="8AM-5PM"/>
    <d v="1899-12-30T07:29:00"/>
    <d v="1899-12-30T19:05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14T00:00:00"/>
    <m/>
    <s v="8AM-5PM"/>
    <d v="1899-12-30T07:30:00"/>
    <d v="1899-12-30T19:04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15T00:00:00"/>
    <m/>
    <s v="8AM-5PM"/>
    <d v="1899-12-30T07:39:00"/>
    <d v="1899-12-30T19:04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16T00:00:00"/>
    <m/>
    <s v="8AM-5PM"/>
    <d v="1899-12-30T07:35:00"/>
    <d v="1899-12-30T19:03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17T00:00:00"/>
    <m/>
    <s v="8AM-5PM"/>
    <d v="1899-12-30T07:34:00"/>
    <d v="1899-12-30T19:04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18T00:00:00"/>
    <m/>
    <s v="8AM-5PM"/>
    <d v="1899-12-30T07:40:00"/>
    <d v="1899-12-30T17:05:00"/>
    <s v="A"/>
    <n v="8"/>
    <m/>
    <m/>
    <m/>
    <m/>
    <m/>
    <m/>
    <m/>
    <m/>
    <m/>
    <m/>
    <m/>
    <m/>
    <m/>
    <m/>
  </r>
  <r>
    <x v="92"/>
    <s v="GD250175"/>
    <s v="Tolentino,Evangeline"/>
    <s v="GD250175"/>
    <d v="2026-07-19T00:00:00"/>
    <m/>
    <m/>
    <s v="SUNDAY"/>
    <m/>
    <m/>
    <m/>
    <m/>
    <m/>
    <m/>
    <m/>
    <m/>
    <m/>
    <m/>
    <m/>
    <m/>
    <m/>
    <m/>
    <m/>
    <m/>
    <m/>
  </r>
  <r>
    <x v="92"/>
    <s v="GD250175"/>
    <s v="Tolentino,Evangeline"/>
    <s v="GD250175"/>
    <d v="2026-07-20T00:00:00"/>
    <m/>
    <s v="8AM-5PM"/>
    <d v="1899-12-30T07:29:00"/>
    <d v="1899-12-30T19:05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21T00:00:00"/>
    <m/>
    <s v="8AM-5PM"/>
    <d v="1899-12-30T07:38:00"/>
    <d v="1899-12-30T19:04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22T00:00:00"/>
    <m/>
    <s v="8AM-5PM"/>
    <d v="1899-12-30T07:41:00"/>
    <d v="1899-12-30T17:04:00"/>
    <s v="A"/>
    <n v="8"/>
    <m/>
    <m/>
    <m/>
    <m/>
    <m/>
    <m/>
    <m/>
    <m/>
    <m/>
    <m/>
    <m/>
    <m/>
    <m/>
    <m/>
  </r>
  <r>
    <x v="92"/>
    <s v="GD250175"/>
    <s v="Tolentino,Evangeline"/>
    <s v="GD250175"/>
    <d v="2026-07-23T00:00:00"/>
    <m/>
    <s v="8AM-5PM"/>
    <d v="1899-12-30T07:27:00"/>
    <d v="1899-12-30T19:05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24T00:00:00"/>
    <m/>
    <s v="8AM-5PM"/>
    <d v="1899-12-30T07:37:00"/>
    <d v="1899-12-30T19:04:00"/>
    <s v="A"/>
    <n v="8"/>
    <n v="2"/>
    <m/>
    <m/>
    <m/>
    <m/>
    <m/>
    <m/>
    <m/>
    <m/>
    <m/>
    <m/>
    <m/>
    <m/>
    <m/>
  </r>
  <r>
    <x v="92"/>
    <s v="GD250175"/>
    <s v="Tolentino,Evangeline"/>
    <s v="GD250175"/>
    <d v="2026-07-25T00:00:00"/>
    <m/>
    <s v="8AM-5PM"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96"/>
    <n v="18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n v="7832"/>
    <n v="694"/>
    <n v="2086.5"/>
    <n v="211"/>
    <n v="0"/>
    <n v="0"/>
    <n v="0"/>
    <e v="#REF!"/>
    <e v="#REF!"/>
    <e v="#REF!"/>
    <e v="#REF!"/>
    <e v="#REF!"/>
    <e v="#REF!"/>
    <e v="#REF!"/>
    <n v="122"/>
  </r>
  <r>
    <x v="1"/>
    <m/>
    <m/>
    <m/>
    <m/>
    <m/>
    <m/>
    <m/>
    <m/>
    <m/>
    <n v="587400"/>
    <n v="65062.5"/>
    <n v="15648.75"/>
    <n v="1978.125"/>
    <m/>
    <m/>
    <m/>
    <m/>
    <m/>
    <m/>
    <m/>
    <m/>
    <m/>
    <m/>
    <n v="152.5"/>
  </r>
  <r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73800-EC76-4046-A79C-7C16BDE2254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7" firstHeaderRow="0" firstDataRow="1" firstDataCol="1"/>
  <pivotFields count="25">
    <pivotField axis="axisRow" showAll="0">
      <items count="96">
        <item x="46"/>
        <item x="0"/>
        <item x="3"/>
        <item x="14"/>
        <item x="41"/>
        <item x="45"/>
        <item x="30"/>
        <item x="42"/>
        <item x="70"/>
        <item x="48"/>
        <item x="47"/>
        <item x="82"/>
        <item x="50"/>
        <item x="40"/>
        <item x="31"/>
        <item x="19"/>
        <item x="44"/>
        <item x="59"/>
        <item x="7"/>
        <item x="92"/>
        <item x="76"/>
        <item x="74"/>
        <item x="68"/>
        <item x="80"/>
        <item x="75"/>
        <item x="51"/>
        <item x="66"/>
        <item x="71"/>
        <item x="25"/>
        <item x="91"/>
        <item x="18"/>
        <item x="20"/>
        <item x="11"/>
        <item x="49"/>
        <item x="63"/>
        <item x="12"/>
        <item x="39"/>
        <item x="89"/>
        <item x="4"/>
        <item x="24"/>
        <item x="53"/>
        <item x="78"/>
        <item x="9"/>
        <item x="90"/>
        <item x="54"/>
        <item x="15"/>
        <item x="55"/>
        <item x="43"/>
        <item x="16"/>
        <item x="17"/>
        <item x="56"/>
        <item x="57"/>
        <item x="58"/>
        <item x="69"/>
        <item x="72"/>
        <item x="35"/>
        <item x="73"/>
        <item x="79"/>
        <item x="36"/>
        <item x="10"/>
        <item x="37"/>
        <item x="13"/>
        <item x="5"/>
        <item x="81"/>
        <item x="6"/>
        <item x="8"/>
        <item x="67"/>
        <item x="29"/>
        <item x="27"/>
        <item x="77"/>
        <item x="65"/>
        <item x="64"/>
        <item x="38"/>
        <item x="26"/>
        <item x="61"/>
        <item x="60"/>
        <item x="28"/>
        <item x="32"/>
        <item m="1" x="94"/>
        <item x="52"/>
        <item x="62"/>
        <item x="23"/>
        <item m="1" x="93"/>
        <item x="21"/>
        <item x="33"/>
        <item x="87"/>
        <item x="85"/>
        <item x="86"/>
        <item x="88"/>
        <item x="84"/>
        <item x="34"/>
        <item x="22"/>
        <item x="8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G.HRS." fld="10" baseField="0" baseItem="0"/>
    <dataField name="Sum of REG. OT" fld="11" baseField="0" baseItem="0"/>
    <dataField name="Sum of ND" fld="12" baseField="0" baseItem="0"/>
    <dataField name="Sum of ND OT" fld="13" baseField="0" baseItem="0"/>
    <dataField name="Sum of UT/LATE" fld="24" baseField="0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  <pageSetUpPr fitToPage="1"/>
  </sheetPr>
  <dimension ref="A1:O107"/>
  <sheetViews>
    <sheetView view="pageBreakPreview" topLeftCell="A13" zoomScale="60" zoomScaleNormal="60" workbookViewId="0">
      <selection activeCell="C14" sqref="C14"/>
    </sheetView>
  </sheetViews>
  <sheetFormatPr defaultColWidth="9.1796875" defaultRowHeight="35"/>
  <cols>
    <col min="1" max="1" width="31.54296875" style="102" customWidth="1"/>
    <col min="2" max="2" width="8.1796875" style="102" customWidth="1"/>
    <col min="3" max="3" width="54.54296875" style="102" customWidth="1"/>
    <col min="4" max="4" width="32.26953125" style="102" customWidth="1"/>
    <col min="5" max="5" width="41.453125" style="102" customWidth="1"/>
    <col min="6" max="6" width="2.453125" style="103" customWidth="1"/>
    <col min="7" max="7" width="75.7265625" style="102" customWidth="1"/>
    <col min="8" max="8" width="54" style="102" customWidth="1"/>
    <col min="9" max="9" width="9.1796875" style="102"/>
    <col min="10" max="10" width="17.453125" style="102" customWidth="1"/>
    <col min="11" max="11" width="36.54296875" style="102" customWidth="1"/>
    <col min="12" max="12" width="37.26953125" style="102" customWidth="1"/>
    <col min="13" max="15" width="9.1796875" style="102"/>
    <col min="16" max="16" width="32" style="102" customWidth="1"/>
    <col min="17" max="16384" width="9.1796875" style="102"/>
  </cols>
  <sheetData>
    <row r="1" spans="2:15" ht="180" customHeight="1">
      <c r="C1" s="104" t="s">
        <v>0</v>
      </c>
      <c r="F1" s="102"/>
      <c r="H1" s="105">
        <f ca="1">TODAY()</f>
        <v>46234</v>
      </c>
    </row>
    <row r="2" spans="2:15" ht="58.15" customHeight="1">
      <c r="B2" s="106" t="s">
        <v>1</v>
      </c>
      <c r="C2" s="611" t="s">
        <v>2</v>
      </c>
      <c r="D2" s="611"/>
      <c r="E2" s="611"/>
      <c r="F2" s="611"/>
      <c r="G2" s="611"/>
      <c r="H2" s="611"/>
      <c r="I2" s="611"/>
      <c r="J2" s="611"/>
    </row>
    <row r="3" spans="2:15" ht="69" customHeight="1">
      <c r="B3" s="107"/>
      <c r="C3" s="108"/>
      <c r="D3" s="108"/>
      <c r="E3" s="108"/>
      <c r="F3" s="108"/>
      <c r="G3" s="108"/>
      <c r="H3" s="612" t="s">
        <v>3</v>
      </c>
      <c r="I3" s="612"/>
      <c r="J3" s="108"/>
      <c r="K3" s="108"/>
    </row>
    <row r="4" spans="2:15" ht="84" customHeight="1">
      <c r="B4" s="106"/>
      <c r="E4" s="109"/>
      <c r="F4" s="109"/>
      <c r="G4" s="613"/>
      <c r="H4" s="613"/>
    </row>
    <row r="5" spans="2:15" ht="40" customHeight="1">
      <c r="B5" s="110"/>
      <c r="D5" s="615" t="str">
        <f>B48</f>
        <v xml:space="preserve">ONE MILLION  TWO HUNDRED FOURTY SEVEN  THOUSAND SIX HUNDRED SIXTY TWO PESOS 93/100 ONLY. </v>
      </c>
      <c r="E5" s="615"/>
      <c r="F5" s="615"/>
      <c r="G5" s="615"/>
      <c r="H5" s="615"/>
    </row>
    <row r="6" spans="2:15" ht="52.9" customHeight="1">
      <c r="B6" s="110"/>
      <c r="C6" s="111"/>
      <c r="D6" s="615"/>
      <c r="E6" s="615"/>
      <c r="F6" s="615"/>
      <c r="G6" s="615"/>
      <c r="H6" s="615"/>
    </row>
    <row r="7" spans="2:15" ht="51.75" customHeight="1">
      <c r="B7" s="110"/>
      <c r="C7" s="111"/>
      <c r="D7" s="112"/>
      <c r="E7" s="113" t="s">
        <v>4</v>
      </c>
      <c r="F7" s="114"/>
      <c r="G7" s="115">
        <f>H48</f>
        <v>117449.5</v>
      </c>
      <c r="H7" s="116"/>
    </row>
    <row r="8" spans="2:15" ht="24.65" customHeight="1">
      <c r="B8" s="110"/>
      <c r="C8" s="111"/>
      <c r="D8" s="112"/>
      <c r="E8" s="113"/>
      <c r="F8" s="114"/>
      <c r="G8" s="115"/>
      <c r="H8" s="116"/>
    </row>
    <row r="9" spans="2:15" s="100" customFormat="1" ht="40" customHeight="1">
      <c r="B9" s="104" t="s">
        <v>5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15" s="100" customFormat="1" ht="5.5" customHeight="1">
      <c r="B10" s="104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43.9" customHeight="1">
      <c r="B11" s="117" t="str">
        <f>'BILLING COMPUTATION'!C5</f>
        <v>PAYROLL PERIOD: JULY 11-25, 2026</v>
      </c>
      <c r="C11" s="117"/>
      <c r="F11" s="102"/>
    </row>
    <row r="12" spans="2:15" ht="18" customHeight="1">
      <c r="B12" s="117"/>
      <c r="C12" s="117"/>
      <c r="F12" s="102"/>
    </row>
    <row r="13" spans="2:15" ht="34.9" customHeight="1">
      <c r="B13" s="118"/>
      <c r="C13" s="101" t="s">
        <v>6</v>
      </c>
      <c r="D13" s="119" t="e">
        <f>'BILLING COMPUTATION'!#REF!</f>
        <v>#REF!</v>
      </c>
      <c r="E13" s="120" t="s">
        <v>7</v>
      </c>
      <c r="F13" s="102"/>
    </row>
    <row r="14" spans="2:15" ht="34.9" customHeight="1">
      <c r="B14" s="118"/>
      <c r="C14" s="102" t="s">
        <v>8</v>
      </c>
      <c r="F14" s="102"/>
      <c r="H14" s="614">
        <f>'BILLING COMPUTATION'!M102</f>
        <v>587400</v>
      </c>
      <c r="I14" s="614"/>
      <c r="J14" s="614"/>
      <c r="K14" s="102" t="b">
        <f>H14='BILLING COMPUTATION'!M102</f>
        <v>1</v>
      </c>
    </row>
    <row r="15" spans="2:15" ht="34.9" customHeight="1">
      <c r="C15" s="102" t="s">
        <v>9</v>
      </c>
      <c r="F15" s="102"/>
      <c r="H15" s="614">
        <f>'BILLING COMPUTATION'!S102</f>
        <v>65062.5</v>
      </c>
      <c r="I15" s="614"/>
      <c r="J15" s="614"/>
      <c r="K15" s="102" t="b">
        <f>H15='BILLING COMPUTATION'!S102</f>
        <v>1</v>
      </c>
    </row>
    <row r="16" spans="2:15" ht="34.9" customHeight="1">
      <c r="C16" s="102" t="s">
        <v>10</v>
      </c>
      <c r="F16" s="102"/>
      <c r="H16" s="614">
        <f>'BILLING COMPUTATION'!V102</f>
        <v>15648.75</v>
      </c>
      <c r="I16" s="614"/>
      <c r="J16" s="614"/>
      <c r="K16" s="102" t="b">
        <f>H16='BILLING COMPUTATION'!V102</f>
        <v>1</v>
      </c>
    </row>
    <row r="17" spans="3:11" ht="34.9" customHeight="1">
      <c r="C17" s="102" t="s">
        <v>11</v>
      </c>
      <c r="F17" s="102"/>
      <c r="H17" s="614" t="e">
        <f>'BILLING COMPUTATION'!#REF!</f>
        <v>#REF!</v>
      </c>
      <c r="I17" s="614"/>
      <c r="J17" s="614"/>
      <c r="K17" s="102" t="e">
        <f>H17='BILLING COMPUTATION'!#REF!</f>
        <v>#REF!</v>
      </c>
    </row>
    <row r="18" spans="3:11" ht="34.9" customHeight="1">
      <c r="C18" s="102" t="s">
        <v>12</v>
      </c>
      <c r="D18" s="122"/>
      <c r="E18" s="123"/>
      <c r="F18" s="122"/>
      <c r="G18" s="123"/>
      <c r="H18" s="614">
        <f>'BILLING COMPUTATION'!AB102</f>
        <v>0</v>
      </c>
      <c r="I18" s="614"/>
      <c r="J18" s="614"/>
      <c r="K18" s="102" t="b">
        <f>H18='BILLING COMPUTATION'!AB102</f>
        <v>1</v>
      </c>
    </row>
    <row r="19" spans="3:11" ht="34.9" customHeight="1">
      <c r="C19" s="102" t="s">
        <v>13</v>
      </c>
      <c r="D19" s="122"/>
      <c r="E19" s="123"/>
      <c r="F19" s="122"/>
      <c r="G19" s="123"/>
      <c r="H19" s="614">
        <f>'BILLING COMPUTATION'!AE102</f>
        <v>0</v>
      </c>
      <c r="I19" s="614"/>
      <c r="J19" s="614"/>
      <c r="K19" s="102" t="b">
        <f>H19='BILLING COMPUTATION'!AE102</f>
        <v>1</v>
      </c>
    </row>
    <row r="20" spans="3:11" ht="34.9" customHeight="1">
      <c r="C20" s="102" t="s">
        <v>14</v>
      </c>
      <c r="D20" s="122"/>
      <c r="E20" s="123"/>
      <c r="F20" s="122"/>
      <c r="G20" s="123"/>
      <c r="H20" s="614">
        <f>'BILLING COMPUTATION'!AH102</f>
        <v>0</v>
      </c>
      <c r="I20" s="614"/>
      <c r="J20" s="614"/>
      <c r="K20" s="102" t="b">
        <f>H20='BILLING COMPUTATION'!AH102</f>
        <v>1</v>
      </c>
    </row>
    <row r="21" spans="3:11" ht="34.9" customHeight="1">
      <c r="C21" s="102" t="s">
        <v>15</v>
      </c>
      <c r="D21" s="122"/>
      <c r="E21" s="123"/>
      <c r="F21" s="122"/>
      <c r="G21" s="123"/>
      <c r="H21" s="614" t="e">
        <f>'BILLING COMPUTATION'!#REF!</f>
        <v>#REF!</v>
      </c>
      <c r="I21" s="614"/>
      <c r="J21" s="614"/>
      <c r="K21" s="102" t="e">
        <f>H21='BILLING COMPUTATION'!#REF!</f>
        <v>#REF!</v>
      </c>
    </row>
    <row r="22" spans="3:11" ht="34.9" customHeight="1">
      <c r="C22" s="102" t="s">
        <v>16</v>
      </c>
      <c r="D22" s="122"/>
      <c r="E22" s="123"/>
      <c r="F22" s="122"/>
      <c r="G22" s="123"/>
      <c r="H22" s="614">
        <f>'BILLING COMPUTATION'!AT102</f>
        <v>0</v>
      </c>
      <c r="I22" s="614"/>
      <c r="J22" s="614"/>
      <c r="K22" s="102" t="b">
        <f>H22='BILLING COMPUTATION'!AT102</f>
        <v>1</v>
      </c>
    </row>
    <row r="23" spans="3:11" ht="34.9" customHeight="1">
      <c r="C23" s="102" t="s">
        <v>17</v>
      </c>
      <c r="D23" s="122"/>
      <c r="E23" s="123"/>
      <c r="F23" s="122"/>
      <c r="G23" s="123"/>
      <c r="H23" s="614">
        <f>'BILLING COMPUTATION'!AW102</f>
        <v>0</v>
      </c>
      <c r="I23" s="614"/>
      <c r="J23" s="614"/>
      <c r="K23" s="102" t="b">
        <f>H23='BILLING COMPUTATION'!AW102</f>
        <v>1</v>
      </c>
    </row>
    <row r="24" spans="3:11" ht="34.9" customHeight="1">
      <c r="C24" s="102" t="s">
        <v>18</v>
      </c>
      <c r="D24" s="122"/>
      <c r="E24" s="123"/>
      <c r="F24" s="122"/>
      <c r="G24" s="123"/>
      <c r="H24" s="121"/>
      <c r="I24" s="614">
        <f>'BILLING COMPUTATION'!AZ102</f>
        <v>0</v>
      </c>
      <c r="J24" s="614"/>
      <c r="K24" s="102" t="b">
        <f>H24='BILLING COMPUTATION'!AW103</f>
        <v>1</v>
      </c>
    </row>
    <row r="25" spans="3:11" ht="34.9" customHeight="1">
      <c r="C25" s="102" t="s">
        <v>19</v>
      </c>
      <c r="D25" s="122"/>
      <c r="E25" s="123"/>
      <c r="F25" s="122"/>
      <c r="G25" s="123"/>
      <c r="H25" s="614">
        <f>'BILLING COMPUTATION'!BD102</f>
        <v>0</v>
      </c>
      <c r="I25" s="614"/>
      <c r="J25" s="614"/>
      <c r="K25" s="102" t="b">
        <f>H25='BILLING COMPUTATION'!BD102</f>
        <v>1</v>
      </c>
    </row>
    <row r="26" spans="3:11" ht="34.9" customHeight="1">
      <c r="C26" s="102" t="s">
        <v>20</v>
      </c>
      <c r="D26" s="122"/>
      <c r="E26" s="123"/>
      <c r="F26" s="122"/>
      <c r="G26" s="123"/>
      <c r="H26" s="614">
        <f>'BILLING COMPUTATION'!BM102</f>
        <v>0</v>
      </c>
      <c r="I26" s="614"/>
      <c r="J26" s="614"/>
      <c r="K26" s="102" t="b">
        <f>H26='BILLING COMPUTATION'!BM102</f>
        <v>1</v>
      </c>
    </row>
    <row r="27" spans="3:11" ht="34.9" customHeight="1">
      <c r="C27" s="102" t="s">
        <v>21</v>
      </c>
      <c r="D27" s="122"/>
      <c r="E27" s="123"/>
      <c r="F27" s="122"/>
      <c r="G27" s="123"/>
      <c r="H27" s="614">
        <f>'BILLING COMPUTATION'!BO102</f>
        <v>0</v>
      </c>
      <c r="I27" s="614"/>
      <c r="J27" s="614"/>
      <c r="K27" s="102" t="b">
        <f>H27='BILLING COMPUTATION'!BO102</f>
        <v>1</v>
      </c>
    </row>
    <row r="28" spans="3:11" ht="34.9" customHeight="1">
      <c r="C28" s="102" t="s">
        <v>22</v>
      </c>
      <c r="D28" s="122"/>
      <c r="E28" s="123"/>
      <c r="F28" s="122"/>
      <c r="G28" s="123"/>
      <c r="H28" s="614">
        <f>'BILLING COMPUTATION'!BQ102</f>
        <v>0</v>
      </c>
      <c r="I28" s="614"/>
      <c r="J28" s="614"/>
      <c r="K28" s="102" t="b">
        <f>H28='BILLING COMPUTATION'!BQ102</f>
        <v>1</v>
      </c>
    </row>
    <row r="29" spans="3:11" ht="34.9" customHeight="1">
      <c r="C29" s="102" t="s">
        <v>23</v>
      </c>
      <c r="D29" s="122"/>
      <c r="E29" s="123"/>
      <c r="F29" s="122"/>
      <c r="G29" s="123"/>
      <c r="H29" s="614">
        <f>'BILLING COMPUTATION'!BS102</f>
        <v>0</v>
      </c>
      <c r="I29" s="614"/>
      <c r="J29" s="614"/>
      <c r="K29" s="102" t="b">
        <f>H29='BILLING COMPUTATION'!BS102</f>
        <v>1</v>
      </c>
    </row>
    <row r="30" spans="3:11" ht="34.9" customHeight="1">
      <c r="C30" s="102" t="s">
        <v>24</v>
      </c>
      <c r="D30" s="122"/>
      <c r="E30" s="123"/>
      <c r="F30" s="122"/>
      <c r="G30" s="123"/>
      <c r="H30" s="121"/>
      <c r="I30" s="614">
        <f>'BILLING COMPUTATION'!BU102</f>
        <v>0</v>
      </c>
      <c r="J30" s="614"/>
    </row>
    <row r="31" spans="3:11" ht="34.9" customHeight="1">
      <c r="C31" s="102" t="s">
        <v>25</v>
      </c>
      <c r="D31" s="122"/>
      <c r="E31" s="123"/>
      <c r="F31" s="122"/>
      <c r="G31" s="123"/>
      <c r="H31" s="614">
        <f>'BILLING COMPUTATION'!BW102</f>
        <v>0</v>
      </c>
      <c r="I31" s="614"/>
      <c r="J31" s="614"/>
      <c r="K31" s="102" t="b">
        <f>H31='BILLING COMPUTATION'!BY103</f>
        <v>1</v>
      </c>
    </row>
    <row r="32" spans="3:11" ht="34.9" customHeight="1">
      <c r="C32" s="102" t="s">
        <v>26</v>
      </c>
      <c r="D32" s="122"/>
      <c r="E32" s="123"/>
      <c r="F32" s="122"/>
      <c r="G32" s="123"/>
      <c r="H32" s="121"/>
      <c r="I32" s="614">
        <f>'BILLING COMPUTATION'!BY102</f>
        <v>0</v>
      </c>
      <c r="J32" s="614"/>
    </row>
    <row r="33" spans="2:12" ht="34.9" customHeight="1">
      <c r="C33" s="102" t="s">
        <v>27</v>
      </c>
      <c r="D33" s="122"/>
      <c r="E33" s="123"/>
      <c r="F33" s="122"/>
      <c r="G33" s="123"/>
      <c r="H33" s="614">
        <f>'BILLING COMPUTATION'!CC102</f>
        <v>0</v>
      </c>
      <c r="I33" s="614"/>
      <c r="J33" s="614"/>
    </row>
    <row r="34" spans="2:12" ht="34.9" customHeight="1">
      <c r="C34" s="102" t="s">
        <v>28</v>
      </c>
      <c r="D34" s="122"/>
      <c r="E34" s="123"/>
      <c r="F34" s="122"/>
      <c r="G34" s="123"/>
      <c r="H34" s="614">
        <f>'BILLING COMPUTATION'!P102</f>
        <v>-152.5</v>
      </c>
      <c r="I34" s="614"/>
      <c r="J34" s="614"/>
      <c r="K34" s="102" t="b">
        <f>H34='BILLING COMPUTATION'!P102</f>
        <v>1</v>
      </c>
    </row>
    <row r="35" spans="2:12" ht="34.9" customHeight="1">
      <c r="C35" s="102" t="s">
        <v>29</v>
      </c>
      <c r="D35" s="122"/>
      <c r="E35" s="123"/>
      <c r="F35" s="122"/>
      <c r="G35" s="123"/>
      <c r="H35" s="614">
        <f>'BILLING COMPUTATION'!CF102</f>
        <v>0</v>
      </c>
      <c r="I35" s="614"/>
      <c r="J35" s="614"/>
    </row>
    <row r="36" spans="2:12" ht="34.9" customHeight="1">
      <c r="C36" s="102" t="s">
        <v>30</v>
      </c>
      <c r="D36" s="124"/>
      <c r="E36" s="122"/>
      <c r="F36" s="122"/>
      <c r="G36" s="122"/>
      <c r="H36" s="614">
        <f>'BILLING COMPUTATION'!CI102</f>
        <v>78300</v>
      </c>
      <c r="I36" s="614"/>
      <c r="J36" s="614"/>
      <c r="K36" s="102" t="b">
        <f>H36='BILLING COMPUTATION'!CI102</f>
        <v>1</v>
      </c>
    </row>
    <row r="37" spans="2:12" ht="34.9" customHeight="1">
      <c r="C37" s="102" t="s">
        <v>31</v>
      </c>
      <c r="D37" s="124"/>
      <c r="E37" s="122"/>
      <c r="F37" s="122"/>
      <c r="G37" s="122"/>
      <c r="H37" s="614">
        <f>'BILLING COMPUTATION'!CK102</f>
        <v>34821.25</v>
      </c>
      <c r="I37" s="614"/>
      <c r="J37" s="614"/>
      <c r="K37" s="102" t="b">
        <f>H37='BILLING COMPUTATION'!CK102</f>
        <v>1</v>
      </c>
    </row>
    <row r="38" spans="2:12" ht="34.9" customHeight="1">
      <c r="C38" s="102" t="s">
        <v>32</v>
      </c>
      <c r="D38" s="124"/>
      <c r="E38" s="122"/>
      <c r="F38" s="122"/>
      <c r="G38" s="122"/>
      <c r="H38" s="614">
        <f>'BILLING COMPUTATION'!CM102</f>
        <v>17800</v>
      </c>
      <c r="I38" s="614"/>
      <c r="J38" s="614"/>
      <c r="K38" s="102" t="b">
        <f>H38='BILLING COMPUTATION'!CM102</f>
        <v>1</v>
      </c>
    </row>
    <row r="39" spans="2:12" ht="34.9" customHeight="1">
      <c r="C39" s="102" t="s">
        <v>33</v>
      </c>
      <c r="D39" s="124"/>
      <c r="E39" s="122"/>
      <c r="F39" s="122"/>
      <c r="G39" s="122"/>
      <c r="H39" s="616">
        <f>'BILLING COMPUTATION'!CO102</f>
        <v>881668.125</v>
      </c>
      <c r="I39" s="616"/>
      <c r="J39" s="616"/>
      <c r="K39" s="118" t="b">
        <f>H39='BILLING COMPUTATION'!CO102</f>
        <v>1</v>
      </c>
    </row>
    <row r="40" spans="2:12" ht="46">
      <c r="C40" s="102" t="s">
        <v>34</v>
      </c>
      <c r="D40" s="124"/>
      <c r="E40" s="122"/>
      <c r="F40" s="122"/>
      <c r="G40" s="122"/>
      <c r="H40" s="614">
        <f>'BILLING COMPUTATION'!CP102</f>
        <v>58724.75</v>
      </c>
      <c r="I40" s="614"/>
      <c r="J40" s="614"/>
      <c r="K40" s="118">
        <f>'BILLING COMPUTATION'!CP102</f>
        <v>58724.75</v>
      </c>
      <c r="L40" s="118"/>
    </row>
    <row r="41" spans="2:12" ht="34.9" customHeight="1">
      <c r="C41" s="102" t="s">
        <v>35</v>
      </c>
      <c r="D41" s="124"/>
      <c r="E41" s="122"/>
      <c r="F41" s="122"/>
      <c r="G41" s="122"/>
      <c r="H41" s="616">
        <f>SUM(H14,H27,H34)*10%</f>
        <v>58724.75</v>
      </c>
      <c r="I41" s="616"/>
      <c r="J41" s="616"/>
      <c r="K41" s="118">
        <f>'BILLING COMPUTATION'!CQ102</f>
        <v>940392.875</v>
      </c>
    </row>
    <row r="42" spans="2:12" ht="19.899999999999999" customHeight="1">
      <c r="C42" s="122"/>
      <c r="D42" s="124"/>
      <c r="E42" s="122"/>
      <c r="F42" s="122"/>
      <c r="G42" s="122"/>
      <c r="H42" s="125"/>
    </row>
    <row r="43" spans="2:12" ht="34.9" customHeight="1">
      <c r="B43" s="110"/>
      <c r="C43" s="126" t="s">
        <v>36</v>
      </c>
      <c r="D43" s="122"/>
      <c r="E43" s="127"/>
      <c r="F43" s="122"/>
      <c r="G43" s="127"/>
      <c r="H43" s="617">
        <f>H40+H41</f>
        <v>117449.5</v>
      </c>
      <c r="I43" s="617"/>
      <c r="J43" s="617"/>
      <c r="K43" s="118" t="b">
        <f>H43='BILLING COMPUTATION'!CT102</f>
        <v>0</v>
      </c>
      <c r="L43" s="118"/>
    </row>
    <row r="44" spans="2:12" ht="31.9" customHeight="1">
      <c r="B44" s="110"/>
      <c r="C44" s="128" t="s">
        <v>37</v>
      </c>
      <c r="D44" s="122"/>
      <c r="E44" s="129"/>
      <c r="F44" s="122"/>
      <c r="G44" s="122"/>
      <c r="H44" s="126"/>
    </row>
    <row r="45" spans="2:12" ht="7.9" customHeight="1">
      <c r="B45" s="110"/>
      <c r="C45" s="107"/>
      <c r="E45" s="130"/>
      <c r="F45" s="102"/>
      <c r="H45" s="131"/>
    </row>
    <row r="46" spans="2:12" ht="23.25" hidden="1" customHeight="1">
      <c r="B46" s="110"/>
      <c r="C46" s="107"/>
      <c r="E46" s="130"/>
      <c r="F46" s="102"/>
      <c r="H46" s="131"/>
    </row>
    <row r="47" spans="2:12" ht="36" hidden="1" customHeight="1">
      <c r="B47" s="110"/>
      <c r="C47" s="107"/>
      <c r="E47" s="130"/>
      <c r="F47" s="102"/>
      <c r="H47" s="132"/>
    </row>
    <row r="48" spans="2:12" s="101" customFormat="1" ht="129.65" customHeight="1">
      <c r="B48" s="618" t="s">
        <v>38</v>
      </c>
      <c r="C48" s="618"/>
      <c r="D48" s="618"/>
      <c r="E48" s="618"/>
      <c r="G48" s="133" t="s">
        <v>4</v>
      </c>
      <c r="H48" s="619">
        <f>H43</f>
        <v>117449.5</v>
      </c>
      <c r="I48" s="619"/>
      <c r="J48" s="619"/>
      <c r="K48" s="137" t="b">
        <f>H48='BILLING COMPUTATION'!CT102</f>
        <v>0</v>
      </c>
      <c r="L48" s="137"/>
    </row>
    <row r="49" spans="1:9" s="101" customFormat="1" ht="27" customHeight="1">
      <c r="B49" s="134"/>
      <c r="C49" s="134"/>
      <c r="D49" s="134"/>
      <c r="E49" s="134"/>
      <c r="H49" s="131"/>
    </row>
    <row r="50" spans="1:9" s="101" customFormat="1" ht="6.65" customHeight="1">
      <c r="B50" s="134"/>
      <c r="C50" s="134"/>
      <c r="D50" s="134"/>
      <c r="E50" s="134"/>
      <c r="H50" s="131"/>
    </row>
    <row r="51" spans="1:9" s="101" customFormat="1" ht="27" hidden="1" customHeight="1">
      <c r="B51" s="134"/>
      <c r="C51" s="134"/>
      <c r="D51" s="134"/>
      <c r="E51" s="134"/>
      <c r="H51" s="131"/>
    </row>
    <row r="52" spans="1:9" s="101" customFormat="1" ht="27" hidden="1" customHeight="1">
      <c r="B52" s="134"/>
      <c r="C52" s="134"/>
      <c r="D52" s="134"/>
      <c r="E52" s="134"/>
      <c r="H52" s="131"/>
    </row>
    <row r="53" spans="1:9" s="101" customFormat="1" ht="21.65" hidden="1" customHeight="1">
      <c r="B53" s="134"/>
      <c r="C53" s="134"/>
      <c r="D53" s="134"/>
      <c r="E53" s="134"/>
      <c r="H53" s="131"/>
    </row>
    <row r="54" spans="1:9" s="101" customFormat="1" ht="2.5" customHeight="1">
      <c r="A54" s="101" t="s">
        <v>39</v>
      </c>
      <c r="B54" s="101" t="s">
        <v>39</v>
      </c>
      <c r="F54" s="135"/>
      <c r="H54" s="131"/>
    </row>
    <row r="55" spans="1:9" ht="36">
      <c r="A55" s="620" t="s">
        <v>40</v>
      </c>
      <c r="B55" s="620"/>
      <c r="C55" s="620"/>
      <c r="D55" s="101"/>
      <c r="E55" s="621" t="s">
        <v>41</v>
      </c>
      <c r="F55" s="621"/>
      <c r="G55" s="621"/>
    </row>
    <row r="56" spans="1:9" ht="36">
      <c r="A56" s="622" t="s">
        <v>42</v>
      </c>
      <c r="B56" s="622"/>
      <c r="C56" s="622"/>
      <c r="D56" s="101"/>
      <c r="E56" s="623" t="s">
        <v>43</v>
      </c>
      <c r="F56" s="623"/>
      <c r="G56" s="623"/>
    </row>
    <row r="57" spans="1:9" s="101" customFormat="1" ht="36.75" customHeight="1">
      <c r="F57" s="135"/>
      <c r="H57" s="131"/>
    </row>
    <row r="58" spans="1:9" s="101" customFormat="1" ht="36.75" customHeight="1">
      <c r="F58" s="135"/>
      <c r="H58" s="131"/>
    </row>
    <row r="59" spans="1:9" s="101" customFormat="1" ht="36.75" customHeight="1">
      <c r="F59" s="135"/>
      <c r="H59" s="131"/>
    </row>
    <row r="60" spans="1:9" s="101" customFormat="1" ht="26.25" customHeight="1">
      <c r="F60" s="135"/>
      <c r="H60" s="131"/>
    </row>
    <row r="61" spans="1:9" s="101" customFormat="1" ht="40" customHeight="1">
      <c r="F61" s="136"/>
      <c r="H61" s="131"/>
    </row>
    <row r="62" spans="1:9" s="101" customFormat="1" ht="54.75" customHeight="1"/>
    <row r="63" spans="1:9" ht="36">
      <c r="E63" s="624"/>
      <c r="F63" s="624"/>
      <c r="G63" s="624"/>
      <c r="H63" s="624"/>
      <c r="I63" s="624"/>
    </row>
    <row r="64" spans="1:9" ht="36">
      <c r="E64" s="625"/>
      <c r="F64" s="625"/>
      <c r="G64" s="625"/>
      <c r="H64" s="625"/>
      <c r="I64" s="625"/>
    </row>
    <row r="65" spans="2:15" ht="240" customHeight="1">
      <c r="C65" s="138"/>
      <c r="F65" s="102"/>
      <c r="H65" s="139"/>
    </row>
    <row r="66" spans="2:15" ht="57" customHeight="1">
      <c r="B66" s="106"/>
      <c r="C66" s="138"/>
      <c r="E66" s="140"/>
      <c r="F66" s="102"/>
      <c r="H66" s="141"/>
    </row>
    <row r="67" spans="2:15" ht="52.5" customHeight="1">
      <c r="B67" s="107"/>
      <c r="E67" s="109"/>
      <c r="F67" s="109"/>
      <c r="G67" s="109"/>
      <c r="H67" s="109"/>
    </row>
    <row r="68" spans="2:15" ht="38.25" customHeight="1">
      <c r="B68" s="106"/>
      <c r="E68" s="109"/>
      <c r="F68" s="109"/>
      <c r="G68" s="613"/>
      <c r="H68" s="613"/>
    </row>
    <row r="69" spans="2:15" ht="40" customHeight="1">
      <c r="B69" s="107"/>
      <c r="E69" s="142"/>
      <c r="F69" s="102"/>
    </row>
    <row r="70" spans="2:15" ht="40" customHeight="1">
      <c r="B70" s="110"/>
      <c r="D70" s="626"/>
      <c r="E70" s="626"/>
      <c r="F70" s="626"/>
      <c r="G70" s="626"/>
      <c r="H70" s="626"/>
    </row>
    <row r="71" spans="2:15" ht="69.75" customHeight="1">
      <c r="B71" s="110"/>
      <c r="C71" s="111"/>
      <c r="D71" s="626"/>
      <c r="E71" s="626"/>
      <c r="F71" s="626"/>
      <c r="G71" s="626"/>
      <c r="H71" s="626"/>
    </row>
    <row r="72" spans="2:15" ht="51.75" customHeight="1">
      <c r="B72" s="110"/>
      <c r="C72" s="111"/>
      <c r="D72" s="112"/>
      <c r="E72" s="143"/>
      <c r="F72" s="144"/>
      <c r="G72" s="145"/>
      <c r="H72" s="116"/>
    </row>
    <row r="73" spans="2:15" ht="40" customHeight="1">
      <c r="B73" s="110"/>
      <c r="C73" s="111"/>
      <c r="D73" s="112"/>
      <c r="E73" s="112"/>
      <c r="F73" s="112"/>
      <c r="G73" s="112"/>
      <c r="H73" s="112"/>
    </row>
    <row r="74" spans="2:15" ht="40" customHeight="1">
      <c r="B74" s="110"/>
      <c r="C74" s="111"/>
      <c r="E74" s="146"/>
      <c r="F74" s="102"/>
    </row>
    <row r="75" spans="2:15" ht="117.75" customHeight="1">
      <c r="B75" s="110"/>
      <c r="C75" s="111"/>
      <c r="E75" s="146"/>
      <c r="F75" s="102"/>
    </row>
    <row r="76" spans="2:15" s="100" customFormat="1" ht="40" customHeight="1">
      <c r="B76" s="104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</row>
    <row r="77" spans="2:15" ht="62.25" customHeight="1">
      <c r="B77" s="117"/>
      <c r="F77" s="102"/>
    </row>
    <row r="78" spans="2:15" ht="40" customHeight="1">
      <c r="B78" s="118"/>
      <c r="F78" s="102"/>
    </row>
    <row r="79" spans="2:15" ht="40" customHeight="1">
      <c r="C79" s="101"/>
      <c r="F79" s="102"/>
      <c r="H79" s="131"/>
    </row>
    <row r="80" spans="2:15" ht="53.25" customHeight="1">
      <c r="C80" s="122"/>
      <c r="D80" s="122"/>
      <c r="E80" s="123"/>
      <c r="F80" s="122"/>
      <c r="G80" s="123"/>
      <c r="H80" s="147"/>
    </row>
    <row r="81" spans="2:12" ht="53.25" customHeight="1">
      <c r="C81" s="122"/>
      <c r="D81" s="122"/>
      <c r="E81" s="123"/>
      <c r="F81" s="122"/>
      <c r="G81" s="123"/>
      <c r="H81" s="147"/>
    </row>
    <row r="82" spans="2:12" ht="57.75" customHeight="1">
      <c r="C82" s="122"/>
      <c r="D82" s="124"/>
      <c r="E82" s="122"/>
      <c r="F82" s="122"/>
      <c r="G82" s="122"/>
      <c r="H82" s="148"/>
    </row>
    <row r="83" spans="2:12" ht="45.75" customHeight="1">
      <c r="C83" s="122"/>
      <c r="D83" s="122"/>
      <c r="E83" s="149"/>
      <c r="F83" s="122"/>
      <c r="G83" s="149"/>
      <c r="H83" s="150"/>
    </row>
    <row r="84" spans="2:12" ht="50.25" customHeight="1">
      <c r="B84" s="110"/>
      <c r="C84" s="126"/>
      <c r="D84" s="122"/>
      <c r="E84" s="151"/>
      <c r="F84" s="122"/>
      <c r="G84" s="151"/>
      <c r="H84" s="147"/>
      <c r="K84" s="118"/>
      <c r="L84" s="118"/>
    </row>
    <row r="85" spans="2:12" ht="40" customHeight="1">
      <c r="B85" s="110"/>
      <c r="C85" s="152"/>
      <c r="D85" s="122"/>
      <c r="E85" s="153"/>
      <c r="F85" s="122"/>
      <c r="G85" s="122"/>
      <c r="H85" s="126"/>
    </row>
    <row r="86" spans="2:12" ht="40" customHeight="1">
      <c r="B86" s="110"/>
      <c r="C86" s="107"/>
      <c r="E86" s="154"/>
      <c r="F86" s="102"/>
      <c r="H86" s="131"/>
    </row>
    <row r="87" spans="2:12" ht="40" customHeight="1">
      <c r="B87" s="110"/>
      <c r="C87" s="107"/>
      <c r="E87" s="154"/>
      <c r="F87" s="102"/>
      <c r="H87" s="131"/>
    </row>
    <row r="88" spans="2:12" ht="51.75" customHeight="1">
      <c r="B88" s="110"/>
      <c r="C88" s="107"/>
      <c r="E88" s="154"/>
      <c r="F88" s="102"/>
      <c r="H88" s="132"/>
    </row>
    <row r="89" spans="2:12" s="101" customFormat="1" ht="109.5" customHeight="1">
      <c r="B89" s="618"/>
      <c r="C89" s="618"/>
      <c r="D89" s="618"/>
      <c r="E89" s="618"/>
      <c r="G89" s="155"/>
      <c r="H89" s="156"/>
      <c r="K89" s="137"/>
      <c r="L89" s="137"/>
    </row>
    <row r="90" spans="2:12" s="101" customFormat="1" ht="27" customHeight="1">
      <c r="B90" s="618"/>
      <c r="C90" s="618"/>
      <c r="D90" s="618"/>
      <c r="E90" s="618"/>
      <c r="H90" s="131"/>
    </row>
    <row r="91" spans="2:12" s="101" customFormat="1" ht="81.75" customHeight="1">
      <c r="B91" s="618"/>
      <c r="C91" s="618"/>
      <c r="D91" s="618"/>
      <c r="E91" s="618"/>
      <c r="H91" s="131"/>
      <c r="K91" s="160"/>
    </row>
    <row r="92" spans="2:12" s="101" customFormat="1" ht="36.75" customHeight="1">
      <c r="F92" s="136"/>
      <c r="H92" s="131"/>
    </row>
    <row r="93" spans="2:12" s="101" customFormat="1" ht="36.75" customHeight="1">
      <c r="F93" s="136"/>
      <c r="H93" s="131"/>
    </row>
    <row r="94" spans="2:12" s="101" customFormat="1" ht="66.75" customHeight="1">
      <c r="F94" s="136"/>
      <c r="H94" s="131"/>
    </row>
    <row r="95" spans="2:12" s="101" customFormat="1" ht="36.75" customHeight="1">
      <c r="F95" s="136"/>
      <c r="H95" s="131"/>
    </row>
    <row r="96" spans="2:12" s="101" customFormat="1" ht="36.75" customHeight="1">
      <c r="F96" s="136"/>
      <c r="H96" s="131"/>
    </row>
    <row r="97" spans="1:9" s="101" customFormat="1" ht="36.75" customHeight="1">
      <c r="F97" s="136"/>
      <c r="H97" s="131"/>
    </row>
    <row r="98" spans="1:9" s="101" customFormat="1" ht="26.25" customHeight="1">
      <c r="F98" s="136"/>
      <c r="H98" s="131"/>
    </row>
    <row r="99" spans="1:9" s="101" customFormat="1" ht="40" customHeight="1">
      <c r="F99" s="136"/>
      <c r="H99" s="131"/>
    </row>
    <row r="100" spans="1:9" s="101" customFormat="1" ht="54.75" customHeight="1"/>
    <row r="101" spans="1:9" ht="71.25" customHeight="1">
      <c r="B101" s="157"/>
      <c r="C101" s="157"/>
      <c r="D101" s="157"/>
      <c r="E101" s="158"/>
      <c r="F101" s="102"/>
    </row>
    <row r="102" spans="1:9" ht="36">
      <c r="E102" s="624"/>
      <c r="F102" s="624"/>
      <c r="G102" s="624"/>
      <c r="H102" s="624"/>
      <c r="I102" s="624"/>
    </row>
    <row r="103" spans="1:9" ht="36">
      <c r="E103" s="625"/>
      <c r="F103" s="625"/>
      <c r="G103" s="625"/>
      <c r="H103" s="625"/>
      <c r="I103" s="625"/>
    </row>
    <row r="104" spans="1:9" ht="36">
      <c r="A104" s="101"/>
      <c r="E104" s="103"/>
      <c r="F104" s="102"/>
    </row>
    <row r="105" spans="1:9">
      <c r="A105" s="100"/>
      <c r="F105" s="102"/>
    </row>
    <row r="106" spans="1:9">
      <c r="A106" s="100"/>
      <c r="F106" s="102"/>
    </row>
    <row r="107" spans="1:9">
      <c r="A107" s="100"/>
      <c r="C107" s="159"/>
      <c r="F107" s="102"/>
      <c r="G107" s="100"/>
    </row>
  </sheetData>
  <mergeCells count="50">
    <mergeCell ref="G68:H68"/>
    <mergeCell ref="E102:G102"/>
    <mergeCell ref="H102:I102"/>
    <mergeCell ref="E103:G103"/>
    <mergeCell ref="H103:I103"/>
    <mergeCell ref="D70:H71"/>
    <mergeCell ref="B89:E91"/>
    <mergeCell ref="A56:C56"/>
    <mergeCell ref="E56:G56"/>
    <mergeCell ref="E63:G63"/>
    <mergeCell ref="H63:I63"/>
    <mergeCell ref="E64:G64"/>
    <mergeCell ref="H64:I64"/>
    <mergeCell ref="H41:J41"/>
    <mergeCell ref="H43:J43"/>
    <mergeCell ref="B48:E48"/>
    <mergeCell ref="H48:J48"/>
    <mergeCell ref="A55:C55"/>
    <mergeCell ref="E55:G55"/>
    <mergeCell ref="H36:J36"/>
    <mergeCell ref="H37:J37"/>
    <mergeCell ref="H38:J38"/>
    <mergeCell ref="H39:J39"/>
    <mergeCell ref="H40:J40"/>
    <mergeCell ref="H31:J31"/>
    <mergeCell ref="I32:J32"/>
    <mergeCell ref="H33:J33"/>
    <mergeCell ref="H34:J34"/>
    <mergeCell ref="H35:J35"/>
    <mergeCell ref="H26:J26"/>
    <mergeCell ref="H27:J27"/>
    <mergeCell ref="H28:J28"/>
    <mergeCell ref="H29:J29"/>
    <mergeCell ref="I30:J30"/>
    <mergeCell ref="H21:J21"/>
    <mergeCell ref="H22:J22"/>
    <mergeCell ref="H23:J23"/>
    <mergeCell ref="I24:J24"/>
    <mergeCell ref="H25:J25"/>
    <mergeCell ref="H16:J16"/>
    <mergeCell ref="H17:J17"/>
    <mergeCell ref="H18:J18"/>
    <mergeCell ref="H19:J19"/>
    <mergeCell ref="H20:J20"/>
    <mergeCell ref="C2:J2"/>
    <mergeCell ref="H3:I3"/>
    <mergeCell ref="G4:H4"/>
    <mergeCell ref="H14:J14"/>
    <mergeCell ref="H15:J15"/>
    <mergeCell ref="D5:H6"/>
  </mergeCells>
  <pageMargins left="0.55902777777777801" right="0.42916666666666697" top="1" bottom="1" header="0.5" footer="0.5"/>
  <pageSetup scale="29" fitToHeight="0" orientation="portrait" r:id="rId1"/>
  <headerFooter alignWithMargins="0"/>
  <rowBreaks count="2" manualBreakCount="2">
    <brk id="63" max="8" man="1"/>
    <brk id="64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8:K47"/>
  <sheetViews>
    <sheetView view="pageBreakPreview" zoomScaleNormal="100" zoomScaleSheetLayoutView="100" workbookViewId="0">
      <selection activeCell="I10" sqref="I10"/>
    </sheetView>
  </sheetViews>
  <sheetFormatPr defaultColWidth="9" defaultRowHeight="14.5"/>
  <cols>
    <col min="1" max="1" width="6.1796875" style="84" customWidth="1"/>
    <col min="2" max="2" width="6" style="84" customWidth="1"/>
    <col min="3" max="3" width="15.453125" style="84" customWidth="1"/>
    <col min="4" max="4" width="16" style="84" customWidth="1"/>
    <col min="5" max="5" width="13.81640625" style="84" customWidth="1"/>
    <col min="6" max="6" width="7.453125" style="84" customWidth="1"/>
    <col min="7" max="7" width="2" style="84" customWidth="1"/>
    <col min="8" max="8" width="12.26953125" style="84" customWidth="1"/>
    <col min="9" max="9" width="15.81640625" style="84" customWidth="1"/>
    <col min="10" max="10" width="14.453125" style="84" customWidth="1"/>
    <col min="11" max="11" width="13.26953125" style="84" customWidth="1"/>
    <col min="12" max="256" width="9.1796875" style="84"/>
    <col min="257" max="257" width="6.1796875" style="84" customWidth="1"/>
    <col min="258" max="258" width="6" style="84" customWidth="1"/>
    <col min="259" max="259" width="15.453125" style="84" customWidth="1"/>
    <col min="260" max="260" width="16" style="84" customWidth="1"/>
    <col min="261" max="261" width="13.81640625" style="84" customWidth="1"/>
    <col min="262" max="262" width="7.453125" style="84" customWidth="1"/>
    <col min="263" max="263" width="2" style="84" customWidth="1"/>
    <col min="264" max="264" width="12.26953125" style="84" customWidth="1"/>
    <col min="265" max="265" width="15.81640625" style="84" customWidth="1"/>
    <col min="266" max="512" width="9.1796875" style="84"/>
    <col min="513" max="513" width="6.1796875" style="84" customWidth="1"/>
    <col min="514" max="514" width="6" style="84" customWidth="1"/>
    <col min="515" max="515" width="15.453125" style="84" customWidth="1"/>
    <col min="516" max="516" width="16" style="84" customWidth="1"/>
    <col min="517" max="517" width="13.81640625" style="84" customWidth="1"/>
    <col min="518" max="518" width="7.453125" style="84" customWidth="1"/>
    <col min="519" max="519" width="2" style="84" customWidth="1"/>
    <col min="520" max="520" width="12.26953125" style="84" customWidth="1"/>
    <col min="521" max="521" width="15.81640625" style="84" customWidth="1"/>
    <col min="522" max="768" width="9.1796875" style="84"/>
    <col min="769" max="769" width="6.1796875" style="84" customWidth="1"/>
    <col min="770" max="770" width="6" style="84" customWidth="1"/>
    <col min="771" max="771" width="15.453125" style="84" customWidth="1"/>
    <col min="772" max="772" width="16" style="84" customWidth="1"/>
    <col min="773" max="773" width="13.81640625" style="84" customWidth="1"/>
    <col min="774" max="774" width="7.453125" style="84" customWidth="1"/>
    <col min="775" max="775" width="2" style="84" customWidth="1"/>
    <col min="776" max="776" width="12.26953125" style="84" customWidth="1"/>
    <col min="777" max="777" width="15.81640625" style="84" customWidth="1"/>
    <col min="778" max="1024" width="9.1796875" style="84"/>
    <col min="1025" max="1025" width="6.1796875" style="84" customWidth="1"/>
    <col min="1026" max="1026" width="6" style="84" customWidth="1"/>
    <col min="1027" max="1027" width="15.453125" style="84" customWidth="1"/>
    <col min="1028" max="1028" width="16" style="84" customWidth="1"/>
    <col min="1029" max="1029" width="13.81640625" style="84" customWidth="1"/>
    <col min="1030" max="1030" width="7.453125" style="84" customWidth="1"/>
    <col min="1031" max="1031" width="2" style="84" customWidth="1"/>
    <col min="1032" max="1032" width="12.26953125" style="84" customWidth="1"/>
    <col min="1033" max="1033" width="15.81640625" style="84" customWidth="1"/>
    <col min="1034" max="1280" width="9.1796875" style="84"/>
    <col min="1281" max="1281" width="6.1796875" style="84" customWidth="1"/>
    <col min="1282" max="1282" width="6" style="84" customWidth="1"/>
    <col min="1283" max="1283" width="15.453125" style="84" customWidth="1"/>
    <col min="1284" max="1284" width="16" style="84" customWidth="1"/>
    <col min="1285" max="1285" width="13.81640625" style="84" customWidth="1"/>
    <col min="1286" max="1286" width="7.453125" style="84" customWidth="1"/>
    <col min="1287" max="1287" width="2" style="84" customWidth="1"/>
    <col min="1288" max="1288" width="12.26953125" style="84" customWidth="1"/>
    <col min="1289" max="1289" width="15.81640625" style="84" customWidth="1"/>
    <col min="1290" max="1536" width="9.1796875" style="84"/>
    <col min="1537" max="1537" width="6.1796875" style="84" customWidth="1"/>
    <col min="1538" max="1538" width="6" style="84" customWidth="1"/>
    <col min="1539" max="1539" width="15.453125" style="84" customWidth="1"/>
    <col min="1540" max="1540" width="16" style="84" customWidth="1"/>
    <col min="1541" max="1541" width="13.81640625" style="84" customWidth="1"/>
    <col min="1542" max="1542" width="7.453125" style="84" customWidth="1"/>
    <col min="1543" max="1543" width="2" style="84" customWidth="1"/>
    <col min="1544" max="1544" width="12.26953125" style="84" customWidth="1"/>
    <col min="1545" max="1545" width="15.81640625" style="84" customWidth="1"/>
    <col min="1546" max="1792" width="9.1796875" style="84"/>
    <col min="1793" max="1793" width="6.1796875" style="84" customWidth="1"/>
    <col min="1794" max="1794" width="6" style="84" customWidth="1"/>
    <col min="1795" max="1795" width="15.453125" style="84" customWidth="1"/>
    <col min="1796" max="1796" width="16" style="84" customWidth="1"/>
    <col min="1797" max="1797" width="13.81640625" style="84" customWidth="1"/>
    <col min="1798" max="1798" width="7.453125" style="84" customWidth="1"/>
    <col min="1799" max="1799" width="2" style="84" customWidth="1"/>
    <col min="1800" max="1800" width="12.26953125" style="84" customWidth="1"/>
    <col min="1801" max="1801" width="15.81640625" style="84" customWidth="1"/>
    <col min="1802" max="2048" width="9.1796875" style="84"/>
    <col min="2049" max="2049" width="6.1796875" style="84" customWidth="1"/>
    <col min="2050" max="2050" width="6" style="84" customWidth="1"/>
    <col min="2051" max="2051" width="15.453125" style="84" customWidth="1"/>
    <col min="2052" max="2052" width="16" style="84" customWidth="1"/>
    <col min="2053" max="2053" width="13.81640625" style="84" customWidth="1"/>
    <col min="2054" max="2054" width="7.453125" style="84" customWidth="1"/>
    <col min="2055" max="2055" width="2" style="84" customWidth="1"/>
    <col min="2056" max="2056" width="12.26953125" style="84" customWidth="1"/>
    <col min="2057" max="2057" width="15.81640625" style="84" customWidth="1"/>
    <col min="2058" max="2304" width="9.1796875" style="84"/>
    <col min="2305" max="2305" width="6.1796875" style="84" customWidth="1"/>
    <col min="2306" max="2306" width="6" style="84" customWidth="1"/>
    <col min="2307" max="2307" width="15.453125" style="84" customWidth="1"/>
    <col min="2308" max="2308" width="16" style="84" customWidth="1"/>
    <col min="2309" max="2309" width="13.81640625" style="84" customWidth="1"/>
    <col min="2310" max="2310" width="7.453125" style="84" customWidth="1"/>
    <col min="2311" max="2311" width="2" style="84" customWidth="1"/>
    <col min="2312" max="2312" width="12.26953125" style="84" customWidth="1"/>
    <col min="2313" max="2313" width="15.81640625" style="84" customWidth="1"/>
    <col min="2314" max="2560" width="9.1796875" style="84"/>
    <col min="2561" max="2561" width="6.1796875" style="84" customWidth="1"/>
    <col min="2562" max="2562" width="6" style="84" customWidth="1"/>
    <col min="2563" max="2563" width="15.453125" style="84" customWidth="1"/>
    <col min="2564" max="2564" width="16" style="84" customWidth="1"/>
    <col min="2565" max="2565" width="13.81640625" style="84" customWidth="1"/>
    <col min="2566" max="2566" width="7.453125" style="84" customWidth="1"/>
    <col min="2567" max="2567" width="2" style="84" customWidth="1"/>
    <col min="2568" max="2568" width="12.26953125" style="84" customWidth="1"/>
    <col min="2569" max="2569" width="15.81640625" style="84" customWidth="1"/>
    <col min="2570" max="2816" width="9.1796875" style="84"/>
    <col min="2817" max="2817" width="6.1796875" style="84" customWidth="1"/>
    <col min="2818" max="2818" width="6" style="84" customWidth="1"/>
    <col min="2819" max="2819" width="15.453125" style="84" customWidth="1"/>
    <col min="2820" max="2820" width="16" style="84" customWidth="1"/>
    <col min="2821" max="2821" width="13.81640625" style="84" customWidth="1"/>
    <col min="2822" max="2822" width="7.453125" style="84" customWidth="1"/>
    <col min="2823" max="2823" width="2" style="84" customWidth="1"/>
    <col min="2824" max="2824" width="12.26953125" style="84" customWidth="1"/>
    <col min="2825" max="2825" width="15.81640625" style="84" customWidth="1"/>
    <col min="2826" max="3072" width="9.1796875" style="84"/>
    <col min="3073" max="3073" width="6.1796875" style="84" customWidth="1"/>
    <col min="3074" max="3074" width="6" style="84" customWidth="1"/>
    <col min="3075" max="3075" width="15.453125" style="84" customWidth="1"/>
    <col min="3076" max="3076" width="16" style="84" customWidth="1"/>
    <col min="3077" max="3077" width="13.81640625" style="84" customWidth="1"/>
    <col min="3078" max="3078" width="7.453125" style="84" customWidth="1"/>
    <col min="3079" max="3079" width="2" style="84" customWidth="1"/>
    <col min="3080" max="3080" width="12.26953125" style="84" customWidth="1"/>
    <col min="3081" max="3081" width="15.81640625" style="84" customWidth="1"/>
    <col min="3082" max="3328" width="9.1796875" style="84"/>
    <col min="3329" max="3329" width="6.1796875" style="84" customWidth="1"/>
    <col min="3330" max="3330" width="6" style="84" customWidth="1"/>
    <col min="3331" max="3331" width="15.453125" style="84" customWidth="1"/>
    <col min="3332" max="3332" width="16" style="84" customWidth="1"/>
    <col min="3333" max="3333" width="13.81640625" style="84" customWidth="1"/>
    <col min="3334" max="3334" width="7.453125" style="84" customWidth="1"/>
    <col min="3335" max="3335" width="2" style="84" customWidth="1"/>
    <col min="3336" max="3336" width="12.26953125" style="84" customWidth="1"/>
    <col min="3337" max="3337" width="15.81640625" style="84" customWidth="1"/>
    <col min="3338" max="3584" width="9.1796875" style="84"/>
    <col min="3585" max="3585" width="6.1796875" style="84" customWidth="1"/>
    <col min="3586" max="3586" width="6" style="84" customWidth="1"/>
    <col min="3587" max="3587" width="15.453125" style="84" customWidth="1"/>
    <col min="3588" max="3588" width="16" style="84" customWidth="1"/>
    <col min="3589" max="3589" width="13.81640625" style="84" customWidth="1"/>
    <col min="3590" max="3590" width="7.453125" style="84" customWidth="1"/>
    <col min="3591" max="3591" width="2" style="84" customWidth="1"/>
    <col min="3592" max="3592" width="12.26953125" style="84" customWidth="1"/>
    <col min="3593" max="3593" width="15.81640625" style="84" customWidth="1"/>
    <col min="3594" max="3840" width="9.1796875" style="84"/>
    <col min="3841" max="3841" width="6.1796875" style="84" customWidth="1"/>
    <col min="3842" max="3842" width="6" style="84" customWidth="1"/>
    <col min="3843" max="3843" width="15.453125" style="84" customWidth="1"/>
    <col min="3844" max="3844" width="16" style="84" customWidth="1"/>
    <col min="3845" max="3845" width="13.81640625" style="84" customWidth="1"/>
    <col min="3846" max="3846" width="7.453125" style="84" customWidth="1"/>
    <col min="3847" max="3847" width="2" style="84" customWidth="1"/>
    <col min="3848" max="3848" width="12.26953125" style="84" customWidth="1"/>
    <col min="3849" max="3849" width="15.81640625" style="84" customWidth="1"/>
    <col min="3850" max="4096" width="9.1796875" style="84"/>
    <col min="4097" max="4097" width="6.1796875" style="84" customWidth="1"/>
    <col min="4098" max="4098" width="6" style="84" customWidth="1"/>
    <col min="4099" max="4099" width="15.453125" style="84" customWidth="1"/>
    <col min="4100" max="4100" width="16" style="84" customWidth="1"/>
    <col min="4101" max="4101" width="13.81640625" style="84" customWidth="1"/>
    <col min="4102" max="4102" width="7.453125" style="84" customWidth="1"/>
    <col min="4103" max="4103" width="2" style="84" customWidth="1"/>
    <col min="4104" max="4104" width="12.26953125" style="84" customWidth="1"/>
    <col min="4105" max="4105" width="15.81640625" style="84" customWidth="1"/>
    <col min="4106" max="4352" width="9.1796875" style="84"/>
    <col min="4353" max="4353" width="6.1796875" style="84" customWidth="1"/>
    <col min="4354" max="4354" width="6" style="84" customWidth="1"/>
    <col min="4355" max="4355" width="15.453125" style="84" customWidth="1"/>
    <col min="4356" max="4356" width="16" style="84" customWidth="1"/>
    <col min="4357" max="4357" width="13.81640625" style="84" customWidth="1"/>
    <col min="4358" max="4358" width="7.453125" style="84" customWidth="1"/>
    <col min="4359" max="4359" width="2" style="84" customWidth="1"/>
    <col min="4360" max="4360" width="12.26953125" style="84" customWidth="1"/>
    <col min="4361" max="4361" width="15.81640625" style="84" customWidth="1"/>
    <col min="4362" max="4608" width="9.1796875" style="84"/>
    <col min="4609" max="4609" width="6.1796875" style="84" customWidth="1"/>
    <col min="4610" max="4610" width="6" style="84" customWidth="1"/>
    <col min="4611" max="4611" width="15.453125" style="84" customWidth="1"/>
    <col min="4612" max="4612" width="16" style="84" customWidth="1"/>
    <col min="4613" max="4613" width="13.81640625" style="84" customWidth="1"/>
    <col min="4614" max="4614" width="7.453125" style="84" customWidth="1"/>
    <col min="4615" max="4615" width="2" style="84" customWidth="1"/>
    <col min="4616" max="4616" width="12.26953125" style="84" customWidth="1"/>
    <col min="4617" max="4617" width="15.81640625" style="84" customWidth="1"/>
    <col min="4618" max="4864" width="9.1796875" style="84"/>
    <col min="4865" max="4865" width="6.1796875" style="84" customWidth="1"/>
    <col min="4866" max="4866" width="6" style="84" customWidth="1"/>
    <col min="4867" max="4867" width="15.453125" style="84" customWidth="1"/>
    <col min="4868" max="4868" width="16" style="84" customWidth="1"/>
    <col min="4869" max="4869" width="13.81640625" style="84" customWidth="1"/>
    <col min="4870" max="4870" width="7.453125" style="84" customWidth="1"/>
    <col min="4871" max="4871" width="2" style="84" customWidth="1"/>
    <col min="4872" max="4872" width="12.26953125" style="84" customWidth="1"/>
    <col min="4873" max="4873" width="15.81640625" style="84" customWidth="1"/>
    <col min="4874" max="5120" width="9.1796875" style="84"/>
    <col min="5121" max="5121" width="6.1796875" style="84" customWidth="1"/>
    <col min="5122" max="5122" width="6" style="84" customWidth="1"/>
    <col min="5123" max="5123" width="15.453125" style="84" customWidth="1"/>
    <col min="5124" max="5124" width="16" style="84" customWidth="1"/>
    <col min="5125" max="5125" width="13.81640625" style="84" customWidth="1"/>
    <col min="5126" max="5126" width="7.453125" style="84" customWidth="1"/>
    <col min="5127" max="5127" width="2" style="84" customWidth="1"/>
    <col min="5128" max="5128" width="12.26953125" style="84" customWidth="1"/>
    <col min="5129" max="5129" width="15.81640625" style="84" customWidth="1"/>
    <col min="5130" max="5376" width="9.1796875" style="84"/>
    <col min="5377" max="5377" width="6.1796875" style="84" customWidth="1"/>
    <col min="5378" max="5378" width="6" style="84" customWidth="1"/>
    <col min="5379" max="5379" width="15.453125" style="84" customWidth="1"/>
    <col min="5380" max="5380" width="16" style="84" customWidth="1"/>
    <col min="5381" max="5381" width="13.81640625" style="84" customWidth="1"/>
    <col min="5382" max="5382" width="7.453125" style="84" customWidth="1"/>
    <col min="5383" max="5383" width="2" style="84" customWidth="1"/>
    <col min="5384" max="5384" width="12.26953125" style="84" customWidth="1"/>
    <col min="5385" max="5385" width="15.81640625" style="84" customWidth="1"/>
    <col min="5386" max="5632" width="9.1796875" style="84"/>
    <col min="5633" max="5633" width="6.1796875" style="84" customWidth="1"/>
    <col min="5634" max="5634" width="6" style="84" customWidth="1"/>
    <col min="5635" max="5635" width="15.453125" style="84" customWidth="1"/>
    <col min="5636" max="5636" width="16" style="84" customWidth="1"/>
    <col min="5637" max="5637" width="13.81640625" style="84" customWidth="1"/>
    <col min="5638" max="5638" width="7.453125" style="84" customWidth="1"/>
    <col min="5639" max="5639" width="2" style="84" customWidth="1"/>
    <col min="5640" max="5640" width="12.26953125" style="84" customWidth="1"/>
    <col min="5641" max="5641" width="15.81640625" style="84" customWidth="1"/>
    <col min="5642" max="5888" width="9.1796875" style="84"/>
    <col min="5889" max="5889" width="6.1796875" style="84" customWidth="1"/>
    <col min="5890" max="5890" width="6" style="84" customWidth="1"/>
    <col min="5891" max="5891" width="15.453125" style="84" customWidth="1"/>
    <col min="5892" max="5892" width="16" style="84" customWidth="1"/>
    <col min="5893" max="5893" width="13.81640625" style="84" customWidth="1"/>
    <col min="5894" max="5894" width="7.453125" style="84" customWidth="1"/>
    <col min="5895" max="5895" width="2" style="84" customWidth="1"/>
    <col min="5896" max="5896" width="12.26953125" style="84" customWidth="1"/>
    <col min="5897" max="5897" width="15.81640625" style="84" customWidth="1"/>
    <col min="5898" max="6144" width="9.1796875" style="84"/>
    <col min="6145" max="6145" width="6.1796875" style="84" customWidth="1"/>
    <col min="6146" max="6146" width="6" style="84" customWidth="1"/>
    <col min="6147" max="6147" width="15.453125" style="84" customWidth="1"/>
    <col min="6148" max="6148" width="16" style="84" customWidth="1"/>
    <col min="6149" max="6149" width="13.81640625" style="84" customWidth="1"/>
    <col min="6150" max="6150" width="7.453125" style="84" customWidth="1"/>
    <col min="6151" max="6151" width="2" style="84" customWidth="1"/>
    <col min="6152" max="6152" width="12.26953125" style="84" customWidth="1"/>
    <col min="6153" max="6153" width="15.81640625" style="84" customWidth="1"/>
    <col min="6154" max="6400" width="9.1796875" style="84"/>
    <col min="6401" max="6401" width="6.1796875" style="84" customWidth="1"/>
    <col min="6402" max="6402" width="6" style="84" customWidth="1"/>
    <col min="6403" max="6403" width="15.453125" style="84" customWidth="1"/>
    <col min="6404" max="6404" width="16" style="84" customWidth="1"/>
    <col min="6405" max="6405" width="13.81640625" style="84" customWidth="1"/>
    <col min="6406" max="6406" width="7.453125" style="84" customWidth="1"/>
    <col min="6407" max="6407" width="2" style="84" customWidth="1"/>
    <col min="6408" max="6408" width="12.26953125" style="84" customWidth="1"/>
    <col min="6409" max="6409" width="15.81640625" style="84" customWidth="1"/>
    <col min="6410" max="6656" width="9.1796875" style="84"/>
    <col min="6657" max="6657" width="6.1796875" style="84" customWidth="1"/>
    <col min="6658" max="6658" width="6" style="84" customWidth="1"/>
    <col min="6659" max="6659" width="15.453125" style="84" customWidth="1"/>
    <col min="6660" max="6660" width="16" style="84" customWidth="1"/>
    <col min="6661" max="6661" width="13.81640625" style="84" customWidth="1"/>
    <col min="6662" max="6662" width="7.453125" style="84" customWidth="1"/>
    <col min="6663" max="6663" width="2" style="84" customWidth="1"/>
    <col min="6664" max="6664" width="12.26953125" style="84" customWidth="1"/>
    <col min="6665" max="6665" width="15.81640625" style="84" customWidth="1"/>
    <col min="6666" max="6912" width="9.1796875" style="84"/>
    <col min="6913" max="6913" width="6.1796875" style="84" customWidth="1"/>
    <col min="6914" max="6914" width="6" style="84" customWidth="1"/>
    <col min="6915" max="6915" width="15.453125" style="84" customWidth="1"/>
    <col min="6916" max="6916" width="16" style="84" customWidth="1"/>
    <col min="6917" max="6917" width="13.81640625" style="84" customWidth="1"/>
    <col min="6918" max="6918" width="7.453125" style="84" customWidth="1"/>
    <col min="6919" max="6919" width="2" style="84" customWidth="1"/>
    <col min="6920" max="6920" width="12.26953125" style="84" customWidth="1"/>
    <col min="6921" max="6921" width="15.81640625" style="84" customWidth="1"/>
    <col min="6922" max="7168" width="9.1796875" style="84"/>
    <col min="7169" max="7169" width="6.1796875" style="84" customWidth="1"/>
    <col min="7170" max="7170" width="6" style="84" customWidth="1"/>
    <col min="7171" max="7171" width="15.453125" style="84" customWidth="1"/>
    <col min="7172" max="7172" width="16" style="84" customWidth="1"/>
    <col min="7173" max="7173" width="13.81640625" style="84" customWidth="1"/>
    <col min="7174" max="7174" width="7.453125" style="84" customWidth="1"/>
    <col min="7175" max="7175" width="2" style="84" customWidth="1"/>
    <col min="7176" max="7176" width="12.26953125" style="84" customWidth="1"/>
    <col min="7177" max="7177" width="15.81640625" style="84" customWidth="1"/>
    <col min="7178" max="7424" width="9.1796875" style="84"/>
    <col min="7425" max="7425" width="6.1796875" style="84" customWidth="1"/>
    <col min="7426" max="7426" width="6" style="84" customWidth="1"/>
    <col min="7427" max="7427" width="15.453125" style="84" customWidth="1"/>
    <col min="7428" max="7428" width="16" style="84" customWidth="1"/>
    <col min="7429" max="7429" width="13.81640625" style="84" customWidth="1"/>
    <col min="7430" max="7430" width="7.453125" style="84" customWidth="1"/>
    <col min="7431" max="7431" width="2" style="84" customWidth="1"/>
    <col min="7432" max="7432" width="12.26953125" style="84" customWidth="1"/>
    <col min="7433" max="7433" width="15.81640625" style="84" customWidth="1"/>
    <col min="7434" max="7680" width="9.1796875" style="84"/>
    <col min="7681" max="7681" width="6.1796875" style="84" customWidth="1"/>
    <col min="7682" max="7682" width="6" style="84" customWidth="1"/>
    <col min="7683" max="7683" width="15.453125" style="84" customWidth="1"/>
    <col min="7684" max="7684" width="16" style="84" customWidth="1"/>
    <col min="7685" max="7685" width="13.81640625" style="84" customWidth="1"/>
    <col min="7686" max="7686" width="7.453125" style="84" customWidth="1"/>
    <col min="7687" max="7687" width="2" style="84" customWidth="1"/>
    <col min="7688" max="7688" width="12.26953125" style="84" customWidth="1"/>
    <col min="7689" max="7689" width="15.81640625" style="84" customWidth="1"/>
    <col min="7690" max="7936" width="9.1796875" style="84"/>
    <col min="7937" max="7937" width="6.1796875" style="84" customWidth="1"/>
    <col min="7938" max="7938" width="6" style="84" customWidth="1"/>
    <col min="7939" max="7939" width="15.453125" style="84" customWidth="1"/>
    <col min="7940" max="7940" width="16" style="84" customWidth="1"/>
    <col min="7941" max="7941" width="13.81640625" style="84" customWidth="1"/>
    <col min="7942" max="7942" width="7.453125" style="84" customWidth="1"/>
    <col min="7943" max="7943" width="2" style="84" customWidth="1"/>
    <col min="7944" max="7944" width="12.26953125" style="84" customWidth="1"/>
    <col min="7945" max="7945" width="15.81640625" style="84" customWidth="1"/>
    <col min="7946" max="8192" width="9.1796875" style="84"/>
    <col min="8193" max="8193" width="6.1796875" style="84" customWidth="1"/>
    <col min="8194" max="8194" width="6" style="84" customWidth="1"/>
    <col min="8195" max="8195" width="15.453125" style="84" customWidth="1"/>
    <col min="8196" max="8196" width="16" style="84" customWidth="1"/>
    <col min="8197" max="8197" width="13.81640625" style="84" customWidth="1"/>
    <col min="8198" max="8198" width="7.453125" style="84" customWidth="1"/>
    <col min="8199" max="8199" width="2" style="84" customWidth="1"/>
    <col min="8200" max="8200" width="12.26953125" style="84" customWidth="1"/>
    <col min="8201" max="8201" width="15.81640625" style="84" customWidth="1"/>
    <col min="8202" max="8448" width="9.1796875" style="84"/>
    <col min="8449" max="8449" width="6.1796875" style="84" customWidth="1"/>
    <col min="8450" max="8450" width="6" style="84" customWidth="1"/>
    <col min="8451" max="8451" width="15.453125" style="84" customWidth="1"/>
    <col min="8452" max="8452" width="16" style="84" customWidth="1"/>
    <col min="8453" max="8453" width="13.81640625" style="84" customWidth="1"/>
    <col min="8454" max="8454" width="7.453125" style="84" customWidth="1"/>
    <col min="8455" max="8455" width="2" style="84" customWidth="1"/>
    <col min="8456" max="8456" width="12.26953125" style="84" customWidth="1"/>
    <col min="8457" max="8457" width="15.81640625" style="84" customWidth="1"/>
    <col min="8458" max="8704" width="9.1796875" style="84"/>
    <col min="8705" max="8705" width="6.1796875" style="84" customWidth="1"/>
    <col min="8706" max="8706" width="6" style="84" customWidth="1"/>
    <col min="8707" max="8707" width="15.453125" style="84" customWidth="1"/>
    <col min="8708" max="8708" width="16" style="84" customWidth="1"/>
    <col min="8709" max="8709" width="13.81640625" style="84" customWidth="1"/>
    <col min="8710" max="8710" width="7.453125" style="84" customWidth="1"/>
    <col min="8711" max="8711" width="2" style="84" customWidth="1"/>
    <col min="8712" max="8712" width="12.26953125" style="84" customWidth="1"/>
    <col min="8713" max="8713" width="15.81640625" style="84" customWidth="1"/>
    <col min="8714" max="8960" width="9.1796875" style="84"/>
    <col min="8961" max="8961" width="6.1796875" style="84" customWidth="1"/>
    <col min="8962" max="8962" width="6" style="84" customWidth="1"/>
    <col min="8963" max="8963" width="15.453125" style="84" customWidth="1"/>
    <col min="8964" max="8964" width="16" style="84" customWidth="1"/>
    <col min="8965" max="8965" width="13.81640625" style="84" customWidth="1"/>
    <col min="8966" max="8966" width="7.453125" style="84" customWidth="1"/>
    <col min="8967" max="8967" width="2" style="84" customWidth="1"/>
    <col min="8968" max="8968" width="12.26953125" style="84" customWidth="1"/>
    <col min="8969" max="8969" width="15.81640625" style="84" customWidth="1"/>
    <col min="8970" max="9216" width="9.1796875" style="84"/>
    <col min="9217" max="9217" width="6.1796875" style="84" customWidth="1"/>
    <col min="9218" max="9218" width="6" style="84" customWidth="1"/>
    <col min="9219" max="9219" width="15.453125" style="84" customWidth="1"/>
    <col min="9220" max="9220" width="16" style="84" customWidth="1"/>
    <col min="9221" max="9221" width="13.81640625" style="84" customWidth="1"/>
    <col min="9222" max="9222" width="7.453125" style="84" customWidth="1"/>
    <col min="9223" max="9223" width="2" style="84" customWidth="1"/>
    <col min="9224" max="9224" width="12.26953125" style="84" customWidth="1"/>
    <col min="9225" max="9225" width="15.81640625" style="84" customWidth="1"/>
    <col min="9226" max="9472" width="9.1796875" style="84"/>
    <col min="9473" max="9473" width="6.1796875" style="84" customWidth="1"/>
    <col min="9474" max="9474" width="6" style="84" customWidth="1"/>
    <col min="9475" max="9475" width="15.453125" style="84" customWidth="1"/>
    <col min="9476" max="9476" width="16" style="84" customWidth="1"/>
    <col min="9477" max="9477" width="13.81640625" style="84" customWidth="1"/>
    <col min="9478" max="9478" width="7.453125" style="84" customWidth="1"/>
    <col min="9479" max="9479" width="2" style="84" customWidth="1"/>
    <col min="9480" max="9480" width="12.26953125" style="84" customWidth="1"/>
    <col min="9481" max="9481" width="15.81640625" style="84" customWidth="1"/>
    <col min="9482" max="9728" width="9.1796875" style="84"/>
    <col min="9729" max="9729" width="6.1796875" style="84" customWidth="1"/>
    <col min="9730" max="9730" width="6" style="84" customWidth="1"/>
    <col min="9731" max="9731" width="15.453125" style="84" customWidth="1"/>
    <col min="9732" max="9732" width="16" style="84" customWidth="1"/>
    <col min="9733" max="9733" width="13.81640625" style="84" customWidth="1"/>
    <col min="9734" max="9734" width="7.453125" style="84" customWidth="1"/>
    <col min="9735" max="9735" width="2" style="84" customWidth="1"/>
    <col min="9736" max="9736" width="12.26953125" style="84" customWidth="1"/>
    <col min="9737" max="9737" width="15.81640625" style="84" customWidth="1"/>
    <col min="9738" max="9984" width="9.1796875" style="84"/>
    <col min="9985" max="9985" width="6.1796875" style="84" customWidth="1"/>
    <col min="9986" max="9986" width="6" style="84" customWidth="1"/>
    <col min="9987" max="9987" width="15.453125" style="84" customWidth="1"/>
    <col min="9988" max="9988" width="16" style="84" customWidth="1"/>
    <col min="9989" max="9989" width="13.81640625" style="84" customWidth="1"/>
    <col min="9990" max="9990" width="7.453125" style="84" customWidth="1"/>
    <col min="9991" max="9991" width="2" style="84" customWidth="1"/>
    <col min="9992" max="9992" width="12.26953125" style="84" customWidth="1"/>
    <col min="9993" max="9993" width="15.81640625" style="84" customWidth="1"/>
    <col min="9994" max="10240" width="9.1796875" style="84"/>
    <col min="10241" max="10241" width="6.1796875" style="84" customWidth="1"/>
    <col min="10242" max="10242" width="6" style="84" customWidth="1"/>
    <col min="10243" max="10243" width="15.453125" style="84" customWidth="1"/>
    <col min="10244" max="10244" width="16" style="84" customWidth="1"/>
    <col min="10245" max="10245" width="13.81640625" style="84" customWidth="1"/>
    <col min="10246" max="10246" width="7.453125" style="84" customWidth="1"/>
    <col min="10247" max="10247" width="2" style="84" customWidth="1"/>
    <col min="10248" max="10248" width="12.26953125" style="84" customWidth="1"/>
    <col min="10249" max="10249" width="15.81640625" style="84" customWidth="1"/>
    <col min="10250" max="10496" width="9.1796875" style="84"/>
    <col min="10497" max="10497" width="6.1796875" style="84" customWidth="1"/>
    <col min="10498" max="10498" width="6" style="84" customWidth="1"/>
    <col min="10499" max="10499" width="15.453125" style="84" customWidth="1"/>
    <col min="10500" max="10500" width="16" style="84" customWidth="1"/>
    <col min="10501" max="10501" width="13.81640625" style="84" customWidth="1"/>
    <col min="10502" max="10502" width="7.453125" style="84" customWidth="1"/>
    <col min="10503" max="10503" width="2" style="84" customWidth="1"/>
    <col min="10504" max="10504" width="12.26953125" style="84" customWidth="1"/>
    <col min="10505" max="10505" width="15.81640625" style="84" customWidth="1"/>
    <col min="10506" max="10752" width="9.1796875" style="84"/>
    <col min="10753" max="10753" width="6.1796875" style="84" customWidth="1"/>
    <col min="10754" max="10754" width="6" style="84" customWidth="1"/>
    <col min="10755" max="10755" width="15.453125" style="84" customWidth="1"/>
    <col min="10756" max="10756" width="16" style="84" customWidth="1"/>
    <col min="10757" max="10757" width="13.81640625" style="84" customWidth="1"/>
    <col min="10758" max="10758" width="7.453125" style="84" customWidth="1"/>
    <col min="10759" max="10759" width="2" style="84" customWidth="1"/>
    <col min="10760" max="10760" width="12.26953125" style="84" customWidth="1"/>
    <col min="10761" max="10761" width="15.81640625" style="84" customWidth="1"/>
    <col min="10762" max="11008" width="9.1796875" style="84"/>
    <col min="11009" max="11009" width="6.1796875" style="84" customWidth="1"/>
    <col min="11010" max="11010" width="6" style="84" customWidth="1"/>
    <col min="11011" max="11011" width="15.453125" style="84" customWidth="1"/>
    <col min="11012" max="11012" width="16" style="84" customWidth="1"/>
    <col min="11013" max="11013" width="13.81640625" style="84" customWidth="1"/>
    <col min="11014" max="11014" width="7.453125" style="84" customWidth="1"/>
    <col min="11015" max="11015" width="2" style="84" customWidth="1"/>
    <col min="11016" max="11016" width="12.26953125" style="84" customWidth="1"/>
    <col min="11017" max="11017" width="15.81640625" style="84" customWidth="1"/>
    <col min="11018" max="11264" width="9.1796875" style="84"/>
    <col min="11265" max="11265" width="6.1796875" style="84" customWidth="1"/>
    <col min="11266" max="11266" width="6" style="84" customWidth="1"/>
    <col min="11267" max="11267" width="15.453125" style="84" customWidth="1"/>
    <col min="11268" max="11268" width="16" style="84" customWidth="1"/>
    <col min="11269" max="11269" width="13.81640625" style="84" customWidth="1"/>
    <col min="11270" max="11270" width="7.453125" style="84" customWidth="1"/>
    <col min="11271" max="11271" width="2" style="84" customWidth="1"/>
    <col min="11272" max="11272" width="12.26953125" style="84" customWidth="1"/>
    <col min="11273" max="11273" width="15.81640625" style="84" customWidth="1"/>
    <col min="11274" max="11520" width="9.1796875" style="84"/>
    <col min="11521" max="11521" width="6.1796875" style="84" customWidth="1"/>
    <col min="11522" max="11522" width="6" style="84" customWidth="1"/>
    <col min="11523" max="11523" width="15.453125" style="84" customWidth="1"/>
    <col min="11524" max="11524" width="16" style="84" customWidth="1"/>
    <col min="11525" max="11525" width="13.81640625" style="84" customWidth="1"/>
    <col min="11526" max="11526" width="7.453125" style="84" customWidth="1"/>
    <col min="11527" max="11527" width="2" style="84" customWidth="1"/>
    <col min="11528" max="11528" width="12.26953125" style="84" customWidth="1"/>
    <col min="11529" max="11529" width="15.81640625" style="84" customWidth="1"/>
    <col min="11530" max="11776" width="9.1796875" style="84"/>
    <col min="11777" max="11777" width="6.1796875" style="84" customWidth="1"/>
    <col min="11778" max="11778" width="6" style="84" customWidth="1"/>
    <col min="11779" max="11779" width="15.453125" style="84" customWidth="1"/>
    <col min="11780" max="11780" width="16" style="84" customWidth="1"/>
    <col min="11781" max="11781" width="13.81640625" style="84" customWidth="1"/>
    <col min="11782" max="11782" width="7.453125" style="84" customWidth="1"/>
    <col min="11783" max="11783" width="2" style="84" customWidth="1"/>
    <col min="11784" max="11784" width="12.26953125" style="84" customWidth="1"/>
    <col min="11785" max="11785" width="15.81640625" style="84" customWidth="1"/>
    <col min="11786" max="12032" width="9.1796875" style="84"/>
    <col min="12033" max="12033" width="6.1796875" style="84" customWidth="1"/>
    <col min="12034" max="12034" width="6" style="84" customWidth="1"/>
    <col min="12035" max="12035" width="15.453125" style="84" customWidth="1"/>
    <col min="12036" max="12036" width="16" style="84" customWidth="1"/>
    <col min="12037" max="12037" width="13.81640625" style="84" customWidth="1"/>
    <col min="12038" max="12038" width="7.453125" style="84" customWidth="1"/>
    <col min="12039" max="12039" width="2" style="84" customWidth="1"/>
    <col min="12040" max="12040" width="12.26953125" style="84" customWidth="1"/>
    <col min="12041" max="12041" width="15.81640625" style="84" customWidth="1"/>
    <col min="12042" max="12288" width="9.1796875" style="84"/>
    <col min="12289" max="12289" width="6.1796875" style="84" customWidth="1"/>
    <col min="12290" max="12290" width="6" style="84" customWidth="1"/>
    <col min="12291" max="12291" width="15.453125" style="84" customWidth="1"/>
    <col min="12292" max="12292" width="16" style="84" customWidth="1"/>
    <col min="12293" max="12293" width="13.81640625" style="84" customWidth="1"/>
    <col min="12294" max="12294" width="7.453125" style="84" customWidth="1"/>
    <col min="12295" max="12295" width="2" style="84" customWidth="1"/>
    <col min="12296" max="12296" width="12.26953125" style="84" customWidth="1"/>
    <col min="12297" max="12297" width="15.81640625" style="84" customWidth="1"/>
    <col min="12298" max="12544" width="9.1796875" style="84"/>
    <col min="12545" max="12545" width="6.1796875" style="84" customWidth="1"/>
    <col min="12546" max="12546" width="6" style="84" customWidth="1"/>
    <col min="12547" max="12547" width="15.453125" style="84" customWidth="1"/>
    <col min="12548" max="12548" width="16" style="84" customWidth="1"/>
    <col min="12549" max="12549" width="13.81640625" style="84" customWidth="1"/>
    <col min="12550" max="12550" width="7.453125" style="84" customWidth="1"/>
    <col min="12551" max="12551" width="2" style="84" customWidth="1"/>
    <col min="12552" max="12552" width="12.26953125" style="84" customWidth="1"/>
    <col min="12553" max="12553" width="15.81640625" style="84" customWidth="1"/>
    <col min="12554" max="12800" width="9.1796875" style="84"/>
    <col min="12801" max="12801" width="6.1796875" style="84" customWidth="1"/>
    <col min="12802" max="12802" width="6" style="84" customWidth="1"/>
    <col min="12803" max="12803" width="15.453125" style="84" customWidth="1"/>
    <col min="12804" max="12804" width="16" style="84" customWidth="1"/>
    <col min="12805" max="12805" width="13.81640625" style="84" customWidth="1"/>
    <col min="12806" max="12806" width="7.453125" style="84" customWidth="1"/>
    <col min="12807" max="12807" width="2" style="84" customWidth="1"/>
    <col min="12808" max="12808" width="12.26953125" style="84" customWidth="1"/>
    <col min="12809" max="12809" width="15.81640625" style="84" customWidth="1"/>
    <col min="12810" max="13056" width="9.1796875" style="84"/>
    <col min="13057" max="13057" width="6.1796875" style="84" customWidth="1"/>
    <col min="13058" max="13058" width="6" style="84" customWidth="1"/>
    <col min="13059" max="13059" width="15.453125" style="84" customWidth="1"/>
    <col min="13060" max="13060" width="16" style="84" customWidth="1"/>
    <col min="13061" max="13061" width="13.81640625" style="84" customWidth="1"/>
    <col min="13062" max="13062" width="7.453125" style="84" customWidth="1"/>
    <col min="13063" max="13063" width="2" style="84" customWidth="1"/>
    <col min="13064" max="13064" width="12.26953125" style="84" customWidth="1"/>
    <col min="13065" max="13065" width="15.81640625" style="84" customWidth="1"/>
    <col min="13066" max="13312" width="9.1796875" style="84"/>
    <col min="13313" max="13313" width="6.1796875" style="84" customWidth="1"/>
    <col min="13314" max="13314" width="6" style="84" customWidth="1"/>
    <col min="13315" max="13315" width="15.453125" style="84" customWidth="1"/>
    <col min="13316" max="13316" width="16" style="84" customWidth="1"/>
    <col min="13317" max="13317" width="13.81640625" style="84" customWidth="1"/>
    <col min="13318" max="13318" width="7.453125" style="84" customWidth="1"/>
    <col min="13319" max="13319" width="2" style="84" customWidth="1"/>
    <col min="13320" max="13320" width="12.26953125" style="84" customWidth="1"/>
    <col min="13321" max="13321" width="15.81640625" style="84" customWidth="1"/>
    <col min="13322" max="13568" width="9.1796875" style="84"/>
    <col min="13569" max="13569" width="6.1796875" style="84" customWidth="1"/>
    <col min="13570" max="13570" width="6" style="84" customWidth="1"/>
    <col min="13571" max="13571" width="15.453125" style="84" customWidth="1"/>
    <col min="13572" max="13572" width="16" style="84" customWidth="1"/>
    <col min="13573" max="13573" width="13.81640625" style="84" customWidth="1"/>
    <col min="13574" max="13574" width="7.453125" style="84" customWidth="1"/>
    <col min="13575" max="13575" width="2" style="84" customWidth="1"/>
    <col min="13576" max="13576" width="12.26953125" style="84" customWidth="1"/>
    <col min="13577" max="13577" width="15.81640625" style="84" customWidth="1"/>
    <col min="13578" max="13824" width="9.1796875" style="84"/>
    <col min="13825" max="13825" width="6.1796875" style="84" customWidth="1"/>
    <col min="13826" max="13826" width="6" style="84" customWidth="1"/>
    <col min="13827" max="13827" width="15.453125" style="84" customWidth="1"/>
    <col min="13828" max="13828" width="16" style="84" customWidth="1"/>
    <col min="13829" max="13829" width="13.81640625" style="84" customWidth="1"/>
    <col min="13830" max="13830" width="7.453125" style="84" customWidth="1"/>
    <col min="13831" max="13831" width="2" style="84" customWidth="1"/>
    <col min="13832" max="13832" width="12.26953125" style="84" customWidth="1"/>
    <col min="13833" max="13833" width="15.81640625" style="84" customWidth="1"/>
    <col min="13834" max="14080" width="9.1796875" style="84"/>
    <col min="14081" max="14081" width="6.1796875" style="84" customWidth="1"/>
    <col min="14082" max="14082" width="6" style="84" customWidth="1"/>
    <col min="14083" max="14083" width="15.453125" style="84" customWidth="1"/>
    <col min="14084" max="14084" width="16" style="84" customWidth="1"/>
    <col min="14085" max="14085" width="13.81640625" style="84" customWidth="1"/>
    <col min="14086" max="14086" width="7.453125" style="84" customWidth="1"/>
    <col min="14087" max="14087" width="2" style="84" customWidth="1"/>
    <col min="14088" max="14088" width="12.26953125" style="84" customWidth="1"/>
    <col min="14089" max="14089" width="15.81640625" style="84" customWidth="1"/>
    <col min="14090" max="14336" width="9.1796875" style="84"/>
    <col min="14337" max="14337" width="6.1796875" style="84" customWidth="1"/>
    <col min="14338" max="14338" width="6" style="84" customWidth="1"/>
    <col min="14339" max="14339" width="15.453125" style="84" customWidth="1"/>
    <col min="14340" max="14340" width="16" style="84" customWidth="1"/>
    <col min="14341" max="14341" width="13.81640625" style="84" customWidth="1"/>
    <col min="14342" max="14342" width="7.453125" style="84" customWidth="1"/>
    <col min="14343" max="14343" width="2" style="84" customWidth="1"/>
    <col min="14344" max="14344" width="12.26953125" style="84" customWidth="1"/>
    <col min="14345" max="14345" width="15.81640625" style="84" customWidth="1"/>
    <col min="14346" max="14592" width="9.1796875" style="84"/>
    <col min="14593" max="14593" width="6.1796875" style="84" customWidth="1"/>
    <col min="14594" max="14594" width="6" style="84" customWidth="1"/>
    <col min="14595" max="14595" width="15.453125" style="84" customWidth="1"/>
    <col min="14596" max="14596" width="16" style="84" customWidth="1"/>
    <col min="14597" max="14597" width="13.81640625" style="84" customWidth="1"/>
    <col min="14598" max="14598" width="7.453125" style="84" customWidth="1"/>
    <col min="14599" max="14599" width="2" style="84" customWidth="1"/>
    <col min="14600" max="14600" width="12.26953125" style="84" customWidth="1"/>
    <col min="14601" max="14601" width="15.81640625" style="84" customWidth="1"/>
    <col min="14602" max="14848" width="9.1796875" style="84"/>
    <col min="14849" max="14849" width="6.1796875" style="84" customWidth="1"/>
    <col min="14850" max="14850" width="6" style="84" customWidth="1"/>
    <col min="14851" max="14851" width="15.453125" style="84" customWidth="1"/>
    <col min="14852" max="14852" width="16" style="84" customWidth="1"/>
    <col min="14853" max="14853" width="13.81640625" style="84" customWidth="1"/>
    <col min="14854" max="14854" width="7.453125" style="84" customWidth="1"/>
    <col min="14855" max="14855" width="2" style="84" customWidth="1"/>
    <col min="14856" max="14856" width="12.26953125" style="84" customWidth="1"/>
    <col min="14857" max="14857" width="15.81640625" style="84" customWidth="1"/>
    <col min="14858" max="15104" width="9.1796875" style="84"/>
    <col min="15105" max="15105" width="6.1796875" style="84" customWidth="1"/>
    <col min="15106" max="15106" width="6" style="84" customWidth="1"/>
    <col min="15107" max="15107" width="15.453125" style="84" customWidth="1"/>
    <col min="15108" max="15108" width="16" style="84" customWidth="1"/>
    <col min="15109" max="15109" width="13.81640625" style="84" customWidth="1"/>
    <col min="15110" max="15110" width="7.453125" style="84" customWidth="1"/>
    <col min="15111" max="15111" width="2" style="84" customWidth="1"/>
    <col min="15112" max="15112" width="12.26953125" style="84" customWidth="1"/>
    <col min="15113" max="15113" width="15.81640625" style="84" customWidth="1"/>
    <col min="15114" max="15360" width="9.1796875" style="84"/>
    <col min="15361" max="15361" width="6.1796875" style="84" customWidth="1"/>
    <col min="15362" max="15362" width="6" style="84" customWidth="1"/>
    <col min="15363" max="15363" width="15.453125" style="84" customWidth="1"/>
    <col min="15364" max="15364" width="16" style="84" customWidth="1"/>
    <col min="15365" max="15365" width="13.81640625" style="84" customWidth="1"/>
    <col min="15366" max="15366" width="7.453125" style="84" customWidth="1"/>
    <col min="15367" max="15367" width="2" style="84" customWidth="1"/>
    <col min="15368" max="15368" width="12.26953125" style="84" customWidth="1"/>
    <col min="15369" max="15369" width="15.81640625" style="84" customWidth="1"/>
    <col min="15370" max="15616" width="9.1796875" style="84"/>
    <col min="15617" max="15617" width="6.1796875" style="84" customWidth="1"/>
    <col min="15618" max="15618" width="6" style="84" customWidth="1"/>
    <col min="15619" max="15619" width="15.453125" style="84" customWidth="1"/>
    <col min="15620" max="15620" width="16" style="84" customWidth="1"/>
    <col min="15621" max="15621" width="13.81640625" style="84" customWidth="1"/>
    <col min="15622" max="15622" width="7.453125" style="84" customWidth="1"/>
    <col min="15623" max="15623" width="2" style="84" customWidth="1"/>
    <col min="15624" max="15624" width="12.26953125" style="84" customWidth="1"/>
    <col min="15625" max="15625" width="15.81640625" style="84" customWidth="1"/>
    <col min="15626" max="15872" width="9.1796875" style="84"/>
    <col min="15873" max="15873" width="6.1796875" style="84" customWidth="1"/>
    <col min="15874" max="15874" width="6" style="84" customWidth="1"/>
    <col min="15875" max="15875" width="15.453125" style="84" customWidth="1"/>
    <col min="15876" max="15876" width="16" style="84" customWidth="1"/>
    <col min="15877" max="15877" width="13.81640625" style="84" customWidth="1"/>
    <col min="15878" max="15878" width="7.453125" style="84" customWidth="1"/>
    <col min="15879" max="15879" width="2" style="84" customWidth="1"/>
    <col min="15880" max="15880" width="12.26953125" style="84" customWidth="1"/>
    <col min="15881" max="15881" width="15.81640625" style="84" customWidth="1"/>
    <col min="15882" max="16128" width="9.1796875" style="84"/>
    <col min="16129" max="16129" width="6.1796875" style="84" customWidth="1"/>
    <col min="16130" max="16130" width="6" style="84" customWidth="1"/>
    <col min="16131" max="16131" width="15.453125" style="84" customWidth="1"/>
    <col min="16132" max="16132" width="16" style="84" customWidth="1"/>
    <col min="16133" max="16133" width="13.81640625" style="84" customWidth="1"/>
    <col min="16134" max="16134" width="7.453125" style="84" customWidth="1"/>
    <col min="16135" max="16135" width="2" style="84" customWidth="1"/>
    <col min="16136" max="16136" width="12.26953125" style="84" customWidth="1"/>
    <col min="16137" max="16137" width="15.81640625" style="84" customWidth="1"/>
    <col min="16138" max="16384" width="9.1796875" style="84"/>
  </cols>
  <sheetData>
    <row r="8" spans="3:9" ht="20.25" customHeight="1"/>
    <row r="9" spans="3:9" ht="26.5" customHeight="1">
      <c r="C9" s="85" t="s">
        <v>0</v>
      </c>
      <c r="I9" s="93">
        <f ca="1">TODAY()</f>
        <v>46234</v>
      </c>
    </row>
    <row r="10" spans="3:9" ht="18.75" customHeight="1">
      <c r="C10" s="86" t="s">
        <v>44</v>
      </c>
      <c r="D10" s="87"/>
      <c r="E10" s="87"/>
      <c r="F10" s="87"/>
      <c r="G10" s="87"/>
      <c r="H10" s="87"/>
    </row>
    <row r="11" spans="3:9" ht="18.75" customHeight="1">
      <c r="C11" s="86" t="s">
        <v>45</v>
      </c>
      <c r="I11" s="94" t="s">
        <v>3</v>
      </c>
    </row>
    <row r="12" spans="3:9" ht="18" customHeight="1"/>
    <row r="13" spans="3:9" ht="7.5" customHeight="1"/>
    <row r="14" spans="3:9" s="83" customFormat="1" ht="39" customHeight="1">
      <c r="C14" s="627"/>
      <c r="D14" s="627"/>
      <c r="E14" s="627"/>
      <c r="F14" s="627"/>
      <c r="G14" s="627"/>
      <c r="H14" s="627"/>
    </row>
    <row r="15" spans="3:9" ht="18.649999999999999" customHeight="1">
      <c r="C15" s="631"/>
      <c r="D15" s="631"/>
      <c r="E15" s="631"/>
      <c r="F15" s="631"/>
      <c r="G15" s="631"/>
      <c r="I15" s="92"/>
    </row>
    <row r="16" spans="3:9" ht="18.649999999999999" customHeight="1">
      <c r="C16" s="628" t="s">
        <v>393</v>
      </c>
      <c r="D16" s="628"/>
      <c r="E16" s="628"/>
      <c r="F16" s="628"/>
      <c r="I16" s="92"/>
    </row>
    <row r="17" spans="3:11" ht="18.649999999999999" customHeight="1">
      <c r="C17" s="629" t="str">
        <f>'BILLING COMPUTATION'!C5</f>
        <v>PAYROLL PERIOD: JULY 11-25, 2026</v>
      </c>
      <c r="D17" s="629"/>
      <c r="E17" s="629"/>
      <c r="F17" s="629"/>
      <c r="I17" s="92"/>
    </row>
    <row r="18" spans="3:11" ht="18.649999999999999" customHeight="1">
      <c r="I18" s="92"/>
    </row>
    <row r="19" spans="3:11" ht="18.649999999999999" customHeight="1">
      <c r="C19" s="88" t="s">
        <v>46</v>
      </c>
      <c r="I19" s="92">
        <f>'BILLING COMPUTATION'!M102</f>
        <v>587400</v>
      </c>
    </row>
    <row r="20" spans="3:11" ht="18.649999999999999" customHeight="1">
      <c r="C20" s="88" t="s">
        <v>47</v>
      </c>
      <c r="I20" s="92">
        <f>'BILLING COMPUTATION'!CP102</f>
        <v>58724.75</v>
      </c>
    </row>
    <row r="21" spans="3:11" ht="18.649999999999999" customHeight="1">
      <c r="C21" s="84" t="s">
        <v>48</v>
      </c>
      <c r="I21" s="95">
        <f>'BILLING COMPUTATION'!CG105</f>
        <v>669936.875</v>
      </c>
    </row>
    <row r="22" spans="3:11" ht="18.649999999999999" customHeight="1">
      <c r="C22" s="89" t="s">
        <v>49</v>
      </c>
      <c r="I22" s="96">
        <f>SUM(I19:I21)</f>
        <v>1316061.625</v>
      </c>
    </row>
    <row r="23" spans="3:11" ht="20.25" customHeight="1">
      <c r="C23" s="84" t="s">
        <v>50</v>
      </c>
      <c r="I23" s="92">
        <f>'BILLING COMPUTATION'!CH102</f>
        <v>156600</v>
      </c>
    </row>
    <row r="24" spans="3:11" ht="18.649999999999999" customHeight="1">
      <c r="C24" s="84" t="s">
        <v>51</v>
      </c>
      <c r="I24" s="92">
        <f>'BILLING COMPUTATION'!CJ102</f>
        <v>2510</v>
      </c>
    </row>
    <row r="25" spans="3:11" ht="18.649999999999999" customHeight="1">
      <c r="C25" s="84" t="s">
        <v>52</v>
      </c>
      <c r="I25" s="92">
        <f>'BILLING COMPUTATION'!CK100</f>
        <v>34821.25</v>
      </c>
    </row>
    <row r="26" spans="3:11" ht="18.649999999999999" customHeight="1">
      <c r="C26" s="84" t="s">
        <v>53</v>
      </c>
      <c r="I26" s="95">
        <f>'BILLING COMPUTATION'!CM100</f>
        <v>17800</v>
      </c>
    </row>
    <row r="27" spans="3:11" ht="18.649999999999999" customHeight="1">
      <c r="C27" s="89" t="s">
        <v>54</v>
      </c>
      <c r="I27" s="96">
        <f>SUM(I23:I26)</f>
        <v>211731.25</v>
      </c>
    </row>
    <row r="28" spans="3:11" ht="18.649999999999999" customHeight="1">
      <c r="C28" s="89" t="s">
        <v>55</v>
      </c>
      <c r="I28" s="97">
        <f>I22+I27</f>
        <v>1527792.875</v>
      </c>
      <c r="J28" s="98">
        <f>I28-ABS!H46</f>
        <v>587400</v>
      </c>
      <c r="K28" s="98"/>
    </row>
    <row r="29" spans="3:11" ht="18.649999999999999" customHeight="1">
      <c r="I29" s="92"/>
    </row>
    <row r="30" spans="3:11" ht="18.649999999999999" customHeight="1">
      <c r="I30" s="92"/>
    </row>
    <row r="31" spans="3:11" ht="18.649999999999999" customHeight="1">
      <c r="F31" s="90"/>
      <c r="G31" s="90"/>
      <c r="H31" s="90"/>
      <c r="I31" s="92"/>
    </row>
    <row r="32" spans="3:11" ht="18.649999999999999" customHeight="1">
      <c r="D32" s="90"/>
      <c r="F32" s="90"/>
      <c r="G32" s="90"/>
      <c r="H32" s="90"/>
      <c r="I32" s="92"/>
    </row>
    <row r="33" spans="4:11" ht="18.649999999999999" customHeight="1">
      <c r="D33" s="90"/>
      <c r="F33" s="630"/>
      <c r="G33" s="630"/>
      <c r="H33" s="630"/>
      <c r="I33" s="92">
        <f>E41</f>
        <v>1527792.875</v>
      </c>
    </row>
    <row r="34" spans="4:11" ht="18.649999999999999" customHeight="1">
      <c r="F34" s="630"/>
      <c r="G34" s="630"/>
      <c r="H34" s="630"/>
      <c r="I34" s="95">
        <f>E40</f>
        <v>0</v>
      </c>
    </row>
    <row r="35" spans="4:11" ht="18.649999999999999" customHeight="1">
      <c r="D35" s="90"/>
      <c r="F35" s="630"/>
      <c r="G35" s="630"/>
      <c r="H35" s="630"/>
      <c r="I35" s="92">
        <f>E41-I34</f>
        <v>1527792.875</v>
      </c>
    </row>
    <row r="36" spans="4:11" ht="18.649999999999999" customHeight="1">
      <c r="D36" s="90"/>
      <c r="F36" s="630"/>
      <c r="G36" s="630"/>
      <c r="H36" s="630"/>
      <c r="I36" s="92"/>
    </row>
    <row r="37" spans="4:11" ht="18" customHeight="1">
      <c r="D37" s="91"/>
      <c r="E37" s="92"/>
      <c r="F37" s="630"/>
      <c r="G37" s="630"/>
      <c r="H37" s="630"/>
      <c r="I37" s="92">
        <f>I35-I36</f>
        <v>1527792.875</v>
      </c>
    </row>
    <row r="38" spans="4:11" ht="18.75" customHeight="1">
      <c r="D38" s="91"/>
      <c r="E38" s="92">
        <f>I28</f>
        <v>1527792.875</v>
      </c>
      <c r="F38" s="630"/>
      <c r="G38" s="630"/>
      <c r="H38" s="630"/>
      <c r="I38" s="95">
        <f>ROUND(I28*0.02,2)</f>
        <v>30555.86</v>
      </c>
    </row>
    <row r="39" spans="4:11" ht="18.75" customHeight="1">
      <c r="D39" s="91"/>
      <c r="E39" s="92"/>
      <c r="F39" s="630"/>
      <c r="G39" s="630"/>
      <c r="H39" s="630"/>
      <c r="I39" s="92">
        <f>I37-I38</f>
        <v>1497237.0149999999</v>
      </c>
    </row>
    <row r="40" spans="4:11" ht="18.75" customHeight="1">
      <c r="D40" s="91"/>
      <c r="E40" s="92">
        <f>E37*0.12</f>
        <v>0</v>
      </c>
      <c r="F40" s="630"/>
      <c r="G40" s="630"/>
      <c r="H40" s="630"/>
      <c r="I40" s="92">
        <f>E40</f>
        <v>0</v>
      </c>
    </row>
    <row r="41" spans="4:11" ht="18.75" customHeight="1">
      <c r="D41" s="91"/>
      <c r="E41" s="92">
        <f>SUM(E37:E40)</f>
        <v>1527792.875</v>
      </c>
      <c r="F41" s="633"/>
      <c r="G41" s="633"/>
      <c r="H41" s="633"/>
      <c r="I41" s="99">
        <f>SUM(I39:I40)</f>
        <v>1497237.0149999999</v>
      </c>
      <c r="K41" s="98"/>
    </row>
    <row r="42" spans="4:11" ht="17.25" customHeight="1">
      <c r="H42" s="90"/>
    </row>
    <row r="43" spans="4:11" ht="5.5" customHeight="1"/>
    <row r="44" spans="4:11" ht="3" hidden="1" customHeight="1"/>
    <row r="45" spans="4:11" ht="13.15" customHeight="1">
      <c r="H45" s="228"/>
    </row>
    <row r="46" spans="4:11">
      <c r="H46" s="228"/>
    </row>
    <row r="47" spans="4:11">
      <c r="H47" s="632"/>
      <c r="I47" s="632"/>
    </row>
  </sheetData>
  <mergeCells count="15">
    <mergeCell ref="H47:I47"/>
    <mergeCell ref="F39:H39"/>
    <mergeCell ref="F40:H40"/>
    <mergeCell ref="F41:H41"/>
    <mergeCell ref="F34:H34"/>
    <mergeCell ref="F35:H35"/>
    <mergeCell ref="F36:H36"/>
    <mergeCell ref="F37:H37"/>
    <mergeCell ref="F38:H38"/>
    <mergeCell ref="C14:F14"/>
    <mergeCell ref="G14:H14"/>
    <mergeCell ref="C16:F16"/>
    <mergeCell ref="C17:F17"/>
    <mergeCell ref="F33:H33"/>
    <mergeCell ref="C15:G15"/>
  </mergeCells>
  <pageMargins left="0.39370078740157499" right="0.39370078740157499" top="0" bottom="0" header="0" footer="0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view="pageBreakPreview" topLeftCell="A33" zoomScaleNormal="100" workbookViewId="0">
      <selection activeCell="L39" sqref="L39"/>
    </sheetView>
  </sheetViews>
  <sheetFormatPr defaultColWidth="9.1796875" defaultRowHeight="12"/>
  <cols>
    <col min="1" max="1" width="12.453125" style="64" customWidth="1"/>
    <col min="2" max="2" width="9.1796875" style="64"/>
    <col min="3" max="3" width="10.81640625" style="64" customWidth="1"/>
    <col min="4" max="6" width="9.453125" style="64" customWidth="1"/>
    <col min="7" max="7" width="7.1796875" style="64" customWidth="1"/>
    <col min="8" max="8" width="11.54296875" style="64" customWidth="1"/>
    <col min="9" max="9" width="13.26953125" style="64" customWidth="1"/>
    <col min="10" max="10" width="7.81640625" style="64" customWidth="1"/>
    <col min="11" max="11" width="13.453125" style="65" customWidth="1"/>
    <col min="12" max="16384" width="9.1796875" style="64"/>
  </cols>
  <sheetData>
    <row r="1" spans="1:11" ht="21">
      <c r="A1" s="634" t="s">
        <v>56</v>
      </c>
      <c r="B1" s="634"/>
      <c r="C1" s="634"/>
      <c r="D1" s="634"/>
      <c r="E1" s="634"/>
      <c r="F1" s="634"/>
      <c r="G1" s="634"/>
      <c r="H1" s="634"/>
      <c r="I1" s="634"/>
      <c r="J1" s="634"/>
    </row>
    <row r="2" spans="1:11" ht="13">
      <c r="A2" s="635" t="s">
        <v>57</v>
      </c>
      <c r="B2" s="635"/>
      <c r="C2" s="635"/>
      <c r="D2" s="635"/>
      <c r="E2" s="635"/>
      <c r="F2" s="635"/>
      <c r="G2" s="635"/>
      <c r="H2" s="635"/>
      <c r="I2" s="635"/>
      <c r="J2" s="635"/>
    </row>
    <row r="3" spans="1:11" ht="13">
      <c r="A3" s="635" t="s">
        <v>58</v>
      </c>
      <c r="B3" s="635"/>
      <c r="C3" s="635"/>
      <c r="D3" s="635"/>
      <c r="E3" s="635"/>
      <c r="F3" s="635"/>
      <c r="G3" s="635"/>
      <c r="H3" s="635"/>
      <c r="I3" s="635"/>
      <c r="J3" s="635"/>
    </row>
    <row r="4" spans="1:11" ht="13">
      <c r="A4" s="635" t="s">
        <v>59</v>
      </c>
      <c r="B4" s="635"/>
      <c r="C4" s="635"/>
      <c r="D4" s="635"/>
      <c r="E4" s="635"/>
      <c r="F4" s="635"/>
      <c r="G4" s="635"/>
      <c r="H4" s="635"/>
      <c r="I4" s="635"/>
      <c r="J4" s="635"/>
    </row>
    <row r="5" spans="1:11">
      <c r="A5" s="66"/>
      <c r="B5" s="66"/>
      <c r="C5" s="66"/>
      <c r="D5" s="66"/>
      <c r="E5" s="66"/>
      <c r="F5" s="66"/>
      <c r="G5" s="66"/>
      <c r="H5" s="66"/>
      <c r="I5" s="66"/>
      <c r="J5" s="66"/>
    </row>
    <row r="6" spans="1:11" ht="18.5">
      <c r="A6" s="67" t="s">
        <v>60</v>
      </c>
      <c r="B6" s="67"/>
      <c r="C6" s="67"/>
      <c r="D6" s="67"/>
      <c r="E6" s="67"/>
      <c r="F6" s="67"/>
      <c r="G6" s="67"/>
      <c r="H6" s="67"/>
      <c r="I6" s="67"/>
      <c r="J6" s="67"/>
    </row>
    <row r="7" spans="1:11" ht="5.25" customHeight="1">
      <c r="A7" s="68"/>
      <c r="B7" s="68"/>
      <c r="C7" s="68"/>
      <c r="D7" s="68"/>
      <c r="E7" s="68"/>
      <c r="F7" s="68"/>
      <c r="G7" s="68"/>
      <c r="H7" s="68"/>
      <c r="I7" s="68"/>
      <c r="J7" s="68"/>
    </row>
    <row r="8" spans="1:11" s="63" customFormat="1" ht="27" customHeight="1">
      <c r="A8" s="69" t="s">
        <v>61</v>
      </c>
      <c r="B8" s="636" t="s">
        <v>0</v>
      </c>
      <c r="C8" s="636"/>
      <c r="D8" s="636"/>
      <c r="E8" s="636"/>
      <c r="F8" s="636"/>
      <c r="G8" s="637"/>
      <c r="H8" s="69" t="s">
        <v>62</v>
      </c>
      <c r="I8" s="638">
        <f ca="1">TODAY()</f>
        <v>46234</v>
      </c>
      <c r="J8" s="639"/>
      <c r="K8" s="79"/>
    </row>
    <row r="9" spans="1:11" s="63" customFormat="1" ht="27" customHeight="1">
      <c r="A9" s="69" t="s">
        <v>63</v>
      </c>
      <c r="B9" s="640" t="s">
        <v>2</v>
      </c>
      <c r="C9" s="640"/>
      <c r="D9" s="640"/>
      <c r="E9" s="640"/>
      <c r="F9" s="640"/>
      <c r="G9" s="641"/>
      <c r="H9" s="69" t="s">
        <v>64</v>
      </c>
      <c r="I9" s="642" t="s">
        <v>3</v>
      </c>
      <c r="J9" s="643"/>
      <c r="K9" s="79"/>
    </row>
    <row r="10" spans="1:11" ht="6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</row>
    <row r="11" spans="1:11" ht="15" customHeight="1">
      <c r="A11" s="644" t="s">
        <v>65</v>
      </c>
      <c r="B11" s="645"/>
      <c r="C11" s="645"/>
      <c r="D11" s="645"/>
      <c r="E11" s="645"/>
      <c r="F11" s="645"/>
      <c r="G11" s="645"/>
      <c r="H11" s="644" t="s">
        <v>66</v>
      </c>
      <c r="I11" s="645"/>
      <c r="J11" s="646"/>
    </row>
    <row r="12" spans="1:11" ht="15" customHeight="1">
      <c r="A12" s="70"/>
      <c r="B12" s="71"/>
      <c r="C12" s="71"/>
      <c r="D12" s="71"/>
      <c r="E12" s="71"/>
      <c r="F12" s="71"/>
      <c r="G12" s="71"/>
      <c r="H12" s="647"/>
      <c r="I12" s="648"/>
      <c r="J12" s="80"/>
    </row>
    <row r="13" spans="1:11" ht="14.5">
      <c r="A13" s="649" t="s">
        <v>67</v>
      </c>
      <c r="B13" s="650"/>
      <c r="C13" s="650"/>
      <c r="D13" s="231" t="s">
        <v>368</v>
      </c>
      <c r="E13" s="71"/>
      <c r="F13" s="71"/>
      <c r="G13" s="71"/>
      <c r="H13" s="647"/>
      <c r="I13" s="648"/>
      <c r="J13" s="80"/>
    </row>
    <row r="14" spans="1:11" ht="15" customHeight="1">
      <c r="A14" s="72" t="str">
        <f>'BILLING COMPUTATION'!C5</f>
        <v>PAYROLL PERIOD: JULY 11-25, 2026</v>
      </c>
      <c r="B14" s="73"/>
      <c r="C14" s="73"/>
      <c r="D14" s="73"/>
      <c r="E14" s="71"/>
      <c r="F14" s="71"/>
      <c r="G14" s="71"/>
      <c r="H14" s="647"/>
      <c r="I14" s="648"/>
      <c r="J14" s="80"/>
    </row>
    <row r="15" spans="1:11" ht="15" customHeight="1">
      <c r="A15" s="70"/>
      <c r="B15" s="74"/>
      <c r="C15" s="74"/>
      <c r="D15" s="71"/>
      <c r="E15" s="71"/>
      <c r="F15" s="71"/>
      <c r="G15" s="71"/>
      <c r="H15" s="651"/>
      <c r="I15" s="652"/>
      <c r="J15" s="81"/>
    </row>
    <row r="16" spans="1:11" ht="15" customHeight="1">
      <c r="A16" s="70"/>
      <c r="B16" s="75" t="s">
        <v>6</v>
      </c>
      <c r="C16" s="74"/>
      <c r="D16" s="653" t="str">
        <f>'BILLING COMPUTATION'!A102</f>
        <v>GRAND TOTAL</v>
      </c>
      <c r="E16" s="653"/>
      <c r="F16" s="74" t="s">
        <v>396</v>
      </c>
      <c r="G16" s="71"/>
      <c r="H16" s="651"/>
      <c r="I16" s="652"/>
      <c r="J16" s="81"/>
    </row>
    <row r="17" spans="1:10" ht="15" customHeight="1">
      <c r="A17" s="70"/>
      <c r="B17" s="74" t="s">
        <v>8</v>
      </c>
      <c r="C17" s="74"/>
      <c r="D17" s="71"/>
      <c r="E17" s="71"/>
      <c r="F17" s="71"/>
      <c r="G17" s="71"/>
      <c r="H17" s="654">
        <f>'BILLING COMPUTATION'!M102</f>
        <v>587400</v>
      </c>
      <c r="I17" s="655"/>
      <c r="J17" s="81"/>
    </row>
    <row r="18" spans="1:10" ht="15" customHeight="1">
      <c r="A18" s="70"/>
      <c r="B18" s="74" t="s">
        <v>9</v>
      </c>
      <c r="C18" s="74"/>
      <c r="D18" s="71"/>
      <c r="E18" s="71"/>
      <c r="F18" s="71"/>
      <c r="G18" s="71"/>
      <c r="H18" s="654">
        <f>'BILLING COMPUTATION'!S102</f>
        <v>65062.5</v>
      </c>
      <c r="I18" s="655"/>
      <c r="J18" s="81"/>
    </row>
    <row r="19" spans="1:10" ht="15" customHeight="1">
      <c r="A19" s="70"/>
      <c r="B19" s="74" t="s">
        <v>10</v>
      </c>
      <c r="C19" s="74"/>
      <c r="D19" s="71"/>
      <c r="E19" s="71"/>
      <c r="F19" s="71"/>
      <c r="G19" s="71"/>
      <c r="H19" s="654">
        <f>'BILLING COMPUTATION'!V102</f>
        <v>15648.75</v>
      </c>
      <c r="I19" s="655"/>
      <c r="J19" s="81"/>
    </row>
    <row r="20" spans="1:10" ht="15" customHeight="1">
      <c r="A20" s="70"/>
      <c r="B20" s="74" t="s">
        <v>172</v>
      </c>
      <c r="C20" s="74"/>
      <c r="D20" s="71"/>
      <c r="E20" s="71"/>
      <c r="F20" s="71"/>
      <c r="G20" s="71"/>
      <c r="H20" s="229"/>
      <c r="I20" s="230">
        <f>'BILLING COMPUTATION'!Y102</f>
        <v>1978.125</v>
      </c>
      <c r="J20" s="81"/>
    </row>
    <row r="21" spans="1:10" ht="15" customHeight="1">
      <c r="A21" s="70"/>
      <c r="B21" s="74" t="s">
        <v>12</v>
      </c>
      <c r="C21" s="74"/>
      <c r="D21" s="71"/>
      <c r="E21" s="71"/>
      <c r="F21" s="71"/>
      <c r="G21" s="71"/>
      <c r="H21" s="654">
        <f>'BILLING COMPUTATION'!AB102</f>
        <v>0</v>
      </c>
      <c r="I21" s="655"/>
      <c r="J21" s="81"/>
    </row>
    <row r="22" spans="1:10" ht="15" customHeight="1">
      <c r="A22" s="70"/>
      <c r="B22" s="74" t="s">
        <v>13</v>
      </c>
      <c r="C22" s="74"/>
      <c r="D22" s="71"/>
      <c r="E22" s="71"/>
      <c r="F22" s="71"/>
      <c r="G22" s="71"/>
      <c r="H22" s="654">
        <f>'BILLING COMPUTATION'!AE102</f>
        <v>0</v>
      </c>
      <c r="I22" s="655"/>
      <c r="J22" s="81"/>
    </row>
    <row r="23" spans="1:10" ht="15" customHeight="1">
      <c r="A23" s="70"/>
      <c r="B23" s="74" t="s">
        <v>14</v>
      </c>
      <c r="C23" s="74"/>
      <c r="D23" s="71"/>
      <c r="E23" s="71"/>
      <c r="F23" s="71"/>
      <c r="G23" s="71"/>
      <c r="H23" s="654">
        <f>'BILLING COMPUTATION'!AH102</f>
        <v>0</v>
      </c>
      <c r="I23" s="655"/>
      <c r="J23" s="81"/>
    </row>
    <row r="24" spans="1:10" ht="15" customHeight="1">
      <c r="A24" s="70"/>
      <c r="B24" s="74" t="s">
        <v>16</v>
      </c>
      <c r="C24" s="74"/>
      <c r="D24" s="71"/>
      <c r="E24" s="71"/>
      <c r="F24" s="71"/>
      <c r="G24" s="71"/>
      <c r="H24" s="654">
        <f>'BILLING COMPUTATION'!AT102</f>
        <v>0</v>
      </c>
      <c r="I24" s="655"/>
      <c r="J24" s="81"/>
    </row>
    <row r="25" spans="1:10" ht="15" customHeight="1">
      <c r="A25" s="70"/>
      <c r="B25" s="74" t="s">
        <v>17</v>
      </c>
      <c r="C25" s="74"/>
      <c r="D25" s="71"/>
      <c r="E25" s="71"/>
      <c r="F25" s="71"/>
      <c r="G25" s="71"/>
      <c r="H25" s="654">
        <f>'BILLING COMPUTATION'!AW102</f>
        <v>0</v>
      </c>
      <c r="I25" s="655"/>
      <c r="J25" s="81"/>
    </row>
    <row r="26" spans="1:10" ht="15" customHeight="1">
      <c r="A26" s="70"/>
      <c r="B26" s="74" t="s">
        <v>18</v>
      </c>
      <c r="C26" s="74"/>
      <c r="D26" s="71"/>
      <c r="E26" s="71"/>
      <c r="F26" s="71"/>
      <c r="G26" s="71"/>
      <c r="H26" s="654">
        <f>'BILLING COMPUTATION'!AZ102</f>
        <v>0</v>
      </c>
      <c r="I26" s="655"/>
      <c r="J26" s="81"/>
    </row>
    <row r="27" spans="1:10" ht="15" customHeight="1">
      <c r="A27" s="70"/>
      <c r="B27" s="74" t="s">
        <v>19</v>
      </c>
      <c r="C27" s="74"/>
      <c r="D27" s="71"/>
      <c r="E27" s="71"/>
      <c r="F27" s="71"/>
      <c r="G27" s="71"/>
      <c r="H27" s="654">
        <f>'BILLING COMPUTATION'!BC102</f>
        <v>0</v>
      </c>
      <c r="I27" s="655"/>
      <c r="J27" s="81"/>
    </row>
    <row r="28" spans="1:10" ht="15" customHeight="1">
      <c r="A28" s="70"/>
      <c r="B28" s="74" t="s">
        <v>20</v>
      </c>
      <c r="C28" s="74"/>
      <c r="D28" s="71"/>
      <c r="E28" s="71"/>
      <c r="F28" s="71"/>
      <c r="G28" s="71"/>
      <c r="H28" s="654">
        <f>'BILLING COMPUTATION'!BL102</f>
        <v>0</v>
      </c>
      <c r="I28" s="655"/>
      <c r="J28" s="81"/>
    </row>
    <row r="29" spans="1:10" ht="15" customHeight="1">
      <c r="A29" s="70"/>
      <c r="B29" s="74" t="s">
        <v>21</v>
      </c>
      <c r="C29" s="74"/>
      <c r="D29" s="71"/>
      <c r="E29" s="71"/>
      <c r="F29" s="71"/>
      <c r="G29" s="71"/>
      <c r="H29" s="654">
        <f>'BILLING COMPUTATION'!BO102</f>
        <v>0</v>
      </c>
      <c r="I29" s="655"/>
      <c r="J29" s="81"/>
    </row>
    <row r="30" spans="1:10" ht="15" customHeight="1">
      <c r="A30" s="70"/>
      <c r="B30" s="74" t="s">
        <v>22</v>
      </c>
      <c r="C30" s="74"/>
      <c r="D30" s="71"/>
      <c r="E30" s="71"/>
      <c r="F30" s="71"/>
      <c r="G30" s="71"/>
      <c r="H30" s="654">
        <f>'BILLING COMPUTATION'!BQ102</f>
        <v>0</v>
      </c>
      <c r="I30" s="655"/>
      <c r="J30" s="81"/>
    </row>
    <row r="31" spans="1:10" ht="15" customHeight="1">
      <c r="A31" s="70"/>
      <c r="B31" s="74" t="s">
        <v>23</v>
      </c>
      <c r="C31" s="74"/>
      <c r="D31" s="71"/>
      <c r="E31" s="71"/>
      <c r="F31" s="71"/>
      <c r="G31" s="71"/>
      <c r="H31" s="654">
        <f>'BILLING COMPUTATION'!BS102</f>
        <v>0</v>
      </c>
      <c r="I31" s="655"/>
      <c r="J31" s="81"/>
    </row>
    <row r="32" spans="1:10" ht="15" customHeight="1">
      <c r="A32" s="70"/>
      <c r="B32" s="74" t="s">
        <v>24</v>
      </c>
      <c r="C32" s="74"/>
      <c r="D32" s="71"/>
      <c r="E32" s="71"/>
      <c r="F32" s="71"/>
      <c r="G32" s="71"/>
      <c r="H32" s="654">
        <f>'BILLING COMPUTATION'!BU102</f>
        <v>0</v>
      </c>
      <c r="I32" s="655"/>
      <c r="J32" s="81"/>
    </row>
    <row r="33" spans="1:11" ht="15" customHeight="1">
      <c r="A33" s="70"/>
      <c r="B33" s="74" t="s">
        <v>25</v>
      </c>
      <c r="C33" s="74"/>
      <c r="D33" s="71"/>
      <c r="E33" s="71"/>
      <c r="F33" s="71"/>
      <c r="G33" s="71"/>
      <c r="H33" s="654">
        <f>'BILLING COMPUTATION'!BW102</f>
        <v>0</v>
      </c>
      <c r="I33" s="655"/>
      <c r="J33" s="81"/>
    </row>
    <row r="34" spans="1:11" ht="15" customHeight="1">
      <c r="A34" s="70"/>
      <c r="B34" s="74" t="s">
        <v>148</v>
      </c>
      <c r="C34" s="74"/>
      <c r="D34" s="71"/>
      <c r="E34" s="71"/>
      <c r="F34" s="71"/>
      <c r="G34" s="71"/>
      <c r="H34" s="229"/>
      <c r="I34" s="230">
        <f>'BILLING COMPUTATION'!BY102</f>
        <v>0</v>
      </c>
      <c r="J34" s="81"/>
    </row>
    <row r="35" spans="1:11" ht="15" customHeight="1">
      <c r="A35" s="70"/>
      <c r="B35" s="74" t="s">
        <v>149</v>
      </c>
      <c r="C35" s="74"/>
      <c r="D35" s="71"/>
      <c r="E35" s="71"/>
      <c r="F35" s="71"/>
      <c r="G35" s="71"/>
      <c r="H35" s="654">
        <f>'BILLING COMPUTATION'!CE102</f>
        <v>0</v>
      </c>
      <c r="I35" s="655"/>
      <c r="J35" s="81"/>
    </row>
    <row r="36" spans="1:11" ht="15" customHeight="1">
      <c r="A36" s="70"/>
      <c r="B36" s="74" t="s">
        <v>27</v>
      </c>
      <c r="C36" s="74"/>
      <c r="D36" s="71"/>
      <c r="E36" s="71"/>
      <c r="F36" s="71"/>
      <c r="G36" s="71"/>
      <c r="H36" s="654">
        <f>'BILLING COMPUTATION'!CC102</f>
        <v>0</v>
      </c>
      <c r="I36" s="655"/>
      <c r="J36" s="81"/>
    </row>
    <row r="37" spans="1:11" ht="15" customHeight="1">
      <c r="A37" s="70"/>
      <c r="B37" s="74" t="s">
        <v>28</v>
      </c>
      <c r="C37" s="74"/>
      <c r="D37" s="71"/>
      <c r="E37" s="71"/>
      <c r="F37" s="71"/>
      <c r="G37" s="71"/>
      <c r="H37" s="654">
        <f>'BILLING COMPUTATION'!P102</f>
        <v>-152.5</v>
      </c>
      <c r="I37" s="655"/>
      <c r="J37" s="81"/>
    </row>
    <row r="38" spans="1:11" ht="15" customHeight="1">
      <c r="A38" s="70"/>
      <c r="B38" s="74" t="s">
        <v>147</v>
      </c>
      <c r="C38" s="74"/>
      <c r="D38" s="71"/>
      <c r="E38" s="71"/>
      <c r="F38" s="71"/>
      <c r="G38" s="71"/>
      <c r="H38" s="229"/>
      <c r="I38" s="230">
        <v>0</v>
      </c>
      <c r="J38" s="81"/>
    </row>
    <row r="39" spans="1:11" ht="15" customHeight="1">
      <c r="A39" s="70"/>
      <c r="B39" s="74" t="s">
        <v>29</v>
      </c>
      <c r="C39" s="74"/>
      <c r="D39" s="71"/>
      <c r="E39" s="71"/>
      <c r="F39" s="71"/>
      <c r="G39" s="71"/>
      <c r="H39" s="654">
        <f>'BILLING COMPUTATION'!CF102</f>
        <v>0</v>
      </c>
      <c r="I39" s="655"/>
      <c r="J39" s="81"/>
    </row>
    <row r="40" spans="1:11" ht="15" customHeight="1">
      <c r="A40" s="70"/>
      <c r="B40" s="74" t="s">
        <v>30</v>
      </c>
      <c r="C40" s="74"/>
      <c r="D40" s="71"/>
      <c r="E40" s="71"/>
      <c r="F40" s="71"/>
      <c r="G40" s="71"/>
      <c r="H40" s="654">
        <f>'BILLING COMPUTATION'!CH102</f>
        <v>156600</v>
      </c>
      <c r="I40" s="655"/>
      <c r="J40" s="81"/>
    </row>
    <row r="41" spans="1:11" ht="15" customHeight="1">
      <c r="A41" s="70"/>
      <c r="B41" s="74" t="s">
        <v>31</v>
      </c>
      <c r="C41" s="74"/>
      <c r="D41" s="71"/>
      <c r="E41" s="71"/>
      <c r="F41" s="71"/>
      <c r="G41" s="71"/>
      <c r="H41" s="654">
        <f>'BILLING COMPUTATION'!CJ102</f>
        <v>2510</v>
      </c>
      <c r="I41" s="655"/>
      <c r="J41" s="81"/>
    </row>
    <row r="42" spans="1:11" ht="15" customHeight="1">
      <c r="A42" s="70"/>
      <c r="B42" s="74" t="s">
        <v>32</v>
      </c>
      <c r="C42" s="74"/>
      <c r="D42" s="71"/>
      <c r="E42" s="71"/>
      <c r="F42" s="71"/>
      <c r="G42" s="71"/>
      <c r="H42" s="654">
        <f>'BILLING COMPUTATION'!CL102</f>
        <v>34821.25</v>
      </c>
      <c r="I42" s="655"/>
      <c r="J42" s="81"/>
    </row>
    <row r="43" spans="1:11" ht="15" customHeight="1">
      <c r="A43" s="70"/>
      <c r="B43" s="74" t="s">
        <v>33</v>
      </c>
      <c r="C43" s="74"/>
      <c r="D43" s="71"/>
      <c r="E43" s="71"/>
      <c r="F43" s="71"/>
      <c r="G43" s="71"/>
      <c r="H43" s="656">
        <f>'BILLING COMPUTATION'!CN102</f>
        <v>17800</v>
      </c>
      <c r="I43" s="657"/>
      <c r="J43" s="81"/>
    </row>
    <row r="44" spans="1:11" ht="15" customHeight="1">
      <c r="A44" s="70"/>
      <c r="B44" s="74" t="s">
        <v>34</v>
      </c>
      <c r="C44" s="74"/>
      <c r="D44" s="71"/>
      <c r="E44" s="71"/>
      <c r="F44" s="71"/>
      <c r="G44" s="71"/>
      <c r="H44" s="654">
        <f>SUM(H17:I43)</f>
        <v>881668.125</v>
      </c>
      <c r="I44" s="655"/>
      <c r="J44" s="81"/>
    </row>
    <row r="45" spans="1:11" ht="15" customHeight="1">
      <c r="A45" s="70"/>
      <c r="B45" s="74" t="s">
        <v>35</v>
      </c>
      <c r="C45" s="74"/>
      <c r="D45" s="71"/>
      <c r="E45" s="71"/>
      <c r="F45" s="71"/>
      <c r="G45" s="71"/>
      <c r="H45" s="656">
        <f>SUM(H17,H29,H37)*10%</f>
        <v>58724.75</v>
      </c>
      <c r="I45" s="657"/>
      <c r="J45" s="81"/>
    </row>
    <row r="46" spans="1:11" ht="15" customHeight="1">
      <c r="A46" s="70"/>
      <c r="B46" s="75" t="s">
        <v>36</v>
      </c>
      <c r="C46" s="71"/>
      <c r="D46" s="71"/>
      <c r="E46" s="71"/>
      <c r="F46" s="71"/>
      <c r="G46" s="71"/>
      <c r="H46" s="658">
        <f>SUM(H44:H45)</f>
        <v>940392.875</v>
      </c>
      <c r="I46" s="659"/>
      <c r="J46" s="81"/>
      <c r="K46" s="65">
        <f>H46-'BILLING COMPUTATION'!CT102</f>
        <v>891455.58333333337</v>
      </c>
    </row>
    <row r="47" spans="1:11">
      <c r="A47" s="76"/>
      <c r="B47" s="77"/>
      <c r="C47" s="77"/>
      <c r="D47" s="77"/>
      <c r="E47" s="77"/>
      <c r="F47" s="77"/>
      <c r="G47" s="77"/>
      <c r="H47" s="76"/>
      <c r="I47" s="77"/>
      <c r="J47" s="82"/>
    </row>
    <row r="48" spans="1:11">
      <c r="A48" s="660" t="s">
        <v>68</v>
      </c>
      <c r="B48" s="660"/>
      <c r="C48" s="66"/>
      <c r="D48" s="660" t="s">
        <v>69</v>
      </c>
      <c r="E48" s="660"/>
      <c r="F48" s="660"/>
      <c r="G48" s="66"/>
      <c r="H48" s="660" t="s">
        <v>70</v>
      </c>
      <c r="I48" s="660"/>
      <c r="J48" s="660"/>
    </row>
    <row r="49" spans="1:10" ht="15" customHeight="1">
      <c r="A49" s="662" t="s">
        <v>369</v>
      </c>
      <c r="B49" s="662"/>
      <c r="C49" s="66"/>
      <c r="D49" s="662"/>
      <c r="E49" s="662"/>
      <c r="F49" s="662"/>
      <c r="G49" s="66"/>
      <c r="H49" s="660"/>
      <c r="I49" s="660"/>
      <c r="J49" s="660"/>
    </row>
    <row r="50" spans="1:10">
      <c r="A50" s="663"/>
      <c r="B50" s="663"/>
      <c r="C50" s="78"/>
      <c r="D50" s="663"/>
      <c r="E50" s="663"/>
      <c r="F50" s="663"/>
      <c r="G50" s="78"/>
      <c r="H50" s="664"/>
      <c r="I50" s="664"/>
      <c r="J50" s="664"/>
    </row>
    <row r="51" spans="1:10">
      <c r="A51" s="661" t="s">
        <v>71</v>
      </c>
      <c r="B51" s="661"/>
      <c r="C51" s="78"/>
      <c r="D51" s="661" t="s">
        <v>72</v>
      </c>
      <c r="E51" s="661"/>
      <c r="F51" s="661"/>
      <c r="G51" s="78"/>
      <c r="H51" s="661" t="s">
        <v>71</v>
      </c>
      <c r="I51" s="661"/>
      <c r="J51" s="661"/>
    </row>
  </sheetData>
  <mergeCells count="53">
    <mergeCell ref="A51:B51"/>
    <mergeCell ref="D51:F51"/>
    <mergeCell ref="H51:J51"/>
    <mergeCell ref="A49:B50"/>
    <mergeCell ref="D49:F50"/>
    <mergeCell ref="H49:J50"/>
    <mergeCell ref="H43:I43"/>
    <mergeCell ref="H44:I44"/>
    <mergeCell ref="H45:I45"/>
    <mergeCell ref="H46:I46"/>
    <mergeCell ref="A48:B48"/>
    <mergeCell ref="D48:F48"/>
    <mergeCell ref="H48:J48"/>
    <mergeCell ref="H37:I37"/>
    <mergeCell ref="H39:I39"/>
    <mergeCell ref="H40:I40"/>
    <mergeCell ref="H41:I41"/>
    <mergeCell ref="H42:I42"/>
    <mergeCell ref="H31:I31"/>
    <mergeCell ref="H32:I32"/>
    <mergeCell ref="H33:I33"/>
    <mergeCell ref="H35:I35"/>
    <mergeCell ref="H36:I36"/>
    <mergeCell ref="H26:I26"/>
    <mergeCell ref="H27:I27"/>
    <mergeCell ref="H28:I28"/>
    <mergeCell ref="H29:I29"/>
    <mergeCell ref="H30:I30"/>
    <mergeCell ref="H22:I22"/>
    <mergeCell ref="H23:I23"/>
    <mergeCell ref="H24:I24"/>
    <mergeCell ref="H25:I25"/>
    <mergeCell ref="H17:I17"/>
    <mergeCell ref="H18:I18"/>
    <mergeCell ref="H19:I19"/>
    <mergeCell ref="H21:I21"/>
    <mergeCell ref="A13:C13"/>
    <mergeCell ref="H13:I13"/>
    <mergeCell ref="H14:I14"/>
    <mergeCell ref="H15:I15"/>
    <mergeCell ref="H16:I16"/>
    <mergeCell ref="D16:E16"/>
    <mergeCell ref="B9:G9"/>
    <mergeCell ref="I9:J9"/>
    <mergeCell ref="A11:G11"/>
    <mergeCell ref="H11:J11"/>
    <mergeCell ref="H12:I12"/>
    <mergeCell ref="A1:J1"/>
    <mergeCell ref="A2:J2"/>
    <mergeCell ref="A3:J3"/>
    <mergeCell ref="A4:J4"/>
    <mergeCell ref="B8:G8"/>
    <mergeCell ref="I8:J8"/>
  </mergeCells>
  <printOptions horizontalCentered="1"/>
  <pageMargins left="0.5" right="0.5" top="1" bottom="1" header="0.5" footer="0.5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4:HB125"/>
  <sheetViews>
    <sheetView tabSelected="1" view="pageBreakPreview" topLeftCell="A6" zoomScale="80" zoomScaleNormal="80" zoomScaleSheetLayoutView="80" zoomScalePageLayoutView="70" workbookViewId="0">
      <pane xSplit="9" ySplit="2" topLeftCell="CT8" activePane="bottomRight" state="frozen"/>
      <selection activeCell="A6" sqref="A6"/>
      <selection pane="topRight" activeCell="J6" sqref="J6"/>
      <selection pane="bottomLeft" activeCell="A8" sqref="A8"/>
      <selection pane="bottomRight" activeCell="DC9" sqref="DC9"/>
    </sheetView>
  </sheetViews>
  <sheetFormatPr defaultColWidth="9" defaultRowHeight="15.5"/>
  <cols>
    <col min="1" max="1" width="8.26953125" style="4" hidden="1" customWidth="1"/>
    <col min="2" max="2" width="15.453125" style="4" hidden="1" customWidth="1"/>
    <col min="3" max="4" width="15" style="5" customWidth="1"/>
    <col min="5" max="5" width="39.26953125" style="6" customWidth="1"/>
    <col min="6" max="6" width="21.26953125" style="6" hidden="1" customWidth="1"/>
    <col min="7" max="7" width="16.54296875" style="6" hidden="1" customWidth="1"/>
    <col min="8" max="8" width="23.26953125" style="6" hidden="1" customWidth="1"/>
    <col min="9" max="9" width="8.7265625" style="6" hidden="1" customWidth="1"/>
    <col min="10" max="10" width="14.7265625" style="218" customWidth="1"/>
    <col min="11" max="11" width="17.453125" style="7" customWidth="1"/>
    <col min="12" max="12" width="16.453125" style="3" customWidth="1"/>
    <col min="13" max="13" width="19.54296875" style="8" bestFit="1" customWidth="1"/>
    <col min="14" max="14" width="12.7265625" style="8" customWidth="1"/>
    <col min="15" max="15" width="10.7265625" style="8" customWidth="1"/>
    <col min="16" max="16" width="12" style="8" customWidth="1"/>
    <col min="17" max="17" width="17.1796875" style="9" bestFit="1" customWidth="1"/>
    <col min="18" max="18" width="15" style="10" customWidth="1"/>
    <col min="19" max="19" width="16.453125" style="8" customWidth="1"/>
    <col min="20" max="20" width="14" style="9" customWidth="1"/>
    <col min="21" max="21" width="13" style="10" customWidth="1"/>
    <col min="22" max="25" width="13.7265625" style="8" customWidth="1"/>
    <col min="26" max="26" width="12.7265625" style="9" hidden="1" customWidth="1"/>
    <col min="27" max="27" width="15.1796875" style="10" hidden="1" customWidth="1"/>
    <col min="28" max="28" width="18.26953125" style="8" hidden="1" customWidth="1"/>
    <col min="29" max="29" width="9.81640625" style="9" hidden="1" customWidth="1"/>
    <col min="30" max="30" width="11" style="10" hidden="1" customWidth="1"/>
    <col min="31" max="31" width="12.26953125" style="8" hidden="1" customWidth="1"/>
    <col min="32" max="32" width="10.7265625" style="9" hidden="1" customWidth="1"/>
    <col min="33" max="33" width="11.7265625" style="10" hidden="1" customWidth="1"/>
    <col min="34" max="34" width="10.7265625" style="8" hidden="1" customWidth="1"/>
    <col min="35" max="36" width="11.7265625" style="10" hidden="1" customWidth="1"/>
    <col min="37" max="37" width="11.7265625" style="8" hidden="1" customWidth="1"/>
    <col min="38" max="38" width="11.7265625" style="10" hidden="1" customWidth="1"/>
    <col min="39" max="39" width="12.453125" style="10" hidden="1" customWidth="1"/>
    <col min="40" max="40" width="11.7265625" style="8" hidden="1" customWidth="1"/>
    <col min="41" max="42" width="11.7265625" style="10" hidden="1" customWidth="1"/>
    <col min="43" max="43" width="11.7265625" style="8" hidden="1" customWidth="1"/>
    <col min="44" max="45" width="11.7265625" style="10" hidden="1" customWidth="1"/>
    <col min="46" max="46" width="16.26953125" style="8" hidden="1" customWidth="1"/>
    <col min="47" max="47" width="10" style="10" hidden="1" customWidth="1"/>
    <col min="48" max="48" width="12.81640625" style="10" hidden="1" customWidth="1"/>
    <col min="49" max="49" width="16.26953125" style="8" hidden="1" customWidth="1"/>
    <col min="50" max="50" width="10.26953125" style="10" hidden="1" customWidth="1"/>
    <col min="51" max="51" width="11.1796875" style="10" hidden="1" customWidth="1"/>
    <col min="52" max="52" width="12.26953125" style="8" hidden="1" customWidth="1"/>
    <col min="53" max="53" width="11.7265625" style="10" hidden="1" customWidth="1"/>
    <col min="54" max="54" width="15.1796875" style="10" hidden="1" customWidth="1"/>
    <col min="55" max="55" width="14.7265625" style="10" hidden="1" customWidth="1"/>
    <col min="56" max="56" width="10.26953125" style="8" hidden="1" customWidth="1"/>
    <col min="57" max="58" width="11.7265625" style="10" hidden="1" customWidth="1"/>
    <col min="59" max="59" width="11.7265625" style="8" hidden="1" customWidth="1"/>
    <col min="60" max="61" width="11.7265625" style="10" hidden="1" customWidth="1"/>
    <col min="62" max="62" width="11.7265625" style="8" hidden="1" customWidth="1"/>
    <col min="63" max="63" width="15.1796875" style="10" hidden="1" customWidth="1"/>
    <col min="64" max="64" width="15.7265625" style="10" hidden="1" customWidth="1"/>
    <col min="65" max="65" width="11.7265625" style="8" hidden="1" customWidth="1"/>
    <col min="66" max="66" width="11.7265625" style="9" hidden="1" customWidth="1"/>
    <col min="67" max="67" width="11.7265625" style="10" hidden="1" customWidth="1"/>
    <col min="68" max="68" width="11.7265625" style="9" hidden="1" customWidth="1"/>
    <col min="69" max="69" width="11.7265625" style="10" hidden="1" customWidth="1"/>
    <col min="70" max="70" width="11.7265625" style="9" hidden="1" customWidth="1"/>
    <col min="71" max="71" width="11.7265625" style="10" hidden="1" customWidth="1"/>
    <col min="72" max="72" width="11.7265625" style="9" hidden="1" customWidth="1"/>
    <col min="73" max="73" width="10.81640625" style="10" hidden="1" customWidth="1"/>
    <col min="74" max="74" width="10.81640625" style="9" hidden="1" customWidth="1"/>
    <col min="75" max="76" width="10.81640625" style="10" hidden="1" customWidth="1"/>
    <col min="77" max="79" width="11" style="10" hidden="1" customWidth="1"/>
    <col min="80" max="80" width="8.7265625" style="10" hidden="1" customWidth="1"/>
    <col min="81" max="84" width="11" style="10" hidden="1" customWidth="1"/>
    <col min="85" max="85" width="21" style="10" bestFit="1" customWidth="1"/>
    <col min="86" max="86" width="16.7265625" style="3" customWidth="1"/>
    <col min="87" max="87" width="14.26953125" style="3" customWidth="1"/>
    <col min="88" max="88" width="16.7265625" style="3" customWidth="1"/>
    <col min="89" max="89" width="13.54296875" style="3" customWidth="1"/>
    <col min="90" max="90" width="14.7265625" style="3" customWidth="1"/>
    <col min="91" max="92" width="14.26953125" style="3" customWidth="1"/>
    <col min="93" max="93" width="18.54296875" style="3" customWidth="1"/>
    <col min="94" max="94" width="14.81640625" style="3" customWidth="1"/>
    <col min="95" max="95" width="30.7265625" style="3" bestFit="1" customWidth="1"/>
    <col min="96" max="96" width="14.7265625" style="3" hidden="1" customWidth="1"/>
    <col min="97" max="97" width="23.7265625" style="3" customWidth="1"/>
    <col min="98" max="98" width="21.81640625" style="3" customWidth="1"/>
    <col min="99" max="99" width="9.1796875" style="3" customWidth="1"/>
    <col min="100" max="100" width="15.1796875" style="3" customWidth="1"/>
    <col min="101" max="101" width="17.26953125" style="11" customWidth="1"/>
    <col min="102" max="102" width="16.7265625" style="3" bestFit="1" customWidth="1"/>
    <col min="103" max="103" width="8.81640625" style="3" customWidth="1"/>
    <col min="104" max="104" width="10.6328125" style="718" bestFit="1" customWidth="1"/>
    <col min="105" max="105" width="9.6328125" style="718" bestFit="1" customWidth="1"/>
    <col min="106" max="106" width="10.6328125" style="718" bestFit="1" customWidth="1"/>
    <col min="107" max="107" width="10.36328125" style="718" bestFit="1" customWidth="1"/>
    <col min="108" max="210" width="8.81640625" style="3" customWidth="1"/>
    <col min="211" max="16384" width="9" style="12"/>
  </cols>
  <sheetData>
    <row r="4" spans="1:208" ht="38.25" customHeight="1"/>
    <row r="5" spans="1:208" ht="30" customHeight="1">
      <c r="A5" s="13"/>
      <c r="B5" s="13"/>
      <c r="C5" s="257" t="s">
        <v>400</v>
      </c>
      <c r="D5" s="257"/>
      <c r="E5" s="14"/>
      <c r="F5" s="14"/>
      <c r="G5" s="14"/>
      <c r="H5" s="14"/>
      <c r="I5" s="14"/>
      <c r="J5" s="219"/>
      <c r="K5" s="15"/>
      <c r="L5" s="16"/>
      <c r="M5" s="17"/>
      <c r="N5" s="18"/>
      <c r="O5" s="17"/>
      <c r="P5" s="19"/>
      <c r="Q5" s="18"/>
      <c r="R5" s="20"/>
      <c r="S5" s="17"/>
      <c r="T5" s="18"/>
      <c r="U5" s="20"/>
      <c r="V5" s="17"/>
      <c r="W5" s="17"/>
      <c r="X5" s="17"/>
      <c r="Y5" s="17"/>
      <c r="Z5" s="18"/>
      <c r="AA5" s="20"/>
      <c r="AB5" s="17"/>
      <c r="AC5" s="18"/>
      <c r="AD5" s="20"/>
      <c r="AE5" s="17"/>
      <c r="AF5" s="18"/>
      <c r="AG5" s="20"/>
      <c r="AH5" s="17"/>
      <c r="AI5" s="20"/>
      <c r="AJ5" s="20"/>
      <c r="AK5" s="17"/>
      <c r="AL5" s="20"/>
      <c r="AM5" s="20"/>
      <c r="AN5" s="17"/>
      <c r="AO5" s="20"/>
      <c r="AP5" s="20"/>
      <c r="AQ5" s="17"/>
      <c r="AR5" s="18"/>
      <c r="AS5" s="20"/>
      <c r="AT5" s="17"/>
      <c r="AU5" s="18"/>
      <c r="AV5" s="20"/>
      <c r="AW5" s="17"/>
      <c r="AX5" s="20"/>
      <c r="AY5" s="20"/>
      <c r="AZ5" s="17"/>
      <c r="BA5" s="20"/>
      <c r="BB5" s="20"/>
      <c r="BC5" s="20"/>
      <c r="BD5" s="17"/>
      <c r="BE5" s="20"/>
      <c r="BF5" s="20"/>
      <c r="BG5" s="17"/>
      <c r="BH5" s="20"/>
      <c r="BI5" s="20"/>
      <c r="BJ5" s="17"/>
      <c r="BK5" s="20"/>
      <c r="BL5" s="20"/>
      <c r="BM5" s="17"/>
      <c r="BN5" s="18"/>
      <c r="BO5" s="17"/>
      <c r="BP5" s="18"/>
      <c r="BQ5" s="17"/>
      <c r="BR5" s="18"/>
      <c r="BS5" s="17"/>
      <c r="BT5" s="21"/>
      <c r="BU5" s="20"/>
      <c r="BV5" s="21"/>
      <c r="BW5" s="20"/>
      <c r="BX5" s="18"/>
      <c r="BY5" s="17"/>
      <c r="BZ5" s="17"/>
      <c r="CA5" s="17"/>
      <c r="CB5" s="17"/>
      <c r="CC5" s="17"/>
      <c r="CD5" s="17"/>
      <c r="CE5" s="17"/>
      <c r="CF5" s="17"/>
      <c r="CG5" s="17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208" s="260" customFormat="1" ht="24.75" customHeight="1">
      <c r="A6" s="665" t="s">
        <v>151</v>
      </c>
      <c r="B6" s="666" t="s">
        <v>120</v>
      </c>
      <c r="C6" s="665" t="s">
        <v>146</v>
      </c>
      <c r="D6" s="252"/>
      <c r="E6" s="666" t="s">
        <v>73</v>
      </c>
      <c r="F6" s="666" t="s">
        <v>176</v>
      </c>
      <c r="G6" s="666" t="s">
        <v>185</v>
      </c>
      <c r="H6" s="666" t="s">
        <v>177</v>
      </c>
      <c r="I6" s="666" t="s">
        <v>178</v>
      </c>
      <c r="J6" s="665" t="s">
        <v>74</v>
      </c>
      <c r="K6" s="665"/>
      <c r="L6" s="665"/>
      <c r="M6" s="665"/>
      <c r="N6" s="665" t="s">
        <v>75</v>
      </c>
      <c r="O6" s="665"/>
      <c r="P6" s="665"/>
      <c r="Q6" s="665" t="s">
        <v>76</v>
      </c>
      <c r="R6" s="665"/>
      <c r="S6" s="665"/>
      <c r="T6" s="665" t="s">
        <v>77</v>
      </c>
      <c r="U6" s="665"/>
      <c r="V6" s="665"/>
      <c r="W6" s="665" t="s">
        <v>171</v>
      </c>
      <c r="X6" s="665"/>
      <c r="Y6" s="665"/>
      <c r="Z6" s="665" t="s">
        <v>78</v>
      </c>
      <c r="AA6" s="665"/>
      <c r="AB6" s="665"/>
      <c r="AC6" s="665" t="s">
        <v>79</v>
      </c>
      <c r="AD6" s="665"/>
      <c r="AE6" s="665"/>
      <c r="AF6" s="665" t="s">
        <v>80</v>
      </c>
      <c r="AG6" s="665"/>
      <c r="AH6" s="665"/>
      <c r="AI6" s="665" t="s">
        <v>81</v>
      </c>
      <c r="AJ6" s="665"/>
      <c r="AK6" s="665"/>
      <c r="AL6" s="665" t="s">
        <v>82</v>
      </c>
      <c r="AM6" s="665"/>
      <c r="AN6" s="665"/>
      <c r="AO6" s="665" t="s">
        <v>83</v>
      </c>
      <c r="AP6" s="665"/>
      <c r="AQ6" s="665"/>
      <c r="AR6" s="665" t="s">
        <v>84</v>
      </c>
      <c r="AS6" s="665"/>
      <c r="AT6" s="665"/>
      <c r="AU6" s="665" t="s">
        <v>85</v>
      </c>
      <c r="AV6" s="665"/>
      <c r="AW6" s="665"/>
      <c r="AX6" s="665" t="s">
        <v>86</v>
      </c>
      <c r="AY6" s="665"/>
      <c r="AZ6" s="665"/>
      <c r="BA6" s="665" t="s">
        <v>87</v>
      </c>
      <c r="BB6" s="665"/>
      <c r="BC6" s="665"/>
      <c r="BD6" s="665" t="s">
        <v>88</v>
      </c>
      <c r="BE6" s="665"/>
      <c r="BF6" s="665"/>
      <c r="BG6" s="665" t="s">
        <v>89</v>
      </c>
      <c r="BH6" s="665"/>
      <c r="BI6" s="665"/>
      <c r="BJ6" s="665" t="s">
        <v>90</v>
      </c>
      <c r="BK6" s="665"/>
      <c r="BL6" s="665"/>
      <c r="BM6" s="665" t="s">
        <v>91</v>
      </c>
      <c r="BN6" s="665"/>
      <c r="BO6" s="665"/>
      <c r="BP6" s="665"/>
      <c r="BQ6" s="665"/>
      <c r="BR6" s="665"/>
      <c r="BS6" s="665"/>
      <c r="BT6" s="665"/>
      <c r="BU6" s="665"/>
      <c r="BV6" s="665"/>
      <c r="BW6" s="665"/>
      <c r="BX6" s="665"/>
      <c r="BY6" s="251"/>
      <c r="BZ6" s="251"/>
      <c r="CA6" s="251"/>
      <c r="CB6" s="251"/>
      <c r="CC6" s="251"/>
      <c r="CD6" s="251"/>
      <c r="CE6" s="666" t="s">
        <v>92</v>
      </c>
      <c r="CF6" s="252"/>
      <c r="CG6" s="665" t="s">
        <v>93</v>
      </c>
      <c r="CH6" s="670" t="s">
        <v>94</v>
      </c>
      <c r="CI6" s="670"/>
      <c r="CJ6" s="670"/>
      <c r="CK6" s="670"/>
      <c r="CL6" s="670"/>
      <c r="CM6" s="670"/>
      <c r="CN6" s="670"/>
      <c r="CO6" s="665" t="s">
        <v>95</v>
      </c>
      <c r="CP6" s="665" t="s">
        <v>96</v>
      </c>
      <c r="CQ6" s="665" t="s">
        <v>97</v>
      </c>
      <c r="CR6" s="665" t="s">
        <v>98</v>
      </c>
      <c r="CS6" s="665" t="s">
        <v>99</v>
      </c>
      <c r="CT6" s="668" t="s">
        <v>100</v>
      </c>
      <c r="CU6" s="258"/>
      <c r="CV6" s="258"/>
      <c r="CW6" s="259"/>
      <c r="CX6" s="258"/>
      <c r="CY6" s="258"/>
      <c r="CZ6" s="719"/>
      <c r="DA6" s="719"/>
      <c r="DB6" s="719"/>
      <c r="DC6" s="719"/>
      <c r="DD6" s="258"/>
      <c r="DE6" s="258"/>
      <c r="DF6" s="258"/>
      <c r="DG6" s="258"/>
      <c r="DH6" s="258"/>
      <c r="DI6" s="258"/>
      <c r="DJ6" s="258"/>
      <c r="DK6" s="258"/>
      <c r="DL6" s="258"/>
      <c r="DM6" s="258"/>
      <c r="DN6" s="258"/>
      <c r="DO6" s="258"/>
      <c r="DP6" s="258"/>
      <c r="DQ6" s="258"/>
      <c r="DR6" s="258"/>
      <c r="DS6" s="258"/>
      <c r="DT6" s="258"/>
      <c r="DU6" s="258"/>
      <c r="DV6" s="258"/>
      <c r="DW6" s="258"/>
      <c r="DX6" s="258"/>
      <c r="DY6" s="258"/>
      <c r="DZ6" s="258"/>
      <c r="EA6" s="258"/>
      <c r="EB6" s="258"/>
      <c r="EC6" s="258"/>
      <c r="ED6" s="258"/>
      <c r="EE6" s="258"/>
      <c r="EF6" s="258"/>
      <c r="EG6" s="258"/>
      <c r="EH6" s="258"/>
      <c r="EI6" s="258"/>
      <c r="EJ6" s="258"/>
      <c r="EK6" s="258"/>
      <c r="EL6" s="258"/>
      <c r="EM6" s="258"/>
      <c r="EN6" s="258"/>
      <c r="EO6" s="258"/>
      <c r="EP6" s="258"/>
      <c r="EQ6" s="258"/>
      <c r="ER6" s="258"/>
      <c r="ES6" s="258"/>
      <c r="ET6" s="258"/>
      <c r="EU6" s="258"/>
      <c r="EV6" s="258"/>
      <c r="EW6" s="258"/>
      <c r="EX6" s="258"/>
      <c r="EY6" s="258"/>
      <c r="EZ6" s="258"/>
      <c r="FA6" s="258"/>
      <c r="FB6" s="258"/>
      <c r="FC6" s="258"/>
      <c r="FD6" s="258"/>
      <c r="FE6" s="258"/>
      <c r="FF6" s="258"/>
      <c r="FG6" s="258"/>
      <c r="FH6" s="258"/>
      <c r="FI6" s="258"/>
      <c r="FJ6" s="258"/>
      <c r="FK6" s="258"/>
      <c r="FL6" s="258"/>
      <c r="FM6" s="258"/>
      <c r="FN6" s="258"/>
      <c r="FO6" s="258"/>
      <c r="FP6" s="258"/>
      <c r="FQ6" s="258"/>
      <c r="FR6" s="258"/>
      <c r="FS6" s="258"/>
      <c r="FT6" s="258"/>
      <c r="FU6" s="258"/>
      <c r="FV6" s="258"/>
      <c r="FW6" s="258"/>
      <c r="FX6" s="258"/>
      <c r="FY6" s="258"/>
      <c r="FZ6" s="258"/>
      <c r="GA6" s="258"/>
      <c r="GB6" s="258"/>
      <c r="GC6" s="258"/>
      <c r="GD6" s="258"/>
      <c r="GE6" s="258"/>
      <c r="GF6" s="258"/>
      <c r="GG6" s="258"/>
      <c r="GH6" s="258"/>
      <c r="GI6" s="258"/>
      <c r="GJ6" s="258"/>
      <c r="GK6" s="258"/>
      <c r="GL6" s="258"/>
      <c r="GM6" s="258"/>
      <c r="GN6" s="258"/>
      <c r="GO6" s="258"/>
      <c r="GP6" s="258"/>
      <c r="GQ6" s="258"/>
      <c r="GR6" s="258"/>
      <c r="GS6" s="258"/>
      <c r="GT6" s="258"/>
      <c r="GU6" s="258"/>
      <c r="GV6" s="258"/>
      <c r="GW6" s="258"/>
      <c r="GX6" s="258"/>
      <c r="GY6" s="258"/>
      <c r="GZ6" s="258"/>
    </row>
    <row r="7" spans="1:208" s="261" customFormat="1" ht="67.5" customHeight="1">
      <c r="A7" s="665"/>
      <c r="B7" s="667"/>
      <c r="C7" s="665"/>
      <c r="D7" s="254" t="s">
        <v>385</v>
      </c>
      <c r="E7" s="667"/>
      <c r="F7" s="667"/>
      <c r="G7" s="667"/>
      <c r="H7" s="667"/>
      <c r="I7" s="667"/>
      <c r="J7" s="251" t="s">
        <v>101</v>
      </c>
      <c r="K7" s="251" t="s">
        <v>102</v>
      </c>
      <c r="L7" s="251" t="s">
        <v>103</v>
      </c>
      <c r="M7" s="251" t="s">
        <v>104</v>
      </c>
      <c r="N7" s="251" t="s">
        <v>105</v>
      </c>
      <c r="O7" s="251" t="s">
        <v>103</v>
      </c>
      <c r="P7" s="251" t="s">
        <v>104</v>
      </c>
      <c r="Q7" s="251" t="s">
        <v>106</v>
      </c>
      <c r="R7" s="251" t="s">
        <v>103</v>
      </c>
      <c r="S7" s="251" t="s">
        <v>104</v>
      </c>
      <c r="T7" s="251" t="s">
        <v>106</v>
      </c>
      <c r="U7" s="251" t="s">
        <v>103</v>
      </c>
      <c r="V7" s="251" t="s">
        <v>104</v>
      </c>
      <c r="W7" s="251" t="s">
        <v>106</v>
      </c>
      <c r="X7" s="251" t="s">
        <v>103</v>
      </c>
      <c r="Y7" s="251" t="s">
        <v>104</v>
      </c>
      <c r="Z7" s="251" t="s">
        <v>106</v>
      </c>
      <c r="AA7" s="251" t="s">
        <v>103</v>
      </c>
      <c r="AB7" s="251" t="s">
        <v>104</v>
      </c>
      <c r="AC7" s="251" t="s">
        <v>106</v>
      </c>
      <c r="AD7" s="251" t="s">
        <v>103</v>
      </c>
      <c r="AE7" s="251" t="s">
        <v>104</v>
      </c>
      <c r="AF7" s="251" t="s">
        <v>106</v>
      </c>
      <c r="AG7" s="251" t="s">
        <v>103</v>
      </c>
      <c r="AH7" s="251" t="s">
        <v>104</v>
      </c>
      <c r="AI7" s="251" t="s">
        <v>106</v>
      </c>
      <c r="AJ7" s="251" t="s">
        <v>103</v>
      </c>
      <c r="AK7" s="251" t="s">
        <v>104</v>
      </c>
      <c r="AL7" s="251" t="s">
        <v>106</v>
      </c>
      <c r="AM7" s="251" t="s">
        <v>103</v>
      </c>
      <c r="AN7" s="251" t="s">
        <v>104</v>
      </c>
      <c r="AO7" s="251" t="s">
        <v>106</v>
      </c>
      <c r="AP7" s="251" t="s">
        <v>103</v>
      </c>
      <c r="AQ7" s="251" t="s">
        <v>104</v>
      </c>
      <c r="AR7" s="251" t="s">
        <v>106</v>
      </c>
      <c r="AS7" s="251" t="s">
        <v>103</v>
      </c>
      <c r="AT7" s="251" t="s">
        <v>104</v>
      </c>
      <c r="AU7" s="251" t="s">
        <v>106</v>
      </c>
      <c r="AV7" s="251" t="s">
        <v>103</v>
      </c>
      <c r="AW7" s="251" t="s">
        <v>104</v>
      </c>
      <c r="AX7" s="251" t="s">
        <v>106</v>
      </c>
      <c r="AY7" s="251" t="s">
        <v>103</v>
      </c>
      <c r="AZ7" s="251" t="s">
        <v>104</v>
      </c>
      <c r="BA7" s="251" t="s">
        <v>106</v>
      </c>
      <c r="BB7" s="251" t="s">
        <v>103</v>
      </c>
      <c r="BC7" s="251" t="s">
        <v>104</v>
      </c>
      <c r="BD7" s="251" t="s">
        <v>106</v>
      </c>
      <c r="BE7" s="251" t="s">
        <v>103</v>
      </c>
      <c r="BF7" s="251" t="s">
        <v>104</v>
      </c>
      <c r="BG7" s="251" t="s">
        <v>106</v>
      </c>
      <c r="BH7" s="251" t="s">
        <v>103</v>
      </c>
      <c r="BI7" s="251" t="s">
        <v>104</v>
      </c>
      <c r="BJ7" s="251" t="s">
        <v>106</v>
      </c>
      <c r="BK7" s="251" t="s">
        <v>103</v>
      </c>
      <c r="BL7" s="251" t="s">
        <v>104</v>
      </c>
      <c r="BM7" s="251" t="s">
        <v>107</v>
      </c>
      <c r="BN7" s="251" t="s">
        <v>104</v>
      </c>
      <c r="BO7" s="251" t="s">
        <v>108</v>
      </c>
      <c r="BP7" s="251" t="s">
        <v>104</v>
      </c>
      <c r="BQ7" s="251" t="s">
        <v>109</v>
      </c>
      <c r="BR7" s="251" t="s">
        <v>104</v>
      </c>
      <c r="BS7" s="251" t="s">
        <v>110</v>
      </c>
      <c r="BT7" s="251" t="s">
        <v>104</v>
      </c>
      <c r="BU7" s="255" t="s">
        <v>111</v>
      </c>
      <c r="BV7" s="251" t="s">
        <v>104</v>
      </c>
      <c r="BW7" s="251" t="s">
        <v>112</v>
      </c>
      <c r="BX7" s="251" t="s">
        <v>104</v>
      </c>
      <c r="BY7" s="251" t="s">
        <v>143</v>
      </c>
      <c r="BZ7" s="251" t="s">
        <v>104</v>
      </c>
      <c r="CA7" s="251" t="s">
        <v>113</v>
      </c>
      <c r="CB7" s="251" t="s">
        <v>104</v>
      </c>
      <c r="CC7" s="254" t="s">
        <v>121</v>
      </c>
      <c r="CD7" s="254" t="s">
        <v>104</v>
      </c>
      <c r="CE7" s="667"/>
      <c r="CF7" s="254" t="s">
        <v>147</v>
      </c>
      <c r="CG7" s="665"/>
      <c r="CH7" s="253" t="s">
        <v>50</v>
      </c>
      <c r="CI7" s="253" t="s">
        <v>141</v>
      </c>
      <c r="CJ7" s="253" t="s">
        <v>31</v>
      </c>
      <c r="CK7" s="253" t="s">
        <v>137</v>
      </c>
      <c r="CL7" s="253" t="s">
        <v>138</v>
      </c>
      <c r="CM7" s="253" t="s">
        <v>140</v>
      </c>
      <c r="CN7" s="253" t="s">
        <v>139</v>
      </c>
      <c r="CO7" s="665"/>
      <c r="CP7" s="665"/>
      <c r="CQ7" s="665"/>
      <c r="CR7" s="665"/>
      <c r="CS7" s="665"/>
      <c r="CT7" s="669"/>
      <c r="CU7" s="261" t="s">
        <v>29</v>
      </c>
      <c r="CV7" s="262" t="s">
        <v>150</v>
      </c>
      <c r="CW7" s="263" t="s">
        <v>114</v>
      </c>
      <c r="CX7" s="264" t="s">
        <v>115</v>
      </c>
      <c r="CZ7" s="720"/>
      <c r="DA7" s="720"/>
      <c r="DB7" s="720"/>
      <c r="DC7" s="720"/>
    </row>
    <row r="8" spans="1:208" s="2" customFormat="1" ht="16.899999999999999" customHeight="1">
      <c r="A8" s="235">
        <v>1</v>
      </c>
      <c r="B8" s="265"/>
      <c r="C8" s="266">
        <v>30332</v>
      </c>
      <c r="D8" s="266" t="str">
        <f>VLOOKUP(E8,'F3 MS (2)'!E:F,2,0)</f>
        <v>GD250532</v>
      </c>
      <c r="E8" s="267" t="s">
        <v>354</v>
      </c>
      <c r="F8" s="266" t="str">
        <f>VLOOKUP(C8,'[1]ACTIVE GH'!$C:$I,7,0)</f>
        <v>METAL STAMPING</v>
      </c>
      <c r="G8" s="266" t="str">
        <f>VLOOKUP(C8,'[1]ACTIVE GH'!$C:$J,8,0)</f>
        <v>PRODUCTION</v>
      </c>
      <c r="H8" s="266" t="str">
        <f>VLOOKUP(C8,'[1]ACTIVE GH'!$C:$N,12,0)</f>
        <v>Operator 1</v>
      </c>
      <c r="I8" s="266" t="s">
        <v>180</v>
      </c>
      <c r="J8" s="266">
        <f>IFERROR(VLOOKUP(C8,PIVOT!A:B,2,0),0)</f>
        <v>56</v>
      </c>
      <c r="K8" s="237">
        <f t="shared" ref="K8" si="0">J8/8</f>
        <v>7</v>
      </c>
      <c r="L8" s="237">
        <v>600</v>
      </c>
      <c r="M8" s="238">
        <f>K8*L8</f>
        <v>4200</v>
      </c>
      <c r="N8" s="266">
        <f>IFERROR(VLOOKUP(C8,PIVOT!A:F,6,0),0)</f>
        <v>0</v>
      </c>
      <c r="O8" s="239">
        <f t="shared" ref="O8" si="1">L8/8/60</f>
        <v>1.25</v>
      </c>
      <c r="P8" s="238">
        <f>-N8*O8</f>
        <v>0</v>
      </c>
      <c r="Q8" s="266">
        <f>IFERROR(VLOOKUP(C8,PIVOT!A:C,3,0),0)</f>
        <v>2</v>
      </c>
      <c r="R8" s="239">
        <f t="shared" ref="R8" si="2">L8/8*1.25</f>
        <v>93.75</v>
      </c>
      <c r="S8" s="238">
        <f t="shared" ref="S8" si="3">Q8*R8</f>
        <v>187.5</v>
      </c>
      <c r="T8" s="266">
        <f>IFERROR(VLOOKUP(C8,PIVOT!A:D,4,0),0)</f>
        <v>0</v>
      </c>
      <c r="U8" s="239">
        <f t="shared" ref="U8" si="4">L8/8*0.1</f>
        <v>7.5</v>
      </c>
      <c r="V8" s="238">
        <f>T8*U8</f>
        <v>0</v>
      </c>
      <c r="W8" s="266">
        <f>IFERROR(VLOOKUP(C8,PIVOT!A:E,5,0),0)</f>
        <v>0</v>
      </c>
      <c r="X8" s="238">
        <f>L8/8*1.25*0.1</f>
        <v>9.375</v>
      </c>
      <c r="Y8" s="238">
        <f>X8*W8</f>
        <v>0</v>
      </c>
      <c r="Z8" s="266">
        <f>IFERROR(VLOOKUP(C8,#REF!,6,0),0)</f>
        <v>0</v>
      </c>
      <c r="AA8" s="239">
        <f t="shared" ref="AA8" si="5">L8/8*1.3</f>
        <v>97.5</v>
      </c>
      <c r="AB8" s="238">
        <f t="shared" ref="AB8" si="6">Z8*AA8</f>
        <v>0</v>
      </c>
      <c r="AC8" s="266"/>
      <c r="AD8" s="215">
        <f t="shared" ref="AD8" si="7">L8/8*1.69</f>
        <v>126.75</v>
      </c>
      <c r="AE8" s="214">
        <f t="shared" ref="AE8" si="8">AD8*AC8</f>
        <v>0</v>
      </c>
      <c r="AF8" s="266">
        <f>IFERROR(VLOOKUP(C8,#REF!,8,0),0)</f>
        <v>0</v>
      </c>
      <c r="AG8" s="239">
        <f t="shared" ref="AG8" si="9">L8/8*1.3*0.1</f>
        <v>9.75</v>
      </c>
      <c r="AH8" s="238">
        <f t="shared" ref="AH8" si="10">AF8*AG8</f>
        <v>0</v>
      </c>
      <c r="AI8" s="213"/>
      <c r="AJ8" s="213">
        <f t="shared" ref="AJ8" si="11">L8/8*1.5</f>
        <v>112.5</v>
      </c>
      <c r="AK8" s="216">
        <f t="shared" ref="AK8" si="12">AI8*AJ8</f>
        <v>0</v>
      </c>
      <c r="AL8" s="213"/>
      <c r="AM8" s="213">
        <f t="shared" ref="AM8" si="13">L8/8*1.5*1.3</f>
        <v>146.25</v>
      </c>
      <c r="AN8" s="216">
        <v>0</v>
      </c>
      <c r="AO8" s="213"/>
      <c r="AP8" s="213">
        <f t="shared" ref="AP8" si="14">L8/8*1.5*0.1</f>
        <v>11.25</v>
      </c>
      <c r="AQ8" s="216">
        <f t="shared" ref="AQ8" si="15">AO8*AP8</f>
        <v>0</v>
      </c>
      <c r="AR8" s="266">
        <f>IFERROR(VLOOKUP(C8,#REF!,7,0),0)</f>
        <v>0</v>
      </c>
      <c r="AS8" s="278">
        <f t="shared" ref="AS8:AS69" si="16">L8/8*1.3</f>
        <v>97.5</v>
      </c>
      <c r="AT8" s="277">
        <f t="shared" ref="AT8:AT69" si="17">AR8*AS8</f>
        <v>0</v>
      </c>
      <c r="AU8" s="266"/>
      <c r="AV8" s="213"/>
      <c r="AW8" s="216"/>
      <c r="AX8" s="213">
        <f>IFERROR(VLOOKUP(C8,#REF!,8,0),0)</f>
        <v>0</v>
      </c>
      <c r="AY8" s="278">
        <f t="shared" ref="AY8:AY69" si="18">L8/8*1.3*0.1</f>
        <v>9.75</v>
      </c>
      <c r="AZ8" s="277">
        <f t="shared" ref="AZ8:AZ69" si="19">AX8*AY8</f>
        <v>0</v>
      </c>
      <c r="BA8" s="266">
        <f>IFERROR(VLOOKUP(C8,#REF!,10,0),0)</f>
        <v>0</v>
      </c>
      <c r="BB8" s="268">
        <f>600/8*2</f>
        <v>150</v>
      </c>
      <c r="BC8" s="247">
        <f>BA8*BB8</f>
        <v>0</v>
      </c>
      <c r="BD8" s="216"/>
      <c r="BE8" s="213"/>
      <c r="BF8" s="213"/>
      <c r="BG8" s="216"/>
      <c r="BH8" s="213"/>
      <c r="BI8" s="213"/>
      <c r="BJ8" s="216">
        <f>IFERROR(VLOOKUP(C8,#REF!,9,0),0)</f>
        <v>0</v>
      </c>
      <c r="BK8" s="276">
        <f t="shared" ref="BK8" si="20">L8/8</f>
        <v>75</v>
      </c>
      <c r="BL8" s="213">
        <f t="shared" ref="BL8" si="21">BJ8*BK8</f>
        <v>0</v>
      </c>
      <c r="BM8" s="216"/>
      <c r="BN8" s="213"/>
      <c r="BO8" s="213"/>
      <c r="BP8" s="213"/>
      <c r="BQ8" s="213"/>
      <c r="BR8" s="213"/>
      <c r="BS8" s="213"/>
      <c r="BT8" s="213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3"/>
      <c r="CF8" s="215"/>
      <c r="CG8" s="215">
        <f>SUM(Y8,V8,S8,P8,M8)</f>
        <v>4387.5</v>
      </c>
      <c r="CH8" s="256">
        <f>VLOOKUP(CX8,SSS_2025!A:N,8)</f>
        <v>1500</v>
      </c>
      <c r="CI8" s="217">
        <f>VLOOKUP(CX8,SSS_2025!A:N,13)</f>
        <v>750</v>
      </c>
      <c r="CJ8" s="217">
        <f>VLOOKUP(CX8,SSS_2025!A:N,9)</f>
        <v>30</v>
      </c>
      <c r="CK8" s="215">
        <v>391.25</v>
      </c>
      <c r="CL8" s="215">
        <v>391.25</v>
      </c>
      <c r="CM8" s="215">
        <v>200</v>
      </c>
      <c r="CN8" s="215">
        <v>200</v>
      </c>
      <c r="CO8" s="214">
        <f t="shared" ref="CO8" si="22">CG8+CH8+CJ8+CL8+CN8</f>
        <v>6508.75</v>
      </c>
      <c r="CP8" s="214">
        <f t="shared" ref="CP8" si="23">(M8+P8+BN8)*10%</f>
        <v>420</v>
      </c>
      <c r="CQ8" s="214">
        <f t="shared" ref="CQ8" si="24">CO8+CP8</f>
        <v>6928.75</v>
      </c>
      <c r="CR8" s="215"/>
      <c r="CS8" s="214">
        <f t="shared" ref="CS8" si="25">CQ8+CR8</f>
        <v>6928.75</v>
      </c>
      <c r="CT8" s="273">
        <f t="shared" ref="CT8" si="26">SUM(M8+(BC8/2)+BL8+BN8+P8)/12</f>
        <v>350</v>
      </c>
      <c r="CU8" s="244"/>
      <c r="CV8" s="269">
        <f>IFERROR(VLOOKUP(C8,'[2]BILLING COMPUTATION'!$C$8:$CI$224,85,0),0)</f>
        <v>10552.5</v>
      </c>
      <c r="CW8" s="243">
        <f t="shared" ref="CW8:CW39" si="27">CG8</f>
        <v>4387.5</v>
      </c>
      <c r="CX8" s="245">
        <f t="shared" ref="CX8" si="28">CV8+CW8</f>
        <v>14940</v>
      </c>
      <c r="CZ8" s="721">
        <f>IFERROR(VLOOKUP(C8,'[5]BILLING COMPUTATION'!$C$8:$CG$101,83,0),0)</f>
        <v>5550</v>
      </c>
      <c r="DA8" s="721">
        <f t="shared" ref="DA8:DA71" si="29">CG8</f>
        <v>4387.5</v>
      </c>
      <c r="DB8" s="721">
        <f t="shared" ref="DB8:DB71" si="30">SUM(CZ8:DA8)</f>
        <v>9937.5</v>
      </c>
      <c r="DC8" s="721">
        <f t="shared" ref="DC8:DC71" si="31">DB8-CX8</f>
        <v>-5002.5</v>
      </c>
    </row>
    <row r="9" spans="1:208" s="2" customFormat="1" ht="16.899999999999999" customHeight="1">
      <c r="A9" s="235">
        <v>2</v>
      </c>
      <c r="B9" s="265"/>
      <c r="C9" s="266">
        <v>12808</v>
      </c>
      <c r="D9" s="266" t="str">
        <f>VLOOKUP(E9,'F3 MS (2)'!E:F,2,0)</f>
        <v>GD250278</v>
      </c>
      <c r="E9" s="267" t="s">
        <v>236</v>
      </c>
      <c r="F9" s="266" t="str">
        <f>VLOOKUP(C9,'[1]ACTIVE GH'!$C:$I,7,0)</f>
        <v>METAL STAMPING</v>
      </c>
      <c r="G9" s="266" t="str">
        <f>VLOOKUP(C9,'[1]ACTIVE GH'!$C:$J,8,0)</f>
        <v>PRODUCTION</v>
      </c>
      <c r="H9" s="266" t="str">
        <f>VLOOKUP(C9,'[1]ACTIVE GH'!$C:$N,12,0)</f>
        <v>Operator 1</v>
      </c>
      <c r="I9" s="266" t="s">
        <v>180</v>
      </c>
      <c r="J9" s="266">
        <f>IFERROR(VLOOKUP(C9,PIVOT!A:B,2,0),0)</f>
        <v>80</v>
      </c>
      <c r="K9" s="237">
        <f t="shared" ref="K9:K69" si="32">J9/8</f>
        <v>10</v>
      </c>
      <c r="L9" s="237">
        <v>600</v>
      </c>
      <c r="M9" s="238">
        <f t="shared" ref="M9:M72" si="33">K9*L9</f>
        <v>6000</v>
      </c>
      <c r="N9" s="266">
        <f>IFERROR(VLOOKUP(C9,PIVOT!A:F,6,0),0)</f>
        <v>0</v>
      </c>
      <c r="O9" s="239">
        <f t="shared" ref="O9:O69" si="34">L9/8/60</f>
        <v>1.25</v>
      </c>
      <c r="P9" s="238">
        <f t="shared" ref="P9:P72" si="35">-N9*O9</f>
        <v>0</v>
      </c>
      <c r="Q9" s="266">
        <f>IFERROR(VLOOKUP(C9,PIVOT!A:C,3,0),0)</f>
        <v>6</v>
      </c>
      <c r="R9" s="239">
        <f t="shared" ref="R9:R69" si="36">L9/8*1.25</f>
        <v>93.75</v>
      </c>
      <c r="S9" s="238">
        <f t="shared" ref="S9:S69" si="37">Q9*R9</f>
        <v>562.5</v>
      </c>
      <c r="T9" s="266">
        <f>IFERROR(VLOOKUP(C9,PIVOT!A:D,4,0),0)</f>
        <v>60</v>
      </c>
      <c r="U9" s="239">
        <f t="shared" ref="U9:U72" si="38">L9/8*0.1</f>
        <v>7.5</v>
      </c>
      <c r="V9" s="238">
        <f t="shared" ref="V9:V72" si="39">T9*U9</f>
        <v>450</v>
      </c>
      <c r="W9" s="266">
        <f>IFERROR(VLOOKUP(C9,PIVOT!A:E,5,0),0)</f>
        <v>6</v>
      </c>
      <c r="X9" s="238">
        <f t="shared" ref="X9:X69" si="40">L9/8*1.25*0.1</f>
        <v>9.375</v>
      </c>
      <c r="Y9" s="238">
        <f t="shared" ref="Y9:Y72" si="41">X9*W9</f>
        <v>56.25</v>
      </c>
      <c r="Z9" s="266">
        <f>IFERROR(VLOOKUP(C9,#REF!,6,0),0)</f>
        <v>0</v>
      </c>
      <c r="AA9" s="239">
        <f t="shared" ref="AA9:AA69" si="42">L9/8*1.3</f>
        <v>97.5</v>
      </c>
      <c r="AB9" s="238">
        <f t="shared" ref="AB9:AB69" si="43">Z9*AA9</f>
        <v>0</v>
      </c>
      <c r="AC9" s="266"/>
      <c r="AD9" s="215">
        <f t="shared" ref="AD9:AD69" si="44">L9/8*1.69</f>
        <v>126.75</v>
      </c>
      <c r="AE9" s="214">
        <f t="shared" ref="AE9:AE69" si="45">AD9*AC9</f>
        <v>0</v>
      </c>
      <c r="AF9" s="266">
        <f>IFERROR(VLOOKUP(C9,#REF!,8,0),0)</f>
        <v>0</v>
      </c>
      <c r="AG9" s="239">
        <f t="shared" ref="AG9:AG69" si="46">L9/8*1.3*0.1</f>
        <v>9.75</v>
      </c>
      <c r="AH9" s="238">
        <f t="shared" ref="AH9:AH69" si="47">AF9*AG9</f>
        <v>0</v>
      </c>
      <c r="AI9" s="213"/>
      <c r="AJ9" s="213">
        <f t="shared" ref="AJ9:AJ69" si="48">L9/8*1.5</f>
        <v>112.5</v>
      </c>
      <c r="AK9" s="216">
        <f t="shared" ref="AK9:AK69" si="49">AI9*AJ9</f>
        <v>0</v>
      </c>
      <c r="AL9" s="213"/>
      <c r="AM9" s="213">
        <f t="shared" ref="AM9:AM69" si="50">L9/8*1.5*1.3</f>
        <v>146.25</v>
      </c>
      <c r="AN9" s="216">
        <v>0</v>
      </c>
      <c r="AO9" s="213"/>
      <c r="AP9" s="213">
        <f t="shared" ref="AP9:AP69" si="51">L9/8*1.5*0.1</f>
        <v>11.25</v>
      </c>
      <c r="AQ9" s="216">
        <f t="shared" ref="AQ9:AQ69" si="52">AO9*AP9</f>
        <v>0</v>
      </c>
      <c r="AR9" s="266">
        <f>IFERROR(VLOOKUP(C9,#REF!,7,0),0)</f>
        <v>0</v>
      </c>
      <c r="AS9" s="278">
        <f t="shared" si="16"/>
        <v>97.5</v>
      </c>
      <c r="AT9" s="277">
        <f t="shared" si="17"/>
        <v>0</v>
      </c>
      <c r="AU9" s="266"/>
      <c r="AV9" s="213"/>
      <c r="AW9" s="216"/>
      <c r="AX9" s="213">
        <f>IFERROR(VLOOKUP(C9,#REF!,8,0),0)</f>
        <v>0</v>
      </c>
      <c r="AY9" s="278">
        <f t="shared" si="18"/>
        <v>9.75</v>
      </c>
      <c r="AZ9" s="277">
        <f t="shared" si="19"/>
        <v>0</v>
      </c>
      <c r="BA9" s="266">
        <f>IFERROR(VLOOKUP(C9,#REF!,10,0),0)</f>
        <v>0</v>
      </c>
      <c r="BB9" s="268">
        <f t="shared" ref="BB9:BB69" si="53">600/8*2</f>
        <v>150</v>
      </c>
      <c r="BC9" s="247">
        <f t="shared" ref="BC9:BC69" si="54">BA9*BB9</f>
        <v>0</v>
      </c>
      <c r="BD9" s="216"/>
      <c r="BE9" s="213"/>
      <c r="BF9" s="213"/>
      <c r="BG9" s="216"/>
      <c r="BH9" s="213"/>
      <c r="BI9" s="213"/>
      <c r="BJ9" s="216">
        <f>IFERROR(VLOOKUP(C9,#REF!,9,0),0)</f>
        <v>0</v>
      </c>
      <c r="BK9" s="276">
        <f t="shared" ref="BK9:BK69" si="55">L9/8</f>
        <v>75</v>
      </c>
      <c r="BL9" s="213">
        <f t="shared" ref="BL9:BL69" si="56">BJ9*BK9</f>
        <v>0</v>
      </c>
      <c r="BM9" s="216"/>
      <c r="BN9" s="213"/>
      <c r="BO9" s="213"/>
      <c r="BP9" s="213"/>
      <c r="BQ9" s="213"/>
      <c r="BR9" s="213"/>
      <c r="BS9" s="213"/>
      <c r="BT9" s="213"/>
      <c r="BU9" s="215"/>
      <c r="BV9" s="215"/>
      <c r="BW9" s="215"/>
      <c r="BX9" s="215"/>
      <c r="BY9" s="215"/>
      <c r="BZ9" s="215"/>
      <c r="CA9" s="215"/>
      <c r="CB9" s="215"/>
      <c r="CC9" s="215"/>
      <c r="CD9" s="215"/>
      <c r="CE9" s="213"/>
      <c r="CF9" s="215"/>
      <c r="CG9" s="215">
        <f t="shared" ref="CG9:CG72" si="57">SUM(Y9,V9,S9,P9,M9)</f>
        <v>7068.75</v>
      </c>
      <c r="CH9" s="256">
        <f>VLOOKUP(CX9,SSS_2025!A:N,8)</f>
        <v>1750</v>
      </c>
      <c r="CI9" s="217">
        <f>VLOOKUP(CX9,SSS_2025!A:N,13)</f>
        <v>875</v>
      </c>
      <c r="CJ9" s="217">
        <f>VLOOKUP(CX9,SSS_2025!A:N,9)</f>
        <v>30</v>
      </c>
      <c r="CK9" s="215">
        <v>391.25</v>
      </c>
      <c r="CL9" s="215">
        <v>391.25</v>
      </c>
      <c r="CM9" s="215">
        <v>200</v>
      </c>
      <c r="CN9" s="215">
        <v>200</v>
      </c>
      <c r="CO9" s="214">
        <f t="shared" ref="CO9:CO72" si="58">CG9+CH9+CJ9+CL9+CN9</f>
        <v>9440</v>
      </c>
      <c r="CP9" s="214">
        <f t="shared" ref="CP9:CP72" si="59">(M9+P9+BN9)*10%</f>
        <v>600</v>
      </c>
      <c r="CQ9" s="214">
        <f t="shared" ref="CQ9:CQ72" si="60">CO9+CP9</f>
        <v>10040</v>
      </c>
      <c r="CR9" s="215"/>
      <c r="CS9" s="214">
        <f t="shared" ref="CS9:CS72" si="61">CQ9+CR9</f>
        <v>10040</v>
      </c>
      <c r="CT9" s="273">
        <f t="shared" ref="CT9:CT72" si="62">SUM(M9+(BC9/2)+BL9+BN9+P9)/12</f>
        <v>500</v>
      </c>
      <c r="CU9" s="244"/>
      <c r="CV9" s="269">
        <f>IFERROR(VLOOKUP(C9,'[2]BILLING COMPUTATION'!$C$8:$CI$224,85,0),0)</f>
        <v>10680</v>
      </c>
      <c r="CW9" s="243">
        <f t="shared" si="27"/>
        <v>7068.75</v>
      </c>
      <c r="CX9" s="245">
        <f t="shared" ref="CX9:CX69" si="63">CV9+CW9</f>
        <v>17748.75</v>
      </c>
      <c r="CZ9" s="721">
        <f>IFERROR(VLOOKUP(C9,'[5]BILLING COMPUTATION'!$C$8:$CG$101,83,0),0)</f>
        <v>7918.125</v>
      </c>
      <c r="DA9" s="721">
        <f t="shared" si="29"/>
        <v>7068.75</v>
      </c>
      <c r="DB9" s="721">
        <f t="shared" si="30"/>
        <v>14986.875</v>
      </c>
      <c r="DC9" s="721">
        <f t="shared" si="31"/>
        <v>-2761.875</v>
      </c>
    </row>
    <row r="10" spans="1:208" s="2" customFormat="1" ht="16.899999999999999" customHeight="1">
      <c r="A10" s="235">
        <v>3</v>
      </c>
      <c r="B10" s="265"/>
      <c r="C10" s="266">
        <v>12810</v>
      </c>
      <c r="D10" s="266" t="str">
        <f>VLOOKUP(E10,'F3 MS (2)'!E:F,2,0)</f>
        <v>GD250280</v>
      </c>
      <c r="E10" s="267" t="s">
        <v>334</v>
      </c>
      <c r="F10" s="266" t="str">
        <f>VLOOKUP(C10,'[1]ACTIVE GH'!$C:$I,7,0)</f>
        <v>METAL STAMPING</v>
      </c>
      <c r="G10" s="266" t="str">
        <f>VLOOKUP(C10,'[1]ACTIVE GH'!$C:$J,8,0)</f>
        <v>PRODUCTION</v>
      </c>
      <c r="H10" s="266" t="str">
        <f>VLOOKUP(C10,'[1]ACTIVE GH'!$C:$N,12,0)</f>
        <v>Operator 1</v>
      </c>
      <c r="I10" s="266" t="s">
        <v>180</v>
      </c>
      <c r="J10" s="266">
        <f>IFERROR(VLOOKUP(C10,PIVOT!A:B,2,0),0)</f>
        <v>88</v>
      </c>
      <c r="K10" s="237">
        <f t="shared" si="32"/>
        <v>11</v>
      </c>
      <c r="L10" s="237">
        <v>600</v>
      </c>
      <c r="M10" s="238">
        <f t="shared" si="33"/>
        <v>6600</v>
      </c>
      <c r="N10" s="266">
        <f>IFERROR(VLOOKUP(C10,PIVOT!A:F,6,0),0)</f>
        <v>0</v>
      </c>
      <c r="O10" s="239">
        <f t="shared" si="34"/>
        <v>1.25</v>
      </c>
      <c r="P10" s="238">
        <f t="shared" si="35"/>
        <v>0</v>
      </c>
      <c r="Q10" s="266">
        <f>IFERROR(VLOOKUP(C10,PIVOT!A:C,3,0),0)</f>
        <v>1</v>
      </c>
      <c r="R10" s="239">
        <f t="shared" si="36"/>
        <v>93.75</v>
      </c>
      <c r="S10" s="238">
        <f t="shared" si="37"/>
        <v>93.75</v>
      </c>
      <c r="T10" s="266">
        <f>IFERROR(VLOOKUP(C10,PIVOT!A:D,4,0),0)</f>
        <v>6</v>
      </c>
      <c r="U10" s="239">
        <f t="shared" si="38"/>
        <v>7.5</v>
      </c>
      <c r="V10" s="238">
        <f t="shared" si="39"/>
        <v>45</v>
      </c>
      <c r="W10" s="266">
        <f>IFERROR(VLOOKUP(C10,PIVOT!A:E,5,0),0)</f>
        <v>0</v>
      </c>
      <c r="X10" s="238">
        <f t="shared" si="40"/>
        <v>9.375</v>
      </c>
      <c r="Y10" s="238">
        <f t="shared" si="41"/>
        <v>0</v>
      </c>
      <c r="Z10" s="266">
        <f>IFERROR(VLOOKUP(C10,#REF!,6,0),0)</f>
        <v>0</v>
      </c>
      <c r="AA10" s="239">
        <f t="shared" si="42"/>
        <v>97.5</v>
      </c>
      <c r="AB10" s="238">
        <f t="shared" si="43"/>
        <v>0</v>
      </c>
      <c r="AC10" s="266"/>
      <c r="AD10" s="215">
        <f t="shared" si="44"/>
        <v>126.75</v>
      </c>
      <c r="AE10" s="214">
        <f t="shared" si="45"/>
        <v>0</v>
      </c>
      <c r="AF10" s="266">
        <f>IFERROR(VLOOKUP(C10,#REF!,8,0),0)</f>
        <v>0</v>
      </c>
      <c r="AG10" s="239">
        <f t="shared" si="46"/>
        <v>9.75</v>
      </c>
      <c r="AH10" s="238">
        <f t="shared" si="47"/>
        <v>0</v>
      </c>
      <c r="AI10" s="213"/>
      <c r="AJ10" s="213">
        <f t="shared" si="48"/>
        <v>112.5</v>
      </c>
      <c r="AK10" s="216">
        <f t="shared" si="49"/>
        <v>0</v>
      </c>
      <c r="AL10" s="213"/>
      <c r="AM10" s="213">
        <f t="shared" si="50"/>
        <v>146.25</v>
      </c>
      <c r="AN10" s="216">
        <v>0</v>
      </c>
      <c r="AO10" s="213"/>
      <c r="AP10" s="213">
        <f t="shared" si="51"/>
        <v>11.25</v>
      </c>
      <c r="AQ10" s="216">
        <f t="shared" si="52"/>
        <v>0</v>
      </c>
      <c r="AR10" s="266">
        <f>IFERROR(VLOOKUP(C10,#REF!,7,0),0)</f>
        <v>0</v>
      </c>
      <c r="AS10" s="278">
        <f t="shared" si="16"/>
        <v>97.5</v>
      </c>
      <c r="AT10" s="277">
        <f t="shared" si="17"/>
        <v>0</v>
      </c>
      <c r="AU10" s="266"/>
      <c r="AV10" s="213"/>
      <c r="AW10" s="216"/>
      <c r="AX10" s="213">
        <f>IFERROR(VLOOKUP(C10,#REF!,8,0),0)</f>
        <v>0</v>
      </c>
      <c r="AY10" s="278">
        <f t="shared" si="18"/>
        <v>9.75</v>
      </c>
      <c r="AZ10" s="277">
        <f t="shared" si="19"/>
        <v>0</v>
      </c>
      <c r="BA10" s="266">
        <f>IFERROR(VLOOKUP(C10,#REF!,10,0),0)</f>
        <v>0</v>
      </c>
      <c r="BB10" s="268">
        <f t="shared" si="53"/>
        <v>150</v>
      </c>
      <c r="BC10" s="247">
        <f t="shared" si="54"/>
        <v>0</v>
      </c>
      <c r="BD10" s="216"/>
      <c r="BE10" s="213"/>
      <c r="BF10" s="213"/>
      <c r="BG10" s="216"/>
      <c r="BH10" s="213"/>
      <c r="BI10" s="213"/>
      <c r="BJ10" s="216">
        <f>IFERROR(VLOOKUP(C10,#REF!,9,0),0)</f>
        <v>0</v>
      </c>
      <c r="BK10" s="276">
        <f t="shared" si="55"/>
        <v>75</v>
      </c>
      <c r="BL10" s="213">
        <f t="shared" si="56"/>
        <v>0</v>
      </c>
      <c r="BM10" s="216"/>
      <c r="BN10" s="213"/>
      <c r="BO10" s="213"/>
      <c r="BP10" s="213"/>
      <c r="BQ10" s="213"/>
      <c r="BR10" s="213"/>
      <c r="BS10" s="213"/>
      <c r="BT10" s="213"/>
      <c r="BU10" s="215"/>
      <c r="BV10" s="215"/>
      <c r="BW10" s="215"/>
      <c r="BX10" s="215"/>
      <c r="BY10" s="215"/>
      <c r="BZ10" s="215"/>
      <c r="CA10" s="215"/>
      <c r="CB10" s="215"/>
      <c r="CC10" s="215"/>
      <c r="CD10" s="215"/>
      <c r="CE10" s="213"/>
      <c r="CF10" s="215"/>
      <c r="CG10" s="215">
        <f t="shared" si="57"/>
        <v>6738.75</v>
      </c>
      <c r="CH10" s="256">
        <f>VLOOKUP(CX10,SSS_2025!A:N,8)</f>
        <v>1750</v>
      </c>
      <c r="CI10" s="217">
        <f>VLOOKUP(CX10,SSS_2025!A:N,13)</f>
        <v>875</v>
      </c>
      <c r="CJ10" s="217">
        <f>VLOOKUP(CX10,SSS_2025!A:N,9)</f>
        <v>30</v>
      </c>
      <c r="CK10" s="215">
        <v>391.25</v>
      </c>
      <c r="CL10" s="215">
        <v>391.25</v>
      </c>
      <c r="CM10" s="215">
        <v>200</v>
      </c>
      <c r="CN10" s="215">
        <v>200</v>
      </c>
      <c r="CO10" s="214">
        <f t="shared" si="58"/>
        <v>9110</v>
      </c>
      <c r="CP10" s="214">
        <f t="shared" si="59"/>
        <v>660</v>
      </c>
      <c r="CQ10" s="214">
        <f t="shared" si="60"/>
        <v>9770</v>
      </c>
      <c r="CR10" s="215"/>
      <c r="CS10" s="214">
        <f t="shared" si="61"/>
        <v>9770</v>
      </c>
      <c r="CT10" s="273">
        <f t="shared" si="62"/>
        <v>550</v>
      </c>
      <c r="CU10" s="244"/>
      <c r="CV10" s="269">
        <f>IFERROR(VLOOKUP(C10,'[2]BILLING COMPUTATION'!$C$8:$CI$224,85,0),0)</f>
        <v>10511.25</v>
      </c>
      <c r="CW10" s="243">
        <f t="shared" si="27"/>
        <v>6738.75</v>
      </c>
      <c r="CX10" s="245">
        <f t="shared" si="63"/>
        <v>17250</v>
      </c>
      <c r="CZ10" s="721">
        <f>IFERROR(VLOOKUP(C10,'[5]BILLING COMPUTATION'!$C$8:$CG$101,83,0),0)</f>
        <v>9920</v>
      </c>
      <c r="DA10" s="721">
        <f t="shared" si="29"/>
        <v>6738.75</v>
      </c>
      <c r="DB10" s="721">
        <f t="shared" si="30"/>
        <v>16658.75</v>
      </c>
      <c r="DC10" s="721">
        <f t="shared" si="31"/>
        <v>-591.25</v>
      </c>
    </row>
    <row r="11" spans="1:208" s="2" customFormat="1" ht="16.899999999999999" customHeight="1">
      <c r="A11" s="235">
        <v>4</v>
      </c>
      <c r="B11" s="265"/>
      <c r="C11" s="266">
        <v>4327</v>
      </c>
      <c r="D11" s="266" t="str">
        <f>VLOOKUP(E11,'F3 MS (2)'!E:F,2,0)</f>
        <v>GD250042</v>
      </c>
      <c r="E11" s="267" t="s">
        <v>253</v>
      </c>
      <c r="F11" s="266" t="str">
        <f>VLOOKUP(C11,'[1]ACTIVE GH'!$C:$I,7,0)</f>
        <v>METAL STAMPING</v>
      </c>
      <c r="G11" s="266" t="str">
        <f>VLOOKUP(C11,'[1]ACTIVE GH'!$C:$J,8,0)</f>
        <v>PRODUCTION</v>
      </c>
      <c r="H11" s="266" t="str">
        <f>VLOOKUP(C11,'[1]ACTIVE GH'!$C:$N,12,0)</f>
        <v>Operator 1</v>
      </c>
      <c r="I11" s="266" t="s">
        <v>180</v>
      </c>
      <c r="J11" s="266">
        <f>IFERROR(VLOOKUP(C11,PIVOT!A:B,2,0),0)</f>
        <v>80</v>
      </c>
      <c r="K11" s="237">
        <f t="shared" si="32"/>
        <v>10</v>
      </c>
      <c r="L11" s="237">
        <v>600</v>
      </c>
      <c r="M11" s="238">
        <f t="shared" si="33"/>
        <v>6000</v>
      </c>
      <c r="N11" s="266">
        <f>IFERROR(VLOOKUP(C11,PIVOT!A:F,6,0),0)</f>
        <v>0</v>
      </c>
      <c r="O11" s="239">
        <f t="shared" si="34"/>
        <v>1.25</v>
      </c>
      <c r="P11" s="238">
        <f t="shared" si="35"/>
        <v>0</v>
      </c>
      <c r="Q11" s="266">
        <f>IFERROR(VLOOKUP(C11,PIVOT!A:C,3,0),0)</f>
        <v>2</v>
      </c>
      <c r="R11" s="239">
        <f t="shared" si="36"/>
        <v>93.75</v>
      </c>
      <c r="S11" s="238">
        <f t="shared" si="37"/>
        <v>187.5</v>
      </c>
      <c r="T11" s="266">
        <f>IFERROR(VLOOKUP(C11,PIVOT!A:D,4,0),0)</f>
        <v>0</v>
      </c>
      <c r="U11" s="239">
        <f t="shared" si="38"/>
        <v>7.5</v>
      </c>
      <c r="V11" s="238">
        <f t="shared" si="39"/>
        <v>0</v>
      </c>
      <c r="W11" s="266">
        <f>IFERROR(VLOOKUP(C11,PIVOT!A:E,5,0),0)</f>
        <v>0</v>
      </c>
      <c r="X11" s="238">
        <f t="shared" si="40"/>
        <v>9.375</v>
      </c>
      <c r="Y11" s="238">
        <f t="shared" si="41"/>
        <v>0</v>
      </c>
      <c r="Z11" s="266">
        <f>IFERROR(VLOOKUP(C11,#REF!,6,0),0)</f>
        <v>0</v>
      </c>
      <c r="AA11" s="239">
        <f t="shared" si="42"/>
        <v>97.5</v>
      </c>
      <c r="AB11" s="238">
        <f t="shared" si="43"/>
        <v>0</v>
      </c>
      <c r="AC11" s="266"/>
      <c r="AD11" s="215">
        <f t="shared" si="44"/>
        <v>126.75</v>
      </c>
      <c r="AE11" s="214">
        <f t="shared" si="45"/>
        <v>0</v>
      </c>
      <c r="AF11" s="266">
        <f>IFERROR(VLOOKUP(C11,#REF!,8,0),0)</f>
        <v>0</v>
      </c>
      <c r="AG11" s="239">
        <f t="shared" si="46"/>
        <v>9.75</v>
      </c>
      <c r="AH11" s="238">
        <f t="shared" si="47"/>
        <v>0</v>
      </c>
      <c r="AI11" s="213"/>
      <c r="AJ11" s="213">
        <f t="shared" si="48"/>
        <v>112.5</v>
      </c>
      <c r="AK11" s="216">
        <f t="shared" si="49"/>
        <v>0</v>
      </c>
      <c r="AL11" s="213"/>
      <c r="AM11" s="213">
        <f t="shared" si="50"/>
        <v>146.25</v>
      </c>
      <c r="AN11" s="216">
        <v>0</v>
      </c>
      <c r="AO11" s="213"/>
      <c r="AP11" s="213">
        <f t="shared" si="51"/>
        <v>11.25</v>
      </c>
      <c r="AQ11" s="216">
        <f t="shared" si="52"/>
        <v>0</v>
      </c>
      <c r="AR11" s="266">
        <f>IFERROR(VLOOKUP(C11,#REF!,7,0),0)</f>
        <v>0</v>
      </c>
      <c r="AS11" s="278">
        <f t="shared" si="16"/>
        <v>97.5</v>
      </c>
      <c r="AT11" s="277">
        <f t="shared" si="17"/>
        <v>0</v>
      </c>
      <c r="AU11" s="266"/>
      <c r="AV11" s="213"/>
      <c r="AW11" s="216"/>
      <c r="AX11" s="213">
        <f>IFERROR(VLOOKUP(C11,#REF!,8,0),0)</f>
        <v>0</v>
      </c>
      <c r="AY11" s="278">
        <f t="shared" si="18"/>
        <v>9.75</v>
      </c>
      <c r="AZ11" s="277">
        <f t="shared" si="19"/>
        <v>0</v>
      </c>
      <c r="BA11" s="266">
        <f>IFERROR(VLOOKUP(C11,#REF!,10,0),0)</f>
        <v>0</v>
      </c>
      <c r="BB11" s="268">
        <f t="shared" si="53"/>
        <v>150</v>
      </c>
      <c r="BC11" s="247">
        <f t="shared" si="54"/>
        <v>0</v>
      </c>
      <c r="BD11" s="216"/>
      <c r="BE11" s="213"/>
      <c r="BF11" s="213"/>
      <c r="BG11" s="216"/>
      <c r="BH11" s="213"/>
      <c r="BI11" s="213"/>
      <c r="BJ11" s="216">
        <f>IFERROR(VLOOKUP(C11,#REF!,9,0),0)</f>
        <v>0</v>
      </c>
      <c r="BK11" s="276">
        <f t="shared" si="55"/>
        <v>75</v>
      </c>
      <c r="BL11" s="213">
        <f t="shared" si="56"/>
        <v>0</v>
      </c>
      <c r="BM11" s="216"/>
      <c r="BN11" s="213"/>
      <c r="BO11" s="213"/>
      <c r="BP11" s="213"/>
      <c r="BQ11" s="213"/>
      <c r="BR11" s="213"/>
      <c r="BS11" s="213"/>
      <c r="BT11" s="213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13"/>
      <c r="CF11" s="215"/>
      <c r="CG11" s="215">
        <f t="shared" si="57"/>
        <v>6187.5</v>
      </c>
      <c r="CH11" s="256">
        <f>VLOOKUP(CX11,SSS_2025!A:N,8)</f>
        <v>1350</v>
      </c>
      <c r="CI11" s="217">
        <f>VLOOKUP(CX11,SSS_2025!A:N,13)</f>
        <v>675</v>
      </c>
      <c r="CJ11" s="217">
        <f>VLOOKUP(CX11,SSS_2025!A:N,9)</f>
        <v>10</v>
      </c>
      <c r="CK11" s="215">
        <v>391.25</v>
      </c>
      <c r="CL11" s="215">
        <v>391.25</v>
      </c>
      <c r="CM11" s="215">
        <v>200</v>
      </c>
      <c r="CN11" s="215">
        <v>200</v>
      </c>
      <c r="CO11" s="214">
        <f t="shared" si="58"/>
        <v>8138.75</v>
      </c>
      <c r="CP11" s="214">
        <f t="shared" si="59"/>
        <v>600</v>
      </c>
      <c r="CQ11" s="214">
        <f t="shared" si="60"/>
        <v>8738.75</v>
      </c>
      <c r="CR11" s="215"/>
      <c r="CS11" s="214">
        <f t="shared" si="61"/>
        <v>8738.75</v>
      </c>
      <c r="CT11" s="273">
        <f t="shared" si="62"/>
        <v>500</v>
      </c>
      <c r="CU11" s="244"/>
      <c r="CV11" s="269">
        <f>IFERROR(VLOOKUP(C11,'[2]BILLING COMPUTATION'!$C$8:$CI$224,85,0),0)</f>
        <v>7140</v>
      </c>
      <c r="CW11" s="243">
        <f t="shared" si="27"/>
        <v>6187.5</v>
      </c>
      <c r="CX11" s="245">
        <f t="shared" si="63"/>
        <v>13327.5</v>
      </c>
      <c r="CZ11" s="721">
        <f>IFERROR(VLOOKUP(C11,'[5]BILLING COMPUTATION'!$C$8:$CG$101,83,0),0)</f>
        <v>6330</v>
      </c>
      <c r="DA11" s="721">
        <f t="shared" si="29"/>
        <v>6187.5</v>
      </c>
      <c r="DB11" s="721">
        <f t="shared" si="30"/>
        <v>12517.5</v>
      </c>
      <c r="DC11" s="721">
        <f t="shared" si="31"/>
        <v>-810</v>
      </c>
    </row>
    <row r="12" spans="1:208" s="2" customFormat="1" ht="16.899999999999999" customHeight="1">
      <c r="A12" s="235">
        <v>5</v>
      </c>
      <c r="B12" s="265"/>
      <c r="C12" s="266">
        <v>12816</v>
      </c>
      <c r="D12" s="266" t="str">
        <f>VLOOKUP(E12,'F3 MS (2)'!E:F,2,0)</f>
        <v>GD250285</v>
      </c>
      <c r="E12" s="267" t="s">
        <v>307</v>
      </c>
      <c r="F12" s="266" t="str">
        <f>VLOOKUP(C12,'[1]ACTIVE GH'!$C:$I,7,0)</f>
        <v>METAL STAMPING</v>
      </c>
      <c r="G12" s="266" t="str">
        <f>VLOOKUP(C12,'[1]ACTIVE GH'!$C:$J,8,0)</f>
        <v>PRODUCTION</v>
      </c>
      <c r="H12" s="266" t="str">
        <f>VLOOKUP(C12,'[1]ACTIVE GH'!$C:$N,12,0)</f>
        <v>Operator 1</v>
      </c>
      <c r="I12" s="266" t="s">
        <v>180</v>
      </c>
      <c r="J12" s="266">
        <f>IFERROR(VLOOKUP(C12,PIVOT!A:B,2,0),0)</f>
        <v>96</v>
      </c>
      <c r="K12" s="237">
        <f t="shared" si="32"/>
        <v>12</v>
      </c>
      <c r="L12" s="237">
        <v>600</v>
      </c>
      <c r="M12" s="238">
        <f t="shared" si="33"/>
        <v>7200</v>
      </c>
      <c r="N12" s="266">
        <f>IFERROR(VLOOKUP(C12,PIVOT!A:F,6,0),0)</f>
        <v>0</v>
      </c>
      <c r="O12" s="239">
        <f t="shared" si="34"/>
        <v>1.25</v>
      </c>
      <c r="P12" s="238">
        <f t="shared" si="35"/>
        <v>0</v>
      </c>
      <c r="Q12" s="266">
        <f>IFERROR(VLOOKUP(C12,PIVOT!A:C,3,0),0)</f>
        <v>20</v>
      </c>
      <c r="R12" s="239">
        <f t="shared" si="36"/>
        <v>93.75</v>
      </c>
      <c r="S12" s="238">
        <f t="shared" si="37"/>
        <v>1875</v>
      </c>
      <c r="T12" s="266">
        <f>IFERROR(VLOOKUP(C12,PIVOT!A:D,4,0),0)</f>
        <v>0</v>
      </c>
      <c r="U12" s="239">
        <f t="shared" si="38"/>
        <v>7.5</v>
      </c>
      <c r="V12" s="238">
        <f t="shared" si="39"/>
        <v>0</v>
      </c>
      <c r="W12" s="266">
        <f>IFERROR(VLOOKUP(C12,PIVOT!A:E,5,0),0)</f>
        <v>0</v>
      </c>
      <c r="X12" s="238">
        <f t="shared" si="40"/>
        <v>9.375</v>
      </c>
      <c r="Y12" s="238">
        <f t="shared" si="41"/>
        <v>0</v>
      </c>
      <c r="Z12" s="266">
        <f>IFERROR(VLOOKUP(C12,#REF!,6,0),0)</f>
        <v>0</v>
      </c>
      <c r="AA12" s="239">
        <f t="shared" si="42"/>
        <v>97.5</v>
      </c>
      <c r="AB12" s="238">
        <f t="shared" si="43"/>
        <v>0</v>
      </c>
      <c r="AC12" s="266"/>
      <c r="AD12" s="215">
        <f t="shared" si="44"/>
        <v>126.75</v>
      </c>
      <c r="AE12" s="214">
        <f t="shared" si="45"/>
        <v>0</v>
      </c>
      <c r="AF12" s="266">
        <f>IFERROR(VLOOKUP(C12,#REF!,8,0),0)</f>
        <v>0</v>
      </c>
      <c r="AG12" s="239">
        <f t="shared" si="46"/>
        <v>9.75</v>
      </c>
      <c r="AH12" s="238">
        <f t="shared" si="47"/>
        <v>0</v>
      </c>
      <c r="AI12" s="213"/>
      <c r="AJ12" s="213">
        <f t="shared" si="48"/>
        <v>112.5</v>
      </c>
      <c r="AK12" s="216">
        <f t="shared" si="49"/>
        <v>0</v>
      </c>
      <c r="AL12" s="213"/>
      <c r="AM12" s="213">
        <f t="shared" si="50"/>
        <v>146.25</v>
      </c>
      <c r="AN12" s="216">
        <v>0</v>
      </c>
      <c r="AO12" s="213"/>
      <c r="AP12" s="213">
        <f t="shared" si="51"/>
        <v>11.25</v>
      </c>
      <c r="AQ12" s="216">
        <f t="shared" si="52"/>
        <v>0</v>
      </c>
      <c r="AR12" s="266">
        <f>IFERROR(VLOOKUP(C12,#REF!,7,0),0)</f>
        <v>0</v>
      </c>
      <c r="AS12" s="278">
        <f t="shared" si="16"/>
        <v>97.5</v>
      </c>
      <c r="AT12" s="277">
        <f t="shared" si="17"/>
        <v>0</v>
      </c>
      <c r="AU12" s="266"/>
      <c r="AV12" s="213"/>
      <c r="AW12" s="216"/>
      <c r="AX12" s="213">
        <f>IFERROR(VLOOKUP(C12,#REF!,8,0),0)</f>
        <v>0</v>
      </c>
      <c r="AY12" s="278">
        <f t="shared" si="18"/>
        <v>9.75</v>
      </c>
      <c r="AZ12" s="277">
        <f t="shared" si="19"/>
        <v>0</v>
      </c>
      <c r="BA12" s="266">
        <f>IFERROR(VLOOKUP(C12,#REF!,10,0),0)</f>
        <v>0</v>
      </c>
      <c r="BB12" s="268">
        <f t="shared" si="53"/>
        <v>150</v>
      </c>
      <c r="BC12" s="247">
        <f t="shared" si="54"/>
        <v>0</v>
      </c>
      <c r="BD12" s="216"/>
      <c r="BE12" s="213"/>
      <c r="BF12" s="213"/>
      <c r="BG12" s="216"/>
      <c r="BH12" s="213"/>
      <c r="BI12" s="213"/>
      <c r="BJ12" s="216">
        <f>IFERROR(VLOOKUP(C12,#REF!,9,0),0)</f>
        <v>0</v>
      </c>
      <c r="BK12" s="276">
        <f t="shared" si="55"/>
        <v>75</v>
      </c>
      <c r="BL12" s="213">
        <f t="shared" si="56"/>
        <v>0</v>
      </c>
      <c r="BM12" s="216"/>
      <c r="BN12" s="213"/>
      <c r="BO12" s="213"/>
      <c r="BP12" s="213"/>
      <c r="BQ12" s="213"/>
      <c r="BR12" s="213"/>
      <c r="BS12" s="213"/>
      <c r="BT12" s="213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3"/>
      <c r="CF12" s="215"/>
      <c r="CG12" s="215">
        <f t="shared" si="57"/>
        <v>9075</v>
      </c>
      <c r="CH12" s="256">
        <f>VLOOKUP(CX12,SSS_2025!A:N,8)</f>
        <v>1950</v>
      </c>
      <c r="CI12" s="217">
        <f>VLOOKUP(CX12,SSS_2025!A:N,13)</f>
        <v>975</v>
      </c>
      <c r="CJ12" s="217">
        <f>VLOOKUP(CX12,SSS_2025!A:N,9)</f>
        <v>30</v>
      </c>
      <c r="CK12" s="215">
        <v>391.25</v>
      </c>
      <c r="CL12" s="215">
        <v>391.25</v>
      </c>
      <c r="CM12" s="215">
        <v>200</v>
      </c>
      <c r="CN12" s="215">
        <v>200</v>
      </c>
      <c r="CO12" s="214">
        <f t="shared" si="58"/>
        <v>11646.25</v>
      </c>
      <c r="CP12" s="214">
        <f t="shared" si="59"/>
        <v>720</v>
      </c>
      <c r="CQ12" s="214">
        <f t="shared" si="60"/>
        <v>12366.25</v>
      </c>
      <c r="CR12" s="215"/>
      <c r="CS12" s="214">
        <f t="shared" si="61"/>
        <v>12366.25</v>
      </c>
      <c r="CT12" s="273">
        <f t="shared" si="62"/>
        <v>600</v>
      </c>
      <c r="CU12" s="244"/>
      <c r="CV12" s="269">
        <f>IFERROR(VLOOKUP(C12,'[2]BILLING COMPUTATION'!$C$8:$CI$224,85,0),0)</f>
        <v>10671.25</v>
      </c>
      <c r="CW12" s="243">
        <f t="shared" si="27"/>
        <v>9075</v>
      </c>
      <c r="CX12" s="245">
        <f t="shared" si="63"/>
        <v>19746.25</v>
      </c>
      <c r="CZ12" s="721">
        <f>IFERROR(VLOOKUP(C12,'[5]BILLING COMPUTATION'!$C$8:$CG$101,83,0),0)</f>
        <v>8985</v>
      </c>
      <c r="DA12" s="721">
        <f t="shared" si="29"/>
        <v>9075</v>
      </c>
      <c r="DB12" s="721">
        <f t="shared" si="30"/>
        <v>18060</v>
      </c>
      <c r="DC12" s="721">
        <f t="shared" si="31"/>
        <v>-1686.25</v>
      </c>
    </row>
    <row r="13" spans="1:208" s="2" customFormat="1" ht="16.899999999999999" customHeight="1">
      <c r="A13" s="235">
        <v>6</v>
      </c>
      <c r="B13" s="265"/>
      <c r="C13" s="266">
        <v>14479</v>
      </c>
      <c r="D13" s="266" t="str">
        <f>VLOOKUP(E13,'F3 MS (2)'!E:F,2,0)</f>
        <v>GD250252</v>
      </c>
      <c r="E13" s="267" t="s">
        <v>358</v>
      </c>
      <c r="F13" s="266" t="str">
        <f>VLOOKUP(C13,'[1]ACTIVE GH'!$C:$I,7,0)</f>
        <v>METAL STAMPING</v>
      </c>
      <c r="G13" s="266" t="str">
        <f>VLOOKUP(C13,'[1]ACTIVE GH'!$C:$J,8,0)</f>
        <v>PRODUCTION</v>
      </c>
      <c r="H13" s="266" t="str">
        <f>VLOOKUP(C13,'[1]ACTIVE GH'!$C:$N,12,0)</f>
        <v>Operator 1</v>
      </c>
      <c r="I13" s="266" t="s">
        <v>180</v>
      </c>
      <c r="J13" s="266">
        <f>IFERROR(VLOOKUP(C13,PIVOT!A:B,2,0),0)</f>
        <v>96</v>
      </c>
      <c r="K13" s="237">
        <f t="shared" si="32"/>
        <v>12</v>
      </c>
      <c r="L13" s="237">
        <v>600</v>
      </c>
      <c r="M13" s="238">
        <f t="shared" si="33"/>
        <v>7200</v>
      </c>
      <c r="N13" s="266">
        <f>IFERROR(VLOOKUP(C13,PIVOT!A:F,6,0),0)</f>
        <v>0</v>
      </c>
      <c r="O13" s="239">
        <f t="shared" si="34"/>
        <v>1.25</v>
      </c>
      <c r="P13" s="238">
        <f t="shared" si="35"/>
        <v>0</v>
      </c>
      <c r="Q13" s="266">
        <f>IFERROR(VLOOKUP(C13,PIVOT!A:C,3,0),0)</f>
        <v>10</v>
      </c>
      <c r="R13" s="239">
        <f t="shared" si="36"/>
        <v>93.75</v>
      </c>
      <c r="S13" s="238">
        <f t="shared" si="37"/>
        <v>937.5</v>
      </c>
      <c r="T13" s="266">
        <f>IFERROR(VLOOKUP(C13,PIVOT!A:D,4,0),0)</f>
        <v>6</v>
      </c>
      <c r="U13" s="239">
        <f t="shared" si="38"/>
        <v>7.5</v>
      </c>
      <c r="V13" s="238">
        <f t="shared" si="39"/>
        <v>45</v>
      </c>
      <c r="W13" s="266">
        <f>IFERROR(VLOOKUP(C13,PIVOT!A:E,5,0),0)</f>
        <v>0</v>
      </c>
      <c r="X13" s="238">
        <f t="shared" si="40"/>
        <v>9.375</v>
      </c>
      <c r="Y13" s="238">
        <f t="shared" si="41"/>
        <v>0</v>
      </c>
      <c r="Z13" s="266">
        <f>IFERROR(VLOOKUP(C13,#REF!,6,0),0)</f>
        <v>0</v>
      </c>
      <c r="AA13" s="239">
        <f t="shared" si="42"/>
        <v>97.5</v>
      </c>
      <c r="AB13" s="238">
        <f t="shared" si="43"/>
        <v>0</v>
      </c>
      <c r="AC13" s="266"/>
      <c r="AD13" s="215">
        <f t="shared" si="44"/>
        <v>126.75</v>
      </c>
      <c r="AE13" s="214">
        <f t="shared" si="45"/>
        <v>0</v>
      </c>
      <c r="AF13" s="266">
        <f>IFERROR(VLOOKUP(C13,#REF!,8,0),0)</f>
        <v>0</v>
      </c>
      <c r="AG13" s="239">
        <f t="shared" si="46"/>
        <v>9.75</v>
      </c>
      <c r="AH13" s="238">
        <f t="shared" si="47"/>
        <v>0</v>
      </c>
      <c r="AI13" s="213"/>
      <c r="AJ13" s="213">
        <f t="shared" si="48"/>
        <v>112.5</v>
      </c>
      <c r="AK13" s="216">
        <f t="shared" si="49"/>
        <v>0</v>
      </c>
      <c r="AL13" s="213"/>
      <c r="AM13" s="213">
        <f t="shared" si="50"/>
        <v>146.25</v>
      </c>
      <c r="AN13" s="216">
        <v>0</v>
      </c>
      <c r="AO13" s="213"/>
      <c r="AP13" s="213">
        <f t="shared" si="51"/>
        <v>11.25</v>
      </c>
      <c r="AQ13" s="216">
        <f t="shared" si="52"/>
        <v>0</v>
      </c>
      <c r="AR13" s="266">
        <f>IFERROR(VLOOKUP(C13,#REF!,7,0),0)</f>
        <v>0</v>
      </c>
      <c r="AS13" s="278">
        <f t="shared" si="16"/>
        <v>97.5</v>
      </c>
      <c r="AT13" s="277">
        <f t="shared" si="17"/>
        <v>0</v>
      </c>
      <c r="AU13" s="266"/>
      <c r="AV13" s="213"/>
      <c r="AW13" s="216"/>
      <c r="AX13" s="213">
        <f>IFERROR(VLOOKUP(C13,#REF!,8,0),0)</f>
        <v>0</v>
      </c>
      <c r="AY13" s="278">
        <f t="shared" si="18"/>
        <v>9.75</v>
      </c>
      <c r="AZ13" s="277">
        <f t="shared" si="19"/>
        <v>0</v>
      </c>
      <c r="BA13" s="266">
        <f>IFERROR(VLOOKUP(C13,#REF!,10,0),0)</f>
        <v>0</v>
      </c>
      <c r="BB13" s="268">
        <f t="shared" si="53"/>
        <v>150</v>
      </c>
      <c r="BC13" s="247">
        <f t="shared" si="54"/>
        <v>0</v>
      </c>
      <c r="BD13" s="216"/>
      <c r="BE13" s="213"/>
      <c r="BF13" s="213"/>
      <c r="BG13" s="216"/>
      <c r="BH13" s="213"/>
      <c r="BI13" s="213"/>
      <c r="BJ13" s="216">
        <f>IFERROR(VLOOKUP(C13,#REF!,9,0),0)</f>
        <v>0</v>
      </c>
      <c r="BK13" s="276">
        <f t="shared" si="55"/>
        <v>75</v>
      </c>
      <c r="BL13" s="213">
        <f t="shared" si="56"/>
        <v>0</v>
      </c>
      <c r="BM13" s="216"/>
      <c r="BN13" s="213"/>
      <c r="BO13" s="213"/>
      <c r="BP13" s="213"/>
      <c r="BQ13" s="213"/>
      <c r="BR13" s="213"/>
      <c r="BS13" s="213"/>
      <c r="BT13" s="213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3"/>
      <c r="CF13" s="215"/>
      <c r="CG13" s="215">
        <f t="shared" si="57"/>
        <v>8182.5</v>
      </c>
      <c r="CH13" s="256">
        <f>VLOOKUP(CX13,SSS_2025!A:N,8)</f>
        <v>1950</v>
      </c>
      <c r="CI13" s="217">
        <f>VLOOKUP(CX13,SSS_2025!A:N,13)</f>
        <v>975</v>
      </c>
      <c r="CJ13" s="217">
        <f>VLOOKUP(CX13,SSS_2025!A:N,9)</f>
        <v>30</v>
      </c>
      <c r="CK13" s="215">
        <v>391.25</v>
      </c>
      <c r="CL13" s="215">
        <v>391.25</v>
      </c>
      <c r="CM13" s="215">
        <v>200</v>
      </c>
      <c r="CN13" s="215">
        <v>200</v>
      </c>
      <c r="CO13" s="214">
        <f t="shared" si="58"/>
        <v>10753.75</v>
      </c>
      <c r="CP13" s="214">
        <f t="shared" si="59"/>
        <v>720</v>
      </c>
      <c r="CQ13" s="214">
        <f t="shared" si="60"/>
        <v>11473.75</v>
      </c>
      <c r="CR13" s="215"/>
      <c r="CS13" s="214">
        <f t="shared" si="61"/>
        <v>11473.75</v>
      </c>
      <c r="CT13" s="273">
        <f t="shared" si="62"/>
        <v>600</v>
      </c>
      <c r="CU13" s="244"/>
      <c r="CV13" s="269">
        <f>IFERROR(VLOOKUP(C13,'[2]BILLING COMPUTATION'!$C$8:$CI$224,85,0),0)</f>
        <v>11403.75</v>
      </c>
      <c r="CW13" s="243">
        <f t="shared" si="27"/>
        <v>8182.5</v>
      </c>
      <c r="CX13" s="245">
        <f t="shared" si="63"/>
        <v>19586.25</v>
      </c>
      <c r="CZ13" s="721">
        <f>IFERROR(VLOOKUP(C13,'[5]BILLING COMPUTATION'!$C$8:$CG$101,83,0),0)</f>
        <v>9075</v>
      </c>
      <c r="DA13" s="721">
        <f t="shared" si="29"/>
        <v>8182.5</v>
      </c>
      <c r="DB13" s="721">
        <f t="shared" si="30"/>
        <v>17257.5</v>
      </c>
      <c r="DC13" s="721">
        <f t="shared" si="31"/>
        <v>-2328.75</v>
      </c>
    </row>
    <row r="14" spans="1:208" s="2" customFormat="1" ht="16.899999999999999" customHeight="1">
      <c r="A14" s="235">
        <v>7</v>
      </c>
      <c r="B14" s="265"/>
      <c r="C14" s="266">
        <v>12830</v>
      </c>
      <c r="D14" s="266" t="str">
        <f>VLOOKUP(E14,'F3 MS (2)'!E:F,2,0)</f>
        <v>GD250292</v>
      </c>
      <c r="E14" s="267" t="s">
        <v>234</v>
      </c>
      <c r="F14" s="266" t="str">
        <f>VLOOKUP(C14,'[1]ACTIVE GH'!$C:$I,7,0)</f>
        <v>METAL STAMPING</v>
      </c>
      <c r="G14" s="266" t="str">
        <f>VLOOKUP(C14,'[1]ACTIVE GH'!$C:$J,8,0)</f>
        <v>PRODUCTION</v>
      </c>
      <c r="H14" s="266" t="str">
        <f>VLOOKUP(C14,'[1]ACTIVE GH'!$C:$N,12,0)</f>
        <v>Operator 1</v>
      </c>
      <c r="I14" s="266" t="s">
        <v>180</v>
      </c>
      <c r="J14" s="266">
        <f>IFERROR(VLOOKUP(C14,PIVOT!A:B,2,0),0)</f>
        <v>92</v>
      </c>
      <c r="K14" s="237">
        <f t="shared" si="32"/>
        <v>11.5</v>
      </c>
      <c r="L14" s="237">
        <v>600</v>
      </c>
      <c r="M14" s="238">
        <f t="shared" si="33"/>
        <v>6900</v>
      </c>
      <c r="N14" s="266">
        <f>IFERROR(VLOOKUP(C14,PIVOT!A:F,6,0),0)</f>
        <v>0</v>
      </c>
      <c r="O14" s="239">
        <f t="shared" si="34"/>
        <v>1.25</v>
      </c>
      <c r="P14" s="238">
        <f t="shared" si="35"/>
        <v>0</v>
      </c>
      <c r="Q14" s="266">
        <f>IFERROR(VLOOKUP(C14,PIVOT!A:C,3,0),0)</f>
        <v>16</v>
      </c>
      <c r="R14" s="239">
        <f t="shared" si="36"/>
        <v>93.75</v>
      </c>
      <c r="S14" s="238">
        <f t="shared" si="37"/>
        <v>1500</v>
      </c>
      <c r="T14" s="266">
        <f>IFERROR(VLOOKUP(C14,PIVOT!A:D,4,0),0)</f>
        <v>66</v>
      </c>
      <c r="U14" s="239">
        <f t="shared" si="38"/>
        <v>7.5</v>
      </c>
      <c r="V14" s="238">
        <f t="shared" si="39"/>
        <v>495</v>
      </c>
      <c r="W14" s="266">
        <f>IFERROR(VLOOKUP(C14,PIVOT!A:E,5,0),0)</f>
        <v>16</v>
      </c>
      <c r="X14" s="238">
        <f t="shared" si="40"/>
        <v>9.375</v>
      </c>
      <c r="Y14" s="238">
        <f t="shared" si="41"/>
        <v>150</v>
      </c>
      <c r="Z14" s="266">
        <f>IFERROR(VLOOKUP(C14,#REF!,6,0),0)</f>
        <v>0</v>
      </c>
      <c r="AA14" s="239">
        <f t="shared" si="42"/>
        <v>97.5</v>
      </c>
      <c r="AB14" s="238">
        <f t="shared" si="43"/>
        <v>0</v>
      </c>
      <c r="AC14" s="266"/>
      <c r="AD14" s="215">
        <f t="shared" si="44"/>
        <v>126.75</v>
      </c>
      <c r="AE14" s="214">
        <f t="shared" si="45"/>
        <v>0</v>
      </c>
      <c r="AF14" s="266">
        <f>IFERROR(VLOOKUP(C14,#REF!,8,0),0)</f>
        <v>0</v>
      </c>
      <c r="AG14" s="239">
        <f t="shared" si="46"/>
        <v>9.75</v>
      </c>
      <c r="AH14" s="238">
        <f t="shared" si="47"/>
        <v>0</v>
      </c>
      <c r="AI14" s="213"/>
      <c r="AJ14" s="213">
        <f t="shared" si="48"/>
        <v>112.5</v>
      </c>
      <c r="AK14" s="216">
        <f t="shared" si="49"/>
        <v>0</v>
      </c>
      <c r="AL14" s="213"/>
      <c r="AM14" s="213">
        <f t="shared" si="50"/>
        <v>146.25</v>
      </c>
      <c r="AN14" s="216">
        <v>0</v>
      </c>
      <c r="AO14" s="213"/>
      <c r="AP14" s="213">
        <f t="shared" si="51"/>
        <v>11.25</v>
      </c>
      <c r="AQ14" s="216">
        <f t="shared" si="52"/>
        <v>0</v>
      </c>
      <c r="AR14" s="266">
        <f>IFERROR(VLOOKUP(C14,#REF!,7,0),0)</f>
        <v>0</v>
      </c>
      <c r="AS14" s="278">
        <f t="shared" si="16"/>
        <v>97.5</v>
      </c>
      <c r="AT14" s="277">
        <f t="shared" si="17"/>
        <v>0</v>
      </c>
      <c r="AU14" s="266"/>
      <c r="AV14" s="213"/>
      <c r="AW14" s="216"/>
      <c r="AX14" s="213">
        <f>IFERROR(VLOOKUP(C14,#REF!,8,0),0)</f>
        <v>0</v>
      </c>
      <c r="AY14" s="278">
        <f t="shared" si="18"/>
        <v>9.75</v>
      </c>
      <c r="AZ14" s="277">
        <f t="shared" si="19"/>
        <v>0</v>
      </c>
      <c r="BA14" s="266">
        <f>IFERROR(VLOOKUP(C14,#REF!,10,0),0)</f>
        <v>0</v>
      </c>
      <c r="BB14" s="268">
        <f t="shared" si="53"/>
        <v>150</v>
      </c>
      <c r="BC14" s="247">
        <f t="shared" si="54"/>
        <v>0</v>
      </c>
      <c r="BD14" s="216"/>
      <c r="BE14" s="213"/>
      <c r="BF14" s="213"/>
      <c r="BG14" s="216"/>
      <c r="BH14" s="213"/>
      <c r="BI14" s="213"/>
      <c r="BJ14" s="216">
        <f>IFERROR(VLOOKUP(C14,#REF!,9,0),0)</f>
        <v>0</v>
      </c>
      <c r="BK14" s="276">
        <f t="shared" si="55"/>
        <v>75</v>
      </c>
      <c r="BL14" s="213">
        <f t="shared" si="56"/>
        <v>0</v>
      </c>
      <c r="BM14" s="216"/>
      <c r="BN14" s="213"/>
      <c r="BO14" s="213"/>
      <c r="BP14" s="213"/>
      <c r="BQ14" s="213"/>
      <c r="BR14" s="213"/>
      <c r="BS14" s="213"/>
      <c r="BT14" s="213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3"/>
      <c r="CF14" s="215"/>
      <c r="CG14" s="215">
        <f t="shared" si="57"/>
        <v>9045</v>
      </c>
      <c r="CH14" s="256">
        <f>VLOOKUP(CX14,SSS_2025!A:N,8)</f>
        <v>1950</v>
      </c>
      <c r="CI14" s="217">
        <f>VLOOKUP(CX14,SSS_2025!A:N,13)</f>
        <v>975</v>
      </c>
      <c r="CJ14" s="217">
        <f>VLOOKUP(CX14,SSS_2025!A:N,9)</f>
        <v>30</v>
      </c>
      <c r="CK14" s="215">
        <v>391.25</v>
      </c>
      <c r="CL14" s="215">
        <v>391.25</v>
      </c>
      <c r="CM14" s="215">
        <v>200</v>
      </c>
      <c r="CN14" s="215">
        <v>200</v>
      </c>
      <c r="CO14" s="214">
        <f t="shared" si="58"/>
        <v>11616.25</v>
      </c>
      <c r="CP14" s="214">
        <f t="shared" si="59"/>
        <v>690</v>
      </c>
      <c r="CQ14" s="214">
        <f t="shared" si="60"/>
        <v>12306.25</v>
      </c>
      <c r="CR14" s="215"/>
      <c r="CS14" s="214">
        <f t="shared" si="61"/>
        <v>12306.25</v>
      </c>
      <c r="CT14" s="273">
        <f t="shared" si="62"/>
        <v>575</v>
      </c>
      <c r="CU14" s="244"/>
      <c r="CV14" s="269">
        <f>IFERROR(VLOOKUP(C14,'[2]BILLING COMPUTATION'!$C$8:$CI$224,85,0),0)</f>
        <v>10492.5</v>
      </c>
      <c r="CW14" s="243">
        <f t="shared" si="27"/>
        <v>9045</v>
      </c>
      <c r="CX14" s="245">
        <f t="shared" si="63"/>
        <v>19537.5</v>
      </c>
      <c r="CZ14" s="721">
        <f>IFERROR(VLOOKUP(C14,'[5]BILLING COMPUTATION'!$C$8:$CG$101,83,0),0)</f>
        <v>10001.25</v>
      </c>
      <c r="DA14" s="721">
        <f t="shared" si="29"/>
        <v>9045</v>
      </c>
      <c r="DB14" s="721">
        <f t="shared" si="30"/>
        <v>19046.25</v>
      </c>
      <c r="DC14" s="721">
        <f t="shared" si="31"/>
        <v>-491.25</v>
      </c>
    </row>
    <row r="15" spans="1:208" s="2" customFormat="1" ht="16.899999999999999" customHeight="1">
      <c r="A15" s="235">
        <v>8</v>
      </c>
      <c r="B15" s="265"/>
      <c r="C15" s="266">
        <v>5076</v>
      </c>
      <c r="D15" s="266" t="str">
        <f>VLOOKUP(E15,'F3 MS (2)'!E:F,2,0)</f>
        <v>GD250017</v>
      </c>
      <c r="E15" s="267" t="s">
        <v>251</v>
      </c>
      <c r="F15" s="266" t="str">
        <f>VLOOKUP(C15,'[1]ACTIVE GH'!$C:$I,7,0)</f>
        <v>METAL STAMPING</v>
      </c>
      <c r="G15" s="266" t="str">
        <f>VLOOKUP(C15,'[1]ACTIVE GH'!$C:$J,8,0)</f>
        <v>PRODUCTION</v>
      </c>
      <c r="H15" s="266" t="str">
        <f>VLOOKUP(C15,'[1]ACTIVE GH'!$C:$N,12,0)</f>
        <v>Operator 1</v>
      </c>
      <c r="I15" s="266" t="s">
        <v>180</v>
      </c>
      <c r="J15" s="266">
        <f>IFERROR(VLOOKUP(C15,PIVOT!A:B,2,0),0)</f>
        <v>88</v>
      </c>
      <c r="K15" s="237">
        <f t="shared" si="32"/>
        <v>11</v>
      </c>
      <c r="L15" s="237">
        <v>600</v>
      </c>
      <c r="M15" s="238">
        <f t="shared" si="33"/>
        <v>6600</v>
      </c>
      <c r="N15" s="266">
        <f>IFERROR(VLOOKUP(C15,PIVOT!A:F,6,0),0)</f>
        <v>0</v>
      </c>
      <c r="O15" s="239">
        <f t="shared" si="34"/>
        <v>1.25</v>
      </c>
      <c r="P15" s="238">
        <f t="shared" si="35"/>
        <v>0</v>
      </c>
      <c r="Q15" s="266">
        <f>IFERROR(VLOOKUP(C15,PIVOT!A:C,3,0),0)</f>
        <v>0</v>
      </c>
      <c r="R15" s="239">
        <f t="shared" si="36"/>
        <v>93.75</v>
      </c>
      <c r="S15" s="238">
        <f t="shared" si="37"/>
        <v>0</v>
      </c>
      <c r="T15" s="266">
        <f>IFERROR(VLOOKUP(C15,PIVOT!A:D,4,0),0)</f>
        <v>0</v>
      </c>
      <c r="U15" s="239">
        <f t="shared" si="38"/>
        <v>7.5</v>
      </c>
      <c r="V15" s="238">
        <f t="shared" si="39"/>
        <v>0</v>
      </c>
      <c r="W15" s="266">
        <f>IFERROR(VLOOKUP(C15,PIVOT!A:E,5,0),0)</f>
        <v>0</v>
      </c>
      <c r="X15" s="238">
        <f t="shared" si="40"/>
        <v>9.375</v>
      </c>
      <c r="Y15" s="238">
        <f t="shared" si="41"/>
        <v>0</v>
      </c>
      <c r="Z15" s="266">
        <f>IFERROR(VLOOKUP(C15,#REF!,6,0),0)</f>
        <v>0</v>
      </c>
      <c r="AA15" s="239">
        <f t="shared" si="42"/>
        <v>97.5</v>
      </c>
      <c r="AB15" s="238">
        <f t="shared" si="43"/>
        <v>0</v>
      </c>
      <c r="AC15" s="266"/>
      <c r="AD15" s="215">
        <f t="shared" si="44"/>
        <v>126.75</v>
      </c>
      <c r="AE15" s="214">
        <f t="shared" si="45"/>
        <v>0</v>
      </c>
      <c r="AF15" s="266">
        <f>IFERROR(VLOOKUP(C15,#REF!,8,0),0)</f>
        <v>0</v>
      </c>
      <c r="AG15" s="239">
        <f t="shared" si="46"/>
        <v>9.75</v>
      </c>
      <c r="AH15" s="238">
        <f t="shared" si="47"/>
        <v>0</v>
      </c>
      <c r="AI15" s="213"/>
      <c r="AJ15" s="213">
        <f t="shared" si="48"/>
        <v>112.5</v>
      </c>
      <c r="AK15" s="216">
        <f t="shared" si="49"/>
        <v>0</v>
      </c>
      <c r="AL15" s="213"/>
      <c r="AM15" s="213">
        <f t="shared" si="50"/>
        <v>146.25</v>
      </c>
      <c r="AN15" s="216">
        <v>0</v>
      </c>
      <c r="AO15" s="213"/>
      <c r="AP15" s="213">
        <f t="shared" si="51"/>
        <v>11.25</v>
      </c>
      <c r="AQ15" s="216">
        <f t="shared" si="52"/>
        <v>0</v>
      </c>
      <c r="AR15" s="266">
        <f>IFERROR(VLOOKUP(C15,#REF!,7,0),0)</f>
        <v>0</v>
      </c>
      <c r="AS15" s="278">
        <f t="shared" si="16"/>
        <v>97.5</v>
      </c>
      <c r="AT15" s="277">
        <f t="shared" si="17"/>
        <v>0</v>
      </c>
      <c r="AU15" s="266"/>
      <c r="AV15" s="213"/>
      <c r="AW15" s="216"/>
      <c r="AX15" s="213">
        <f>IFERROR(VLOOKUP(C15,#REF!,8,0),0)</f>
        <v>0</v>
      </c>
      <c r="AY15" s="278">
        <f t="shared" si="18"/>
        <v>9.75</v>
      </c>
      <c r="AZ15" s="277">
        <f t="shared" si="19"/>
        <v>0</v>
      </c>
      <c r="BA15" s="266">
        <f>IFERROR(VLOOKUP(C15,#REF!,10,0),0)</f>
        <v>0</v>
      </c>
      <c r="BB15" s="268">
        <f t="shared" si="53"/>
        <v>150</v>
      </c>
      <c r="BC15" s="247">
        <f t="shared" si="54"/>
        <v>0</v>
      </c>
      <c r="BD15" s="216"/>
      <c r="BE15" s="213"/>
      <c r="BF15" s="213"/>
      <c r="BG15" s="216"/>
      <c r="BH15" s="213"/>
      <c r="BI15" s="213"/>
      <c r="BJ15" s="216">
        <f>IFERROR(VLOOKUP(C15,#REF!,9,0),0)</f>
        <v>0</v>
      </c>
      <c r="BK15" s="276">
        <f t="shared" si="55"/>
        <v>75</v>
      </c>
      <c r="BL15" s="213">
        <f t="shared" si="56"/>
        <v>0</v>
      </c>
      <c r="BM15" s="216"/>
      <c r="BN15" s="213"/>
      <c r="BO15" s="213"/>
      <c r="BP15" s="213"/>
      <c r="BQ15" s="213"/>
      <c r="BR15" s="213"/>
      <c r="BS15" s="213"/>
      <c r="BT15" s="213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3"/>
      <c r="CF15" s="215"/>
      <c r="CG15" s="215">
        <f t="shared" si="57"/>
        <v>6600</v>
      </c>
      <c r="CH15" s="256">
        <f>VLOOKUP(CX15,SSS_2025!A:N,8)</f>
        <v>1450</v>
      </c>
      <c r="CI15" s="217">
        <f>VLOOKUP(CX15,SSS_2025!A:N,13)</f>
        <v>725</v>
      </c>
      <c r="CJ15" s="217">
        <f>VLOOKUP(CX15,SSS_2025!A:N,9)</f>
        <v>10</v>
      </c>
      <c r="CK15" s="215">
        <v>391.25</v>
      </c>
      <c r="CL15" s="215">
        <v>391.25</v>
      </c>
      <c r="CM15" s="215">
        <v>200</v>
      </c>
      <c r="CN15" s="215">
        <v>200</v>
      </c>
      <c r="CO15" s="214">
        <f t="shared" si="58"/>
        <v>8651.25</v>
      </c>
      <c r="CP15" s="214">
        <f t="shared" si="59"/>
        <v>660</v>
      </c>
      <c r="CQ15" s="214">
        <f t="shared" si="60"/>
        <v>9311.25</v>
      </c>
      <c r="CR15" s="215"/>
      <c r="CS15" s="214">
        <f t="shared" si="61"/>
        <v>9311.25</v>
      </c>
      <c r="CT15" s="273">
        <f t="shared" si="62"/>
        <v>550</v>
      </c>
      <c r="CU15" s="244"/>
      <c r="CV15" s="269">
        <f>IFERROR(VLOOKUP(C15,'[2]BILLING COMPUTATION'!$C$8:$CI$224,85,0),0)</f>
        <v>8126.25</v>
      </c>
      <c r="CW15" s="243">
        <f t="shared" si="27"/>
        <v>6600</v>
      </c>
      <c r="CX15" s="245">
        <f t="shared" si="63"/>
        <v>14726.25</v>
      </c>
      <c r="CZ15" s="721">
        <f>IFERROR(VLOOKUP(C15,'[5]BILLING COMPUTATION'!$C$8:$CG$101,83,0),0)</f>
        <v>8520</v>
      </c>
      <c r="DA15" s="721">
        <f t="shared" si="29"/>
        <v>6600</v>
      </c>
      <c r="DB15" s="721">
        <f t="shared" si="30"/>
        <v>15120</v>
      </c>
      <c r="DC15" s="721">
        <f t="shared" si="31"/>
        <v>393.75</v>
      </c>
    </row>
    <row r="16" spans="1:208" s="2" customFormat="1" ht="16.899999999999999" customHeight="1">
      <c r="A16" s="235">
        <v>10</v>
      </c>
      <c r="B16" s="265"/>
      <c r="C16" s="266">
        <v>32436</v>
      </c>
      <c r="D16" s="266" t="str">
        <f>VLOOKUP(E16,'F3 MS (2)'!E:F,2,0)</f>
        <v>GD260698</v>
      </c>
      <c r="E16" s="267" t="s">
        <v>255</v>
      </c>
      <c r="F16" s="266" t="str">
        <f>VLOOKUP(C16,'[1]ACTIVE GH'!$C:$I,7,0)</f>
        <v>METAL STAMPING</v>
      </c>
      <c r="G16" s="266" t="str">
        <f>VLOOKUP(C16,'[1]ACTIVE GH'!$C:$J,8,0)</f>
        <v>PRODUCTION</v>
      </c>
      <c r="H16" s="266" t="str">
        <f>VLOOKUP(C16,'[1]ACTIVE GH'!$C:$N,12,0)</f>
        <v>Operator 1</v>
      </c>
      <c r="I16" s="266" t="s">
        <v>180</v>
      </c>
      <c r="J16" s="266">
        <f>IFERROR(VLOOKUP(C16,PIVOT!A:B,2,0),0)</f>
        <v>80</v>
      </c>
      <c r="K16" s="237">
        <f t="shared" si="32"/>
        <v>10</v>
      </c>
      <c r="L16" s="237">
        <v>600</v>
      </c>
      <c r="M16" s="238">
        <f t="shared" si="33"/>
        <v>6000</v>
      </c>
      <c r="N16" s="266">
        <f>IFERROR(VLOOKUP(C16,PIVOT!A:F,6,0),0)</f>
        <v>0</v>
      </c>
      <c r="O16" s="239">
        <f t="shared" si="34"/>
        <v>1.25</v>
      </c>
      <c r="P16" s="238">
        <f t="shared" si="35"/>
        <v>0</v>
      </c>
      <c r="Q16" s="266">
        <f>IFERROR(VLOOKUP(C16,PIVOT!A:C,3,0),0)</f>
        <v>8</v>
      </c>
      <c r="R16" s="239">
        <f t="shared" si="36"/>
        <v>93.75</v>
      </c>
      <c r="S16" s="238">
        <f t="shared" si="37"/>
        <v>750</v>
      </c>
      <c r="T16" s="266">
        <f>IFERROR(VLOOKUP(C16,PIVOT!A:D,4,0),0)</f>
        <v>60</v>
      </c>
      <c r="U16" s="239">
        <f t="shared" si="38"/>
        <v>7.5</v>
      </c>
      <c r="V16" s="238">
        <f t="shared" si="39"/>
        <v>450</v>
      </c>
      <c r="W16" s="266">
        <f>IFERROR(VLOOKUP(C16,PIVOT!A:E,5,0),0)</f>
        <v>8</v>
      </c>
      <c r="X16" s="238">
        <f t="shared" si="40"/>
        <v>9.375</v>
      </c>
      <c r="Y16" s="238">
        <f t="shared" si="41"/>
        <v>75</v>
      </c>
      <c r="Z16" s="266">
        <f>IFERROR(VLOOKUP(C16,#REF!,6,0),0)</f>
        <v>0</v>
      </c>
      <c r="AA16" s="239">
        <f t="shared" si="42"/>
        <v>97.5</v>
      </c>
      <c r="AB16" s="238">
        <f t="shared" si="43"/>
        <v>0</v>
      </c>
      <c r="AC16" s="266"/>
      <c r="AD16" s="215">
        <f t="shared" si="44"/>
        <v>126.75</v>
      </c>
      <c r="AE16" s="214">
        <f t="shared" si="45"/>
        <v>0</v>
      </c>
      <c r="AF16" s="266">
        <f>IFERROR(VLOOKUP(C16,#REF!,8,0),0)</f>
        <v>0</v>
      </c>
      <c r="AG16" s="239">
        <f t="shared" si="46"/>
        <v>9.75</v>
      </c>
      <c r="AH16" s="238">
        <f t="shared" si="47"/>
        <v>0</v>
      </c>
      <c r="AI16" s="213"/>
      <c r="AJ16" s="213">
        <f t="shared" si="48"/>
        <v>112.5</v>
      </c>
      <c r="AK16" s="216">
        <f t="shared" si="49"/>
        <v>0</v>
      </c>
      <c r="AL16" s="213"/>
      <c r="AM16" s="213">
        <f t="shared" si="50"/>
        <v>146.25</v>
      </c>
      <c r="AN16" s="216">
        <v>0</v>
      </c>
      <c r="AO16" s="213"/>
      <c r="AP16" s="213">
        <f t="shared" si="51"/>
        <v>11.25</v>
      </c>
      <c r="AQ16" s="216">
        <f t="shared" si="52"/>
        <v>0</v>
      </c>
      <c r="AR16" s="266">
        <f>IFERROR(VLOOKUP(C16,#REF!,7,0),0)</f>
        <v>0</v>
      </c>
      <c r="AS16" s="278">
        <f t="shared" si="16"/>
        <v>97.5</v>
      </c>
      <c r="AT16" s="277">
        <f t="shared" si="17"/>
        <v>0</v>
      </c>
      <c r="AU16" s="266"/>
      <c r="AV16" s="213"/>
      <c r="AW16" s="216"/>
      <c r="AX16" s="213">
        <f>IFERROR(VLOOKUP(C16,#REF!,8,0),0)</f>
        <v>0</v>
      </c>
      <c r="AY16" s="278">
        <f t="shared" si="18"/>
        <v>9.75</v>
      </c>
      <c r="AZ16" s="277">
        <f t="shared" si="19"/>
        <v>0</v>
      </c>
      <c r="BA16" s="266">
        <f>IFERROR(VLOOKUP(C16,#REF!,10,0),0)</f>
        <v>0</v>
      </c>
      <c r="BB16" s="268">
        <f t="shared" si="53"/>
        <v>150</v>
      </c>
      <c r="BC16" s="247">
        <f t="shared" si="54"/>
        <v>0</v>
      </c>
      <c r="BD16" s="216"/>
      <c r="BE16" s="213"/>
      <c r="BF16" s="213"/>
      <c r="BG16" s="216"/>
      <c r="BH16" s="213"/>
      <c r="BI16" s="213"/>
      <c r="BJ16" s="216">
        <f>IFERROR(VLOOKUP(C16,#REF!,9,0),0)</f>
        <v>0</v>
      </c>
      <c r="BK16" s="276">
        <f t="shared" si="55"/>
        <v>75</v>
      </c>
      <c r="BL16" s="213">
        <f t="shared" si="56"/>
        <v>0</v>
      </c>
      <c r="BM16" s="216"/>
      <c r="BN16" s="213"/>
      <c r="BO16" s="213"/>
      <c r="BP16" s="213"/>
      <c r="BQ16" s="213"/>
      <c r="BR16" s="213"/>
      <c r="BS16" s="213"/>
      <c r="BT16" s="213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3"/>
      <c r="CF16" s="215"/>
      <c r="CG16" s="215">
        <f t="shared" si="57"/>
        <v>7275</v>
      </c>
      <c r="CH16" s="256">
        <f>VLOOKUP(CX16,SSS_2025!A:N,8)</f>
        <v>1800</v>
      </c>
      <c r="CI16" s="217">
        <f>VLOOKUP(CX16,SSS_2025!A:N,13)</f>
        <v>900</v>
      </c>
      <c r="CJ16" s="217">
        <f>VLOOKUP(CX16,SSS_2025!A:N,9)</f>
        <v>30</v>
      </c>
      <c r="CK16" s="215">
        <v>391.25</v>
      </c>
      <c r="CL16" s="215">
        <v>391.25</v>
      </c>
      <c r="CM16" s="215">
        <v>200</v>
      </c>
      <c r="CN16" s="215">
        <v>200</v>
      </c>
      <c r="CO16" s="214">
        <f t="shared" si="58"/>
        <v>9696.25</v>
      </c>
      <c r="CP16" s="214">
        <f t="shared" si="59"/>
        <v>600</v>
      </c>
      <c r="CQ16" s="214">
        <f t="shared" si="60"/>
        <v>10296.25</v>
      </c>
      <c r="CR16" s="215"/>
      <c r="CS16" s="214">
        <f t="shared" si="61"/>
        <v>10296.25</v>
      </c>
      <c r="CT16" s="273">
        <f t="shared" si="62"/>
        <v>500</v>
      </c>
      <c r="CU16" s="244"/>
      <c r="CV16" s="269">
        <f>IFERROR(VLOOKUP(C16,'[2]BILLING COMPUTATION'!$C$8:$CI$224,85,0),0)</f>
        <v>10492.5</v>
      </c>
      <c r="CW16" s="243">
        <f t="shared" si="27"/>
        <v>7275</v>
      </c>
      <c r="CX16" s="245">
        <f t="shared" si="63"/>
        <v>17767.5</v>
      </c>
      <c r="CZ16" s="721">
        <f>IFERROR(VLOOKUP(C16,'[5]BILLING COMPUTATION'!$C$8:$CG$101,83,0),0)</f>
        <v>7871.25</v>
      </c>
      <c r="DA16" s="721">
        <f t="shared" si="29"/>
        <v>7275</v>
      </c>
      <c r="DB16" s="721">
        <f t="shared" si="30"/>
        <v>15146.25</v>
      </c>
      <c r="DC16" s="721">
        <f t="shared" si="31"/>
        <v>-2621.25</v>
      </c>
    </row>
    <row r="17" spans="1:107" s="2" customFormat="1" ht="16.899999999999999" customHeight="1">
      <c r="A17" s="235">
        <v>11</v>
      </c>
      <c r="B17" s="265"/>
      <c r="C17" s="266">
        <v>14760</v>
      </c>
      <c r="D17" s="266" t="str">
        <f>VLOOKUP(E17,'F3 MS (2)'!E:F,2,0)</f>
        <v>GD250201</v>
      </c>
      <c r="E17" s="267" t="s">
        <v>232</v>
      </c>
      <c r="F17" s="266" t="str">
        <f>VLOOKUP(C17,'[1]ACTIVE GH'!$C:$I,7,0)</f>
        <v>METAL STAMPING</v>
      </c>
      <c r="G17" s="266" t="str">
        <f>VLOOKUP(C17,'[1]ACTIVE GH'!$C:$J,8,0)</f>
        <v>PRODUCTION</v>
      </c>
      <c r="H17" s="266" t="str">
        <f>VLOOKUP(C17,'[1]ACTIVE GH'!$C:$N,12,0)</f>
        <v>Operator 1</v>
      </c>
      <c r="I17" s="266" t="s">
        <v>180</v>
      </c>
      <c r="J17" s="266">
        <f>IFERROR(VLOOKUP(C17,PIVOT!A:B,2,0),0)</f>
        <v>88</v>
      </c>
      <c r="K17" s="237">
        <f t="shared" si="32"/>
        <v>11</v>
      </c>
      <c r="L17" s="237">
        <v>600</v>
      </c>
      <c r="M17" s="238">
        <f t="shared" si="33"/>
        <v>6600</v>
      </c>
      <c r="N17" s="266">
        <f>IFERROR(VLOOKUP(C17,PIVOT!A:F,6,0),0)</f>
        <v>0</v>
      </c>
      <c r="O17" s="239">
        <f t="shared" si="34"/>
        <v>1.25</v>
      </c>
      <c r="P17" s="238">
        <f t="shared" si="35"/>
        <v>0</v>
      </c>
      <c r="Q17" s="266">
        <f>IFERROR(VLOOKUP(C17,PIVOT!A:C,3,0),0)</f>
        <v>14</v>
      </c>
      <c r="R17" s="239">
        <f t="shared" si="36"/>
        <v>93.75</v>
      </c>
      <c r="S17" s="238">
        <f t="shared" si="37"/>
        <v>1312.5</v>
      </c>
      <c r="T17" s="266">
        <f>IFERROR(VLOOKUP(C17,PIVOT!A:D,4,0),0)</f>
        <v>66</v>
      </c>
      <c r="U17" s="239">
        <f t="shared" si="38"/>
        <v>7.5</v>
      </c>
      <c r="V17" s="238">
        <f t="shared" si="39"/>
        <v>495</v>
      </c>
      <c r="W17" s="266">
        <f>IFERROR(VLOOKUP(C17,PIVOT!A:E,5,0),0)</f>
        <v>14</v>
      </c>
      <c r="X17" s="238">
        <f t="shared" si="40"/>
        <v>9.375</v>
      </c>
      <c r="Y17" s="238">
        <f t="shared" si="41"/>
        <v>131.25</v>
      </c>
      <c r="Z17" s="266">
        <f>IFERROR(VLOOKUP(C17,#REF!,6,0),0)</f>
        <v>0</v>
      </c>
      <c r="AA17" s="239">
        <f t="shared" si="42"/>
        <v>97.5</v>
      </c>
      <c r="AB17" s="238">
        <f t="shared" si="43"/>
        <v>0</v>
      </c>
      <c r="AC17" s="266"/>
      <c r="AD17" s="215">
        <f t="shared" si="44"/>
        <v>126.75</v>
      </c>
      <c r="AE17" s="214">
        <f t="shared" si="45"/>
        <v>0</v>
      </c>
      <c r="AF17" s="266">
        <f>IFERROR(VLOOKUP(C17,#REF!,8,0),0)</f>
        <v>0</v>
      </c>
      <c r="AG17" s="239">
        <f t="shared" si="46"/>
        <v>9.75</v>
      </c>
      <c r="AH17" s="238">
        <f t="shared" si="47"/>
        <v>0</v>
      </c>
      <c r="AI17" s="213"/>
      <c r="AJ17" s="213">
        <f t="shared" si="48"/>
        <v>112.5</v>
      </c>
      <c r="AK17" s="216">
        <f t="shared" si="49"/>
        <v>0</v>
      </c>
      <c r="AL17" s="213"/>
      <c r="AM17" s="213">
        <f t="shared" si="50"/>
        <v>146.25</v>
      </c>
      <c r="AN17" s="216">
        <v>0</v>
      </c>
      <c r="AO17" s="213"/>
      <c r="AP17" s="213">
        <f t="shared" si="51"/>
        <v>11.25</v>
      </c>
      <c r="AQ17" s="216">
        <f t="shared" si="52"/>
        <v>0</v>
      </c>
      <c r="AR17" s="266">
        <f>IFERROR(VLOOKUP(C17,#REF!,7,0),0)</f>
        <v>0</v>
      </c>
      <c r="AS17" s="278">
        <f t="shared" si="16"/>
        <v>97.5</v>
      </c>
      <c r="AT17" s="277">
        <f t="shared" si="17"/>
        <v>0</v>
      </c>
      <c r="AU17" s="266"/>
      <c r="AV17" s="213"/>
      <c r="AW17" s="216"/>
      <c r="AX17" s="213">
        <f>IFERROR(VLOOKUP(C17,#REF!,8,0),0)</f>
        <v>0</v>
      </c>
      <c r="AY17" s="278">
        <f t="shared" si="18"/>
        <v>9.75</v>
      </c>
      <c r="AZ17" s="277">
        <f t="shared" si="19"/>
        <v>0</v>
      </c>
      <c r="BA17" s="266">
        <f>IFERROR(VLOOKUP(C17,#REF!,10,0),0)</f>
        <v>0</v>
      </c>
      <c r="BB17" s="268">
        <f t="shared" si="53"/>
        <v>150</v>
      </c>
      <c r="BC17" s="247">
        <f t="shared" si="54"/>
        <v>0</v>
      </c>
      <c r="BD17" s="216"/>
      <c r="BE17" s="213"/>
      <c r="BF17" s="213"/>
      <c r="BG17" s="216"/>
      <c r="BH17" s="213"/>
      <c r="BI17" s="213"/>
      <c r="BJ17" s="216">
        <f>IFERROR(VLOOKUP(C17,#REF!,9,0),0)</f>
        <v>0</v>
      </c>
      <c r="BK17" s="276">
        <f t="shared" si="55"/>
        <v>75</v>
      </c>
      <c r="BL17" s="213">
        <f t="shared" si="56"/>
        <v>0</v>
      </c>
      <c r="BM17" s="216"/>
      <c r="BN17" s="213"/>
      <c r="BO17" s="213"/>
      <c r="BP17" s="213"/>
      <c r="BQ17" s="213"/>
      <c r="BR17" s="213"/>
      <c r="BS17" s="213"/>
      <c r="BT17" s="213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3"/>
      <c r="CF17" s="215"/>
      <c r="CG17" s="215">
        <f t="shared" si="57"/>
        <v>8538.75</v>
      </c>
      <c r="CH17" s="256">
        <f>VLOOKUP(CX17,SSS_2025!A:N,8)</f>
        <v>1900</v>
      </c>
      <c r="CI17" s="217">
        <f>VLOOKUP(CX17,SSS_2025!A:N,13)</f>
        <v>950</v>
      </c>
      <c r="CJ17" s="217">
        <f>VLOOKUP(CX17,SSS_2025!A:N,9)</f>
        <v>30</v>
      </c>
      <c r="CK17" s="215">
        <v>391.25</v>
      </c>
      <c r="CL17" s="215">
        <v>391.25</v>
      </c>
      <c r="CM17" s="215">
        <v>200</v>
      </c>
      <c r="CN17" s="215">
        <v>200</v>
      </c>
      <c r="CO17" s="214">
        <f t="shared" si="58"/>
        <v>11060</v>
      </c>
      <c r="CP17" s="214">
        <f t="shared" si="59"/>
        <v>660</v>
      </c>
      <c r="CQ17" s="214">
        <f t="shared" si="60"/>
        <v>11720</v>
      </c>
      <c r="CR17" s="215"/>
      <c r="CS17" s="214">
        <f t="shared" si="61"/>
        <v>11720</v>
      </c>
      <c r="CT17" s="273">
        <f t="shared" si="62"/>
        <v>550</v>
      </c>
      <c r="CU17" s="244"/>
      <c r="CV17" s="269">
        <f>IFERROR(VLOOKUP(C17,'[2]BILLING COMPUTATION'!$C$8:$CI$224,85,0),0)</f>
        <v>10698.75</v>
      </c>
      <c r="CW17" s="243">
        <f t="shared" si="27"/>
        <v>8538.75</v>
      </c>
      <c r="CX17" s="245">
        <f t="shared" si="63"/>
        <v>19237.5</v>
      </c>
      <c r="CZ17" s="721">
        <f>IFERROR(VLOOKUP(C17,'[5]BILLING COMPUTATION'!$C$8:$CG$101,83,0),0)</f>
        <v>10141.875</v>
      </c>
      <c r="DA17" s="721">
        <f t="shared" si="29"/>
        <v>8538.75</v>
      </c>
      <c r="DB17" s="721">
        <f t="shared" si="30"/>
        <v>18680.625</v>
      </c>
      <c r="DC17" s="721">
        <f t="shared" si="31"/>
        <v>-556.875</v>
      </c>
    </row>
    <row r="18" spans="1:107" s="2" customFormat="1" ht="16.899999999999999" customHeight="1">
      <c r="A18" s="235">
        <v>12</v>
      </c>
      <c r="B18" s="265"/>
      <c r="C18" s="266">
        <v>30679</v>
      </c>
      <c r="D18" s="266" t="str">
        <f>VLOOKUP(E18,'F3 MS (2)'!E:F,2,0)</f>
        <v>GD250548</v>
      </c>
      <c r="E18" s="267" t="s">
        <v>206</v>
      </c>
      <c r="F18" s="266" t="str">
        <f>VLOOKUP(C18,'[1]ACTIVE GH'!$C:$I,7,0)</f>
        <v>METAL STAMPING</v>
      </c>
      <c r="G18" s="266" t="str">
        <f>VLOOKUP(C18,'[1]ACTIVE GH'!$C:$J,8,0)</f>
        <v>PRODUCTION</v>
      </c>
      <c r="H18" s="266" t="str">
        <f>VLOOKUP(C18,'[1]ACTIVE GH'!$C:$N,12,0)</f>
        <v>Operator 1</v>
      </c>
      <c r="I18" s="266" t="s">
        <v>180</v>
      </c>
      <c r="J18" s="266">
        <f>IFERROR(VLOOKUP(C18,PIVOT!A:B,2,0),0)</f>
        <v>88</v>
      </c>
      <c r="K18" s="237">
        <f t="shared" si="32"/>
        <v>11</v>
      </c>
      <c r="L18" s="237">
        <v>600</v>
      </c>
      <c r="M18" s="238">
        <f t="shared" si="33"/>
        <v>6600</v>
      </c>
      <c r="N18" s="266">
        <f>IFERROR(VLOOKUP(C18,PIVOT!A:F,6,0),0)</f>
        <v>0</v>
      </c>
      <c r="O18" s="239">
        <f t="shared" si="34"/>
        <v>1.25</v>
      </c>
      <c r="P18" s="238">
        <f t="shared" si="35"/>
        <v>0</v>
      </c>
      <c r="Q18" s="266">
        <f>IFERROR(VLOOKUP(C18,PIVOT!A:C,3,0),0)</f>
        <v>6</v>
      </c>
      <c r="R18" s="239">
        <f t="shared" si="36"/>
        <v>93.75</v>
      </c>
      <c r="S18" s="238">
        <f t="shared" si="37"/>
        <v>562.5</v>
      </c>
      <c r="T18" s="266">
        <f>IFERROR(VLOOKUP(C18,PIVOT!A:D,4,0),0)</f>
        <v>60</v>
      </c>
      <c r="U18" s="239">
        <f t="shared" si="38"/>
        <v>7.5</v>
      </c>
      <c r="V18" s="238">
        <f t="shared" si="39"/>
        <v>450</v>
      </c>
      <c r="W18" s="266">
        <f>IFERROR(VLOOKUP(C18,PIVOT!A:E,5,0),0)</f>
        <v>6</v>
      </c>
      <c r="X18" s="238">
        <f t="shared" si="40"/>
        <v>9.375</v>
      </c>
      <c r="Y18" s="238">
        <f t="shared" si="41"/>
        <v>56.25</v>
      </c>
      <c r="Z18" s="266">
        <f>IFERROR(VLOOKUP(C18,#REF!,6,0),0)</f>
        <v>0</v>
      </c>
      <c r="AA18" s="239">
        <f t="shared" si="42"/>
        <v>97.5</v>
      </c>
      <c r="AB18" s="238">
        <f t="shared" si="43"/>
        <v>0</v>
      </c>
      <c r="AC18" s="266"/>
      <c r="AD18" s="215">
        <f t="shared" si="44"/>
        <v>126.75</v>
      </c>
      <c r="AE18" s="214">
        <f t="shared" si="45"/>
        <v>0</v>
      </c>
      <c r="AF18" s="266">
        <f>IFERROR(VLOOKUP(C18,#REF!,8,0),0)</f>
        <v>0</v>
      </c>
      <c r="AG18" s="239">
        <f t="shared" si="46"/>
        <v>9.75</v>
      </c>
      <c r="AH18" s="238">
        <f t="shared" si="47"/>
        <v>0</v>
      </c>
      <c r="AI18" s="213"/>
      <c r="AJ18" s="213">
        <f t="shared" si="48"/>
        <v>112.5</v>
      </c>
      <c r="AK18" s="216">
        <f t="shared" si="49"/>
        <v>0</v>
      </c>
      <c r="AL18" s="213"/>
      <c r="AM18" s="213">
        <f t="shared" si="50"/>
        <v>146.25</v>
      </c>
      <c r="AN18" s="216">
        <v>0</v>
      </c>
      <c r="AO18" s="213"/>
      <c r="AP18" s="213">
        <f t="shared" si="51"/>
        <v>11.25</v>
      </c>
      <c r="AQ18" s="216">
        <f t="shared" si="52"/>
        <v>0</v>
      </c>
      <c r="AR18" s="266">
        <f>IFERROR(VLOOKUP(C18,#REF!,7,0),0)</f>
        <v>0</v>
      </c>
      <c r="AS18" s="278">
        <f t="shared" si="16"/>
        <v>97.5</v>
      </c>
      <c r="AT18" s="277">
        <f t="shared" si="17"/>
        <v>0</v>
      </c>
      <c r="AU18" s="266"/>
      <c r="AV18" s="213"/>
      <c r="AW18" s="216"/>
      <c r="AX18" s="213">
        <f>IFERROR(VLOOKUP(C18,#REF!,8,0),0)</f>
        <v>0</v>
      </c>
      <c r="AY18" s="278">
        <f t="shared" si="18"/>
        <v>9.75</v>
      </c>
      <c r="AZ18" s="277">
        <f t="shared" si="19"/>
        <v>0</v>
      </c>
      <c r="BA18" s="266">
        <f>IFERROR(VLOOKUP(C18,#REF!,10,0),0)</f>
        <v>0</v>
      </c>
      <c r="BB18" s="268">
        <f t="shared" si="53"/>
        <v>150</v>
      </c>
      <c r="BC18" s="247">
        <f t="shared" si="54"/>
        <v>0</v>
      </c>
      <c r="BD18" s="216"/>
      <c r="BE18" s="213"/>
      <c r="BF18" s="213"/>
      <c r="BG18" s="216"/>
      <c r="BH18" s="213"/>
      <c r="BI18" s="213"/>
      <c r="BJ18" s="216">
        <f>IFERROR(VLOOKUP(C18,#REF!,9,0),0)</f>
        <v>0</v>
      </c>
      <c r="BK18" s="276">
        <f t="shared" si="55"/>
        <v>75</v>
      </c>
      <c r="BL18" s="213">
        <f t="shared" si="56"/>
        <v>0</v>
      </c>
      <c r="BM18" s="216"/>
      <c r="BN18" s="213"/>
      <c r="BO18" s="213"/>
      <c r="BP18" s="213"/>
      <c r="BQ18" s="213"/>
      <c r="BR18" s="213"/>
      <c r="BS18" s="213"/>
      <c r="BT18" s="213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3"/>
      <c r="CF18" s="215"/>
      <c r="CG18" s="215">
        <f t="shared" si="57"/>
        <v>7668.75</v>
      </c>
      <c r="CH18" s="256">
        <f>VLOOKUP(CX18,SSS_2025!A:N,8)</f>
        <v>1850</v>
      </c>
      <c r="CI18" s="217">
        <f>VLOOKUP(CX18,SSS_2025!A:N,13)</f>
        <v>925</v>
      </c>
      <c r="CJ18" s="217">
        <f>VLOOKUP(CX18,SSS_2025!A:N,9)</f>
        <v>30</v>
      </c>
      <c r="CK18" s="215">
        <v>391.25</v>
      </c>
      <c r="CL18" s="215">
        <v>391.25</v>
      </c>
      <c r="CM18" s="215">
        <v>200</v>
      </c>
      <c r="CN18" s="215">
        <v>200</v>
      </c>
      <c r="CO18" s="214">
        <f t="shared" si="58"/>
        <v>10140</v>
      </c>
      <c r="CP18" s="214">
        <f t="shared" si="59"/>
        <v>660</v>
      </c>
      <c r="CQ18" s="214">
        <f t="shared" si="60"/>
        <v>10800</v>
      </c>
      <c r="CR18" s="215"/>
      <c r="CS18" s="214">
        <f t="shared" si="61"/>
        <v>10800</v>
      </c>
      <c r="CT18" s="273">
        <f t="shared" si="62"/>
        <v>550</v>
      </c>
      <c r="CU18" s="244"/>
      <c r="CV18" s="269">
        <f>IFERROR(VLOOKUP(C18,'[2]BILLING COMPUTATION'!$C$8:$CI$224,85,0),0)</f>
        <v>10698.75</v>
      </c>
      <c r="CW18" s="243">
        <f t="shared" si="27"/>
        <v>7668.75</v>
      </c>
      <c r="CX18" s="245">
        <f t="shared" si="63"/>
        <v>18367.5</v>
      </c>
      <c r="CZ18" s="721">
        <f>IFERROR(VLOOKUP(C18,'[5]BILLING COMPUTATION'!$C$8:$CG$101,83,0),0)</f>
        <v>4852.5</v>
      </c>
      <c r="DA18" s="721">
        <f t="shared" si="29"/>
        <v>7668.75</v>
      </c>
      <c r="DB18" s="721">
        <f t="shared" si="30"/>
        <v>12521.25</v>
      </c>
      <c r="DC18" s="721">
        <f t="shared" si="31"/>
        <v>-5846.25</v>
      </c>
    </row>
    <row r="19" spans="1:107" s="2" customFormat="1" ht="16.899999999999999" customHeight="1">
      <c r="A19" s="235">
        <v>13</v>
      </c>
      <c r="B19" s="265"/>
      <c r="C19" s="266">
        <v>7708</v>
      </c>
      <c r="D19" s="266" t="str">
        <f>VLOOKUP(E19,'F3 MS (2)'!E:F,2,0)</f>
        <v>GD250089</v>
      </c>
      <c r="E19" s="267" t="s">
        <v>332</v>
      </c>
      <c r="F19" s="266" t="str">
        <f>VLOOKUP(C19,'[1]ACTIVE GH'!$C:$I,7,0)</f>
        <v>METAL STAMPING</v>
      </c>
      <c r="G19" s="266" t="str">
        <f>VLOOKUP(C19,'[1]ACTIVE GH'!$C:$J,8,0)</f>
        <v>PRODUCTION</v>
      </c>
      <c r="H19" s="266" t="str">
        <f>VLOOKUP(C19,'[1]ACTIVE GH'!$C:$N,12,0)</f>
        <v>Operator 1</v>
      </c>
      <c r="I19" s="266" t="s">
        <v>180</v>
      </c>
      <c r="J19" s="266">
        <f>IFERROR(VLOOKUP(C19,PIVOT!A:B,2,0),0)</f>
        <v>96</v>
      </c>
      <c r="K19" s="237">
        <f t="shared" si="32"/>
        <v>12</v>
      </c>
      <c r="L19" s="237">
        <v>600</v>
      </c>
      <c r="M19" s="238">
        <f t="shared" si="33"/>
        <v>7200</v>
      </c>
      <c r="N19" s="266">
        <f>IFERROR(VLOOKUP(C19,PIVOT!A:F,6,0),0)</f>
        <v>0</v>
      </c>
      <c r="O19" s="239">
        <f t="shared" si="34"/>
        <v>1.25</v>
      </c>
      <c r="P19" s="238">
        <f t="shared" si="35"/>
        <v>0</v>
      </c>
      <c r="Q19" s="266">
        <f>IFERROR(VLOOKUP(C19,PIVOT!A:C,3,0),0)</f>
        <v>0</v>
      </c>
      <c r="R19" s="239">
        <f t="shared" si="36"/>
        <v>93.75</v>
      </c>
      <c r="S19" s="238">
        <f t="shared" si="37"/>
        <v>0</v>
      </c>
      <c r="T19" s="266">
        <f>IFERROR(VLOOKUP(C19,PIVOT!A:D,4,0),0)</f>
        <v>6</v>
      </c>
      <c r="U19" s="239">
        <f t="shared" si="38"/>
        <v>7.5</v>
      </c>
      <c r="V19" s="238">
        <f t="shared" si="39"/>
        <v>45</v>
      </c>
      <c r="W19" s="266">
        <f>IFERROR(VLOOKUP(C19,PIVOT!A:E,5,0),0)</f>
        <v>0</v>
      </c>
      <c r="X19" s="238">
        <f t="shared" si="40"/>
        <v>9.375</v>
      </c>
      <c r="Y19" s="238">
        <f t="shared" si="41"/>
        <v>0</v>
      </c>
      <c r="Z19" s="266">
        <f>IFERROR(VLOOKUP(C19,#REF!,6,0),0)</f>
        <v>0</v>
      </c>
      <c r="AA19" s="239">
        <f t="shared" si="42"/>
        <v>97.5</v>
      </c>
      <c r="AB19" s="238">
        <f t="shared" si="43"/>
        <v>0</v>
      </c>
      <c r="AC19" s="266"/>
      <c r="AD19" s="215">
        <f t="shared" si="44"/>
        <v>126.75</v>
      </c>
      <c r="AE19" s="214">
        <f t="shared" si="45"/>
        <v>0</v>
      </c>
      <c r="AF19" s="266">
        <f>IFERROR(VLOOKUP(C19,#REF!,8,0),0)</f>
        <v>0</v>
      </c>
      <c r="AG19" s="239">
        <f t="shared" si="46"/>
        <v>9.75</v>
      </c>
      <c r="AH19" s="238">
        <f t="shared" si="47"/>
        <v>0</v>
      </c>
      <c r="AI19" s="213"/>
      <c r="AJ19" s="213">
        <f t="shared" si="48"/>
        <v>112.5</v>
      </c>
      <c r="AK19" s="216">
        <f t="shared" si="49"/>
        <v>0</v>
      </c>
      <c r="AL19" s="213"/>
      <c r="AM19" s="213">
        <f t="shared" si="50"/>
        <v>146.25</v>
      </c>
      <c r="AN19" s="216">
        <v>0</v>
      </c>
      <c r="AO19" s="213"/>
      <c r="AP19" s="213">
        <f t="shared" si="51"/>
        <v>11.25</v>
      </c>
      <c r="AQ19" s="216">
        <f t="shared" si="52"/>
        <v>0</v>
      </c>
      <c r="AR19" s="266">
        <f>IFERROR(VLOOKUP(C19,#REF!,7,0),0)</f>
        <v>0</v>
      </c>
      <c r="AS19" s="278">
        <f t="shared" si="16"/>
        <v>97.5</v>
      </c>
      <c r="AT19" s="277">
        <f t="shared" si="17"/>
        <v>0</v>
      </c>
      <c r="AU19" s="266"/>
      <c r="AV19" s="213"/>
      <c r="AW19" s="216"/>
      <c r="AX19" s="213">
        <f>IFERROR(VLOOKUP(C19,#REF!,8,0),0)</f>
        <v>0</v>
      </c>
      <c r="AY19" s="278">
        <f t="shared" si="18"/>
        <v>9.75</v>
      </c>
      <c r="AZ19" s="277">
        <f t="shared" si="19"/>
        <v>0</v>
      </c>
      <c r="BA19" s="266">
        <f>IFERROR(VLOOKUP(C19,#REF!,10,0),0)</f>
        <v>0</v>
      </c>
      <c r="BB19" s="268">
        <f t="shared" si="53"/>
        <v>150</v>
      </c>
      <c r="BC19" s="247">
        <f t="shared" si="54"/>
        <v>0</v>
      </c>
      <c r="BD19" s="216"/>
      <c r="BE19" s="213"/>
      <c r="BF19" s="213"/>
      <c r="BG19" s="216"/>
      <c r="BH19" s="213"/>
      <c r="BI19" s="213"/>
      <c r="BJ19" s="216">
        <f>IFERROR(VLOOKUP(C19,#REF!,9,0),0)</f>
        <v>0</v>
      </c>
      <c r="BK19" s="276">
        <f t="shared" si="55"/>
        <v>75</v>
      </c>
      <c r="BL19" s="213">
        <f t="shared" si="56"/>
        <v>0</v>
      </c>
      <c r="BM19" s="216"/>
      <c r="BN19" s="213"/>
      <c r="BO19" s="213"/>
      <c r="BP19" s="213"/>
      <c r="BQ19" s="213"/>
      <c r="BR19" s="213"/>
      <c r="BS19" s="213"/>
      <c r="BT19" s="213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3"/>
      <c r="CF19" s="215"/>
      <c r="CG19" s="215">
        <f t="shared" si="57"/>
        <v>7245</v>
      </c>
      <c r="CH19" s="256">
        <f>VLOOKUP(CX19,SSS_2025!A:N,8)</f>
        <v>1750</v>
      </c>
      <c r="CI19" s="217">
        <f>VLOOKUP(CX19,SSS_2025!A:N,13)</f>
        <v>875</v>
      </c>
      <c r="CJ19" s="217">
        <f>VLOOKUP(CX19,SSS_2025!A:N,9)</f>
        <v>30</v>
      </c>
      <c r="CK19" s="215">
        <v>391.25</v>
      </c>
      <c r="CL19" s="215">
        <v>391.25</v>
      </c>
      <c r="CM19" s="215">
        <v>200</v>
      </c>
      <c r="CN19" s="215">
        <v>200</v>
      </c>
      <c r="CO19" s="214">
        <f t="shared" si="58"/>
        <v>9616.25</v>
      </c>
      <c r="CP19" s="214">
        <f t="shared" si="59"/>
        <v>720</v>
      </c>
      <c r="CQ19" s="214">
        <f t="shared" si="60"/>
        <v>10336.25</v>
      </c>
      <c r="CR19" s="215"/>
      <c r="CS19" s="214">
        <f t="shared" si="61"/>
        <v>10336.25</v>
      </c>
      <c r="CT19" s="273">
        <f t="shared" si="62"/>
        <v>600</v>
      </c>
      <c r="CU19" s="244"/>
      <c r="CV19" s="269">
        <f>IFERROR(VLOOKUP(C19,'[2]BILLING COMPUTATION'!$C$8:$CI$224,85,0),0)</f>
        <v>10192.5</v>
      </c>
      <c r="CW19" s="243">
        <f t="shared" si="27"/>
        <v>7245</v>
      </c>
      <c r="CX19" s="245">
        <f t="shared" si="63"/>
        <v>17437.5</v>
      </c>
      <c r="CZ19" s="721">
        <f>IFERROR(VLOOKUP(C19,'[5]BILLING COMPUTATION'!$C$8:$CG$101,83,0),0)</f>
        <v>8430</v>
      </c>
      <c r="DA19" s="721">
        <f t="shared" si="29"/>
        <v>7245</v>
      </c>
      <c r="DB19" s="721">
        <f t="shared" si="30"/>
        <v>15675</v>
      </c>
      <c r="DC19" s="721">
        <f t="shared" si="31"/>
        <v>-1762.5</v>
      </c>
    </row>
    <row r="20" spans="1:107" s="2" customFormat="1" ht="16.899999999999999" customHeight="1">
      <c r="A20" s="235">
        <v>14</v>
      </c>
      <c r="B20" s="265"/>
      <c r="C20" s="266">
        <v>12870</v>
      </c>
      <c r="D20" s="266" t="str">
        <f>VLOOKUP(E20,'F3 MS (2)'!E:F,2,0)</f>
        <v>GD250311</v>
      </c>
      <c r="E20" s="267" t="s">
        <v>352</v>
      </c>
      <c r="F20" s="266" t="str">
        <f>VLOOKUP(C20,'[1]ACTIVE GH'!$C:$I,7,0)</f>
        <v>METAL STAMPING</v>
      </c>
      <c r="G20" s="266" t="str">
        <f>VLOOKUP(C20,'[1]ACTIVE GH'!$C:$J,8,0)</f>
        <v>PRODUCTION</v>
      </c>
      <c r="H20" s="266" t="str">
        <f>VLOOKUP(C20,'[1]ACTIVE GH'!$C:$N,12,0)</f>
        <v>Operator 1</v>
      </c>
      <c r="I20" s="266" t="s">
        <v>180</v>
      </c>
      <c r="J20" s="266">
        <f>IFERROR(VLOOKUP(C20,PIVOT!A:B,2,0),0)</f>
        <v>96</v>
      </c>
      <c r="K20" s="237">
        <f t="shared" si="32"/>
        <v>12</v>
      </c>
      <c r="L20" s="237">
        <v>600</v>
      </c>
      <c r="M20" s="238">
        <f t="shared" si="33"/>
        <v>7200</v>
      </c>
      <c r="N20" s="266">
        <f>IFERROR(VLOOKUP(C20,PIVOT!A:F,6,0),0)</f>
        <v>0</v>
      </c>
      <c r="O20" s="239">
        <f t="shared" si="34"/>
        <v>1.25</v>
      </c>
      <c r="P20" s="238">
        <f t="shared" si="35"/>
        <v>0</v>
      </c>
      <c r="Q20" s="266">
        <f>IFERROR(VLOOKUP(C20,PIVOT!A:C,3,0),0)</f>
        <v>0</v>
      </c>
      <c r="R20" s="239">
        <f t="shared" si="36"/>
        <v>93.75</v>
      </c>
      <c r="S20" s="238">
        <f t="shared" si="37"/>
        <v>0</v>
      </c>
      <c r="T20" s="266">
        <f>IFERROR(VLOOKUP(C20,PIVOT!A:D,4,0),0)</f>
        <v>66</v>
      </c>
      <c r="U20" s="239">
        <f t="shared" si="38"/>
        <v>7.5</v>
      </c>
      <c r="V20" s="238">
        <f t="shared" si="39"/>
        <v>495</v>
      </c>
      <c r="W20" s="266">
        <f>IFERROR(VLOOKUP(C20,PIVOT!A:E,5,0),0)</f>
        <v>0</v>
      </c>
      <c r="X20" s="238">
        <f t="shared" si="40"/>
        <v>9.375</v>
      </c>
      <c r="Y20" s="238">
        <f t="shared" si="41"/>
        <v>0</v>
      </c>
      <c r="Z20" s="266">
        <f>IFERROR(VLOOKUP(C20,#REF!,6,0),0)</f>
        <v>0</v>
      </c>
      <c r="AA20" s="239">
        <f t="shared" si="42"/>
        <v>97.5</v>
      </c>
      <c r="AB20" s="238">
        <f t="shared" si="43"/>
        <v>0</v>
      </c>
      <c r="AC20" s="266"/>
      <c r="AD20" s="215">
        <f t="shared" si="44"/>
        <v>126.75</v>
      </c>
      <c r="AE20" s="214">
        <f t="shared" si="45"/>
        <v>0</v>
      </c>
      <c r="AF20" s="266">
        <f>IFERROR(VLOOKUP(C20,#REF!,8,0),0)</f>
        <v>0</v>
      </c>
      <c r="AG20" s="239">
        <f t="shared" si="46"/>
        <v>9.75</v>
      </c>
      <c r="AH20" s="238">
        <f t="shared" si="47"/>
        <v>0</v>
      </c>
      <c r="AI20" s="213"/>
      <c r="AJ20" s="213">
        <f t="shared" si="48"/>
        <v>112.5</v>
      </c>
      <c r="AK20" s="216">
        <f t="shared" si="49"/>
        <v>0</v>
      </c>
      <c r="AL20" s="213"/>
      <c r="AM20" s="213">
        <f t="shared" si="50"/>
        <v>146.25</v>
      </c>
      <c r="AN20" s="216">
        <v>0</v>
      </c>
      <c r="AO20" s="213"/>
      <c r="AP20" s="213">
        <f t="shared" si="51"/>
        <v>11.25</v>
      </c>
      <c r="AQ20" s="216">
        <f t="shared" si="52"/>
        <v>0</v>
      </c>
      <c r="AR20" s="266">
        <f>IFERROR(VLOOKUP(C20,#REF!,7,0),0)</f>
        <v>0</v>
      </c>
      <c r="AS20" s="278">
        <f t="shared" si="16"/>
        <v>97.5</v>
      </c>
      <c r="AT20" s="277">
        <f t="shared" si="17"/>
        <v>0</v>
      </c>
      <c r="AU20" s="266"/>
      <c r="AV20" s="213"/>
      <c r="AW20" s="216"/>
      <c r="AX20" s="213">
        <f>IFERROR(VLOOKUP(C20,#REF!,8,0),0)</f>
        <v>0</v>
      </c>
      <c r="AY20" s="278">
        <f t="shared" si="18"/>
        <v>9.75</v>
      </c>
      <c r="AZ20" s="277">
        <f t="shared" si="19"/>
        <v>0</v>
      </c>
      <c r="BA20" s="266">
        <f>IFERROR(VLOOKUP(C20,#REF!,10,0),0)</f>
        <v>0</v>
      </c>
      <c r="BB20" s="268">
        <f t="shared" si="53"/>
        <v>150</v>
      </c>
      <c r="BC20" s="247">
        <f t="shared" si="54"/>
        <v>0</v>
      </c>
      <c r="BD20" s="216"/>
      <c r="BE20" s="213"/>
      <c r="BF20" s="213"/>
      <c r="BG20" s="216"/>
      <c r="BH20" s="213"/>
      <c r="BI20" s="213"/>
      <c r="BJ20" s="216">
        <f>IFERROR(VLOOKUP(C20,#REF!,9,0),0)</f>
        <v>0</v>
      </c>
      <c r="BK20" s="276">
        <f t="shared" si="55"/>
        <v>75</v>
      </c>
      <c r="BL20" s="213">
        <f t="shared" si="56"/>
        <v>0</v>
      </c>
      <c r="BM20" s="216"/>
      <c r="BN20" s="213"/>
      <c r="BO20" s="213"/>
      <c r="BP20" s="213"/>
      <c r="BQ20" s="213"/>
      <c r="BR20" s="213"/>
      <c r="BS20" s="213"/>
      <c r="BT20" s="213"/>
      <c r="BU20" s="215"/>
      <c r="BV20" s="215"/>
      <c r="BW20" s="215"/>
      <c r="BX20" s="215"/>
      <c r="BY20" s="215"/>
      <c r="BZ20" s="215"/>
      <c r="CA20" s="215"/>
      <c r="CB20" s="215"/>
      <c r="CC20" s="215"/>
      <c r="CD20" s="215"/>
      <c r="CE20" s="213"/>
      <c r="CF20" s="215"/>
      <c r="CG20" s="215">
        <f t="shared" si="57"/>
        <v>7695</v>
      </c>
      <c r="CH20" s="256">
        <f>VLOOKUP(CX20,SSS_2025!A:N,8)</f>
        <v>1850</v>
      </c>
      <c r="CI20" s="217">
        <f>VLOOKUP(CX20,SSS_2025!A:N,13)</f>
        <v>925</v>
      </c>
      <c r="CJ20" s="217">
        <f>VLOOKUP(CX20,SSS_2025!A:N,9)</f>
        <v>30</v>
      </c>
      <c r="CK20" s="215">
        <v>391.25</v>
      </c>
      <c r="CL20" s="215">
        <v>391.25</v>
      </c>
      <c r="CM20" s="215">
        <v>200</v>
      </c>
      <c r="CN20" s="215">
        <v>200</v>
      </c>
      <c r="CO20" s="214">
        <f t="shared" si="58"/>
        <v>10166.25</v>
      </c>
      <c r="CP20" s="214">
        <f t="shared" si="59"/>
        <v>720</v>
      </c>
      <c r="CQ20" s="214">
        <f t="shared" si="60"/>
        <v>10886.25</v>
      </c>
      <c r="CR20" s="215"/>
      <c r="CS20" s="214">
        <f t="shared" si="61"/>
        <v>10886.25</v>
      </c>
      <c r="CT20" s="273">
        <f t="shared" si="62"/>
        <v>600</v>
      </c>
      <c r="CU20" s="244"/>
      <c r="CV20" s="269">
        <f>IFERROR(VLOOKUP(C20,'[2]BILLING COMPUTATION'!$C$8:$CI$224,85,0),0)</f>
        <v>10698.75</v>
      </c>
      <c r="CW20" s="243">
        <f t="shared" si="27"/>
        <v>7695</v>
      </c>
      <c r="CX20" s="245">
        <f t="shared" si="63"/>
        <v>18393.75</v>
      </c>
      <c r="CZ20" s="721">
        <f>IFERROR(VLOOKUP(C20,'[5]BILLING COMPUTATION'!$C$8:$CG$101,83,0),0)</f>
        <v>9408.75</v>
      </c>
      <c r="DA20" s="721">
        <f t="shared" si="29"/>
        <v>7695</v>
      </c>
      <c r="DB20" s="721">
        <f t="shared" si="30"/>
        <v>17103.75</v>
      </c>
      <c r="DC20" s="721">
        <f t="shared" si="31"/>
        <v>-1290</v>
      </c>
    </row>
    <row r="21" spans="1:107" s="2" customFormat="1" ht="16.899999999999999" customHeight="1">
      <c r="A21" s="235">
        <v>15</v>
      </c>
      <c r="B21" s="265"/>
      <c r="C21" s="266">
        <v>12397</v>
      </c>
      <c r="D21" s="266" t="str">
        <f>VLOOKUP(E21,'F3 MS (2)'!E:F,2,0)</f>
        <v>GD250185</v>
      </c>
      <c r="E21" s="267" t="s">
        <v>391</v>
      </c>
      <c r="F21" s="266" t="str">
        <f>VLOOKUP(C21,'[1]ACTIVE GH'!$C:$I,7,0)</f>
        <v>METAL STAMPING</v>
      </c>
      <c r="G21" s="266" t="str">
        <f>VLOOKUP(C21,'[1]ACTIVE GH'!$C:$J,8,0)</f>
        <v>PRODUCTION</v>
      </c>
      <c r="H21" s="266" t="str">
        <f>VLOOKUP(C21,'[1]ACTIVE GH'!$C:$N,12,0)</f>
        <v>Operator 1</v>
      </c>
      <c r="I21" s="266" t="s">
        <v>180</v>
      </c>
      <c r="J21" s="266">
        <f>IFERROR(VLOOKUP(C21,PIVOT!A:B,2,0),0)</f>
        <v>96</v>
      </c>
      <c r="K21" s="237">
        <f t="shared" ref="K21" si="64">J21/8</f>
        <v>12</v>
      </c>
      <c r="L21" s="237">
        <v>600</v>
      </c>
      <c r="M21" s="238">
        <f t="shared" si="33"/>
        <v>7200</v>
      </c>
      <c r="N21" s="266">
        <f>IFERROR(VLOOKUP(C21,PIVOT!A:F,6,0),0)</f>
        <v>0</v>
      </c>
      <c r="O21" s="239">
        <f t="shared" ref="O21" si="65">L21/8/60</f>
        <v>1.25</v>
      </c>
      <c r="P21" s="238">
        <f t="shared" si="35"/>
        <v>0</v>
      </c>
      <c r="Q21" s="266">
        <f>IFERROR(VLOOKUP(C21,PIVOT!A:C,3,0),0)</f>
        <v>12</v>
      </c>
      <c r="R21" s="239">
        <f t="shared" ref="R21" si="66">L21/8*1.25</f>
        <v>93.75</v>
      </c>
      <c r="S21" s="238">
        <f t="shared" ref="S21" si="67">Q21*R21</f>
        <v>1125</v>
      </c>
      <c r="T21" s="266">
        <f>IFERROR(VLOOKUP(C21,PIVOT!A:D,4,0),0)</f>
        <v>0</v>
      </c>
      <c r="U21" s="239">
        <f t="shared" si="38"/>
        <v>7.5</v>
      </c>
      <c r="V21" s="238">
        <f t="shared" si="39"/>
        <v>0</v>
      </c>
      <c r="W21" s="266">
        <f>IFERROR(VLOOKUP(C21,PIVOT!A:E,5,0),0)</f>
        <v>0</v>
      </c>
      <c r="X21" s="238">
        <f t="shared" ref="X21" si="68">L21/8*1.25*0.1</f>
        <v>9.375</v>
      </c>
      <c r="Y21" s="238">
        <f t="shared" si="41"/>
        <v>0</v>
      </c>
      <c r="Z21" s="266">
        <f>IFERROR(VLOOKUP(C21,#REF!,6,0),0)</f>
        <v>0</v>
      </c>
      <c r="AA21" s="239">
        <f t="shared" ref="AA21" si="69">L21/8*1.3</f>
        <v>97.5</v>
      </c>
      <c r="AB21" s="238">
        <f t="shared" ref="AB21" si="70">Z21*AA21</f>
        <v>0</v>
      </c>
      <c r="AC21" s="266"/>
      <c r="AD21" s="215">
        <f t="shared" ref="AD21" si="71">L21/8*1.69</f>
        <v>126.75</v>
      </c>
      <c r="AE21" s="214">
        <f t="shared" ref="AE21" si="72">AD21*AC21</f>
        <v>0</v>
      </c>
      <c r="AF21" s="266">
        <f>IFERROR(VLOOKUP(C21,#REF!,8,0),0)</f>
        <v>0</v>
      </c>
      <c r="AG21" s="239">
        <f t="shared" ref="AG21" si="73">L21/8*1.3*0.1</f>
        <v>9.75</v>
      </c>
      <c r="AH21" s="238">
        <f t="shared" ref="AH21" si="74">AF21*AG21</f>
        <v>0</v>
      </c>
      <c r="AI21" s="213"/>
      <c r="AJ21" s="213">
        <f t="shared" ref="AJ21" si="75">L21/8*1.5</f>
        <v>112.5</v>
      </c>
      <c r="AK21" s="216">
        <f t="shared" ref="AK21" si="76">AI21*AJ21</f>
        <v>0</v>
      </c>
      <c r="AL21" s="213"/>
      <c r="AM21" s="213">
        <f t="shared" ref="AM21" si="77">L21/8*1.5*1.3</f>
        <v>146.25</v>
      </c>
      <c r="AN21" s="216">
        <v>0</v>
      </c>
      <c r="AO21" s="213"/>
      <c r="AP21" s="213">
        <f t="shared" ref="AP21" si="78">L21/8*1.5*0.1</f>
        <v>11.25</v>
      </c>
      <c r="AQ21" s="216">
        <f t="shared" ref="AQ21" si="79">AO21*AP21</f>
        <v>0</v>
      </c>
      <c r="AR21" s="266">
        <f>IFERROR(VLOOKUP(C21,#REF!,7,0),0)</f>
        <v>0</v>
      </c>
      <c r="AS21" s="278">
        <f t="shared" ref="AS21" si="80">L21/8*1.3</f>
        <v>97.5</v>
      </c>
      <c r="AT21" s="277">
        <f t="shared" ref="AT21" si="81">AR21*AS21</f>
        <v>0</v>
      </c>
      <c r="AU21" s="266"/>
      <c r="AV21" s="213"/>
      <c r="AW21" s="216"/>
      <c r="AX21" s="213">
        <f>IFERROR(VLOOKUP(C21,#REF!,8,0),0)</f>
        <v>0</v>
      </c>
      <c r="AY21" s="278">
        <f t="shared" ref="AY21" si="82">L21/8*1.3*0.1</f>
        <v>9.75</v>
      </c>
      <c r="AZ21" s="277">
        <f t="shared" ref="AZ21" si="83">AX21*AY21</f>
        <v>0</v>
      </c>
      <c r="BA21" s="266">
        <f>IFERROR(VLOOKUP(C21,#REF!,10,0),0)</f>
        <v>0</v>
      </c>
      <c r="BB21" s="268">
        <f t="shared" si="53"/>
        <v>150</v>
      </c>
      <c r="BC21" s="247">
        <f t="shared" ref="BC21" si="84">BA21*BB21</f>
        <v>0</v>
      </c>
      <c r="BD21" s="216"/>
      <c r="BE21" s="213"/>
      <c r="BF21" s="213"/>
      <c r="BG21" s="216"/>
      <c r="BH21" s="213"/>
      <c r="BI21" s="213"/>
      <c r="BJ21" s="216">
        <f>IFERROR(VLOOKUP(C21,#REF!,9,0),0)</f>
        <v>0</v>
      </c>
      <c r="BK21" s="276">
        <f t="shared" ref="BK21" si="85">L21/8</f>
        <v>75</v>
      </c>
      <c r="BL21" s="213">
        <f t="shared" ref="BL21" si="86">BJ21*BK21</f>
        <v>0</v>
      </c>
      <c r="BM21" s="216"/>
      <c r="BN21" s="213"/>
      <c r="BO21" s="213"/>
      <c r="BP21" s="213"/>
      <c r="BQ21" s="213"/>
      <c r="BR21" s="213"/>
      <c r="BS21" s="213"/>
      <c r="BT21" s="213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3"/>
      <c r="CF21" s="215"/>
      <c r="CG21" s="215">
        <f t="shared" si="57"/>
        <v>8325</v>
      </c>
      <c r="CH21" s="256">
        <f>VLOOKUP(CX21,SSS_2025!A:N,8)</f>
        <v>1700</v>
      </c>
      <c r="CI21" s="217">
        <f>VLOOKUP(CX21,SSS_2025!A:N,13)</f>
        <v>850</v>
      </c>
      <c r="CJ21" s="217">
        <f>VLOOKUP(CX21,SSS_2025!A:N,9)</f>
        <v>30</v>
      </c>
      <c r="CK21" s="215">
        <v>391.25</v>
      </c>
      <c r="CL21" s="215">
        <v>391.25</v>
      </c>
      <c r="CM21" s="215">
        <v>200</v>
      </c>
      <c r="CN21" s="215">
        <v>200</v>
      </c>
      <c r="CO21" s="214">
        <f t="shared" si="58"/>
        <v>10646.25</v>
      </c>
      <c r="CP21" s="214">
        <f t="shared" si="59"/>
        <v>720</v>
      </c>
      <c r="CQ21" s="214">
        <f t="shared" si="60"/>
        <v>11366.25</v>
      </c>
      <c r="CR21" s="215"/>
      <c r="CS21" s="214">
        <f t="shared" si="61"/>
        <v>11366.25</v>
      </c>
      <c r="CT21" s="273">
        <f t="shared" si="62"/>
        <v>600</v>
      </c>
      <c r="CU21" s="244"/>
      <c r="CV21" s="269">
        <f>IFERROR(VLOOKUP(C21,'[2]BILLING COMPUTATION'!$C$8:$CI$224,85,0),0)</f>
        <v>8916.25</v>
      </c>
      <c r="CW21" s="243">
        <f t="shared" ref="CW21" si="87">CG21</f>
        <v>8325</v>
      </c>
      <c r="CX21" s="245">
        <f t="shared" ref="CX21" si="88">CV21+CW21</f>
        <v>17241.25</v>
      </c>
      <c r="CZ21" s="721">
        <f>IFERROR(VLOOKUP(C21,'[5]BILLING COMPUTATION'!$C$8:$CG$101,83,0),0)</f>
        <v>9480</v>
      </c>
      <c r="DA21" s="721">
        <f t="shared" si="29"/>
        <v>8325</v>
      </c>
      <c r="DB21" s="721">
        <f t="shared" si="30"/>
        <v>17805</v>
      </c>
      <c r="DC21" s="721">
        <f t="shared" si="31"/>
        <v>563.75</v>
      </c>
    </row>
    <row r="22" spans="1:107" s="2" customFormat="1" ht="16.899999999999999" customHeight="1">
      <c r="A22" s="235">
        <v>16</v>
      </c>
      <c r="B22" s="265"/>
      <c r="C22" s="266">
        <v>32518</v>
      </c>
      <c r="D22" s="266" t="s">
        <v>387</v>
      </c>
      <c r="E22" s="267" t="s">
        <v>361</v>
      </c>
      <c r="F22" s="266" t="str">
        <f>VLOOKUP(D22,'[1]ACTIVE GH'!$D:$I,6,0)</f>
        <v>METAL STAMPING</v>
      </c>
      <c r="G22" s="266" t="s">
        <v>392</v>
      </c>
      <c r="H22" s="266" t="s">
        <v>399</v>
      </c>
      <c r="I22" s="266" t="s">
        <v>180</v>
      </c>
      <c r="J22" s="266">
        <f>IFERROR(VLOOKUP(C22,PIVOT!A:B,2,0),0)</f>
        <v>72</v>
      </c>
      <c r="K22" s="237">
        <f t="shared" si="32"/>
        <v>9</v>
      </c>
      <c r="L22" s="237">
        <v>600</v>
      </c>
      <c r="M22" s="238">
        <f t="shared" si="33"/>
        <v>5400</v>
      </c>
      <c r="N22" s="266">
        <f>IFERROR(VLOOKUP(C22,PIVOT!A:F,6,0),0)</f>
        <v>0</v>
      </c>
      <c r="O22" s="239">
        <f t="shared" si="34"/>
        <v>1.25</v>
      </c>
      <c r="P22" s="238">
        <f t="shared" si="35"/>
        <v>0</v>
      </c>
      <c r="Q22" s="266">
        <f>IFERROR(VLOOKUP(C22,PIVOT!A:C,3,0),0)</f>
        <v>14</v>
      </c>
      <c r="R22" s="239">
        <f t="shared" si="36"/>
        <v>93.75</v>
      </c>
      <c r="S22" s="238">
        <f t="shared" si="37"/>
        <v>1312.5</v>
      </c>
      <c r="T22" s="266">
        <f>IFERROR(VLOOKUP(C22,PIVOT!A:D,4,0),0)</f>
        <v>0</v>
      </c>
      <c r="U22" s="239">
        <f t="shared" si="38"/>
        <v>7.5</v>
      </c>
      <c r="V22" s="238">
        <f t="shared" si="39"/>
        <v>0</v>
      </c>
      <c r="W22" s="266">
        <f>IFERROR(VLOOKUP(C22,PIVOT!A:E,5,0),0)</f>
        <v>0</v>
      </c>
      <c r="X22" s="238">
        <f t="shared" si="40"/>
        <v>9.375</v>
      </c>
      <c r="Y22" s="238">
        <f t="shared" si="41"/>
        <v>0</v>
      </c>
      <c r="Z22" s="266">
        <f>IFERROR(VLOOKUP(C22,#REF!,6,0),0)</f>
        <v>0</v>
      </c>
      <c r="AA22" s="239">
        <f t="shared" si="42"/>
        <v>97.5</v>
      </c>
      <c r="AB22" s="238">
        <f t="shared" si="43"/>
        <v>0</v>
      </c>
      <c r="AC22" s="266"/>
      <c r="AD22" s="215">
        <f t="shared" si="44"/>
        <v>126.75</v>
      </c>
      <c r="AE22" s="214">
        <f t="shared" si="45"/>
        <v>0</v>
      </c>
      <c r="AF22" s="266">
        <f>IFERROR(VLOOKUP(C22,#REF!,8,0),0)</f>
        <v>0</v>
      </c>
      <c r="AG22" s="239">
        <f t="shared" si="46"/>
        <v>9.75</v>
      </c>
      <c r="AH22" s="238">
        <f t="shared" si="47"/>
        <v>0</v>
      </c>
      <c r="AI22" s="213"/>
      <c r="AJ22" s="213">
        <f t="shared" si="48"/>
        <v>112.5</v>
      </c>
      <c r="AK22" s="216">
        <f t="shared" si="49"/>
        <v>0</v>
      </c>
      <c r="AL22" s="213"/>
      <c r="AM22" s="213">
        <f t="shared" si="50"/>
        <v>146.25</v>
      </c>
      <c r="AN22" s="216">
        <v>0</v>
      </c>
      <c r="AO22" s="213"/>
      <c r="AP22" s="213">
        <f t="shared" si="51"/>
        <v>11.25</v>
      </c>
      <c r="AQ22" s="216">
        <f t="shared" si="52"/>
        <v>0</v>
      </c>
      <c r="AR22" s="266">
        <f>IFERROR(VLOOKUP(C22,#REF!,7,0),0)</f>
        <v>0</v>
      </c>
      <c r="AS22" s="278">
        <f t="shared" si="16"/>
        <v>97.5</v>
      </c>
      <c r="AT22" s="277">
        <f t="shared" si="17"/>
        <v>0</v>
      </c>
      <c r="AU22" s="266"/>
      <c r="AV22" s="213"/>
      <c r="AW22" s="216"/>
      <c r="AX22" s="213">
        <f>IFERROR(VLOOKUP(C22,#REF!,8,0),0)</f>
        <v>0</v>
      </c>
      <c r="AY22" s="278">
        <f t="shared" si="18"/>
        <v>9.75</v>
      </c>
      <c r="AZ22" s="277">
        <f t="shared" si="19"/>
        <v>0</v>
      </c>
      <c r="BA22" s="266">
        <f>IFERROR(VLOOKUP(C22,#REF!,10,0),0)</f>
        <v>0</v>
      </c>
      <c r="BB22" s="268">
        <f t="shared" si="53"/>
        <v>150</v>
      </c>
      <c r="BC22" s="247">
        <f t="shared" si="54"/>
        <v>0</v>
      </c>
      <c r="BD22" s="216"/>
      <c r="BE22" s="213"/>
      <c r="BF22" s="213"/>
      <c r="BG22" s="216"/>
      <c r="BH22" s="213"/>
      <c r="BI22" s="213"/>
      <c r="BJ22" s="216">
        <f>IFERROR(VLOOKUP(C22,#REF!,9,0),0)</f>
        <v>0</v>
      </c>
      <c r="BK22" s="276">
        <f t="shared" si="55"/>
        <v>75</v>
      </c>
      <c r="BL22" s="213">
        <f t="shared" si="56"/>
        <v>0</v>
      </c>
      <c r="BM22" s="216"/>
      <c r="BN22" s="213"/>
      <c r="BO22" s="213"/>
      <c r="BP22" s="213"/>
      <c r="BQ22" s="213"/>
      <c r="BR22" s="213"/>
      <c r="BS22" s="213"/>
      <c r="BT22" s="213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3"/>
      <c r="CF22" s="215"/>
      <c r="CG22" s="215">
        <f t="shared" si="57"/>
        <v>6712.5</v>
      </c>
      <c r="CH22" s="256">
        <f>VLOOKUP(CX22,SSS_2025!A:N,8)</f>
        <v>1750</v>
      </c>
      <c r="CI22" s="217">
        <f>VLOOKUP(CX22,SSS_2025!A:N,13)</f>
        <v>875</v>
      </c>
      <c r="CJ22" s="217">
        <f>VLOOKUP(CX22,SSS_2025!A:N,9)</f>
        <v>30</v>
      </c>
      <c r="CK22" s="215">
        <v>391.25</v>
      </c>
      <c r="CL22" s="215">
        <v>391.25</v>
      </c>
      <c r="CM22" s="215">
        <v>200</v>
      </c>
      <c r="CN22" s="215">
        <v>200</v>
      </c>
      <c r="CO22" s="214">
        <f t="shared" si="58"/>
        <v>9083.75</v>
      </c>
      <c r="CP22" s="214">
        <f t="shared" si="59"/>
        <v>540</v>
      </c>
      <c r="CQ22" s="214">
        <f t="shared" si="60"/>
        <v>9623.75</v>
      </c>
      <c r="CR22" s="215"/>
      <c r="CS22" s="214">
        <f t="shared" si="61"/>
        <v>9623.75</v>
      </c>
      <c r="CT22" s="273">
        <f t="shared" si="62"/>
        <v>450</v>
      </c>
      <c r="CU22" s="244"/>
      <c r="CV22" s="269">
        <f>IFERROR(VLOOKUP(C22,'[2]BILLING COMPUTATION'!$C$8:$CI$224,85,0),0)</f>
        <v>10621.25</v>
      </c>
      <c r="CW22" s="243">
        <f t="shared" si="27"/>
        <v>6712.5</v>
      </c>
      <c r="CX22" s="245">
        <f t="shared" si="63"/>
        <v>17333.75</v>
      </c>
      <c r="CZ22" s="721">
        <f>IFERROR(VLOOKUP(C22,'[5]BILLING COMPUTATION'!$C$8:$CG$101,83,0),0)</f>
        <v>9067.5</v>
      </c>
      <c r="DA22" s="721">
        <f t="shared" si="29"/>
        <v>6712.5</v>
      </c>
      <c r="DB22" s="721">
        <f t="shared" si="30"/>
        <v>15780</v>
      </c>
      <c r="DC22" s="721">
        <f t="shared" si="31"/>
        <v>-1553.75</v>
      </c>
    </row>
    <row r="23" spans="1:107" s="2" customFormat="1" ht="16.899999999999999" customHeight="1">
      <c r="A23" s="235">
        <v>17</v>
      </c>
      <c r="B23" s="265"/>
      <c r="C23" s="266">
        <v>8064</v>
      </c>
      <c r="D23" s="266" t="str">
        <f>VLOOKUP(E23,'F3 MS (2)'!E:F,2,0)</f>
        <v>GD250048</v>
      </c>
      <c r="E23" s="267" t="s">
        <v>351</v>
      </c>
      <c r="F23" s="266" t="str">
        <f>VLOOKUP(C23,'[1]ACTIVE GH'!$C:$I,7,0)</f>
        <v>METAL STAMPING</v>
      </c>
      <c r="G23" s="266" t="str">
        <f>VLOOKUP(C23,'[1]ACTIVE GH'!$C:$J,8,0)</f>
        <v>PRODUCTION</v>
      </c>
      <c r="H23" s="266" t="str">
        <f>VLOOKUP(C23,'[1]ACTIVE GH'!$C:$N,12,0)</f>
        <v>Operator 1</v>
      </c>
      <c r="I23" s="266" t="s">
        <v>180</v>
      </c>
      <c r="J23" s="266">
        <f>IFERROR(VLOOKUP(C23,PIVOT!A:B,2,0),0)</f>
        <v>96</v>
      </c>
      <c r="K23" s="237">
        <f t="shared" si="32"/>
        <v>12</v>
      </c>
      <c r="L23" s="237">
        <v>600</v>
      </c>
      <c r="M23" s="238">
        <f t="shared" si="33"/>
        <v>7200</v>
      </c>
      <c r="N23" s="266">
        <f>IFERROR(VLOOKUP(C23,PIVOT!A:F,6,0),0)</f>
        <v>6</v>
      </c>
      <c r="O23" s="239">
        <f t="shared" si="34"/>
        <v>1.25</v>
      </c>
      <c r="P23" s="238">
        <f t="shared" si="35"/>
        <v>-7.5</v>
      </c>
      <c r="Q23" s="266">
        <f>IFERROR(VLOOKUP(C23,PIVOT!A:C,3,0),0)</f>
        <v>0</v>
      </c>
      <c r="R23" s="239">
        <f t="shared" si="36"/>
        <v>93.75</v>
      </c>
      <c r="S23" s="238">
        <f t="shared" si="37"/>
        <v>0</v>
      </c>
      <c r="T23" s="266">
        <f>IFERROR(VLOOKUP(C23,PIVOT!A:D,4,0),0)</f>
        <v>66</v>
      </c>
      <c r="U23" s="239">
        <f t="shared" si="38"/>
        <v>7.5</v>
      </c>
      <c r="V23" s="238">
        <f t="shared" si="39"/>
        <v>495</v>
      </c>
      <c r="W23" s="266">
        <f>IFERROR(VLOOKUP(C23,PIVOT!A:E,5,0),0)</f>
        <v>0</v>
      </c>
      <c r="X23" s="238">
        <f t="shared" si="40"/>
        <v>9.375</v>
      </c>
      <c r="Y23" s="238">
        <f t="shared" si="41"/>
        <v>0</v>
      </c>
      <c r="Z23" s="266">
        <f>IFERROR(VLOOKUP(C23,#REF!,6,0),0)</f>
        <v>0</v>
      </c>
      <c r="AA23" s="239">
        <f t="shared" si="42"/>
        <v>97.5</v>
      </c>
      <c r="AB23" s="238">
        <f t="shared" si="43"/>
        <v>0</v>
      </c>
      <c r="AC23" s="266"/>
      <c r="AD23" s="215">
        <f t="shared" si="44"/>
        <v>126.75</v>
      </c>
      <c r="AE23" s="214">
        <f t="shared" si="45"/>
        <v>0</v>
      </c>
      <c r="AF23" s="266">
        <f>IFERROR(VLOOKUP(C23,#REF!,8,0),0)</f>
        <v>0</v>
      </c>
      <c r="AG23" s="239">
        <f t="shared" si="46"/>
        <v>9.75</v>
      </c>
      <c r="AH23" s="238">
        <f t="shared" si="47"/>
        <v>0</v>
      </c>
      <c r="AI23" s="213"/>
      <c r="AJ23" s="213">
        <f t="shared" si="48"/>
        <v>112.5</v>
      </c>
      <c r="AK23" s="216">
        <f t="shared" si="49"/>
        <v>0</v>
      </c>
      <c r="AL23" s="213"/>
      <c r="AM23" s="213">
        <f t="shared" si="50"/>
        <v>146.25</v>
      </c>
      <c r="AN23" s="216">
        <v>0</v>
      </c>
      <c r="AO23" s="213"/>
      <c r="AP23" s="213">
        <f t="shared" si="51"/>
        <v>11.25</v>
      </c>
      <c r="AQ23" s="216">
        <f t="shared" si="52"/>
        <v>0</v>
      </c>
      <c r="AR23" s="266">
        <f>IFERROR(VLOOKUP(C23,#REF!,7,0),0)</f>
        <v>0</v>
      </c>
      <c r="AS23" s="278">
        <f t="shared" si="16"/>
        <v>97.5</v>
      </c>
      <c r="AT23" s="277">
        <f t="shared" si="17"/>
        <v>0</v>
      </c>
      <c r="AU23" s="266"/>
      <c r="AV23" s="213"/>
      <c r="AW23" s="216"/>
      <c r="AX23" s="213">
        <f>IFERROR(VLOOKUP(C23,#REF!,8,0),0)</f>
        <v>0</v>
      </c>
      <c r="AY23" s="278">
        <f t="shared" si="18"/>
        <v>9.75</v>
      </c>
      <c r="AZ23" s="277">
        <f t="shared" si="19"/>
        <v>0</v>
      </c>
      <c r="BA23" s="266">
        <f>IFERROR(VLOOKUP(C23,#REF!,10,0),0)</f>
        <v>0</v>
      </c>
      <c r="BB23" s="268">
        <f t="shared" si="53"/>
        <v>150</v>
      </c>
      <c r="BC23" s="247">
        <f t="shared" si="54"/>
        <v>0</v>
      </c>
      <c r="BD23" s="216"/>
      <c r="BE23" s="213"/>
      <c r="BF23" s="213"/>
      <c r="BG23" s="216"/>
      <c r="BH23" s="213"/>
      <c r="BI23" s="213"/>
      <c r="BJ23" s="216">
        <f>IFERROR(VLOOKUP(C23,#REF!,9,0),0)</f>
        <v>0</v>
      </c>
      <c r="BK23" s="276">
        <f t="shared" si="55"/>
        <v>75</v>
      </c>
      <c r="BL23" s="213">
        <f t="shared" si="56"/>
        <v>0</v>
      </c>
      <c r="BM23" s="216"/>
      <c r="BN23" s="213"/>
      <c r="BO23" s="213"/>
      <c r="BP23" s="213"/>
      <c r="BQ23" s="213"/>
      <c r="BR23" s="213"/>
      <c r="BS23" s="213"/>
      <c r="BT23" s="213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3"/>
      <c r="CF23" s="215"/>
      <c r="CG23" s="215">
        <f t="shared" si="57"/>
        <v>7687.5</v>
      </c>
      <c r="CH23" s="256">
        <f>VLOOKUP(CX23,SSS_2025!A:N,8)</f>
        <v>1750</v>
      </c>
      <c r="CI23" s="217">
        <f>VLOOKUP(CX23,SSS_2025!A:N,13)</f>
        <v>875</v>
      </c>
      <c r="CJ23" s="217">
        <f>VLOOKUP(CX23,SSS_2025!A:N,9)</f>
        <v>30</v>
      </c>
      <c r="CK23" s="215">
        <v>391.25</v>
      </c>
      <c r="CL23" s="215">
        <v>391.25</v>
      </c>
      <c r="CM23" s="215">
        <v>200</v>
      </c>
      <c r="CN23" s="215">
        <v>200</v>
      </c>
      <c r="CO23" s="214">
        <f t="shared" si="58"/>
        <v>10058.75</v>
      </c>
      <c r="CP23" s="214">
        <f t="shared" si="59"/>
        <v>719.25</v>
      </c>
      <c r="CQ23" s="214">
        <f t="shared" si="60"/>
        <v>10778</v>
      </c>
      <c r="CR23" s="215"/>
      <c r="CS23" s="214">
        <f t="shared" si="61"/>
        <v>10778</v>
      </c>
      <c r="CT23" s="273">
        <f t="shared" si="62"/>
        <v>599.375</v>
      </c>
      <c r="CU23" s="244"/>
      <c r="CV23" s="269">
        <f>IFERROR(VLOOKUP(C23,'[2]BILLING COMPUTATION'!$C$8:$CI$224,85,0),0)</f>
        <v>9977.5</v>
      </c>
      <c r="CW23" s="243">
        <f t="shared" si="27"/>
        <v>7687.5</v>
      </c>
      <c r="CX23" s="245">
        <f t="shared" si="63"/>
        <v>17665</v>
      </c>
      <c r="CZ23" s="721">
        <f>IFERROR(VLOOKUP(C23,'[5]BILLING COMPUTATION'!$C$8:$CG$101,83,0),0)</f>
        <v>9398.75</v>
      </c>
      <c r="DA23" s="721">
        <f t="shared" si="29"/>
        <v>7687.5</v>
      </c>
      <c r="DB23" s="721">
        <f t="shared" si="30"/>
        <v>17086.25</v>
      </c>
      <c r="DC23" s="721">
        <f t="shared" si="31"/>
        <v>-578.75</v>
      </c>
    </row>
    <row r="24" spans="1:107" s="2" customFormat="1" ht="16.899999999999999" customHeight="1">
      <c r="A24" s="235">
        <v>18</v>
      </c>
      <c r="B24" s="265"/>
      <c r="C24" s="266">
        <v>12909</v>
      </c>
      <c r="D24" s="266" t="str">
        <f>VLOOKUP(E24,'F3 MS (2)'!E:F,2,0)</f>
        <v>GD250332</v>
      </c>
      <c r="E24" s="267" t="s">
        <v>260</v>
      </c>
      <c r="F24" s="266" t="str">
        <f>VLOOKUP(C24,'[1]ACTIVE GH'!$C:$I,7,0)</f>
        <v>METAL STAMPING</v>
      </c>
      <c r="G24" s="266" t="str">
        <f>VLOOKUP(C24,'[1]ACTIVE GH'!$C:$J,8,0)</f>
        <v>PRODUCTION</v>
      </c>
      <c r="H24" s="266" t="str">
        <f>VLOOKUP(C24,'[1]ACTIVE GH'!$C:$N,12,0)</f>
        <v>Operator 1</v>
      </c>
      <c r="I24" s="266" t="s">
        <v>180</v>
      </c>
      <c r="J24" s="266">
        <f>IFERROR(VLOOKUP(C24,PIVOT!A:B,2,0),0)</f>
        <v>80</v>
      </c>
      <c r="K24" s="237">
        <f t="shared" si="32"/>
        <v>10</v>
      </c>
      <c r="L24" s="237">
        <v>600</v>
      </c>
      <c r="M24" s="238">
        <f t="shared" si="33"/>
        <v>6000</v>
      </c>
      <c r="N24" s="266">
        <f>IFERROR(VLOOKUP(C24,PIVOT!A:F,6,0),0)</f>
        <v>0</v>
      </c>
      <c r="O24" s="239">
        <f t="shared" si="34"/>
        <v>1.25</v>
      </c>
      <c r="P24" s="238">
        <f t="shared" si="35"/>
        <v>0</v>
      </c>
      <c r="Q24" s="266">
        <f>IFERROR(VLOOKUP(C24,PIVOT!A:C,3,0),0)</f>
        <v>0</v>
      </c>
      <c r="R24" s="239">
        <f t="shared" si="36"/>
        <v>93.75</v>
      </c>
      <c r="S24" s="238">
        <f t="shared" si="37"/>
        <v>0</v>
      </c>
      <c r="T24" s="266">
        <f>IFERROR(VLOOKUP(C24,PIVOT!A:D,4,0),0)</f>
        <v>0</v>
      </c>
      <c r="U24" s="239">
        <f t="shared" si="38"/>
        <v>7.5</v>
      </c>
      <c r="V24" s="238">
        <f t="shared" si="39"/>
        <v>0</v>
      </c>
      <c r="W24" s="266">
        <f>IFERROR(VLOOKUP(C24,PIVOT!A:E,5,0),0)</f>
        <v>0</v>
      </c>
      <c r="X24" s="238">
        <f t="shared" si="40"/>
        <v>9.375</v>
      </c>
      <c r="Y24" s="238">
        <f t="shared" si="41"/>
        <v>0</v>
      </c>
      <c r="Z24" s="266">
        <f>IFERROR(VLOOKUP(C24,#REF!,6,0),0)</f>
        <v>0</v>
      </c>
      <c r="AA24" s="239">
        <f t="shared" si="42"/>
        <v>97.5</v>
      </c>
      <c r="AB24" s="238">
        <f t="shared" si="43"/>
        <v>0</v>
      </c>
      <c r="AC24" s="266"/>
      <c r="AD24" s="215">
        <f t="shared" si="44"/>
        <v>126.75</v>
      </c>
      <c r="AE24" s="214">
        <f t="shared" si="45"/>
        <v>0</v>
      </c>
      <c r="AF24" s="266">
        <f>IFERROR(VLOOKUP(C24,#REF!,8,0),0)</f>
        <v>0</v>
      </c>
      <c r="AG24" s="239">
        <f t="shared" si="46"/>
        <v>9.75</v>
      </c>
      <c r="AH24" s="238">
        <f t="shared" si="47"/>
        <v>0</v>
      </c>
      <c r="AI24" s="213"/>
      <c r="AJ24" s="213">
        <f t="shared" si="48"/>
        <v>112.5</v>
      </c>
      <c r="AK24" s="216">
        <f t="shared" si="49"/>
        <v>0</v>
      </c>
      <c r="AL24" s="213"/>
      <c r="AM24" s="213">
        <f t="shared" si="50"/>
        <v>146.25</v>
      </c>
      <c r="AN24" s="216">
        <v>0</v>
      </c>
      <c r="AO24" s="213"/>
      <c r="AP24" s="213">
        <f t="shared" si="51"/>
        <v>11.25</v>
      </c>
      <c r="AQ24" s="216">
        <f t="shared" si="52"/>
        <v>0</v>
      </c>
      <c r="AR24" s="266">
        <f>IFERROR(VLOOKUP(C24,#REF!,7,0),0)</f>
        <v>0</v>
      </c>
      <c r="AS24" s="278">
        <f t="shared" si="16"/>
        <v>97.5</v>
      </c>
      <c r="AT24" s="277">
        <f t="shared" si="17"/>
        <v>0</v>
      </c>
      <c r="AU24" s="266"/>
      <c r="AV24" s="213"/>
      <c r="AW24" s="216"/>
      <c r="AX24" s="213">
        <f>IFERROR(VLOOKUP(C24,#REF!,8,0),0)</f>
        <v>0</v>
      </c>
      <c r="AY24" s="278">
        <f t="shared" si="18"/>
        <v>9.75</v>
      </c>
      <c r="AZ24" s="277">
        <f t="shared" si="19"/>
        <v>0</v>
      </c>
      <c r="BA24" s="266">
        <f>IFERROR(VLOOKUP(C24,#REF!,10,0),0)</f>
        <v>0</v>
      </c>
      <c r="BB24" s="268">
        <f t="shared" si="53"/>
        <v>150</v>
      </c>
      <c r="BC24" s="247">
        <f t="shared" si="54"/>
        <v>0</v>
      </c>
      <c r="BD24" s="216"/>
      <c r="BE24" s="213"/>
      <c r="BF24" s="213"/>
      <c r="BG24" s="216"/>
      <c r="BH24" s="213"/>
      <c r="BI24" s="213"/>
      <c r="BJ24" s="216">
        <f>IFERROR(VLOOKUP(C24,#REF!,9,0),0)</f>
        <v>0</v>
      </c>
      <c r="BK24" s="276">
        <f t="shared" si="55"/>
        <v>75</v>
      </c>
      <c r="BL24" s="213">
        <f t="shared" si="56"/>
        <v>0</v>
      </c>
      <c r="BM24" s="216"/>
      <c r="BN24" s="213"/>
      <c r="BO24" s="213"/>
      <c r="BP24" s="213"/>
      <c r="BQ24" s="213"/>
      <c r="BR24" s="213"/>
      <c r="BS24" s="213"/>
      <c r="BT24" s="213"/>
      <c r="BU24" s="215"/>
      <c r="BV24" s="215"/>
      <c r="BW24" s="215"/>
      <c r="BX24" s="215"/>
      <c r="BY24" s="215"/>
      <c r="BZ24" s="215"/>
      <c r="CA24" s="215"/>
      <c r="CB24" s="215"/>
      <c r="CC24" s="215"/>
      <c r="CD24" s="215"/>
      <c r="CE24" s="213"/>
      <c r="CF24" s="215"/>
      <c r="CG24" s="215">
        <f t="shared" si="57"/>
        <v>6000</v>
      </c>
      <c r="CH24" s="256">
        <f>VLOOKUP(CX24,SSS_2025!A:N,8)</f>
        <v>1400</v>
      </c>
      <c r="CI24" s="217">
        <f>VLOOKUP(CX24,SSS_2025!A:N,13)</f>
        <v>700</v>
      </c>
      <c r="CJ24" s="217">
        <f>VLOOKUP(CX24,SSS_2025!A:N,9)</f>
        <v>10</v>
      </c>
      <c r="CK24" s="215">
        <v>391.25</v>
      </c>
      <c r="CL24" s="215">
        <v>391.25</v>
      </c>
      <c r="CM24" s="215">
        <v>200</v>
      </c>
      <c r="CN24" s="215">
        <v>200</v>
      </c>
      <c r="CO24" s="214">
        <f t="shared" si="58"/>
        <v>8001.25</v>
      </c>
      <c r="CP24" s="214">
        <f t="shared" si="59"/>
        <v>600</v>
      </c>
      <c r="CQ24" s="214">
        <f t="shared" si="60"/>
        <v>8601.25</v>
      </c>
      <c r="CR24" s="215"/>
      <c r="CS24" s="214">
        <f t="shared" si="61"/>
        <v>8601.25</v>
      </c>
      <c r="CT24" s="273">
        <f t="shared" si="62"/>
        <v>500</v>
      </c>
      <c r="CU24" s="244"/>
      <c r="CV24" s="269">
        <f>IFERROR(VLOOKUP(C24,'[3]BILLING COMPUTATION'!$C$34:$CF$34,82,0),0)</f>
        <v>7800</v>
      </c>
      <c r="CW24" s="243">
        <f t="shared" si="27"/>
        <v>6000</v>
      </c>
      <c r="CX24" s="245">
        <f t="shared" si="63"/>
        <v>13800</v>
      </c>
      <c r="CZ24" s="721">
        <f>IFERROR(VLOOKUP(C24,'[5]BILLING COMPUTATION'!$C$8:$CG$101,83,0),0)</f>
        <v>6600</v>
      </c>
      <c r="DA24" s="721">
        <f t="shared" si="29"/>
        <v>6000</v>
      </c>
      <c r="DB24" s="721">
        <f t="shared" si="30"/>
        <v>12600</v>
      </c>
      <c r="DC24" s="721">
        <f t="shared" si="31"/>
        <v>-1200</v>
      </c>
    </row>
    <row r="25" spans="1:107" s="2" customFormat="1" ht="16.899999999999999" customHeight="1">
      <c r="A25" s="235">
        <v>19</v>
      </c>
      <c r="B25" s="265"/>
      <c r="C25" s="266">
        <v>30293</v>
      </c>
      <c r="D25" s="266" t="str">
        <f>VLOOKUP(E25,'F3 MS (2)'!E:F,2,0)</f>
        <v>GD250531</v>
      </c>
      <c r="E25" s="267" t="s">
        <v>303</v>
      </c>
      <c r="F25" s="266" t="str">
        <f>VLOOKUP(C25,'[1]ACTIVE GH'!$C:$I,7,0)</f>
        <v>METAL STAMPING</v>
      </c>
      <c r="G25" s="266" t="str">
        <f>VLOOKUP(C25,'[1]ACTIVE GH'!$C:$J,8,0)</f>
        <v>PRODUCTION</v>
      </c>
      <c r="H25" s="266" t="str">
        <f>VLOOKUP(C25,'[1]ACTIVE GH'!$C:$N,12,0)</f>
        <v>Operator 1</v>
      </c>
      <c r="I25" s="266" t="s">
        <v>180</v>
      </c>
      <c r="J25" s="266">
        <f>IFERROR(VLOOKUP(C25,PIVOT!A:B,2,0),0)</f>
        <v>96</v>
      </c>
      <c r="K25" s="237">
        <f t="shared" si="32"/>
        <v>12</v>
      </c>
      <c r="L25" s="237">
        <v>600</v>
      </c>
      <c r="M25" s="238">
        <f t="shared" si="33"/>
        <v>7200</v>
      </c>
      <c r="N25" s="266">
        <f>IFERROR(VLOOKUP(C25,PIVOT!A:F,6,0),0)</f>
        <v>0</v>
      </c>
      <c r="O25" s="239">
        <f t="shared" si="34"/>
        <v>1.25</v>
      </c>
      <c r="P25" s="238">
        <f t="shared" si="35"/>
        <v>0</v>
      </c>
      <c r="Q25" s="266">
        <f>IFERROR(VLOOKUP(C25,PIVOT!A:C,3,0),0)</f>
        <v>20</v>
      </c>
      <c r="R25" s="239">
        <f t="shared" si="36"/>
        <v>93.75</v>
      </c>
      <c r="S25" s="238">
        <f t="shared" si="37"/>
        <v>1875</v>
      </c>
      <c r="T25" s="266">
        <f>IFERROR(VLOOKUP(C25,PIVOT!A:D,4,0),0)</f>
        <v>0</v>
      </c>
      <c r="U25" s="239">
        <f t="shared" si="38"/>
        <v>7.5</v>
      </c>
      <c r="V25" s="238">
        <f t="shared" si="39"/>
        <v>0</v>
      </c>
      <c r="W25" s="266">
        <f>IFERROR(VLOOKUP(C25,PIVOT!A:E,5,0),0)</f>
        <v>0</v>
      </c>
      <c r="X25" s="238">
        <f t="shared" si="40"/>
        <v>9.375</v>
      </c>
      <c r="Y25" s="238">
        <f t="shared" si="41"/>
        <v>0</v>
      </c>
      <c r="Z25" s="266">
        <f>IFERROR(VLOOKUP(C25,#REF!,6,0),0)</f>
        <v>0</v>
      </c>
      <c r="AA25" s="239">
        <f t="shared" si="42"/>
        <v>97.5</v>
      </c>
      <c r="AB25" s="238">
        <f t="shared" si="43"/>
        <v>0</v>
      </c>
      <c r="AC25" s="266"/>
      <c r="AD25" s="215">
        <f t="shared" si="44"/>
        <v>126.75</v>
      </c>
      <c r="AE25" s="214">
        <f t="shared" si="45"/>
        <v>0</v>
      </c>
      <c r="AF25" s="266">
        <f>IFERROR(VLOOKUP(C25,#REF!,8,0),0)</f>
        <v>0</v>
      </c>
      <c r="AG25" s="239">
        <f t="shared" si="46"/>
        <v>9.75</v>
      </c>
      <c r="AH25" s="238">
        <f t="shared" si="47"/>
        <v>0</v>
      </c>
      <c r="AI25" s="213"/>
      <c r="AJ25" s="213">
        <f t="shared" si="48"/>
        <v>112.5</v>
      </c>
      <c r="AK25" s="216">
        <f t="shared" si="49"/>
        <v>0</v>
      </c>
      <c r="AL25" s="213"/>
      <c r="AM25" s="213">
        <f t="shared" si="50"/>
        <v>146.25</v>
      </c>
      <c r="AN25" s="216">
        <v>0</v>
      </c>
      <c r="AO25" s="213"/>
      <c r="AP25" s="213">
        <f t="shared" si="51"/>
        <v>11.25</v>
      </c>
      <c r="AQ25" s="216">
        <f t="shared" si="52"/>
        <v>0</v>
      </c>
      <c r="AR25" s="266">
        <f>IFERROR(VLOOKUP(C25,#REF!,7,0),0)</f>
        <v>0</v>
      </c>
      <c r="AS25" s="278">
        <f t="shared" si="16"/>
        <v>97.5</v>
      </c>
      <c r="AT25" s="277">
        <f t="shared" si="17"/>
        <v>0</v>
      </c>
      <c r="AU25" s="266"/>
      <c r="AV25" s="213"/>
      <c r="AW25" s="216"/>
      <c r="AX25" s="213">
        <f>IFERROR(VLOOKUP(C25,#REF!,8,0),0)</f>
        <v>0</v>
      </c>
      <c r="AY25" s="278">
        <f t="shared" si="18"/>
        <v>9.75</v>
      </c>
      <c r="AZ25" s="277">
        <f t="shared" si="19"/>
        <v>0</v>
      </c>
      <c r="BA25" s="266">
        <f>IFERROR(VLOOKUP(C25,#REF!,10,0),0)</f>
        <v>0</v>
      </c>
      <c r="BB25" s="268">
        <f t="shared" si="53"/>
        <v>150</v>
      </c>
      <c r="BC25" s="247">
        <f t="shared" si="54"/>
        <v>0</v>
      </c>
      <c r="BD25" s="216"/>
      <c r="BE25" s="213"/>
      <c r="BF25" s="213"/>
      <c r="BG25" s="216"/>
      <c r="BH25" s="213"/>
      <c r="BI25" s="213"/>
      <c r="BJ25" s="216">
        <f>IFERROR(VLOOKUP(C25,#REF!,9,0),0)</f>
        <v>0</v>
      </c>
      <c r="BK25" s="276">
        <f t="shared" si="55"/>
        <v>75</v>
      </c>
      <c r="BL25" s="213">
        <f t="shared" si="56"/>
        <v>0</v>
      </c>
      <c r="BM25" s="216"/>
      <c r="BN25" s="213"/>
      <c r="BO25" s="213"/>
      <c r="BP25" s="213"/>
      <c r="BQ25" s="213"/>
      <c r="BR25" s="213"/>
      <c r="BS25" s="213"/>
      <c r="BT25" s="213"/>
      <c r="BU25" s="215"/>
      <c r="BV25" s="215"/>
      <c r="BW25" s="215"/>
      <c r="BX25" s="215"/>
      <c r="BY25" s="215"/>
      <c r="BZ25" s="215"/>
      <c r="CA25" s="215"/>
      <c r="CB25" s="215"/>
      <c r="CC25" s="215"/>
      <c r="CD25" s="215"/>
      <c r="CE25" s="213"/>
      <c r="CF25" s="215"/>
      <c r="CG25" s="215">
        <f t="shared" si="57"/>
        <v>9075</v>
      </c>
      <c r="CH25" s="256">
        <f>VLOOKUP(CX25,SSS_2025!A:N,8)</f>
        <v>1950</v>
      </c>
      <c r="CI25" s="217">
        <f>VLOOKUP(CX25,SSS_2025!A:N,13)</f>
        <v>975</v>
      </c>
      <c r="CJ25" s="217">
        <f>VLOOKUP(CX25,SSS_2025!A:N,9)</f>
        <v>30</v>
      </c>
      <c r="CK25" s="215">
        <v>391.25</v>
      </c>
      <c r="CL25" s="215">
        <v>391.25</v>
      </c>
      <c r="CM25" s="215">
        <v>200</v>
      </c>
      <c r="CN25" s="215">
        <v>200</v>
      </c>
      <c r="CO25" s="214">
        <f t="shared" si="58"/>
        <v>11646.25</v>
      </c>
      <c r="CP25" s="214">
        <f t="shared" si="59"/>
        <v>720</v>
      </c>
      <c r="CQ25" s="214">
        <f t="shared" si="60"/>
        <v>12366.25</v>
      </c>
      <c r="CR25" s="215"/>
      <c r="CS25" s="214">
        <f t="shared" si="61"/>
        <v>12366.25</v>
      </c>
      <c r="CT25" s="273">
        <f t="shared" si="62"/>
        <v>600</v>
      </c>
      <c r="CU25" s="244"/>
      <c r="CV25" s="269">
        <f>IFERROR(VLOOKUP(C25,'[2]BILLING COMPUTATION'!$C$8:$CI$224,85,0),0)</f>
        <v>10305</v>
      </c>
      <c r="CW25" s="243">
        <f t="shared" si="27"/>
        <v>9075</v>
      </c>
      <c r="CX25" s="245">
        <f t="shared" si="63"/>
        <v>19380</v>
      </c>
      <c r="CZ25" s="721">
        <f>IFERROR(VLOOKUP(C25,'[5]BILLING COMPUTATION'!$C$8:$CG$101,83,0),0)</f>
        <v>10747.5</v>
      </c>
      <c r="DA25" s="721">
        <f t="shared" si="29"/>
        <v>9075</v>
      </c>
      <c r="DB25" s="721">
        <f t="shared" si="30"/>
        <v>19822.5</v>
      </c>
      <c r="DC25" s="721">
        <f t="shared" si="31"/>
        <v>442.5</v>
      </c>
    </row>
    <row r="26" spans="1:107" s="2" customFormat="1" ht="16.899999999999999" customHeight="1">
      <c r="A26" s="235">
        <v>20</v>
      </c>
      <c r="B26" s="265"/>
      <c r="C26" s="266">
        <v>11863</v>
      </c>
      <c r="D26" s="266" t="str">
        <f>VLOOKUP(E26,'F3 MS (2)'!E:F,2,0)</f>
        <v>GD250159</v>
      </c>
      <c r="E26" s="267" t="s">
        <v>330</v>
      </c>
      <c r="F26" s="266" t="str">
        <f>VLOOKUP(C26,'[1]ACTIVE GH'!$C:$I,7,0)</f>
        <v>METAL STAMPING</v>
      </c>
      <c r="G26" s="266" t="str">
        <f>VLOOKUP(C26,'[1]ACTIVE GH'!$C:$J,8,0)</f>
        <v>PRODUCTION</v>
      </c>
      <c r="H26" s="266" t="str">
        <f>VLOOKUP(C26,'[1]ACTIVE GH'!$C:$N,12,0)</f>
        <v>Operator 1</v>
      </c>
      <c r="I26" s="266" t="s">
        <v>180</v>
      </c>
      <c r="J26" s="266">
        <f>IFERROR(VLOOKUP(C26,PIVOT!A:B,2,0),0)</f>
        <v>96</v>
      </c>
      <c r="K26" s="237">
        <f t="shared" si="32"/>
        <v>12</v>
      </c>
      <c r="L26" s="237">
        <v>600</v>
      </c>
      <c r="M26" s="238">
        <f t="shared" si="33"/>
        <v>7200</v>
      </c>
      <c r="N26" s="266">
        <f>IFERROR(VLOOKUP(C26,PIVOT!A:F,6,0),0)</f>
        <v>0</v>
      </c>
      <c r="O26" s="239">
        <f t="shared" si="34"/>
        <v>1.25</v>
      </c>
      <c r="P26" s="238">
        <f t="shared" si="35"/>
        <v>0</v>
      </c>
      <c r="Q26" s="266">
        <f>IFERROR(VLOOKUP(C26,PIVOT!A:C,3,0),0)</f>
        <v>0</v>
      </c>
      <c r="R26" s="239">
        <f t="shared" si="36"/>
        <v>93.75</v>
      </c>
      <c r="S26" s="238">
        <f t="shared" si="37"/>
        <v>0</v>
      </c>
      <c r="T26" s="266">
        <f>IFERROR(VLOOKUP(C26,PIVOT!A:D,4,0),0)</f>
        <v>6</v>
      </c>
      <c r="U26" s="239">
        <f t="shared" si="38"/>
        <v>7.5</v>
      </c>
      <c r="V26" s="238">
        <f t="shared" si="39"/>
        <v>45</v>
      </c>
      <c r="W26" s="266">
        <f>IFERROR(VLOOKUP(C26,PIVOT!A:E,5,0),0)</f>
        <v>0</v>
      </c>
      <c r="X26" s="238">
        <f t="shared" si="40"/>
        <v>9.375</v>
      </c>
      <c r="Y26" s="238">
        <f t="shared" si="41"/>
        <v>0</v>
      </c>
      <c r="Z26" s="266">
        <f>IFERROR(VLOOKUP(C26,#REF!,6,0),0)</f>
        <v>0</v>
      </c>
      <c r="AA26" s="239">
        <f t="shared" si="42"/>
        <v>97.5</v>
      </c>
      <c r="AB26" s="238">
        <f t="shared" si="43"/>
        <v>0</v>
      </c>
      <c r="AC26" s="266"/>
      <c r="AD26" s="215">
        <f t="shared" si="44"/>
        <v>126.75</v>
      </c>
      <c r="AE26" s="214">
        <f t="shared" si="45"/>
        <v>0</v>
      </c>
      <c r="AF26" s="266">
        <f>IFERROR(VLOOKUP(C26,#REF!,8,0),0)</f>
        <v>0</v>
      </c>
      <c r="AG26" s="239">
        <f t="shared" si="46"/>
        <v>9.75</v>
      </c>
      <c r="AH26" s="238">
        <f t="shared" si="47"/>
        <v>0</v>
      </c>
      <c r="AI26" s="213"/>
      <c r="AJ26" s="213">
        <f t="shared" si="48"/>
        <v>112.5</v>
      </c>
      <c r="AK26" s="216">
        <f t="shared" si="49"/>
        <v>0</v>
      </c>
      <c r="AL26" s="213"/>
      <c r="AM26" s="213">
        <f t="shared" si="50"/>
        <v>146.25</v>
      </c>
      <c r="AN26" s="216">
        <v>0</v>
      </c>
      <c r="AO26" s="213"/>
      <c r="AP26" s="213">
        <f t="shared" si="51"/>
        <v>11.25</v>
      </c>
      <c r="AQ26" s="216">
        <f t="shared" si="52"/>
        <v>0</v>
      </c>
      <c r="AR26" s="266">
        <f>IFERROR(VLOOKUP(C26,#REF!,7,0),0)</f>
        <v>0</v>
      </c>
      <c r="AS26" s="278">
        <f t="shared" si="16"/>
        <v>97.5</v>
      </c>
      <c r="AT26" s="277">
        <f t="shared" si="17"/>
        <v>0</v>
      </c>
      <c r="AU26" s="266"/>
      <c r="AV26" s="213"/>
      <c r="AW26" s="216"/>
      <c r="AX26" s="213">
        <f>IFERROR(VLOOKUP(C26,#REF!,8,0),0)</f>
        <v>0</v>
      </c>
      <c r="AY26" s="278">
        <f t="shared" si="18"/>
        <v>9.75</v>
      </c>
      <c r="AZ26" s="277">
        <f t="shared" si="19"/>
        <v>0</v>
      </c>
      <c r="BA26" s="266">
        <f>IFERROR(VLOOKUP(C26,#REF!,10,0),0)</f>
        <v>0</v>
      </c>
      <c r="BB26" s="268">
        <f t="shared" si="53"/>
        <v>150</v>
      </c>
      <c r="BC26" s="247">
        <f t="shared" si="54"/>
        <v>0</v>
      </c>
      <c r="BD26" s="216"/>
      <c r="BE26" s="213"/>
      <c r="BF26" s="213"/>
      <c r="BG26" s="216"/>
      <c r="BH26" s="213"/>
      <c r="BI26" s="213"/>
      <c r="BJ26" s="216">
        <f>IFERROR(VLOOKUP(C26,#REF!,9,0),0)</f>
        <v>0</v>
      </c>
      <c r="BK26" s="276">
        <f t="shared" si="55"/>
        <v>75</v>
      </c>
      <c r="BL26" s="213">
        <f t="shared" si="56"/>
        <v>0</v>
      </c>
      <c r="BM26" s="216"/>
      <c r="BN26" s="213"/>
      <c r="BO26" s="213"/>
      <c r="BP26" s="213"/>
      <c r="BQ26" s="213"/>
      <c r="BR26" s="213"/>
      <c r="BS26" s="213"/>
      <c r="BT26" s="213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3"/>
      <c r="CF26" s="215"/>
      <c r="CG26" s="215">
        <f t="shared" si="57"/>
        <v>7245</v>
      </c>
      <c r="CH26" s="256">
        <f>VLOOKUP(CX26,SSS_2025!A:N,8)</f>
        <v>1900</v>
      </c>
      <c r="CI26" s="217">
        <f>VLOOKUP(CX26,SSS_2025!A:N,13)</f>
        <v>950</v>
      </c>
      <c r="CJ26" s="217">
        <f>VLOOKUP(CX26,SSS_2025!A:N,9)</f>
        <v>30</v>
      </c>
      <c r="CK26" s="215">
        <v>391.25</v>
      </c>
      <c r="CL26" s="215">
        <v>391.25</v>
      </c>
      <c r="CM26" s="215">
        <v>200</v>
      </c>
      <c r="CN26" s="215">
        <v>200</v>
      </c>
      <c r="CO26" s="214">
        <f t="shared" si="58"/>
        <v>9766.25</v>
      </c>
      <c r="CP26" s="214">
        <f t="shared" si="59"/>
        <v>720</v>
      </c>
      <c r="CQ26" s="214">
        <f t="shared" si="60"/>
        <v>10486.25</v>
      </c>
      <c r="CR26" s="215"/>
      <c r="CS26" s="214">
        <f t="shared" si="61"/>
        <v>10486.25</v>
      </c>
      <c r="CT26" s="273">
        <f t="shared" si="62"/>
        <v>600</v>
      </c>
      <c r="CU26" s="244"/>
      <c r="CV26" s="269">
        <f>IFERROR(VLOOKUP(C26,'[2]BILLING COMPUTATION'!$C$8:$CI$224,85,0),0)</f>
        <v>11610</v>
      </c>
      <c r="CW26" s="243">
        <f t="shared" si="27"/>
        <v>7245</v>
      </c>
      <c r="CX26" s="245">
        <f t="shared" si="63"/>
        <v>18855</v>
      </c>
      <c r="CZ26" s="721">
        <f>IFERROR(VLOOKUP(C26,'[5]BILLING COMPUTATION'!$C$8:$CG$101,83,0),0)</f>
        <v>8585</v>
      </c>
      <c r="DA26" s="721">
        <f t="shared" si="29"/>
        <v>7245</v>
      </c>
      <c r="DB26" s="721">
        <f t="shared" si="30"/>
        <v>15830</v>
      </c>
      <c r="DC26" s="721">
        <f t="shared" si="31"/>
        <v>-3025</v>
      </c>
    </row>
    <row r="27" spans="1:107" s="2" customFormat="1" ht="16.899999999999999" customHeight="1">
      <c r="A27" s="235">
        <v>21</v>
      </c>
      <c r="B27" s="265"/>
      <c r="C27" s="266">
        <v>30261</v>
      </c>
      <c r="D27" s="266" t="str">
        <f>VLOOKUP(E27,'F3 MS (2)'!E:F,2,0)</f>
        <v>GD250522</v>
      </c>
      <c r="E27" s="267" t="s">
        <v>208</v>
      </c>
      <c r="F27" s="266" t="str">
        <f>VLOOKUP(C27,'[1]ACTIVE GH'!$C:$I,7,0)</f>
        <v>METAL STAMPING</v>
      </c>
      <c r="G27" s="266" t="str">
        <f>VLOOKUP(C27,'[1]ACTIVE GH'!$C:$J,8,0)</f>
        <v>PRODUCTION</v>
      </c>
      <c r="H27" s="266" t="str">
        <f>VLOOKUP(C27,'[1]ACTIVE GH'!$C:$N,12,0)</f>
        <v>Operator 1</v>
      </c>
      <c r="I27" s="266" t="s">
        <v>180</v>
      </c>
      <c r="J27" s="266">
        <f>IFERROR(VLOOKUP(C27,PIVOT!A:B,2,0),0)</f>
        <v>80</v>
      </c>
      <c r="K27" s="237">
        <f t="shared" si="32"/>
        <v>10</v>
      </c>
      <c r="L27" s="237">
        <v>600</v>
      </c>
      <c r="M27" s="238">
        <f t="shared" si="33"/>
        <v>6000</v>
      </c>
      <c r="N27" s="266">
        <f>IFERROR(VLOOKUP(C27,PIVOT!A:F,6,0),0)</f>
        <v>0</v>
      </c>
      <c r="O27" s="239">
        <f t="shared" si="34"/>
        <v>1.25</v>
      </c>
      <c r="P27" s="238">
        <f t="shared" si="35"/>
        <v>0</v>
      </c>
      <c r="Q27" s="266">
        <f>IFERROR(VLOOKUP(C27,PIVOT!A:C,3,0),0)</f>
        <v>6</v>
      </c>
      <c r="R27" s="239">
        <f t="shared" si="36"/>
        <v>93.75</v>
      </c>
      <c r="S27" s="238">
        <f t="shared" si="37"/>
        <v>562.5</v>
      </c>
      <c r="T27" s="266">
        <f>IFERROR(VLOOKUP(C27,PIVOT!A:D,4,0),0)</f>
        <v>0</v>
      </c>
      <c r="U27" s="239">
        <f t="shared" si="38"/>
        <v>7.5</v>
      </c>
      <c r="V27" s="238">
        <f t="shared" si="39"/>
        <v>0</v>
      </c>
      <c r="W27" s="266">
        <f>IFERROR(VLOOKUP(C27,PIVOT!A:E,5,0),0)</f>
        <v>0</v>
      </c>
      <c r="X27" s="238">
        <f t="shared" si="40"/>
        <v>9.375</v>
      </c>
      <c r="Y27" s="238">
        <f t="shared" si="41"/>
        <v>0</v>
      </c>
      <c r="Z27" s="266">
        <f>IFERROR(VLOOKUP(C27,#REF!,6,0),0)</f>
        <v>0</v>
      </c>
      <c r="AA27" s="239">
        <f t="shared" si="42"/>
        <v>97.5</v>
      </c>
      <c r="AB27" s="238">
        <f t="shared" si="43"/>
        <v>0</v>
      </c>
      <c r="AC27" s="266"/>
      <c r="AD27" s="215">
        <f t="shared" si="44"/>
        <v>126.75</v>
      </c>
      <c r="AE27" s="214">
        <f t="shared" si="45"/>
        <v>0</v>
      </c>
      <c r="AF27" s="266">
        <f>IFERROR(VLOOKUP(C27,#REF!,8,0),0)</f>
        <v>0</v>
      </c>
      <c r="AG27" s="239">
        <f t="shared" si="46"/>
        <v>9.75</v>
      </c>
      <c r="AH27" s="238">
        <f t="shared" si="47"/>
        <v>0</v>
      </c>
      <c r="AI27" s="213"/>
      <c r="AJ27" s="213">
        <f t="shared" si="48"/>
        <v>112.5</v>
      </c>
      <c r="AK27" s="216">
        <f t="shared" si="49"/>
        <v>0</v>
      </c>
      <c r="AL27" s="213"/>
      <c r="AM27" s="213">
        <f t="shared" si="50"/>
        <v>146.25</v>
      </c>
      <c r="AN27" s="216">
        <v>0</v>
      </c>
      <c r="AO27" s="213"/>
      <c r="AP27" s="213">
        <f t="shared" si="51"/>
        <v>11.25</v>
      </c>
      <c r="AQ27" s="216">
        <f t="shared" si="52"/>
        <v>0</v>
      </c>
      <c r="AR27" s="266">
        <f>IFERROR(VLOOKUP(C27,#REF!,7,0),0)</f>
        <v>0</v>
      </c>
      <c r="AS27" s="278">
        <f t="shared" si="16"/>
        <v>97.5</v>
      </c>
      <c r="AT27" s="277">
        <f t="shared" si="17"/>
        <v>0</v>
      </c>
      <c r="AU27" s="266"/>
      <c r="AV27" s="213"/>
      <c r="AW27" s="216"/>
      <c r="AX27" s="213">
        <f>IFERROR(VLOOKUP(C27,#REF!,8,0),0)</f>
        <v>0</v>
      </c>
      <c r="AY27" s="278">
        <f t="shared" si="18"/>
        <v>9.75</v>
      </c>
      <c r="AZ27" s="277">
        <f t="shared" si="19"/>
        <v>0</v>
      </c>
      <c r="BA27" s="266">
        <f>IFERROR(VLOOKUP(C27,#REF!,10,0),0)</f>
        <v>0</v>
      </c>
      <c r="BB27" s="268">
        <f t="shared" si="53"/>
        <v>150</v>
      </c>
      <c r="BC27" s="247">
        <f t="shared" si="54"/>
        <v>0</v>
      </c>
      <c r="BD27" s="216"/>
      <c r="BE27" s="213"/>
      <c r="BF27" s="213"/>
      <c r="BG27" s="216"/>
      <c r="BH27" s="213"/>
      <c r="BI27" s="213"/>
      <c r="BJ27" s="216">
        <f>IFERROR(VLOOKUP(C27,#REF!,9,0),0)</f>
        <v>0</v>
      </c>
      <c r="BK27" s="276">
        <f t="shared" si="55"/>
        <v>75</v>
      </c>
      <c r="BL27" s="213">
        <f t="shared" si="56"/>
        <v>0</v>
      </c>
      <c r="BM27" s="216"/>
      <c r="BN27" s="213"/>
      <c r="BO27" s="213"/>
      <c r="BP27" s="213"/>
      <c r="BQ27" s="213"/>
      <c r="BR27" s="213"/>
      <c r="BS27" s="213"/>
      <c r="BT27" s="213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3"/>
      <c r="CF27" s="215"/>
      <c r="CG27" s="215">
        <f t="shared" si="57"/>
        <v>6562.5</v>
      </c>
      <c r="CH27" s="256">
        <f>VLOOKUP(CX27,SSS_2025!A:N,8)</f>
        <v>1700</v>
      </c>
      <c r="CI27" s="217">
        <f>VLOOKUP(CX27,SSS_2025!A:N,13)</f>
        <v>850</v>
      </c>
      <c r="CJ27" s="217">
        <f>VLOOKUP(CX27,SSS_2025!A:N,9)</f>
        <v>30</v>
      </c>
      <c r="CK27" s="215">
        <v>391.25</v>
      </c>
      <c r="CL27" s="215">
        <v>391.25</v>
      </c>
      <c r="CM27" s="215">
        <v>200</v>
      </c>
      <c r="CN27" s="215">
        <v>200</v>
      </c>
      <c r="CO27" s="214">
        <f t="shared" si="58"/>
        <v>8883.75</v>
      </c>
      <c r="CP27" s="214">
        <f t="shared" si="59"/>
        <v>600</v>
      </c>
      <c r="CQ27" s="214">
        <f t="shared" si="60"/>
        <v>9483.75</v>
      </c>
      <c r="CR27" s="215"/>
      <c r="CS27" s="214">
        <f t="shared" si="61"/>
        <v>9483.75</v>
      </c>
      <c r="CT27" s="273">
        <f t="shared" si="62"/>
        <v>500</v>
      </c>
      <c r="CU27" s="244"/>
      <c r="CV27" s="269">
        <f>IFERROR(VLOOKUP(C27,'[2]BILLING COMPUTATION'!$C$8:$CI$224,85,0),0)</f>
        <v>10346.25</v>
      </c>
      <c r="CW27" s="243">
        <f t="shared" si="27"/>
        <v>6562.5</v>
      </c>
      <c r="CX27" s="245">
        <f t="shared" si="63"/>
        <v>16908.75</v>
      </c>
      <c r="CZ27" s="721">
        <f>IFERROR(VLOOKUP(C27,'[5]BILLING COMPUTATION'!$C$8:$CG$101,83,0),0)</f>
        <v>7388.75</v>
      </c>
      <c r="DA27" s="721">
        <f t="shared" si="29"/>
        <v>6562.5</v>
      </c>
      <c r="DB27" s="721">
        <f t="shared" si="30"/>
        <v>13951.25</v>
      </c>
      <c r="DC27" s="721">
        <f t="shared" si="31"/>
        <v>-2957.5</v>
      </c>
    </row>
    <row r="28" spans="1:107" s="2" customFormat="1" ht="16.899999999999999" customHeight="1">
      <c r="A28" s="235">
        <v>22</v>
      </c>
      <c r="B28" s="265"/>
      <c r="C28" s="266">
        <v>12927</v>
      </c>
      <c r="D28" s="266" t="str">
        <f>VLOOKUP(E28,'F3 MS (2)'!E:F,2,0)</f>
        <v>GD250343</v>
      </c>
      <c r="E28" s="267" t="s">
        <v>249</v>
      </c>
      <c r="F28" s="266" t="str">
        <f>VLOOKUP(C28,'[1]ACTIVE GH'!$C:$I,7,0)</f>
        <v>METAL STAMPING</v>
      </c>
      <c r="G28" s="266" t="str">
        <f>VLOOKUP(C28,'[1]ACTIVE GH'!$C:$J,8,0)</f>
        <v>PRODUCTION</v>
      </c>
      <c r="H28" s="266" t="str">
        <f>VLOOKUP(C28,'[1]ACTIVE GH'!$C:$N,12,0)</f>
        <v>Operator 1</v>
      </c>
      <c r="I28" s="266" t="s">
        <v>180</v>
      </c>
      <c r="J28" s="266">
        <f>IFERROR(VLOOKUP(C28,PIVOT!A:B,2,0),0)</f>
        <v>88</v>
      </c>
      <c r="K28" s="237">
        <f t="shared" si="32"/>
        <v>11</v>
      </c>
      <c r="L28" s="237">
        <v>600</v>
      </c>
      <c r="M28" s="238">
        <f t="shared" si="33"/>
        <v>6600</v>
      </c>
      <c r="N28" s="266">
        <f>IFERROR(VLOOKUP(C28,PIVOT!A:F,6,0),0)</f>
        <v>0</v>
      </c>
      <c r="O28" s="239">
        <f t="shared" si="34"/>
        <v>1.25</v>
      </c>
      <c r="P28" s="238">
        <f t="shared" si="35"/>
        <v>0</v>
      </c>
      <c r="Q28" s="266">
        <f>IFERROR(VLOOKUP(C28,PIVOT!A:C,3,0),0)</f>
        <v>0</v>
      </c>
      <c r="R28" s="239">
        <f t="shared" si="36"/>
        <v>93.75</v>
      </c>
      <c r="S28" s="238">
        <f t="shared" si="37"/>
        <v>0</v>
      </c>
      <c r="T28" s="266">
        <f>IFERROR(VLOOKUP(C28,PIVOT!A:D,4,0),0)</f>
        <v>6</v>
      </c>
      <c r="U28" s="239">
        <f t="shared" si="38"/>
        <v>7.5</v>
      </c>
      <c r="V28" s="238">
        <f t="shared" si="39"/>
        <v>45</v>
      </c>
      <c r="W28" s="266">
        <f>IFERROR(VLOOKUP(C28,PIVOT!A:E,5,0),0)</f>
        <v>0</v>
      </c>
      <c r="X28" s="238">
        <f t="shared" si="40"/>
        <v>9.375</v>
      </c>
      <c r="Y28" s="238">
        <f t="shared" si="41"/>
        <v>0</v>
      </c>
      <c r="Z28" s="266">
        <f>IFERROR(VLOOKUP(C28,#REF!,6,0),0)</f>
        <v>0</v>
      </c>
      <c r="AA28" s="239">
        <f t="shared" si="42"/>
        <v>97.5</v>
      </c>
      <c r="AB28" s="238">
        <f t="shared" si="43"/>
        <v>0</v>
      </c>
      <c r="AC28" s="266"/>
      <c r="AD28" s="215">
        <f t="shared" si="44"/>
        <v>126.75</v>
      </c>
      <c r="AE28" s="214">
        <f t="shared" si="45"/>
        <v>0</v>
      </c>
      <c r="AF28" s="266">
        <f>IFERROR(VLOOKUP(C28,#REF!,8,0),0)</f>
        <v>0</v>
      </c>
      <c r="AG28" s="239">
        <f t="shared" si="46"/>
        <v>9.75</v>
      </c>
      <c r="AH28" s="238">
        <f t="shared" si="47"/>
        <v>0</v>
      </c>
      <c r="AI28" s="213"/>
      <c r="AJ28" s="213">
        <f t="shared" si="48"/>
        <v>112.5</v>
      </c>
      <c r="AK28" s="216">
        <f t="shared" si="49"/>
        <v>0</v>
      </c>
      <c r="AL28" s="213"/>
      <c r="AM28" s="213">
        <f t="shared" si="50"/>
        <v>146.25</v>
      </c>
      <c r="AN28" s="216">
        <v>0</v>
      </c>
      <c r="AO28" s="213"/>
      <c r="AP28" s="213">
        <f t="shared" si="51"/>
        <v>11.25</v>
      </c>
      <c r="AQ28" s="216">
        <f t="shared" si="52"/>
        <v>0</v>
      </c>
      <c r="AR28" s="266">
        <f>IFERROR(VLOOKUP(C28,#REF!,7,0),0)</f>
        <v>0</v>
      </c>
      <c r="AS28" s="278">
        <f t="shared" si="16"/>
        <v>97.5</v>
      </c>
      <c r="AT28" s="277">
        <f t="shared" si="17"/>
        <v>0</v>
      </c>
      <c r="AU28" s="266"/>
      <c r="AV28" s="213"/>
      <c r="AW28" s="216"/>
      <c r="AX28" s="213">
        <f>IFERROR(VLOOKUP(C28,#REF!,8,0),0)</f>
        <v>0</v>
      </c>
      <c r="AY28" s="278">
        <f t="shared" si="18"/>
        <v>9.75</v>
      </c>
      <c r="AZ28" s="277">
        <f t="shared" si="19"/>
        <v>0</v>
      </c>
      <c r="BA28" s="266">
        <f>IFERROR(VLOOKUP(C28,#REF!,10,0),0)</f>
        <v>0</v>
      </c>
      <c r="BB28" s="268">
        <f t="shared" si="53"/>
        <v>150</v>
      </c>
      <c r="BC28" s="247">
        <f t="shared" si="54"/>
        <v>0</v>
      </c>
      <c r="BD28" s="216"/>
      <c r="BE28" s="213"/>
      <c r="BF28" s="213"/>
      <c r="BG28" s="216"/>
      <c r="BH28" s="213"/>
      <c r="BI28" s="213"/>
      <c r="BJ28" s="216">
        <f>IFERROR(VLOOKUP(C28,#REF!,9,0),0)</f>
        <v>0</v>
      </c>
      <c r="BK28" s="276">
        <f t="shared" si="55"/>
        <v>75</v>
      </c>
      <c r="BL28" s="213">
        <f t="shared" si="56"/>
        <v>0</v>
      </c>
      <c r="BM28" s="216"/>
      <c r="BN28" s="213"/>
      <c r="BO28" s="213"/>
      <c r="BP28" s="213"/>
      <c r="BQ28" s="213"/>
      <c r="BR28" s="213"/>
      <c r="BS28" s="213"/>
      <c r="BT28" s="213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3"/>
      <c r="CF28" s="215"/>
      <c r="CG28" s="215">
        <f t="shared" si="57"/>
        <v>6645</v>
      </c>
      <c r="CH28" s="256">
        <f>VLOOKUP(CX28,SSS_2025!A:N,8)</f>
        <v>1800</v>
      </c>
      <c r="CI28" s="217">
        <f>VLOOKUP(CX28,SSS_2025!A:N,13)</f>
        <v>900</v>
      </c>
      <c r="CJ28" s="217">
        <f>VLOOKUP(CX28,SSS_2025!A:N,9)</f>
        <v>30</v>
      </c>
      <c r="CK28" s="215">
        <v>391.25</v>
      </c>
      <c r="CL28" s="215">
        <v>391.25</v>
      </c>
      <c r="CM28" s="215">
        <v>200</v>
      </c>
      <c r="CN28" s="215">
        <v>200</v>
      </c>
      <c r="CO28" s="214">
        <f t="shared" si="58"/>
        <v>9066.25</v>
      </c>
      <c r="CP28" s="214">
        <f t="shared" si="59"/>
        <v>660</v>
      </c>
      <c r="CQ28" s="214">
        <f t="shared" si="60"/>
        <v>9726.25</v>
      </c>
      <c r="CR28" s="215"/>
      <c r="CS28" s="214">
        <f t="shared" si="61"/>
        <v>9726.25</v>
      </c>
      <c r="CT28" s="273">
        <f t="shared" si="62"/>
        <v>550</v>
      </c>
      <c r="CU28" s="244"/>
      <c r="CV28" s="269">
        <f>IFERROR(VLOOKUP(C28,'[2]BILLING COMPUTATION'!$C$8:$CI$224,85,0),0)</f>
        <v>11422.5</v>
      </c>
      <c r="CW28" s="243">
        <f t="shared" si="27"/>
        <v>6645</v>
      </c>
      <c r="CX28" s="245">
        <f t="shared" si="63"/>
        <v>18067.5</v>
      </c>
      <c r="CZ28" s="721">
        <f>IFERROR(VLOOKUP(C28,'[5]BILLING COMPUTATION'!$C$8:$CG$101,83,0),0)</f>
        <v>8448.75</v>
      </c>
      <c r="DA28" s="721">
        <f t="shared" si="29"/>
        <v>6645</v>
      </c>
      <c r="DB28" s="721">
        <f t="shared" si="30"/>
        <v>15093.75</v>
      </c>
      <c r="DC28" s="721">
        <f t="shared" si="31"/>
        <v>-2973.75</v>
      </c>
    </row>
    <row r="29" spans="1:107" s="2" customFormat="1" ht="16.899999999999999" customHeight="1">
      <c r="A29" s="235">
        <v>23</v>
      </c>
      <c r="B29" s="265"/>
      <c r="C29" s="266">
        <v>32242</v>
      </c>
      <c r="D29" s="266" t="str">
        <f>VLOOKUP(E29,'F3 MS (2)'!E:F,2,0)</f>
        <v>GD260733</v>
      </c>
      <c r="E29" s="267" t="s">
        <v>256</v>
      </c>
      <c r="F29" s="266" t="str">
        <f>VLOOKUP(C29,'[1]ACTIVE GH'!$C:$I,7,0)</f>
        <v>METAL STAMPING</v>
      </c>
      <c r="G29" s="266" t="str">
        <f>VLOOKUP(C29,'[1]ACTIVE GH'!$C:$J,8,0)</f>
        <v>PRODUCTION</v>
      </c>
      <c r="H29" s="266" t="str">
        <f>VLOOKUP(C29,'[1]ACTIVE GH'!$C:$N,12,0)</f>
        <v>Operator 1</v>
      </c>
      <c r="I29" s="266" t="s">
        <v>180</v>
      </c>
      <c r="J29" s="266">
        <f>IFERROR(VLOOKUP(C29,PIVOT!A:B,2,0),0)</f>
        <v>0</v>
      </c>
      <c r="K29" s="237">
        <f t="shared" si="32"/>
        <v>0</v>
      </c>
      <c r="L29" s="237">
        <v>600</v>
      </c>
      <c r="M29" s="238">
        <f t="shared" si="33"/>
        <v>0</v>
      </c>
      <c r="N29" s="266">
        <f>IFERROR(VLOOKUP(C29,PIVOT!A:F,6,0),0)</f>
        <v>0</v>
      </c>
      <c r="O29" s="239">
        <f t="shared" si="34"/>
        <v>1.25</v>
      </c>
      <c r="P29" s="238">
        <f t="shared" si="35"/>
        <v>0</v>
      </c>
      <c r="Q29" s="266">
        <f>IFERROR(VLOOKUP(C29,PIVOT!A:C,3,0),0)</f>
        <v>0</v>
      </c>
      <c r="R29" s="239">
        <f t="shared" si="36"/>
        <v>93.75</v>
      </c>
      <c r="S29" s="238">
        <f t="shared" si="37"/>
        <v>0</v>
      </c>
      <c r="T29" s="266">
        <f>IFERROR(VLOOKUP(C29,PIVOT!A:D,4,0),0)</f>
        <v>0</v>
      </c>
      <c r="U29" s="239">
        <f t="shared" si="38"/>
        <v>7.5</v>
      </c>
      <c r="V29" s="238">
        <f t="shared" si="39"/>
        <v>0</v>
      </c>
      <c r="W29" s="266">
        <f>IFERROR(VLOOKUP(C29,PIVOT!A:E,5,0),0)</f>
        <v>0</v>
      </c>
      <c r="X29" s="238">
        <f t="shared" si="40"/>
        <v>9.375</v>
      </c>
      <c r="Y29" s="238">
        <f t="shared" si="41"/>
        <v>0</v>
      </c>
      <c r="Z29" s="266">
        <f>IFERROR(VLOOKUP(C29,#REF!,6,0),0)</f>
        <v>0</v>
      </c>
      <c r="AA29" s="239">
        <f t="shared" si="42"/>
        <v>97.5</v>
      </c>
      <c r="AB29" s="238">
        <f t="shared" si="43"/>
        <v>0</v>
      </c>
      <c r="AC29" s="266"/>
      <c r="AD29" s="215">
        <f t="shared" si="44"/>
        <v>126.75</v>
      </c>
      <c r="AE29" s="214">
        <f t="shared" si="45"/>
        <v>0</v>
      </c>
      <c r="AF29" s="266">
        <f>IFERROR(VLOOKUP(C29,#REF!,8,0),0)</f>
        <v>0</v>
      </c>
      <c r="AG29" s="239">
        <f t="shared" si="46"/>
        <v>9.75</v>
      </c>
      <c r="AH29" s="238">
        <f t="shared" si="47"/>
        <v>0</v>
      </c>
      <c r="AI29" s="213"/>
      <c r="AJ29" s="213">
        <f t="shared" si="48"/>
        <v>112.5</v>
      </c>
      <c r="AK29" s="216">
        <f t="shared" si="49"/>
        <v>0</v>
      </c>
      <c r="AL29" s="213"/>
      <c r="AM29" s="213">
        <f t="shared" si="50"/>
        <v>146.25</v>
      </c>
      <c r="AN29" s="216">
        <v>0</v>
      </c>
      <c r="AO29" s="213"/>
      <c r="AP29" s="213">
        <f t="shared" si="51"/>
        <v>11.25</v>
      </c>
      <c r="AQ29" s="216">
        <f t="shared" si="52"/>
        <v>0</v>
      </c>
      <c r="AR29" s="266">
        <f>IFERROR(VLOOKUP(C29,#REF!,7,0),0)</f>
        <v>0</v>
      </c>
      <c r="AS29" s="278">
        <f t="shared" si="16"/>
        <v>97.5</v>
      </c>
      <c r="AT29" s="277">
        <f t="shared" si="17"/>
        <v>0</v>
      </c>
      <c r="AU29" s="266"/>
      <c r="AV29" s="213"/>
      <c r="AW29" s="216"/>
      <c r="AX29" s="213">
        <f>IFERROR(VLOOKUP(C29,#REF!,8,0),0)</f>
        <v>0</v>
      </c>
      <c r="AY29" s="278">
        <f t="shared" si="18"/>
        <v>9.75</v>
      </c>
      <c r="AZ29" s="277">
        <f t="shared" si="19"/>
        <v>0</v>
      </c>
      <c r="BA29" s="266">
        <f>IFERROR(VLOOKUP(C29,#REF!,10,0),0)</f>
        <v>0</v>
      </c>
      <c r="BB29" s="268">
        <f t="shared" si="53"/>
        <v>150</v>
      </c>
      <c r="BC29" s="247">
        <f t="shared" si="54"/>
        <v>0</v>
      </c>
      <c r="BD29" s="216"/>
      <c r="BE29" s="213"/>
      <c r="BF29" s="213"/>
      <c r="BG29" s="216"/>
      <c r="BH29" s="213"/>
      <c r="BI29" s="213"/>
      <c r="BJ29" s="216">
        <f>IFERROR(VLOOKUP(C29,#REF!,9,0),0)</f>
        <v>0</v>
      </c>
      <c r="BK29" s="276">
        <f t="shared" si="55"/>
        <v>75</v>
      </c>
      <c r="BL29" s="213">
        <f t="shared" si="56"/>
        <v>0</v>
      </c>
      <c r="BM29" s="216"/>
      <c r="BN29" s="213"/>
      <c r="BO29" s="213"/>
      <c r="BP29" s="213"/>
      <c r="BQ29" s="213"/>
      <c r="BR29" s="213"/>
      <c r="BS29" s="213"/>
      <c r="BT29" s="213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3"/>
      <c r="CF29" s="215"/>
      <c r="CG29" s="215">
        <f t="shared" si="57"/>
        <v>0</v>
      </c>
      <c r="CH29" s="256"/>
      <c r="CI29" s="217"/>
      <c r="CJ29" s="217"/>
      <c r="CK29" s="215"/>
      <c r="CL29" s="215"/>
      <c r="CM29" s="215"/>
      <c r="CN29" s="215"/>
      <c r="CO29" s="214">
        <f t="shared" si="58"/>
        <v>0</v>
      </c>
      <c r="CP29" s="214">
        <f t="shared" si="59"/>
        <v>0</v>
      </c>
      <c r="CQ29" s="214">
        <f t="shared" si="60"/>
        <v>0</v>
      </c>
      <c r="CR29" s="215"/>
      <c r="CS29" s="214">
        <f t="shared" si="61"/>
        <v>0</v>
      </c>
      <c r="CT29" s="273">
        <f t="shared" si="62"/>
        <v>0</v>
      </c>
      <c r="CU29" s="244"/>
      <c r="CV29" s="269">
        <f>IFERROR(VLOOKUP(C29,'[2]BILLING COMPUTATION'!$C$8:$CI$224,85,0),0)</f>
        <v>9389.25</v>
      </c>
      <c r="CW29" s="243">
        <f t="shared" si="27"/>
        <v>0</v>
      </c>
      <c r="CX29" s="245">
        <f t="shared" si="63"/>
        <v>9389.25</v>
      </c>
      <c r="CZ29" s="721">
        <f>IFERROR(VLOOKUP(C29,'[5]BILLING COMPUTATION'!$C$8:$CG$101,83,0),0)</f>
        <v>600</v>
      </c>
      <c r="DA29" s="721">
        <f t="shared" si="29"/>
        <v>0</v>
      </c>
      <c r="DB29" s="721">
        <f t="shared" si="30"/>
        <v>600</v>
      </c>
      <c r="DC29" s="721">
        <f t="shared" si="31"/>
        <v>-8789.25</v>
      </c>
    </row>
    <row r="30" spans="1:107" s="2" customFormat="1" ht="16.899999999999999" customHeight="1">
      <c r="A30" s="235">
        <v>24</v>
      </c>
      <c r="B30" s="265"/>
      <c r="C30" s="266">
        <v>14473</v>
      </c>
      <c r="D30" s="266" t="str">
        <f>VLOOKUP(E30,'F3 MS (2)'!E:F,2,0)</f>
        <v>GD250254</v>
      </c>
      <c r="E30" s="267" t="s">
        <v>275</v>
      </c>
      <c r="F30" s="266" t="str">
        <f>VLOOKUP(C30,'[1]ACTIVE GH'!$C:$I,7,0)</f>
        <v>METAL STAMPING</v>
      </c>
      <c r="G30" s="266" t="str">
        <f>VLOOKUP(C30,'[1]ACTIVE GH'!$C:$J,8,0)</f>
        <v>PRODUCTION</v>
      </c>
      <c r="H30" s="266" t="str">
        <f>VLOOKUP(C30,'[1]ACTIVE GH'!$C:$N,12,0)</f>
        <v>Operator 1</v>
      </c>
      <c r="I30" s="266" t="s">
        <v>180</v>
      </c>
      <c r="J30" s="266">
        <f>IFERROR(VLOOKUP(C30,PIVOT!A:B,2,0),0)</f>
        <v>64</v>
      </c>
      <c r="K30" s="237">
        <f t="shared" si="32"/>
        <v>8</v>
      </c>
      <c r="L30" s="237">
        <v>600</v>
      </c>
      <c r="M30" s="238">
        <f t="shared" si="33"/>
        <v>4800</v>
      </c>
      <c r="N30" s="266">
        <f>IFERROR(VLOOKUP(C30,PIVOT!A:F,6,0),0)</f>
        <v>0</v>
      </c>
      <c r="O30" s="239">
        <f t="shared" si="34"/>
        <v>1.25</v>
      </c>
      <c r="P30" s="238">
        <f t="shared" si="35"/>
        <v>0</v>
      </c>
      <c r="Q30" s="266">
        <f>IFERROR(VLOOKUP(C30,PIVOT!A:C,3,0),0)</f>
        <v>6</v>
      </c>
      <c r="R30" s="239">
        <f t="shared" si="36"/>
        <v>93.75</v>
      </c>
      <c r="S30" s="238">
        <f t="shared" si="37"/>
        <v>562.5</v>
      </c>
      <c r="T30" s="266">
        <f>IFERROR(VLOOKUP(C30,PIVOT!A:D,4,0),0)</f>
        <v>0</v>
      </c>
      <c r="U30" s="239">
        <f t="shared" si="38"/>
        <v>7.5</v>
      </c>
      <c r="V30" s="238">
        <f t="shared" si="39"/>
        <v>0</v>
      </c>
      <c r="W30" s="266">
        <f>IFERROR(VLOOKUP(C30,PIVOT!A:E,5,0),0)</f>
        <v>0</v>
      </c>
      <c r="X30" s="238">
        <f t="shared" si="40"/>
        <v>9.375</v>
      </c>
      <c r="Y30" s="238">
        <f t="shared" si="41"/>
        <v>0</v>
      </c>
      <c r="Z30" s="266">
        <f>IFERROR(VLOOKUP(C30,#REF!,6,0),0)</f>
        <v>0</v>
      </c>
      <c r="AA30" s="239">
        <f t="shared" si="42"/>
        <v>97.5</v>
      </c>
      <c r="AB30" s="238">
        <f t="shared" si="43"/>
        <v>0</v>
      </c>
      <c r="AC30" s="266"/>
      <c r="AD30" s="215">
        <f t="shared" si="44"/>
        <v>126.75</v>
      </c>
      <c r="AE30" s="214">
        <f t="shared" si="45"/>
        <v>0</v>
      </c>
      <c r="AF30" s="266">
        <f>IFERROR(VLOOKUP(C30,#REF!,8,0),0)</f>
        <v>0</v>
      </c>
      <c r="AG30" s="239">
        <f t="shared" si="46"/>
        <v>9.75</v>
      </c>
      <c r="AH30" s="238">
        <f t="shared" si="47"/>
        <v>0</v>
      </c>
      <c r="AI30" s="213"/>
      <c r="AJ30" s="213">
        <f t="shared" si="48"/>
        <v>112.5</v>
      </c>
      <c r="AK30" s="216">
        <f t="shared" si="49"/>
        <v>0</v>
      </c>
      <c r="AL30" s="213"/>
      <c r="AM30" s="213">
        <f t="shared" si="50"/>
        <v>146.25</v>
      </c>
      <c r="AN30" s="216">
        <v>0</v>
      </c>
      <c r="AO30" s="213"/>
      <c r="AP30" s="213">
        <f t="shared" si="51"/>
        <v>11.25</v>
      </c>
      <c r="AQ30" s="216">
        <f t="shared" si="52"/>
        <v>0</v>
      </c>
      <c r="AR30" s="266">
        <f>IFERROR(VLOOKUP(C30,#REF!,7,0),0)</f>
        <v>0</v>
      </c>
      <c r="AS30" s="278">
        <f t="shared" si="16"/>
        <v>97.5</v>
      </c>
      <c r="AT30" s="277">
        <f t="shared" si="17"/>
        <v>0</v>
      </c>
      <c r="AU30" s="266"/>
      <c r="AV30" s="213"/>
      <c r="AW30" s="216"/>
      <c r="AX30" s="213">
        <f>IFERROR(VLOOKUP(C30,#REF!,8,0),0)</f>
        <v>0</v>
      </c>
      <c r="AY30" s="278">
        <f t="shared" si="18"/>
        <v>9.75</v>
      </c>
      <c r="AZ30" s="277">
        <f t="shared" si="19"/>
        <v>0</v>
      </c>
      <c r="BA30" s="266">
        <f>IFERROR(VLOOKUP(C30,#REF!,10,0),0)</f>
        <v>0</v>
      </c>
      <c r="BB30" s="268">
        <f t="shared" si="53"/>
        <v>150</v>
      </c>
      <c r="BC30" s="247">
        <f t="shared" si="54"/>
        <v>0</v>
      </c>
      <c r="BD30" s="216"/>
      <c r="BE30" s="213"/>
      <c r="BF30" s="213"/>
      <c r="BG30" s="216"/>
      <c r="BH30" s="213"/>
      <c r="BI30" s="213"/>
      <c r="BJ30" s="216">
        <f>IFERROR(VLOOKUP(C30,#REF!,9,0),0)</f>
        <v>0</v>
      </c>
      <c r="BK30" s="276">
        <f t="shared" si="55"/>
        <v>75</v>
      </c>
      <c r="BL30" s="213">
        <f t="shared" si="56"/>
        <v>0</v>
      </c>
      <c r="BM30" s="216"/>
      <c r="BN30" s="213"/>
      <c r="BO30" s="213"/>
      <c r="BP30" s="213"/>
      <c r="BQ30" s="213"/>
      <c r="BR30" s="213"/>
      <c r="BS30" s="213"/>
      <c r="BT30" s="213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3"/>
      <c r="CF30" s="215"/>
      <c r="CG30" s="215">
        <f t="shared" si="57"/>
        <v>5362.5</v>
      </c>
      <c r="CH30" s="256">
        <f>VLOOKUP(CX30,SSS_2025!A:N,8)</f>
        <v>1600</v>
      </c>
      <c r="CI30" s="217">
        <f>VLOOKUP(CX30,SSS_2025!A:N,13)</f>
        <v>800</v>
      </c>
      <c r="CJ30" s="217">
        <f>VLOOKUP(CX30,SSS_2025!A:N,9)</f>
        <v>30</v>
      </c>
      <c r="CK30" s="215">
        <v>391.25</v>
      </c>
      <c r="CL30" s="215">
        <v>391.25</v>
      </c>
      <c r="CM30" s="215">
        <v>200</v>
      </c>
      <c r="CN30" s="215">
        <v>200</v>
      </c>
      <c r="CO30" s="214">
        <f t="shared" si="58"/>
        <v>7583.75</v>
      </c>
      <c r="CP30" s="214">
        <f t="shared" si="59"/>
        <v>480</v>
      </c>
      <c r="CQ30" s="214">
        <f t="shared" si="60"/>
        <v>8063.75</v>
      </c>
      <c r="CR30" s="215"/>
      <c r="CS30" s="214">
        <f t="shared" si="61"/>
        <v>8063.75</v>
      </c>
      <c r="CT30" s="273">
        <f t="shared" si="62"/>
        <v>400</v>
      </c>
      <c r="CU30" s="244"/>
      <c r="CV30" s="269">
        <f>IFERROR(VLOOKUP(C30,'[2]BILLING COMPUTATION'!$C$8:$CI$224,85,0),0)</f>
        <v>10680</v>
      </c>
      <c r="CW30" s="243">
        <f t="shared" si="27"/>
        <v>5362.5</v>
      </c>
      <c r="CX30" s="245">
        <f t="shared" si="63"/>
        <v>16042.5</v>
      </c>
      <c r="CZ30" s="721">
        <f>IFERROR(VLOOKUP(C30,'[5]BILLING COMPUTATION'!$C$8:$CG$101,83,0),0)</f>
        <v>10860</v>
      </c>
      <c r="DA30" s="721">
        <f t="shared" si="29"/>
        <v>5362.5</v>
      </c>
      <c r="DB30" s="721">
        <f t="shared" si="30"/>
        <v>16222.5</v>
      </c>
      <c r="DC30" s="721">
        <f t="shared" si="31"/>
        <v>180</v>
      </c>
    </row>
    <row r="31" spans="1:107" s="2" customFormat="1" ht="16.899999999999999" customHeight="1">
      <c r="A31" s="235">
        <v>25</v>
      </c>
      <c r="B31" s="265"/>
      <c r="C31" s="266">
        <v>5585</v>
      </c>
      <c r="D31" s="266" t="str">
        <f>VLOOKUP(E31,'F3 MS (2)'!E:F,2,0)</f>
        <v>GD250031</v>
      </c>
      <c r="E31" s="267" t="s">
        <v>230</v>
      </c>
      <c r="F31" s="266" t="str">
        <f>VLOOKUP(C31,'[1]ACTIVE GH'!$C:$I,7,0)</f>
        <v>METAL STAMPING</v>
      </c>
      <c r="G31" s="266" t="str">
        <f>VLOOKUP(C31,'[1]ACTIVE GH'!$C:$J,8,0)</f>
        <v>PRODUCTION</v>
      </c>
      <c r="H31" s="266" t="str">
        <f>VLOOKUP(C31,'[1]ACTIVE GH'!$C:$N,12,0)</f>
        <v>Operator 1</v>
      </c>
      <c r="I31" s="266" t="s">
        <v>180</v>
      </c>
      <c r="J31" s="266">
        <f>IFERROR(VLOOKUP(C31,PIVOT!A:B,2,0),0)</f>
        <v>96</v>
      </c>
      <c r="K31" s="237">
        <f t="shared" si="32"/>
        <v>12</v>
      </c>
      <c r="L31" s="237">
        <v>600</v>
      </c>
      <c r="M31" s="238">
        <f t="shared" si="33"/>
        <v>7200</v>
      </c>
      <c r="N31" s="266">
        <f>IFERROR(VLOOKUP(C31,PIVOT!A:F,6,0),0)</f>
        <v>0</v>
      </c>
      <c r="O31" s="239">
        <f t="shared" si="34"/>
        <v>1.25</v>
      </c>
      <c r="P31" s="238">
        <f t="shared" si="35"/>
        <v>0</v>
      </c>
      <c r="Q31" s="266">
        <f>IFERROR(VLOOKUP(C31,PIVOT!A:C,3,0),0)</f>
        <v>10</v>
      </c>
      <c r="R31" s="239">
        <f t="shared" si="36"/>
        <v>93.75</v>
      </c>
      <c r="S31" s="238">
        <f t="shared" si="37"/>
        <v>937.5</v>
      </c>
      <c r="T31" s="266">
        <f>IFERROR(VLOOKUP(C31,PIVOT!A:D,4,0),0)</f>
        <v>66</v>
      </c>
      <c r="U31" s="239">
        <f t="shared" si="38"/>
        <v>7.5</v>
      </c>
      <c r="V31" s="238">
        <f t="shared" si="39"/>
        <v>495</v>
      </c>
      <c r="W31" s="266">
        <f>IFERROR(VLOOKUP(C31,PIVOT!A:E,5,0),0)</f>
        <v>10</v>
      </c>
      <c r="X31" s="238">
        <f t="shared" si="40"/>
        <v>9.375</v>
      </c>
      <c r="Y31" s="238">
        <f t="shared" si="41"/>
        <v>93.75</v>
      </c>
      <c r="Z31" s="266">
        <f>IFERROR(VLOOKUP(C31,#REF!,6,0),0)</f>
        <v>0</v>
      </c>
      <c r="AA31" s="239">
        <f t="shared" si="42"/>
        <v>97.5</v>
      </c>
      <c r="AB31" s="238">
        <f t="shared" si="43"/>
        <v>0</v>
      </c>
      <c r="AC31" s="266"/>
      <c r="AD31" s="215">
        <f t="shared" si="44"/>
        <v>126.75</v>
      </c>
      <c r="AE31" s="214">
        <f t="shared" si="45"/>
        <v>0</v>
      </c>
      <c r="AF31" s="266">
        <f>IFERROR(VLOOKUP(C31,#REF!,8,0),0)</f>
        <v>0</v>
      </c>
      <c r="AG31" s="239">
        <f t="shared" si="46"/>
        <v>9.75</v>
      </c>
      <c r="AH31" s="238">
        <f t="shared" si="47"/>
        <v>0</v>
      </c>
      <c r="AI31" s="213"/>
      <c r="AJ31" s="213">
        <f t="shared" si="48"/>
        <v>112.5</v>
      </c>
      <c r="AK31" s="216">
        <f t="shared" si="49"/>
        <v>0</v>
      </c>
      <c r="AL31" s="213"/>
      <c r="AM31" s="213">
        <f t="shared" si="50"/>
        <v>146.25</v>
      </c>
      <c r="AN31" s="216">
        <v>0</v>
      </c>
      <c r="AO31" s="213"/>
      <c r="AP31" s="213">
        <f t="shared" si="51"/>
        <v>11.25</v>
      </c>
      <c r="AQ31" s="216">
        <f t="shared" si="52"/>
        <v>0</v>
      </c>
      <c r="AR31" s="266">
        <f>IFERROR(VLOOKUP(C31,#REF!,7,0),0)</f>
        <v>0</v>
      </c>
      <c r="AS31" s="278">
        <f t="shared" si="16"/>
        <v>97.5</v>
      </c>
      <c r="AT31" s="277">
        <f t="shared" si="17"/>
        <v>0</v>
      </c>
      <c r="AU31" s="266"/>
      <c r="AV31" s="213"/>
      <c r="AW31" s="216"/>
      <c r="AX31" s="213">
        <f>IFERROR(VLOOKUP(C31,#REF!,8,0),0)</f>
        <v>0</v>
      </c>
      <c r="AY31" s="278">
        <f t="shared" si="18"/>
        <v>9.75</v>
      </c>
      <c r="AZ31" s="277">
        <f t="shared" si="19"/>
        <v>0</v>
      </c>
      <c r="BA31" s="266">
        <f>IFERROR(VLOOKUP(C31,#REF!,10,0),0)</f>
        <v>0</v>
      </c>
      <c r="BB31" s="268">
        <f t="shared" si="53"/>
        <v>150</v>
      </c>
      <c r="BC31" s="247">
        <f t="shared" si="54"/>
        <v>0</v>
      </c>
      <c r="BD31" s="216"/>
      <c r="BE31" s="213"/>
      <c r="BF31" s="213"/>
      <c r="BG31" s="216"/>
      <c r="BH31" s="213"/>
      <c r="BI31" s="213"/>
      <c r="BJ31" s="216">
        <f>IFERROR(VLOOKUP(C31,#REF!,9,0),0)</f>
        <v>0</v>
      </c>
      <c r="BK31" s="276">
        <f t="shared" si="55"/>
        <v>75</v>
      </c>
      <c r="BL31" s="213">
        <f t="shared" si="56"/>
        <v>0</v>
      </c>
      <c r="BM31" s="216"/>
      <c r="BN31" s="213"/>
      <c r="BO31" s="213"/>
      <c r="BP31" s="213"/>
      <c r="BQ31" s="213"/>
      <c r="BR31" s="213"/>
      <c r="BS31" s="213"/>
      <c r="BT31" s="213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3"/>
      <c r="CF31" s="215"/>
      <c r="CG31" s="215">
        <f t="shared" si="57"/>
        <v>8726.25</v>
      </c>
      <c r="CH31" s="256">
        <f>VLOOKUP(CX31,SSS_2025!A:N,8)</f>
        <v>1950</v>
      </c>
      <c r="CI31" s="217">
        <f>VLOOKUP(CX31,SSS_2025!A:N,13)</f>
        <v>975</v>
      </c>
      <c r="CJ31" s="217">
        <f>VLOOKUP(CX31,SSS_2025!A:N,9)</f>
        <v>30</v>
      </c>
      <c r="CK31" s="215">
        <v>391.25</v>
      </c>
      <c r="CL31" s="215">
        <v>391.25</v>
      </c>
      <c r="CM31" s="215">
        <v>200</v>
      </c>
      <c r="CN31" s="215">
        <v>200</v>
      </c>
      <c r="CO31" s="214">
        <f t="shared" si="58"/>
        <v>11297.5</v>
      </c>
      <c r="CP31" s="214">
        <f t="shared" si="59"/>
        <v>720</v>
      </c>
      <c r="CQ31" s="214">
        <f t="shared" si="60"/>
        <v>12017.5</v>
      </c>
      <c r="CR31" s="215"/>
      <c r="CS31" s="214">
        <f t="shared" si="61"/>
        <v>12017.5</v>
      </c>
      <c r="CT31" s="273">
        <f t="shared" si="62"/>
        <v>600</v>
      </c>
      <c r="CU31" s="244"/>
      <c r="CV31" s="269">
        <f>IFERROR(VLOOKUP(C31,'[2]BILLING COMPUTATION'!$C$8:$CI$224,85,0),0)</f>
        <v>10698.75</v>
      </c>
      <c r="CW31" s="243">
        <f t="shared" si="27"/>
        <v>8726.25</v>
      </c>
      <c r="CX31" s="245">
        <f t="shared" si="63"/>
        <v>19425</v>
      </c>
      <c r="CZ31" s="721">
        <f>IFERROR(VLOOKUP(C31,'[5]BILLING COMPUTATION'!$C$8:$CG$101,83,0),0)</f>
        <v>10563.75</v>
      </c>
      <c r="DA31" s="721">
        <f t="shared" si="29"/>
        <v>8726.25</v>
      </c>
      <c r="DB31" s="721">
        <f t="shared" si="30"/>
        <v>19290</v>
      </c>
      <c r="DC31" s="721">
        <f t="shared" si="31"/>
        <v>-135</v>
      </c>
    </row>
    <row r="32" spans="1:107" s="2" customFormat="1" ht="16.899999999999999" customHeight="1">
      <c r="A32" s="235">
        <v>26</v>
      </c>
      <c r="B32" s="265"/>
      <c r="C32" s="266">
        <v>32457</v>
      </c>
      <c r="D32" s="266" t="s">
        <v>375</v>
      </c>
      <c r="E32" s="267" t="s">
        <v>257</v>
      </c>
      <c r="F32" s="266" t="s">
        <v>179</v>
      </c>
      <c r="G32" s="266" t="s">
        <v>392</v>
      </c>
      <c r="H32" s="266" t="s">
        <v>399</v>
      </c>
      <c r="I32" s="266" t="s">
        <v>180</v>
      </c>
      <c r="J32" s="266">
        <f>IFERROR(VLOOKUP(C32,PIVOT!A:B,2,0),0)</f>
        <v>8</v>
      </c>
      <c r="K32" s="237">
        <f t="shared" si="32"/>
        <v>1</v>
      </c>
      <c r="L32" s="237">
        <v>600</v>
      </c>
      <c r="M32" s="238">
        <f t="shared" si="33"/>
        <v>600</v>
      </c>
      <c r="N32" s="266">
        <f>IFERROR(VLOOKUP(C32,PIVOT!A:F,6,0),0)</f>
        <v>0</v>
      </c>
      <c r="O32" s="239">
        <f t="shared" si="34"/>
        <v>1.25</v>
      </c>
      <c r="P32" s="238">
        <f t="shared" si="35"/>
        <v>0</v>
      </c>
      <c r="Q32" s="266">
        <f>IFERROR(VLOOKUP(C32,PIVOT!A:C,3,0),0)</f>
        <v>0</v>
      </c>
      <c r="R32" s="239">
        <f t="shared" si="36"/>
        <v>93.75</v>
      </c>
      <c r="S32" s="238">
        <f t="shared" si="37"/>
        <v>0</v>
      </c>
      <c r="T32" s="266">
        <f>IFERROR(VLOOKUP(C32,PIVOT!A:D,4,0),0)</f>
        <v>0</v>
      </c>
      <c r="U32" s="239">
        <f t="shared" si="38"/>
        <v>7.5</v>
      </c>
      <c r="V32" s="238">
        <f t="shared" si="39"/>
        <v>0</v>
      </c>
      <c r="W32" s="266">
        <f>IFERROR(VLOOKUP(C32,PIVOT!A:E,5,0),0)</f>
        <v>0</v>
      </c>
      <c r="X32" s="238">
        <f t="shared" si="40"/>
        <v>9.375</v>
      </c>
      <c r="Y32" s="238">
        <f t="shared" si="41"/>
        <v>0</v>
      </c>
      <c r="Z32" s="266">
        <f>IFERROR(VLOOKUP(C32,#REF!,6,0),0)</f>
        <v>0</v>
      </c>
      <c r="AA32" s="239">
        <f t="shared" si="42"/>
        <v>97.5</v>
      </c>
      <c r="AB32" s="238">
        <f t="shared" si="43"/>
        <v>0</v>
      </c>
      <c r="AC32" s="266"/>
      <c r="AD32" s="215">
        <f t="shared" si="44"/>
        <v>126.75</v>
      </c>
      <c r="AE32" s="214">
        <f t="shared" si="45"/>
        <v>0</v>
      </c>
      <c r="AF32" s="266">
        <f>IFERROR(VLOOKUP(C32,#REF!,8,0),0)</f>
        <v>0</v>
      </c>
      <c r="AG32" s="239">
        <f t="shared" si="46"/>
        <v>9.75</v>
      </c>
      <c r="AH32" s="238">
        <f t="shared" si="47"/>
        <v>0</v>
      </c>
      <c r="AI32" s="213"/>
      <c r="AJ32" s="213">
        <f t="shared" si="48"/>
        <v>112.5</v>
      </c>
      <c r="AK32" s="216">
        <f t="shared" si="49"/>
        <v>0</v>
      </c>
      <c r="AL32" s="213"/>
      <c r="AM32" s="213">
        <f t="shared" si="50"/>
        <v>146.25</v>
      </c>
      <c r="AN32" s="216">
        <v>0</v>
      </c>
      <c r="AO32" s="213"/>
      <c r="AP32" s="213">
        <f t="shared" si="51"/>
        <v>11.25</v>
      </c>
      <c r="AQ32" s="216">
        <f t="shared" si="52"/>
        <v>0</v>
      </c>
      <c r="AR32" s="266">
        <f>IFERROR(VLOOKUP(C32,#REF!,7,0),0)</f>
        <v>0</v>
      </c>
      <c r="AS32" s="278">
        <f t="shared" si="16"/>
        <v>97.5</v>
      </c>
      <c r="AT32" s="277">
        <f t="shared" si="17"/>
        <v>0</v>
      </c>
      <c r="AU32" s="266"/>
      <c r="AV32" s="213"/>
      <c r="AW32" s="216"/>
      <c r="AX32" s="213">
        <f>IFERROR(VLOOKUP(C32,#REF!,8,0),0)</f>
        <v>0</v>
      </c>
      <c r="AY32" s="278">
        <f t="shared" si="18"/>
        <v>9.75</v>
      </c>
      <c r="AZ32" s="277">
        <f t="shared" si="19"/>
        <v>0</v>
      </c>
      <c r="BA32" s="266">
        <f>IFERROR(VLOOKUP(C32,#REF!,10,0),0)</f>
        <v>0</v>
      </c>
      <c r="BB32" s="268">
        <f t="shared" si="53"/>
        <v>150</v>
      </c>
      <c r="BC32" s="247">
        <f t="shared" si="54"/>
        <v>0</v>
      </c>
      <c r="BD32" s="216"/>
      <c r="BE32" s="213"/>
      <c r="BF32" s="213"/>
      <c r="BG32" s="216"/>
      <c r="BH32" s="213"/>
      <c r="BI32" s="213"/>
      <c r="BJ32" s="216">
        <f>IFERROR(VLOOKUP(C32,#REF!,9,0),0)</f>
        <v>0</v>
      </c>
      <c r="BK32" s="276">
        <f t="shared" si="55"/>
        <v>75</v>
      </c>
      <c r="BL32" s="213">
        <f t="shared" si="56"/>
        <v>0</v>
      </c>
      <c r="BM32" s="216"/>
      <c r="BN32" s="213"/>
      <c r="BO32" s="213"/>
      <c r="BP32" s="213"/>
      <c r="BQ32" s="213"/>
      <c r="BR32" s="213"/>
      <c r="BS32" s="213"/>
      <c r="BT32" s="213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3"/>
      <c r="CF32" s="215"/>
      <c r="CG32" s="215">
        <f t="shared" si="57"/>
        <v>600</v>
      </c>
      <c r="CH32" s="256"/>
      <c r="CI32" s="217"/>
      <c r="CJ32" s="217"/>
      <c r="CK32" s="215"/>
      <c r="CL32" s="215"/>
      <c r="CM32" s="215"/>
      <c r="CN32" s="215"/>
      <c r="CO32" s="214">
        <f t="shared" si="58"/>
        <v>600</v>
      </c>
      <c r="CP32" s="214">
        <f t="shared" si="59"/>
        <v>60</v>
      </c>
      <c r="CQ32" s="214">
        <f t="shared" si="60"/>
        <v>660</v>
      </c>
      <c r="CR32" s="215"/>
      <c r="CS32" s="214">
        <f t="shared" si="61"/>
        <v>660</v>
      </c>
      <c r="CT32" s="273">
        <f t="shared" si="62"/>
        <v>50</v>
      </c>
      <c r="CU32" s="244"/>
      <c r="CV32" s="269">
        <f>IFERROR(VLOOKUP(C32,'[2]BILLING COMPUTATION'!$C$8:$CI$224,85,0),0)</f>
        <v>10698.75</v>
      </c>
      <c r="CW32" s="243">
        <f t="shared" si="27"/>
        <v>600</v>
      </c>
      <c r="CX32" s="245">
        <f t="shared" si="63"/>
        <v>11298.75</v>
      </c>
      <c r="CZ32" s="721">
        <f>IFERROR(VLOOKUP(C32,'[5]BILLING COMPUTATION'!$C$8:$CG$101,83,0),0)</f>
        <v>8415</v>
      </c>
      <c r="DA32" s="721">
        <f t="shared" si="29"/>
        <v>600</v>
      </c>
      <c r="DB32" s="721">
        <f t="shared" si="30"/>
        <v>9015</v>
      </c>
      <c r="DC32" s="721">
        <f t="shared" si="31"/>
        <v>-2283.75</v>
      </c>
    </row>
    <row r="33" spans="1:107" s="2" customFormat="1" ht="16.899999999999999" customHeight="1">
      <c r="A33" s="235">
        <v>27</v>
      </c>
      <c r="B33" s="265"/>
      <c r="C33" s="266">
        <v>7646</v>
      </c>
      <c r="D33" s="266" t="str">
        <f>VLOOKUP(E33,'F3 MS (2)'!E:F,2,0)</f>
        <v>GD250088</v>
      </c>
      <c r="E33" s="267" t="s">
        <v>269</v>
      </c>
      <c r="F33" s="266" t="str">
        <f>VLOOKUP(C33,'[1]ACTIVE GH'!$C:$I,7,0)</f>
        <v>METAL STAMPING</v>
      </c>
      <c r="G33" s="266" t="str">
        <f>VLOOKUP(C33,'[1]ACTIVE GH'!$C:$J,8,0)</f>
        <v>PRODUCTION</v>
      </c>
      <c r="H33" s="266" t="str">
        <f>VLOOKUP(C33,'[1]ACTIVE GH'!$C:$N,12,0)</f>
        <v>Operator 1</v>
      </c>
      <c r="I33" s="266" t="s">
        <v>180</v>
      </c>
      <c r="J33" s="266">
        <f>IFERROR(VLOOKUP(C33,PIVOT!A:B,2,0),0)</f>
        <v>64</v>
      </c>
      <c r="K33" s="237">
        <f t="shared" si="32"/>
        <v>8</v>
      </c>
      <c r="L33" s="237">
        <v>600</v>
      </c>
      <c r="M33" s="238">
        <f t="shared" si="33"/>
        <v>4800</v>
      </c>
      <c r="N33" s="266">
        <f>IFERROR(VLOOKUP(C33,PIVOT!A:F,6,0),0)</f>
        <v>0</v>
      </c>
      <c r="O33" s="239">
        <f t="shared" si="34"/>
        <v>1.25</v>
      </c>
      <c r="P33" s="238">
        <f t="shared" si="35"/>
        <v>0</v>
      </c>
      <c r="Q33" s="266">
        <f>IFERROR(VLOOKUP(C33,PIVOT!A:C,3,0),0)</f>
        <v>12</v>
      </c>
      <c r="R33" s="239">
        <f t="shared" si="36"/>
        <v>93.75</v>
      </c>
      <c r="S33" s="238">
        <f t="shared" si="37"/>
        <v>1125</v>
      </c>
      <c r="T33" s="266">
        <f>IFERROR(VLOOKUP(C33,PIVOT!A:D,4,0),0)</f>
        <v>0</v>
      </c>
      <c r="U33" s="239">
        <f t="shared" si="38"/>
        <v>7.5</v>
      </c>
      <c r="V33" s="238">
        <f t="shared" si="39"/>
        <v>0</v>
      </c>
      <c r="W33" s="266">
        <f>IFERROR(VLOOKUP(C33,PIVOT!A:E,5,0),0)</f>
        <v>0</v>
      </c>
      <c r="X33" s="238">
        <f t="shared" si="40"/>
        <v>9.375</v>
      </c>
      <c r="Y33" s="238">
        <f t="shared" si="41"/>
        <v>0</v>
      </c>
      <c r="Z33" s="266">
        <f>IFERROR(VLOOKUP(C33,#REF!,6,0),0)</f>
        <v>0</v>
      </c>
      <c r="AA33" s="239">
        <f t="shared" si="42"/>
        <v>97.5</v>
      </c>
      <c r="AB33" s="238">
        <f t="shared" si="43"/>
        <v>0</v>
      </c>
      <c r="AC33" s="266"/>
      <c r="AD33" s="215">
        <f t="shared" si="44"/>
        <v>126.75</v>
      </c>
      <c r="AE33" s="214">
        <f t="shared" si="45"/>
        <v>0</v>
      </c>
      <c r="AF33" s="266">
        <f>IFERROR(VLOOKUP(C33,#REF!,8,0),0)</f>
        <v>0</v>
      </c>
      <c r="AG33" s="239">
        <f t="shared" si="46"/>
        <v>9.75</v>
      </c>
      <c r="AH33" s="238">
        <f t="shared" si="47"/>
        <v>0</v>
      </c>
      <c r="AI33" s="213"/>
      <c r="AJ33" s="213">
        <f t="shared" si="48"/>
        <v>112.5</v>
      </c>
      <c r="AK33" s="216">
        <f t="shared" si="49"/>
        <v>0</v>
      </c>
      <c r="AL33" s="213"/>
      <c r="AM33" s="213">
        <f t="shared" si="50"/>
        <v>146.25</v>
      </c>
      <c r="AN33" s="216">
        <v>0</v>
      </c>
      <c r="AO33" s="213"/>
      <c r="AP33" s="213">
        <f t="shared" si="51"/>
        <v>11.25</v>
      </c>
      <c r="AQ33" s="216">
        <f t="shared" si="52"/>
        <v>0</v>
      </c>
      <c r="AR33" s="266">
        <f>IFERROR(VLOOKUP(C33,#REF!,7,0),0)</f>
        <v>0</v>
      </c>
      <c r="AS33" s="278">
        <f t="shared" si="16"/>
        <v>97.5</v>
      </c>
      <c r="AT33" s="277">
        <f t="shared" si="17"/>
        <v>0</v>
      </c>
      <c r="AU33" s="266"/>
      <c r="AV33" s="213"/>
      <c r="AW33" s="216"/>
      <c r="AX33" s="213">
        <f>IFERROR(VLOOKUP(C33,#REF!,8,0),0)</f>
        <v>0</v>
      </c>
      <c r="AY33" s="278">
        <f t="shared" si="18"/>
        <v>9.75</v>
      </c>
      <c r="AZ33" s="277">
        <f t="shared" si="19"/>
        <v>0</v>
      </c>
      <c r="BA33" s="266">
        <f>IFERROR(VLOOKUP(C33,#REF!,10,0),0)</f>
        <v>0</v>
      </c>
      <c r="BB33" s="268">
        <f t="shared" si="53"/>
        <v>150</v>
      </c>
      <c r="BC33" s="247">
        <f t="shared" si="54"/>
        <v>0</v>
      </c>
      <c r="BD33" s="216"/>
      <c r="BE33" s="213"/>
      <c r="BF33" s="213"/>
      <c r="BG33" s="216"/>
      <c r="BH33" s="213"/>
      <c r="BI33" s="213"/>
      <c r="BJ33" s="216">
        <f>IFERROR(VLOOKUP(C33,#REF!,9,0),0)</f>
        <v>0</v>
      </c>
      <c r="BK33" s="276">
        <f t="shared" si="55"/>
        <v>75</v>
      </c>
      <c r="BL33" s="213">
        <f t="shared" si="56"/>
        <v>0</v>
      </c>
      <c r="BM33" s="216"/>
      <c r="BN33" s="213"/>
      <c r="BO33" s="213"/>
      <c r="BP33" s="213"/>
      <c r="BQ33" s="213"/>
      <c r="BR33" s="213"/>
      <c r="BS33" s="213"/>
      <c r="BT33" s="213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3"/>
      <c r="CF33" s="215"/>
      <c r="CG33" s="215">
        <f t="shared" si="57"/>
        <v>5925</v>
      </c>
      <c r="CH33" s="256">
        <f>VLOOKUP(CX33,SSS_2025!A:N,8)</f>
        <v>1400</v>
      </c>
      <c r="CI33" s="217">
        <f>VLOOKUP(CX33,SSS_2025!A:N,13)</f>
        <v>700</v>
      </c>
      <c r="CJ33" s="217">
        <f>VLOOKUP(CX33,SSS_2025!A:N,9)</f>
        <v>10</v>
      </c>
      <c r="CK33" s="215">
        <v>391.25</v>
      </c>
      <c r="CL33" s="215">
        <v>391.25</v>
      </c>
      <c r="CM33" s="215">
        <v>200</v>
      </c>
      <c r="CN33" s="215">
        <v>200</v>
      </c>
      <c r="CO33" s="214">
        <f t="shared" si="58"/>
        <v>7926.25</v>
      </c>
      <c r="CP33" s="214">
        <f t="shared" si="59"/>
        <v>480</v>
      </c>
      <c r="CQ33" s="214">
        <f t="shared" si="60"/>
        <v>8406.25</v>
      </c>
      <c r="CR33" s="215"/>
      <c r="CS33" s="214">
        <f t="shared" si="61"/>
        <v>8406.25</v>
      </c>
      <c r="CT33" s="273">
        <f t="shared" si="62"/>
        <v>400</v>
      </c>
      <c r="CU33" s="244"/>
      <c r="CV33" s="269">
        <f>IFERROR(VLOOKUP(C33,'[2]BILLING COMPUTATION'!$C$8:$CI$224,85,0),0)</f>
        <v>7863.75</v>
      </c>
      <c r="CW33" s="243">
        <f t="shared" si="27"/>
        <v>5925</v>
      </c>
      <c r="CX33" s="245">
        <f t="shared" si="63"/>
        <v>13788.75</v>
      </c>
      <c r="CZ33" s="721">
        <f>IFERROR(VLOOKUP(C33,'[5]BILLING COMPUTATION'!$C$8:$CG$101,83,0),0)</f>
        <v>11118.75</v>
      </c>
      <c r="DA33" s="721">
        <f t="shared" si="29"/>
        <v>5925</v>
      </c>
      <c r="DB33" s="721">
        <f t="shared" si="30"/>
        <v>17043.75</v>
      </c>
      <c r="DC33" s="721">
        <f t="shared" si="31"/>
        <v>3255</v>
      </c>
    </row>
    <row r="34" spans="1:107" s="2" customFormat="1" ht="16.899999999999999" customHeight="1">
      <c r="A34" s="235">
        <v>28</v>
      </c>
      <c r="B34" s="265"/>
      <c r="C34" s="266">
        <v>12956</v>
      </c>
      <c r="D34" s="266" t="str">
        <f>VLOOKUP(E34,'F3 MS (2)'!E:F,2,0)</f>
        <v>GD250359</v>
      </c>
      <c r="E34" s="267" t="s">
        <v>214</v>
      </c>
      <c r="F34" s="266" t="str">
        <f>VLOOKUP(C34,'[1]ACTIVE GH'!$C:$I,7,0)</f>
        <v>METAL STAMPING</v>
      </c>
      <c r="G34" s="266" t="str">
        <f>VLOOKUP(C34,'[1]ACTIVE GH'!$C:$J,8,0)</f>
        <v>PRODUCTION</v>
      </c>
      <c r="H34" s="266" t="str">
        <f>VLOOKUP(C34,'[1]ACTIVE GH'!$C:$N,12,0)</f>
        <v>Operator 1</v>
      </c>
      <c r="I34" s="266" t="s">
        <v>180</v>
      </c>
      <c r="J34" s="266">
        <f>IFERROR(VLOOKUP(C34,PIVOT!A:B,2,0),0)</f>
        <v>80</v>
      </c>
      <c r="K34" s="237">
        <f t="shared" si="32"/>
        <v>10</v>
      </c>
      <c r="L34" s="237">
        <v>600</v>
      </c>
      <c r="M34" s="238">
        <f t="shared" si="33"/>
        <v>6000</v>
      </c>
      <c r="N34" s="266">
        <f>IFERROR(VLOOKUP(C34,PIVOT!A:F,6,0),0)</f>
        <v>0</v>
      </c>
      <c r="O34" s="239">
        <f t="shared" si="34"/>
        <v>1.25</v>
      </c>
      <c r="P34" s="238">
        <f t="shared" si="35"/>
        <v>0</v>
      </c>
      <c r="Q34" s="266">
        <f>IFERROR(VLOOKUP(C34,PIVOT!A:C,3,0),0)</f>
        <v>12</v>
      </c>
      <c r="R34" s="239">
        <f t="shared" si="36"/>
        <v>93.75</v>
      </c>
      <c r="S34" s="238">
        <f t="shared" si="37"/>
        <v>1125</v>
      </c>
      <c r="T34" s="266">
        <f>IFERROR(VLOOKUP(C34,PIVOT!A:D,4,0),0)</f>
        <v>0</v>
      </c>
      <c r="U34" s="239">
        <f t="shared" si="38"/>
        <v>7.5</v>
      </c>
      <c r="V34" s="238">
        <f t="shared" si="39"/>
        <v>0</v>
      </c>
      <c r="W34" s="266">
        <f>IFERROR(VLOOKUP(C34,PIVOT!A:E,5,0),0)</f>
        <v>0</v>
      </c>
      <c r="X34" s="238">
        <f t="shared" si="40"/>
        <v>9.375</v>
      </c>
      <c r="Y34" s="238">
        <f t="shared" si="41"/>
        <v>0</v>
      </c>
      <c r="Z34" s="266">
        <f>IFERROR(VLOOKUP(C34,#REF!,6,0),0)</f>
        <v>0</v>
      </c>
      <c r="AA34" s="239">
        <f t="shared" si="42"/>
        <v>97.5</v>
      </c>
      <c r="AB34" s="238">
        <f t="shared" si="43"/>
        <v>0</v>
      </c>
      <c r="AC34" s="266"/>
      <c r="AD34" s="215">
        <f t="shared" si="44"/>
        <v>126.75</v>
      </c>
      <c r="AE34" s="214">
        <f t="shared" si="45"/>
        <v>0</v>
      </c>
      <c r="AF34" s="266">
        <f>IFERROR(VLOOKUP(C34,#REF!,8,0),0)</f>
        <v>0</v>
      </c>
      <c r="AG34" s="239">
        <f t="shared" si="46"/>
        <v>9.75</v>
      </c>
      <c r="AH34" s="238">
        <f t="shared" si="47"/>
        <v>0</v>
      </c>
      <c r="AI34" s="213"/>
      <c r="AJ34" s="213">
        <f t="shared" si="48"/>
        <v>112.5</v>
      </c>
      <c r="AK34" s="216">
        <f t="shared" si="49"/>
        <v>0</v>
      </c>
      <c r="AL34" s="213"/>
      <c r="AM34" s="213">
        <f t="shared" si="50"/>
        <v>146.25</v>
      </c>
      <c r="AN34" s="216">
        <v>0</v>
      </c>
      <c r="AO34" s="213"/>
      <c r="AP34" s="213">
        <f t="shared" si="51"/>
        <v>11.25</v>
      </c>
      <c r="AQ34" s="216">
        <f t="shared" si="52"/>
        <v>0</v>
      </c>
      <c r="AR34" s="266">
        <f>IFERROR(VLOOKUP(C34,#REF!,7,0),0)</f>
        <v>0</v>
      </c>
      <c r="AS34" s="278">
        <f t="shared" si="16"/>
        <v>97.5</v>
      </c>
      <c r="AT34" s="277">
        <f t="shared" si="17"/>
        <v>0</v>
      </c>
      <c r="AU34" s="266"/>
      <c r="AV34" s="213"/>
      <c r="AW34" s="216"/>
      <c r="AX34" s="213">
        <f>IFERROR(VLOOKUP(C34,#REF!,8,0),0)</f>
        <v>0</v>
      </c>
      <c r="AY34" s="278">
        <f t="shared" si="18"/>
        <v>9.75</v>
      </c>
      <c r="AZ34" s="277">
        <f t="shared" si="19"/>
        <v>0</v>
      </c>
      <c r="BA34" s="266">
        <f>IFERROR(VLOOKUP(C34,#REF!,10,0),0)</f>
        <v>0</v>
      </c>
      <c r="BB34" s="268">
        <f t="shared" si="53"/>
        <v>150</v>
      </c>
      <c r="BC34" s="247">
        <f t="shared" si="54"/>
        <v>0</v>
      </c>
      <c r="BD34" s="216"/>
      <c r="BE34" s="213"/>
      <c r="BF34" s="213"/>
      <c r="BG34" s="216"/>
      <c r="BH34" s="213"/>
      <c r="BI34" s="213"/>
      <c r="BJ34" s="216">
        <f>IFERROR(VLOOKUP(C34,#REF!,9,0),0)</f>
        <v>0</v>
      </c>
      <c r="BK34" s="276">
        <f t="shared" si="55"/>
        <v>75</v>
      </c>
      <c r="BL34" s="213">
        <f t="shared" si="56"/>
        <v>0</v>
      </c>
      <c r="BM34" s="216"/>
      <c r="BN34" s="213"/>
      <c r="BO34" s="213"/>
      <c r="BP34" s="213"/>
      <c r="BQ34" s="213"/>
      <c r="BR34" s="213"/>
      <c r="BS34" s="213"/>
      <c r="BT34" s="213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3"/>
      <c r="CF34" s="215"/>
      <c r="CG34" s="215">
        <f t="shared" si="57"/>
        <v>7125</v>
      </c>
      <c r="CH34" s="256">
        <f>VLOOKUP(CX34,SSS_2025!A:N,8)</f>
        <v>1800</v>
      </c>
      <c r="CI34" s="217">
        <f>VLOOKUP(CX34,SSS_2025!A:N,13)</f>
        <v>900</v>
      </c>
      <c r="CJ34" s="217">
        <f>VLOOKUP(CX34,SSS_2025!A:N,9)</f>
        <v>30</v>
      </c>
      <c r="CK34" s="215">
        <v>391.25</v>
      </c>
      <c r="CL34" s="215">
        <v>391.25</v>
      </c>
      <c r="CM34" s="215">
        <v>200</v>
      </c>
      <c r="CN34" s="215">
        <v>200</v>
      </c>
      <c r="CO34" s="214">
        <f t="shared" si="58"/>
        <v>9546.25</v>
      </c>
      <c r="CP34" s="214">
        <f t="shared" si="59"/>
        <v>600</v>
      </c>
      <c r="CQ34" s="214">
        <f t="shared" si="60"/>
        <v>10146.25</v>
      </c>
      <c r="CR34" s="215"/>
      <c r="CS34" s="214">
        <f t="shared" si="61"/>
        <v>10146.25</v>
      </c>
      <c r="CT34" s="273">
        <f t="shared" si="62"/>
        <v>500</v>
      </c>
      <c r="CU34" s="244"/>
      <c r="CV34" s="269">
        <f>IFERROR(VLOOKUP(C34,'[2]BILLING COMPUTATION'!$C$8:$CI$224,85,0),0)</f>
        <v>10680</v>
      </c>
      <c r="CW34" s="243">
        <f t="shared" si="27"/>
        <v>7125</v>
      </c>
      <c r="CX34" s="245">
        <f t="shared" si="63"/>
        <v>17805</v>
      </c>
      <c r="CZ34" s="721">
        <f>IFERROR(VLOOKUP(C34,'[5]BILLING COMPUTATION'!$C$8:$CG$101,83,0),0)</f>
        <v>7863.75</v>
      </c>
      <c r="DA34" s="721">
        <f t="shared" si="29"/>
        <v>7125</v>
      </c>
      <c r="DB34" s="721">
        <f t="shared" si="30"/>
        <v>14988.75</v>
      </c>
      <c r="DC34" s="721">
        <f t="shared" si="31"/>
        <v>-2816.25</v>
      </c>
    </row>
    <row r="35" spans="1:107" s="2" customFormat="1" ht="16.899999999999999" customHeight="1">
      <c r="A35" s="235">
        <v>29</v>
      </c>
      <c r="B35" s="265"/>
      <c r="C35" s="266">
        <v>32498</v>
      </c>
      <c r="D35" s="266" t="str">
        <f>VLOOKUP(E35,'F3 MS (2)'!E:F,2,0)</f>
        <v>GD260701</v>
      </c>
      <c r="E35" s="267" t="s">
        <v>362</v>
      </c>
      <c r="F35" s="266" t="str">
        <f>VLOOKUP(C35,'[1]ACTIVE GH'!$C:$I,7,0)</f>
        <v>METAL STAMPING</v>
      </c>
      <c r="G35" s="266" t="str">
        <f>VLOOKUP(C35,'[1]ACTIVE GH'!$C:$J,8,0)</f>
        <v>PRODUCTION</v>
      </c>
      <c r="H35" s="266" t="str">
        <f>VLOOKUP(C35,'[1]ACTIVE GH'!$C:$N,12,0)</f>
        <v>Operator 1</v>
      </c>
      <c r="I35" s="266" t="s">
        <v>180</v>
      </c>
      <c r="J35" s="266">
        <f>IFERROR(VLOOKUP(C35,PIVOT!A:B,2,0),0)</f>
        <v>96</v>
      </c>
      <c r="K35" s="237">
        <f t="shared" si="32"/>
        <v>12</v>
      </c>
      <c r="L35" s="237">
        <v>600</v>
      </c>
      <c r="M35" s="238">
        <f t="shared" si="33"/>
        <v>7200</v>
      </c>
      <c r="N35" s="266">
        <f>IFERROR(VLOOKUP(C35,PIVOT!A:F,6,0),0)</f>
        <v>0</v>
      </c>
      <c r="O35" s="239">
        <f t="shared" si="34"/>
        <v>1.25</v>
      </c>
      <c r="P35" s="238">
        <f t="shared" si="35"/>
        <v>0</v>
      </c>
      <c r="Q35" s="266">
        <f>IFERROR(VLOOKUP(C35,PIVOT!A:C,3,0),0)</f>
        <v>14</v>
      </c>
      <c r="R35" s="239">
        <f t="shared" si="36"/>
        <v>93.75</v>
      </c>
      <c r="S35" s="238">
        <f t="shared" si="37"/>
        <v>1312.5</v>
      </c>
      <c r="T35" s="266">
        <f>IFERROR(VLOOKUP(C35,PIVOT!A:D,4,0),0)</f>
        <v>0</v>
      </c>
      <c r="U35" s="239">
        <f t="shared" si="38"/>
        <v>7.5</v>
      </c>
      <c r="V35" s="238">
        <f t="shared" si="39"/>
        <v>0</v>
      </c>
      <c r="W35" s="266">
        <f>IFERROR(VLOOKUP(C35,PIVOT!A:E,5,0),0)</f>
        <v>0</v>
      </c>
      <c r="X35" s="238">
        <f t="shared" si="40"/>
        <v>9.375</v>
      </c>
      <c r="Y35" s="238">
        <f t="shared" si="41"/>
        <v>0</v>
      </c>
      <c r="Z35" s="266">
        <f>IFERROR(VLOOKUP(C35,#REF!,6,0),0)</f>
        <v>0</v>
      </c>
      <c r="AA35" s="239">
        <f t="shared" si="42"/>
        <v>97.5</v>
      </c>
      <c r="AB35" s="238">
        <f t="shared" si="43"/>
        <v>0</v>
      </c>
      <c r="AC35" s="266"/>
      <c r="AD35" s="215">
        <f t="shared" si="44"/>
        <v>126.75</v>
      </c>
      <c r="AE35" s="214">
        <f t="shared" si="45"/>
        <v>0</v>
      </c>
      <c r="AF35" s="266">
        <f>IFERROR(VLOOKUP(C35,#REF!,8,0),0)</f>
        <v>0</v>
      </c>
      <c r="AG35" s="239">
        <f t="shared" si="46"/>
        <v>9.75</v>
      </c>
      <c r="AH35" s="238">
        <f t="shared" si="47"/>
        <v>0</v>
      </c>
      <c r="AI35" s="213"/>
      <c r="AJ35" s="213">
        <f t="shared" si="48"/>
        <v>112.5</v>
      </c>
      <c r="AK35" s="216">
        <f t="shared" si="49"/>
        <v>0</v>
      </c>
      <c r="AL35" s="213"/>
      <c r="AM35" s="213">
        <f t="shared" si="50"/>
        <v>146.25</v>
      </c>
      <c r="AN35" s="216">
        <v>0</v>
      </c>
      <c r="AO35" s="213"/>
      <c r="AP35" s="213">
        <f t="shared" si="51"/>
        <v>11.25</v>
      </c>
      <c r="AQ35" s="216">
        <f t="shared" si="52"/>
        <v>0</v>
      </c>
      <c r="AR35" s="266">
        <f>IFERROR(VLOOKUP(C35,#REF!,7,0),0)</f>
        <v>0</v>
      </c>
      <c r="AS35" s="278">
        <f t="shared" si="16"/>
        <v>97.5</v>
      </c>
      <c r="AT35" s="277">
        <f t="shared" si="17"/>
        <v>0</v>
      </c>
      <c r="AU35" s="266"/>
      <c r="AV35" s="213"/>
      <c r="AW35" s="216"/>
      <c r="AX35" s="213">
        <f>IFERROR(VLOOKUP(C35,#REF!,8,0),0)</f>
        <v>0</v>
      </c>
      <c r="AY35" s="278">
        <f t="shared" si="18"/>
        <v>9.75</v>
      </c>
      <c r="AZ35" s="277">
        <f t="shared" si="19"/>
        <v>0</v>
      </c>
      <c r="BA35" s="266">
        <f>IFERROR(VLOOKUP(C35,#REF!,10,0),0)</f>
        <v>0</v>
      </c>
      <c r="BB35" s="268">
        <f t="shared" si="53"/>
        <v>150</v>
      </c>
      <c r="BC35" s="247">
        <f t="shared" si="54"/>
        <v>0</v>
      </c>
      <c r="BD35" s="216"/>
      <c r="BE35" s="213"/>
      <c r="BF35" s="213"/>
      <c r="BG35" s="216"/>
      <c r="BH35" s="213"/>
      <c r="BI35" s="213"/>
      <c r="BJ35" s="216">
        <f>IFERROR(VLOOKUP(C35,#REF!,9,0),0)</f>
        <v>0</v>
      </c>
      <c r="BK35" s="276">
        <f t="shared" si="55"/>
        <v>75</v>
      </c>
      <c r="BL35" s="213">
        <f t="shared" si="56"/>
        <v>0</v>
      </c>
      <c r="BM35" s="216"/>
      <c r="BN35" s="213"/>
      <c r="BO35" s="213"/>
      <c r="BP35" s="213"/>
      <c r="BQ35" s="213"/>
      <c r="BR35" s="213"/>
      <c r="BS35" s="213"/>
      <c r="BT35" s="213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3"/>
      <c r="CF35" s="215"/>
      <c r="CG35" s="215">
        <f t="shared" si="57"/>
        <v>8512.5</v>
      </c>
      <c r="CH35" s="256">
        <f>VLOOKUP(CX35,SSS_2025!A:N,8)</f>
        <v>1900</v>
      </c>
      <c r="CI35" s="217">
        <f>VLOOKUP(CX35,SSS_2025!A:N,13)</f>
        <v>950</v>
      </c>
      <c r="CJ35" s="217">
        <f>VLOOKUP(CX35,SSS_2025!A:N,9)</f>
        <v>30</v>
      </c>
      <c r="CK35" s="215">
        <v>391.25</v>
      </c>
      <c r="CL35" s="215">
        <v>391.25</v>
      </c>
      <c r="CM35" s="215">
        <v>200</v>
      </c>
      <c r="CN35" s="215">
        <v>200</v>
      </c>
      <c r="CO35" s="214">
        <f t="shared" si="58"/>
        <v>11033.75</v>
      </c>
      <c r="CP35" s="214">
        <f t="shared" si="59"/>
        <v>720</v>
      </c>
      <c r="CQ35" s="214">
        <f t="shared" si="60"/>
        <v>11753.75</v>
      </c>
      <c r="CR35" s="215"/>
      <c r="CS35" s="214">
        <f t="shared" si="61"/>
        <v>11753.75</v>
      </c>
      <c r="CT35" s="273">
        <f t="shared" si="62"/>
        <v>600</v>
      </c>
      <c r="CU35" s="244"/>
      <c r="CV35" s="269">
        <f>IFERROR(VLOOKUP(C35,'[2]BILLING COMPUTATION'!$C$8:$CI$224,85,0),0)</f>
        <v>10305</v>
      </c>
      <c r="CW35" s="243">
        <f t="shared" si="27"/>
        <v>8512.5</v>
      </c>
      <c r="CX35" s="245">
        <f t="shared" si="63"/>
        <v>18817.5</v>
      </c>
      <c r="CZ35" s="721">
        <f>IFERROR(VLOOKUP(C35,'[5]BILLING COMPUTATION'!$C$8:$CG$101,83,0),0)</f>
        <v>9075</v>
      </c>
      <c r="DA35" s="721">
        <f t="shared" si="29"/>
        <v>8512.5</v>
      </c>
      <c r="DB35" s="721">
        <f t="shared" si="30"/>
        <v>17587.5</v>
      </c>
      <c r="DC35" s="721">
        <f t="shared" si="31"/>
        <v>-1230</v>
      </c>
    </row>
    <row r="36" spans="1:107" s="2" customFormat="1" ht="16.899999999999999" customHeight="1">
      <c r="A36" s="235">
        <v>30</v>
      </c>
      <c r="B36" s="265"/>
      <c r="C36" s="266">
        <v>5983</v>
      </c>
      <c r="D36" s="266" t="str">
        <f>VLOOKUP(E36,'F3 MS (2)'!E:F,2,0)</f>
        <v>GD250036</v>
      </c>
      <c r="E36" s="267" t="s">
        <v>349</v>
      </c>
      <c r="F36" s="266" t="str">
        <f>VLOOKUP(C36,'[1]ACTIVE GH'!$C:$I,7,0)</f>
        <v>METAL STAMPING</v>
      </c>
      <c r="G36" s="266" t="str">
        <f>VLOOKUP(C36,'[1]ACTIVE GH'!$C:$J,8,0)</f>
        <v>PRODUCTION</v>
      </c>
      <c r="H36" s="266" t="str">
        <f>VLOOKUP(C36,'[1]ACTIVE GH'!$C:$N,12,0)</f>
        <v>Operator 1</v>
      </c>
      <c r="I36" s="266" t="s">
        <v>180</v>
      </c>
      <c r="J36" s="266">
        <f>IFERROR(VLOOKUP(C36,PIVOT!A:B,2,0),0)</f>
        <v>80</v>
      </c>
      <c r="K36" s="237">
        <f t="shared" si="32"/>
        <v>10</v>
      </c>
      <c r="L36" s="237">
        <v>600</v>
      </c>
      <c r="M36" s="238">
        <f t="shared" si="33"/>
        <v>6000</v>
      </c>
      <c r="N36" s="266">
        <f>IFERROR(VLOOKUP(C36,PIVOT!A:F,6,0),0)</f>
        <v>0</v>
      </c>
      <c r="O36" s="239">
        <f t="shared" si="34"/>
        <v>1.25</v>
      </c>
      <c r="P36" s="238">
        <f t="shared" si="35"/>
        <v>0</v>
      </c>
      <c r="Q36" s="266">
        <f>IFERROR(VLOOKUP(C36,PIVOT!A:C,3,0),0)</f>
        <v>2</v>
      </c>
      <c r="R36" s="239">
        <f t="shared" si="36"/>
        <v>93.75</v>
      </c>
      <c r="S36" s="238">
        <f t="shared" si="37"/>
        <v>187.5</v>
      </c>
      <c r="T36" s="266">
        <f>IFERROR(VLOOKUP(C36,PIVOT!A:D,4,0),0)</f>
        <v>6</v>
      </c>
      <c r="U36" s="239">
        <f t="shared" si="38"/>
        <v>7.5</v>
      </c>
      <c r="V36" s="238">
        <f t="shared" si="39"/>
        <v>45</v>
      </c>
      <c r="W36" s="266">
        <f>IFERROR(VLOOKUP(C36,PIVOT!A:E,5,0),0)</f>
        <v>0</v>
      </c>
      <c r="X36" s="238">
        <f t="shared" si="40"/>
        <v>9.375</v>
      </c>
      <c r="Y36" s="238">
        <f t="shared" si="41"/>
        <v>0</v>
      </c>
      <c r="Z36" s="266">
        <f>IFERROR(VLOOKUP(C36,#REF!,6,0),0)</f>
        <v>0</v>
      </c>
      <c r="AA36" s="239">
        <f t="shared" si="42"/>
        <v>97.5</v>
      </c>
      <c r="AB36" s="238">
        <f t="shared" si="43"/>
        <v>0</v>
      </c>
      <c r="AC36" s="266"/>
      <c r="AD36" s="215">
        <f t="shared" si="44"/>
        <v>126.75</v>
      </c>
      <c r="AE36" s="214">
        <f t="shared" si="45"/>
        <v>0</v>
      </c>
      <c r="AF36" s="266">
        <f>IFERROR(VLOOKUP(C36,#REF!,8,0),0)</f>
        <v>0</v>
      </c>
      <c r="AG36" s="239">
        <f t="shared" si="46"/>
        <v>9.75</v>
      </c>
      <c r="AH36" s="238">
        <f t="shared" si="47"/>
        <v>0</v>
      </c>
      <c r="AI36" s="213"/>
      <c r="AJ36" s="213">
        <f t="shared" si="48"/>
        <v>112.5</v>
      </c>
      <c r="AK36" s="216">
        <f t="shared" si="49"/>
        <v>0</v>
      </c>
      <c r="AL36" s="213"/>
      <c r="AM36" s="213">
        <f t="shared" si="50"/>
        <v>146.25</v>
      </c>
      <c r="AN36" s="216">
        <v>0</v>
      </c>
      <c r="AO36" s="213"/>
      <c r="AP36" s="213">
        <f t="shared" si="51"/>
        <v>11.25</v>
      </c>
      <c r="AQ36" s="216">
        <f t="shared" si="52"/>
        <v>0</v>
      </c>
      <c r="AR36" s="266">
        <f>IFERROR(VLOOKUP(C36,#REF!,7,0),0)</f>
        <v>0</v>
      </c>
      <c r="AS36" s="278">
        <f t="shared" si="16"/>
        <v>97.5</v>
      </c>
      <c r="AT36" s="277">
        <f t="shared" si="17"/>
        <v>0</v>
      </c>
      <c r="AU36" s="266"/>
      <c r="AV36" s="213"/>
      <c r="AW36" s="216"/>
      <c r="AX36" s="213">
        <f>IFERROR(VLOOKUP(C36,#REF!,8,0),0)</f>
        <v>0</v>
      </c>
      <c r="AY36" s="278">
        <f t="shared" si="18"/>
        <v>9.75</v>
      </c>
      <c r="AZ36" s="277">
        <f t="shared" si="19"/>
        <v>0</v>
      </c>
      <c r="BA36" s="266">
        <f>IFERROR(VLOOKUP(C36,#REF!,10,0),0)</f>
        <v>0</v>
      </c>
      <c r="BB36" s="268">
        <f t="shared" si="53"/>
        <v>150</v>
      </c>
      <c r="BC36" s="247">
        <f t="shared" si="54"/>
        <v>0</v>
      </c>
      <c r="BD36" s="216"/>
      <c r="BE36" s="213"/>
      <c r="BF36" s="213"/>
      <c r="BG36" s="216"/>
      <c r="BH36" s="213"/>
      <c r="BI36" s="213"/>
      <c r="BJ36" s="216">
        <f>IFERROR(VLOOKUP(C36,#REF!,9,0),0)</f>
        <v>0</v>
      </c>
      <c r="BK36" s="276">
        <f t="shared" si="55"/>
        <v>75</v>
      </c>
      <c r="BL36" s="213">
        <f t="shared" si="56"/>
        <v>0</v>
      </c>
      <c r="BM36" s="216"/>
      <c r="BN36" s="213"/>
      <c r="BO36" s="213"/>
      <c r="BP36" s="213"/>
      <c r="BQ36" s="213"/>
      <c r="BR36" s="213"/>
      <c r="BS36" s="213"/>
      <c r="BT36" s="213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3"/>
      <c r="CF36" s="215"/>
      <c r="CG36" s="215">
        <f t="shared" si="57"/>
        <v>6232.5</v>
      </c>
      <c r="CH36" s="256">
        <f>VLOOKUP(CX36,SSS_2025!A:N,8)</f>
        <v>1750</v>
      </c>
      <c r="CI36" s="217">
        <f>VLOOKUP(CX36,SSS_2025!A:N,13)</f>
        <v>875</v>
      </c>
      <c r="CJ36" s="217">
        <f>VLOOKUP(CX36,SSS_2025!A:N,9)</f>
        <v>30</v>
      </c>
      <c r="CK36" s="215">
        <v>391.25</v>
      </c>
      <c r="CL36" s="215">
        <v>391.25</v>
      </c>
      <c r="CM36" s="215">
        <v>200</v>
      </c>
      <c r="CN36" s="215">
        <v>200</v>
      </c>
      <c r="CO36" s="214">
        <f t="shared" si="58"/>
        <v>8603.75</v>
      </c>
      <c r="CP36" s="214">
        <f t="shared" si="59"/>
        <v>600</v>
      </c>
      <c r="CQ36" s="214">
        <f t="shared" si="60"/>
        <v>9203.75</v>
      </c>
      <c r="CR36" s="215"/>
      <c r="CS36" s="214">
        <f t="shared" si="61"/>
        <v>9203.75</v>
      </c>
      <c r="CT36" s="273">
        <f t="shared" si="62"/>
        <v>500</v>
      </c>
      <c r="CU36" s="244"/>
      <c r="CV36" s="269">
        <f>IFERROR(VLOOKUP(C36,'[2]BILLING COMPUTATION'!$C$8:$CI$224,85,0),0)</f>
        <v>11422.5</v>
      </c>
      <c r="CW36" s="243">
        <f t="shared" si="27"/>
        <v>6232.5</v>
      </c>
      <c r="CX36" s="245">
        <f t="shared" si="63"/>
        <v>17655</v>
      </c>
      <c r="CZ36" s="721">
        <f>IFERROR(VLOOKUP(C36,'[5]BILLING COMPUTATION'!$C$8:$CG$101,83,0),0)</f>
        <v>9720</v>
      </c>
      <c r="DA36" s="721">
        <f t="shared" si="29"/>
        <v>6232.5</v>
      </c>
      <c r="DB36" s="721">
        <f t="shared" si="30"/>
        <v>15952.5</v>
      </c>
      <c r="DC36" s="721">
        <f t="shared" si="31"/>
        <v>-1702.5</v>
      </c>
    </row>
    <row r="37" spans="1:107" s="2" customFormat="1" ht="16.899999999999999" customHeight="1">
      <c r="A37" s="235">
        <v>31</v>
      </c>
      <c r="B37" s="265"/>
      <c r="C37" s="266">
        <v>30612</v>
      </c>
      <c r="D37" s="266" t="str">
        <f>VLOOKUP(E37,'F3 MS (2)'!E:F,2,0)</f>
        <v>GD250593</v>
      </c>
      <c r="E37" s="267" t="s">
        <v>312</v>
      </c>
      <c r="F37" s="266" t="str">
        <f>VLOOKUP(C37,'[1]ACTIVE GH'!$C:$I,7,0)</f>
        <v>METAL STAMPING</v>
      </c>
      <c r="G37" s="266" t="str">
        <f>VLOOKUP(C37,'[1]ACTIVE GH'!$C:$J,8,0)</f>
        <v>PRODUCTION</v>
      </c>
      <c r="H37" s="266" t="str">
        <f>VLOOKUP(C37,'[1]ACTIVE GH'!$C:$N,12,0)</f>
        <v>Operator 1</v>
      </c>
      <c r="I37" s="266" t="s">
        <v>180</v>
      </c>
      <c r="J37" s="266">
        <f>IFERROR(VLOOKUP(C37,PIVOT!A:B,2,0),0)</f>
        <v>96</v>
      </c>
      <c r="K37" s="237">
        <f t="shared" si="32"/>
        <v>12</v>
      </c>
      <c r="L37" s="237">
        <v>600</v>
      </c>
      <c r="M37" s="238">
        <f t="shared" si="33"/>
        <v>7200</v>
      </c>
      <c r="N37" s="266">
        <f>IFERROR(VLOOKUP(C37,PIVOT!A:F,6,0),0)</f>
        <v>5</v>
      </c>
      <c r="O37" s="239">
        <f t="shared" si="34"/>
        <v>1.25</v>
      </c>
      <c r="P37" s="238">
        <f t="shared" si="35"/>
        <v>-6.25</v>
      </c>
      <c r="Q37" s="266">
        <f>IFERROR(VLOOKUP(C37,PIVOT!A:C,3,0),0)</f>
        <v>0</v>
      </c>
      <c r="R37" s="239">
        <f t="shared" si="36"/>
        <v>93.75</v>
      </c>
      <c r="S37" s="238">
        <f t="shared" si="37"/>
        <v>0</v>
      </c>
      <c r="T37" s="266">
        <f>IFERROR(VLOOKUP(C37,PIVOT!A:D,4,0),0)</f>
        <v>6</v>
      </c>
      <c r="U37" s="239">
        <f t="shared" si="38"/>
        <v>7.5</v>
      </c>
      <c r="V37" s="238">
        <f t="shared" si="39"/>
        <v>45</v>
      </c>
      <c r="W37" s="266">
        <f>IFERROR(VLOOKUP(C37,PIVOT!A:E,5,0),0)</f>
        <v>0</v>
      </c>
      <c r="X37" s="238">
        <f t="shared" si="40"/>
        <v>9.375</v>
      </c>
      <c r="Y37" s="238">
        <f t="shared" si="41"/>
        <v>0</v>
      </c>
      <c r="Z37" s="266">
        <f>IFERROR(VLOOKUP(C37,#REF!,6,0),0)</f>
        <v>0</v>
      </c>
      <c r="AA37" s="239">
        <f t="shared" si="42"/>
        <v>97.5</v>
      </c>
      <c r="AB37" s="238">
        <f t="shared" si="43"/>
        <v>0</v>
      </c>
      <c r="AC37" s="266"/>
      <c r="AD37" s="215">
        <f t="shared" si="44"/>
        <v>126.75</v>
      </c>
      <c r="AE37" s="214">
        <f t="shared" si="45"/>
        <v>0</v>
      </c>
      <c r="AF37" s="266">
        <f>IFERROR(VLOOKUP(C37,#REF!,8,0),0)</f>
        <v>0</v>
      </c>
      <c r="AG37" s="239">
        <f t="shared" si="46"/>
        <v>9.75</v>
      </c>
      <c r="AH37" s="238">
        <f t="shared" si="47"/>
        <v>0</v>
      </c>
      <c r="AI37" s="213"/>
      <c r="AJ37" s="213">
        <f t="shared" si="48"/>
        <v>112.5</v>
      </c>
      <c r="AK37" s="216">
        <f t="shared" si="49"/>
        <v>0</v>
      </c>
      <c r="AL37" s="213"/>
      <c r="AM37" s="213">
        <f t="shared" si="50"/>
        <v>146.25</v>
      </c>
      <c r="AN37" s="216">
        <v>0</v>
      </c>
      <c r="AO37" s="213"/>
      <c r="AP37" s="213">
        <f t="shared" si="51"/>
        <v>11.25</v>
      </c>
      <c r="AQ37" s="216">
        <f t="shared" si="52"/>
        <v>0</v>
      </c>
      <c r="AR37" s="266">
        <f>IFERROR(VLOOKUP(C37,#REF!,7,0),0)</f>
        <v>0</v>
      </c>
      <c r="AS37" s="278">
        <f t="shared" si="16"/>
        <v>97.5</v>
      </c>
      <c r="AT37" s="277">
        <f t="shared" si="17"/>
        <v>0</v>
      </c>
      <c r="AU37" s="266"/>
      <c r="AV37" s="213"/>
      <c r="AW37" s="216"/>
      <c r="AX37" s="213">
        <f>IFERROR(VLOOKUP(C37,#REF!,8,0),0)</f>
        <v>0</v>
      </c>
      <c r="AY37" s="278">
        <f t="shared" si="18"/>
        <v>9.75</v>
      </c>
      <c r="AZ37" s="277">
        <f t="shared" si="19"/>
        <v>0</v>
      </c>
      <c r="BA37" s="266">
        <f>IFERROR(VLOOKUP(C37,#REF!,10,0),0)</f>
        <v>0</v>
      </c>
      <c r="BB37" s="268">
        <f t="shared" si="53"/>
        <v>150</v>
      </c>
      <c r="BC37" s="247">
        <f t="shared" si="54"/>
        <v>0</v>
      </c>
      <c r="BD37" s="216"/>
      <c r="BE37" s="213"/>
      <c r="BF37" s="213"/>
      <c r="BG37" s="216"/>
      <c r="BH37" s="213"/>
      <c r="BI37" s="213"/>
      <c r="BJ37" s="216">
        <f>IFERROR(VLOOKUP(C37,#REF!,9,0),0)</f>
        <v>0</v>
      </c>
      <c r="BK37" s="276">
        <f t="shared" si="55"/>
        <v>75</v>
      </c>
      <c r="BL37" s="213">
        <f t="shared" si="56"/>
        <v>0</v>
      </c>
      <c r="BM37" s="216"/>
      <c r="BN37" s="213"/>
      <c r="BO37" s="213"/>
      <c r="BP37" s="213"/>
      <c r="BQ37" s="213"/>
      <c r="BR37" s="213"/>
      <c r="BS37" s="213"/>
      <c r="BT37" s="213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3"/>
      <c r="CF37" s="215"/>
      <c r="CG37" s="215">
        <f t="shared" si="57"/>
        <v>7238.75</v>
      </c>
      <c r="CH37" s="256">
        <f>VLOOKUP(CX37,SSS_2025!A:N,8)</f>
        <v>1600</v>
      </c>
      <c r="CI37" s="217">
        <f>VLOOKUP(CX37,SSS_2025!A:N,13)</f>
        <v>800</v>
      </c>
      <c r="CJ37" s="217">
        <f>VLOOKUP(CX37,SSS_2025!A:N,9)</f>
        <v>30</v>
      </c>
      <c r="CK37" s="215">
        <v>391.25</v>
      </c>
      <c r="CL37" s="215">
        <v>391.25</v>
      </c>
      <c r="CM37" s="215">
        <v>200</v>
      </c>
      <c r="CN37" s="215">
        <v>200</v>
      </c>
      <c r="CO37" s="214">
        <f t="shared" si="58"/>
        <v>9460</v>
      </c>
      <c r="CP37" s="214">
        <f t="shared" si="59"/>
        <v>719.375</v>
      </c>
      <c r="CQ37" s="214">
        <f t="shared" si="60"/>
        <v>10179.375</v>
      </c>
      <c r="CR37" s="215"/>
      <c r="CS37" s="214">
        <f t="shared" si="61"/>
        <v>10179.375</v>
      </c>
      <c r="CT37" s="273">
        <f t="shared" si="62"/>
        <v>599.47916666666663</v>
      </c>
      <c r="CU37" s="244"/>
      <c r="CV37" s="269">
        <f>IFERROR(VLOOKUP(C37,'[2]BILLING COMPUTATION'!$C$8:$CI$224,85,0),0)</f>
        <v>8887.5</v>
      </c>
      <c r="CW37" s="243">
        <f t="shared" si="27"/>
        <v>7238.75</v>
      </c>
      <c r="CX37" s="245">
        <f t="shared" si="63"/>
        <v>16126.25</v>
      </c>
      <c r="CZ37" s="721">
        <f>IFERROR(VLOOKUP(C37,'[5]BILLING COMPUTATION'!$C$8:$CG$101,83,0),0)</f>
        <v>9487.5</v>
      </c>
      <c r="DA37" s="721">
        <f t="shared" si="29"/>
        <v>7238.75</v>
      </c>
      <c r="DB37" s="721">
        <f t="shared" si="30"/>
        <v>16726.25</v>
      </c>
      <c r="DC37" s="721">
        <f t="shared" si="31"/>
        <v>600</v>
      </c>
    </row>
    <row r="38" spans="1:107" s="2" customFormat="1" ht="16.899999999999999" customHeight="1">
      <c r="A38" s="235">
        <v>32</v>
      </c>
      <c r="B38" s="265"/>
      <c r="C38" s="266">
        <v>30296</v>
      </c>
      <c r="D38" s="266" t="str">
        <f>VLOOKUP(E38,'F3 MS (2)'!E:F,2,0)</f>
        <v>GD250529</v>
      </c>
      <c r="E38" s="267" t="s">
        <v>305</v>
      </c>
      <c r="F38" s="266" t="str">
        <f>VLOOKUP(C38,'[1]ACTIVE GH'!$C:$I,7,0)</f>
        <v>METAL STAMPING</v>
      </c>
      <c r="G38" s="266" t="str">
        <f>VLOOKUP(C38,'[1]ACTIVE GH'!$C:$J,8,0)</f>
        <v>PRODUCTION</v>
      </c>
      <c r="H38" s="266" t="str">
        <f>VLOOKUP(C38,'[1]ACTIVE GH'!$C:$N,12,0)</f>
        <v>Operator 1</v>
      </c>
      <c r="I38" s="266" t="s">
        <v>180</v>
      </c>
      <c r="J38" s="266">
        <f>IFERROR(VLOOKUP(C38,PIVOT!A:B,2,0),0)</f>
        <v>96</v>
      </c>
      <c r="K38" s="237">
        <f t="shared" si="32"/>
        <v>12</v>
      </c>
      <c r="L38" s="237">
        <v>600</v>
      </c>
      <c r="M38" s="238">
        <f t="shared" si="33"/>
        <v>7200</v>
      </c>
      <c r="N38" s="266">
        <f>IFERROR(VLOOKUP(C38,PIVOT!A:F,6,0),0)</f>
        <v>0</v>
      </c>
      <c r="O38" s="239">
        <f t="shared" si="34"/>
        <v>1.25</v>
      </c>
      <c r="P38" s="238">
        <f t="shared" si="35"/>
        <v>0</v>
      </c>
      <c r="Q38" s="266">
        <f>IFERROR(VLOOKUP(C38,PIVOT!A:C,3,0),0)</f>
        <v>18</v>
      </c>
      <c r="R38" s="239">
        <f t="shared" si="36"/>
        <v>93.75</v>
      </c>
      <c r="S38" s="238">
        <f t="shared" si="37"/>
        <v>1687.5</v>
      </c>
      <c r="T38" s="266">
        <f>IFERROR(VLOOKUP(C38,PIVOT!A:D,4,0),0)</f>
        <v>0</v>
      </c>
      <c r="U38" s="239">
        <f t="shared" si="38"/>
        <v>7.5</v>
      </c>
      <c r="V38" s="238">
        <f t="shared" si="39"/>
        <v>0</v>
      </c>
      <c r="W38" s="266">
        <f>IFERROR(VLOOKUP(C38,PIVOT!A:E,5,0),0)</f>
        <v>0</v>
      </c>
      <c r="X38" s="238">
        <f t="shared" si="40"/>
        <v>9.375</v>
      </c>
      <c r="Y38" s="238">
        <f t="shared" si="41"/>
        <v>0</v>
      </c>
      <c r="Z38" s="266">
        <f>IFERROR(VLOOKUP(C38,#REF!,6,0),0)</f>
        <v>0</v>
      </c>
      <c r="AA38" s="239">
        <f t="shared" si="42"/>
        <v>97.5</v>
      </c>
      <c r="AB38" s="238">
        <f t="shared" si="43"/>
        <v>0</v>
      </c>
      <c r="AC38" s="266"/>
      <c r="AD38" s="215">
        <f t="shared" si="44"/>
        <v>126.75</v>
      </c>
      <c r="AE38" s="214">
        <f t="shared" si="45"/>
        <v>0</v>
      </c>
      <c r="AF38" s="266">
        <f>IFERROR(VLOOKUP(C38,#REF!,8,0),0)</f>
        <v>0</v>
      </c>
      <c r="AG38" s="239">
        <f t="shared" si="46"/>
        <v>9.75</v>
      </c>
      <c r="AH38" s="238">
        <f t="shared" si="47"/>
        <v>0</v>
      </c>
      <c r="AI38" s="213"/>
      <c r="AJ38" s="213">
        <f t="shared" si="48"/>
        <v>112.5</v>
      </c>
      <c r="AK38" s="216">
        <f t="shared" si="49"/>
        <v>0</v>
      </c>
      <c r="AL38" s="213"/>
      <c r="AM38" s="213">
        <f t="shared" si="50"/>
        <v>146.25</v>
      </c>
      <c r="AN38" s="216">
        <v>0</v>
      </c>
      <c r="AO38" s="213"/>
      <c r="AP38" s="213">
        <f t="shared" si="51"/>
        <v>11.25</v>
      </c>
      <c r="AQ38" s="216">
        <f t="shared" si="52"/>
        <v>0</v>
      </c>
      <c r="AR38" s="266">
        <f>IFERROR(VLOOKUP(C38,#REF!,7,0),0)</f>
        <v>0</v>
      </c>
      <c r="AS38" s="278">
        <f t="shared" si="16"/>
        <v>97.5</v>
      </c>
      <c r="AT38" s="277">
        <f t="shared" si="17"/>
        <v>0</v>
      </c>
      <c r="AU38" s="266"/>
      <c r="AV38" s="213"/>
      <c r="AW38" s="216"/>
      <c r="AX38" s="213">
        <f>IFERROR(VLOOKUP(C38,#REF!,8,0),0)</f>
        <v>0</v>
      </c>
      <c r="AY38" s="278">
        <f t="shared" si="18"/>
        <v>9.75</v>
      </c>
      <c r="AZ38" s="277">
        <f t="shared" si="19"/>
        <v>0</v>
      </c>
      <c r="BA38" s="266">
        <f>IFERROR(VLOOKUP(C38,#REF!,10,0),0)</f>
        <v>0</v>
      </c>
      <c r="BB38" s="268">
        <f t="shared" si="53"/>
        <v>150</v>
      </c>
      <c r="BC38" s="247">
        <f t="shared" si="54"/>
        <v>0</v>
      </c>
      <c r="BD38" s="216"/>
      <c r="BE38" s="213"/>
      <c r="BF38" s="213"/>
      <c r="BG38" s="216"/>
      <c r="BH38" s="213"/>
      <c r="BI38" s="213"/>
      <c r="BJ38" s="216">
        <f>IFERROR(VLOOKUP(C38,#REF!,9,0),0)</f>
        <v>0</v>
      </c>
      <c r="BK38" s="276">
        <f t="shared" si="55"/>
        <v>75</v>
      </c>
      <c r="BL38" s="213">
        <f t="shared" si="56"/>
        <v>0</v>
      </c>
      <c r="BM38" s="216"/>
      <c r="BN38" s="213"/>
      <c r="BO38" s="213"/>
      <c r="BP38" s="213"/>
      <c r="BQ38" s="213"/>
      <c r="BR38" s="213"/>
      <c r="BS38" s="213"/>
      <c r="BT38" s="213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3"/>
      <c r="CF38" s="215"/>
      <c r="CG38" s="215">
        <f t="shared" si="57"/>
        <v>8887.5</v>
      </c>
      <c r="CH38" s="256">
        <f>VLOOKUP(CX38,SSS_2025!A:N,8)</f>
        <v>1950</v>
      </c>
      <c r="CI38" s="217">
        <f>VLOOKUP(CX38,SSS_2025!A:N,13)</f>
        <v>975</v>
      </c>
      <c r="CJ38" s="217">
        <f>VLOOKUP(CX38,SSS_2025!A:N,9)</f>
        <v>30</v>
      </c>
      <c r="CK38" s="215">
        <v>391.25</v>
      </c>
      <c r="CL38" s="215">
        <v>391.25</v>
      </c>
      <c r="CM38" s="215">
        <v>200</v>
      </c>
      <c r="CN38" s="215">
        <v>200</v>
      </c>
      <c r="CO38" s="214">
        <f t="shared" si="58"/>
        <v>11458.75</v>
      </c>
      <c r="CP38" s="214">
        <f t="shared" si="59"/>
        <v>720</v>
      </c>
      <c r="CQ38" s="214">
        <f t="shared" si="60"/>
        <v>12178.75</v>
      </c>
      <c r="CR38" s="215"/>
      <c r="CS38" s="214">
        <f t="shared" si="61"/>
        <v>12178.75</v>
      </c>
      <c r="CT38" s="273">
        <f t="shared" si="62"/>
        <v>600</v>
      </c>
      <c r="CU38" s="244"/>
      <c r="CV38" s="269">
        <f>IFERROR(VLOOKUP(C38,'[2]BILLING COMPUTATION'!$C$8:$CI$224,85,0),0)</f>
        <v>10680</v>
      </c>
      <c r="CW38" s="243">
        <f t="shared" si="27"/>
        <v>8887.5</v>
      </c>
      <c r="CX38" s="245">
        <f t="shared" si="63"/>
        <v>19567.5</v>
      </c>
      <c r="CZ38" s="721">
        <f>IFERROR(VLOOKUP(C38,'[5]BILLING COMPUTATION'!$C$8:$CG$101,83,0),0)</f>
        <v>11047.5</v>
      </c>
      <c r="DA38" s="721">
        <f t="shared" si="29"/>
        <v>8887.5</v>
      </c>
      <c r="DB38" s="721">
        <f t="shared" si="30"/>
        <v>19935</v>
      </c>
      <c r="DC38" s="721">
        <f t="shared" si="31"/>
        <v>367.5</v>
      </c>
    </row>
    <row r="39" spans="1:107" s="2" customFormat="1" ht="16.899999999999999" customHeight="1">
      <c r="A39" s="235">
        <v>33</v>
      </c>
      <c r="B39" s="265"/>
      <c r="C39" s="266">
        <v>13684</v>
      </c>
      <c r="D39" s="266" t="str">
        <f>VLOOKUP(E39,'F3 MS (2)'!E:F,2,0)</f>
        <v>GD250135</v>
      </c>
      <c r="E39" s="267" t="s">
        <v>228</v>
      </c>
      <c r="F39" s="266" t="str">
        <f>VLOOKUP(C39,'[1]ACTIVE GH'!$C:$I,7,0)</f>
        <v>METAL STAMPING</v>
      </c>
      <c r="G39" s="266" t="str">
        <f>VLOOKUP(C39,'[1]ACTIVE GH'!$C:$J,8,0)</f>
        <v>PRODUCTION</v>
      </c>
      <c r="H39" s="266" t="str">
        <f>VLOOKUP(C39,'[1]ACTIVE GH'!$C:$N,12,0)</f>
        <v>Operator 1</v>
      </c>
      <c r="I39" s="266" t="s">
        <v>180</v>
      </c>
      <c r="J39" s="266">
        <f>IFERROR(VLOOKUP(C39,PIVOT!A:B,2,0),0)</f>
        <v>88</v>
      </c>
      <c r="K39" s="237">
        <f t="shared" si="32"/>
        <v>11</v>
      </c>
      <c r="L39" s="237">
        <v>600</v>
      </c>
      <c r="M39" s="238">
        <f t="shared" si="33"/>
        <v>6600</v>
      </c>
      <c r="N39" s="266">
        <f>IFERROR(VLOOKUP(C39,PIVOT!A:F,6,0),0)</f>
        <v>0</v>
      </c>
      <c r="O39" s="239">
        <f t="shared" si="34"/>
        <v>1.25</v>
      </c>
      <c r="P39" s="238">
        <f t="shared" si="35"/>
        <v>0</v>
      </c>
      <c r="Q39" s="266">
        <f>IFERROR(VLOOKUP(C39,PIVOT!A:C,3,0),0)</f>
        <v>4</v>
      </c>
      <c r="R39" s="239">
        <f t="shared" si="36"/>
        <v>93.75</v>
      </c>
      <c r="S39" s="238">
        <f t="shared" si="37"/>
        <v>375</v>
      </c>
      <c r="T39" s="266">
        <f>IFERROR(VLOOKUP(C39,PIVOT!A:D,4,0),0)</f>
        <v>0</v>
      </c>
      <c r="U39" s="239">
        <f t="shared" si="38"/>
        <v>7.5</v>
      </c>
      <c r="V39" s="238">
        <f t="shared" si="39"/>
        <v>0</v>
      </c>
      <c r="W39" s="266">
        <f>IFERROR(VLOOKUP(C39,PIVOT!A:E,5,0),0)</f>
        <v>0</v>
      </c>
      <c r="X39" s="238">
        <f t="shared" si="40"/>
        <v>9.375</v>
      </c>
      <c r="Y39" s="238">
        <f t="shared" si="41"/>
        <v>0</v>
      </c>
      <c r="Z39" s="266">
        <f>IFERROR(VLOOKUP(C39,#REF!,6,0),0)</f>
        <v>0</v>
      </c>
      <c r="AA39" s="239">
        <f t="shared" si="42"/>
        <v>97.5</v>
      </c>
      <c r="AB39" s="238">
        <f t="shared" si="43"/>
        <v>0</v>
      </c>
      <c r="AC39" s="266"/>
      <c r="AD39" s="215">
        <f t="shared" si="44"/>
        <v>126.75</v>
      </c>
      <c r="AE39" s="214">
        <f t="shared" si="45"/>
        <v>0</v>
      </c>
      <c r="AF39" s="266">
        <f>IFERROR(VLOOKUP(C39,#REF!,8,0),0)</f>
        <v>0</v>
      </c>
      <c r="AG39" s="239">
        <f t="shared" si="46"/>
        <v>9.75</v>
      </c>
      <c r="AH39" s="238">
        <f t="shared" si="47"/>
        <v>0</v>
      </c>
      <c r="AI39" s="213"/>
      <c r="AJ39" s="213">
        <f t="shared" si="48"/>
        <v>112.5</v>
      </c>
      <c r="AK39" s="216">
        <f t="shared" si="49"/>
        <v>0</v>
      </c>
      <c r="AL39" s="213"/>
      <c r="AM39" s="213">
        <f t="shared" si="50"/>
        <v>146.25</v>
      </c>
      <c r="AN39" s="216">
        <v>0</v>
      </c>
      <c r="AO39" s="213"/>
      <c r="AP39" s="213">
        <f t="shared" si="51"/>
        <v>11.25</v>
      </c>
      <c r="AQ39" s="216">
        <f t="shared" si="52"/>
        <v>0</v>
      </c>
      <c r="AR39" s="266">
        <f>IFERROR(VLOOKUP(C39,#REF!,7,0),0)</f>
        <v>0</v>
      </c>
      <c r="AS39" s="278">
        <f t="shared" si="16"/>
        <v>97.5</v>
      </c>
      <c r="AT39" s="277">
        <f t="shared" si="17"/>
        <v>0</v>
      </c>
      <c r="AU39" s="266"/>
      <c r="AV39" s="213"/>
      <c r="AW39" s="216"/>
      <c r="AX39" s="213">
        <f>IFERROR(VLOOKUP(C39,#REF!,8,0),0)</f>
        <v>0</v>
      </c>
      <c r="AY39" s="278">
        <f t="shared" si="18"/>
        <v>9.75</v>
      </c>
      <c r="AZ39" s="277">
        <f t="shared" si="19"/>
        <v>0</v>
      </c>
      <c r="BA39" s="266">
        <f>IFERROR(VLOOKUP(C39,#REF!,10,0),0)</f>
        <v>0</v>
      </c>
      <c r="BB39" s="268">
        <f t="shared" si="53"/>
        <v>150</v>
      </c>
      <c r="BC39" s="247">
        <f t="shared" si="54"/>
        <v>0</v>
      </c>
      <c r="BD39" s="216"/>
      <c r="BE39" s="213"/>
      <c r="BF39" s="213"/>
      <c r="BG39" s="216"/>
      <c r="BH39" s="213"/>
      <c r="BI39" s="213"/>
      <c r="BJ39" s="216">
        <f>IFERROR(VLOOKUP(C39,#REF!,9,0),0)</f>
        <v>0</v>
      </c>
      <c r="BK39" s="276">
        <f t="shared" si="55"/>
        <v>75</v>
      </c>
      <c r="BL39" s="213">
        <f t="shared" si="56"/>
        <v>0</v>
      </c>
      <c r="BM39" s="216"/>
      <c r="BN39" s="213"/>
      <c r="BO39" s="213"/>
      <c r="BP39" s="213"/>
      <c r="BQ39" s="213"/>
      <c r="BR39" s="213"/>
      <c r="BS39" s="213"/>
      <c r="BT39" s="213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3"/>
      <c r="CF39" s="215"/>
      <c r="CG39" s="215">
        <f t="shared" si="57"/>
        <v>6975</v>
      </c>
      <c r="CH39" s="256">
        <f>VLOOKUP(CX39,SSS_2025!A:N,8)</f>
        <v>1800</v>
      </c>
      <c r="CI39" s="217">
        <f>VLOOKUP(CX39,SSS_2025!A:N,13)</f>
        <v>900</v>
      </c>
      <c r="CJ39" s="217">
        <f>VLOOKUP(CX39,SSS_2025!A:N,9)</f>
        <v>30</v>
      </c>
      <c r="CK39" s="215">
        <v>391.25</v>
      </c>
      <c r="CL39" s="215">
        <v>391.25</v>
      </c>
      <c r="CM39" s="215">
        <v>200</v>
      </c>
      <c r="CN39" s="215">
        <v>200</v>
      </c>
      <c r="CO39" s="214">
        <f t="shared" si="58"/>
        <v>9396.25</v>
      </c>
      <c r="CP39" s="214">
        <f t="shared" si="59"/>
        <v>660</v>
      </c>
      <c r="CQ39" s="214">
        <f t="shared" si="60"/>
        <v>10056.25</v>
      </c>
      <c r="CR39" s="215"/>
      <c r="CS39" s="214">
        <f t="shared" si="61"/>
        <v>10056.25</v>
      </c>
      <c r="CT39" s="273">
        <f t="shared" si="62"/>
        <v>550</v>
      </c>
      <c r="CU39" s="244"/>
      <c r="CV39" s="269">
        <f>IFERROR(VLOOKUP(C39,'[2]BILLING COMPUTATION'!$C$8:$CI$224,85,0),0)</f>
        <v>11197.5</v>
      </c>
      <c r="CW39" s="243">
        <f t="shared" si="27"/>
        <v>6975</v>
      </c>
      <c r="CX39" s="245">
        <f t="shared" si="63"/>
        <v>18172.5</v>
      </c>
      <c r="CZ39" s="721">
        <f>IFERROR(VLOOKUP(C39,'[5]BILLING COMPUTATION'!$C$8:$CG$101,83,0),0)</f>
        <v>9527.5</v>
      </c>
      <c r="DA39" s="721">
        <f t="shared" si="29"/>
        <v>6975</v>
      </c>
      <c r="DB39" s="721">
        <f t="shared" si="30"/>
        <v>16502.5</v>
      </c>
      <c r="DC39" s="721">
        <f t="shared" si="31"/>
        <v>-1670</v>
      </c>
    </row>
    <row r="40" spans="1:107" s="2" customFormat="1" ht="16.899999999999999" customHeight="1">
      <c r="A40" s="235">
        <v>34</v>
      </c>
      <c r="B40" s="265"/>
      <c r="C40" s="266">
        <v>13337</v>
      </c>
      <c r="D40" s="266" t="str">
        <f>VLOOKUP(E40,'F3 MS (2)'!E:F,2,0)</f>
        <v>GD250225</v>
      </c>
      <c r="E40" s="267" t="s">
        <v>389</v>
      </c>
      <c r="F40" s="266" t="str">
        <f>VLOOKUP(C40,'[1]ACTIVE GH'!$C:$I,7,0)</f>
        <v>METAL STAMPING</v>
      </c>
      <c r="G40" s="266" t="str">
        <f>VLOOKUP(C40,'[1]ACTIVE GH'!$C:$J,8,0)</f>
        <v>PRODUCTION</v>
      </c>
      <c r="H40" s="266" t="str">
        <f>VLOOKUP(C40,'[1]ACTIVE GH'!$C:$N,12,0)</f>
        <v>Operator 1</v>
      </c>
      <c r="I40" s="266" t="s">
        <v>180</v>
      </c>
      <c r="J40" s="266">
        <f>IFERROR(VLOOKUP(C40,PIVOT!A:B,2,0),0)</f>
        <v>96</v>
      </c>
      <c r="K40" s="237">
        <f t="shared" ref="K40" si="89">J40/8</f>
        <v>12</v>
      </c>
      <c r="L40" s="237">
        <v>600</v>
      </c>
      <c r="M40" s="238">
        <f t="shared" si="33"/>
        <v>7200</v>
      </c>
      <c r="N40" s="266">
        <f>IFERROR(VLOOKUP(C40,PIVOT!A:F,6,0),0)</f>
        <v>0</v>
      </c>
      <c r="O40" s="239">
        <f t="shared" ref="O40" si="90">L40/8/60</f>
        <v>1.25</v>
      </c>
      <c r="P40" s="238">
        <f t="shared" si="35"/>
        <v>0</v>
      </c>
      <c r="Q40" s="266">
        <f>IFERROR(VLOOKUP(C40,PIVOT!A:C,3,0),0)</f>
        <v>16</v>
      </c>
      <c r="R40" s="239">
        <f t="shared" ref="R40" si="91">L40/8*1.25</f>
        <v>93.75</v>
      </c>
      <c r="S40" s="238">
        <f t="shared" ref="S40" si="92">Q40*R40</f>
        <v>1500</v>
      </c>
      <c r="T40" s="266">
        <f>IFERROR(VLOOKUP(C40,PIVOT!A:D,4,0),0)</f>
        <v>66</v>
      </c>
      <c r="U40" s="239">
        <f t="shared" si="38"/>
        <v>7.5</v>
      </c>
      <c r="V40" s="238">
        <f t="shared" si="39"/>
        <v>495</v>
      </c>
      <c r="W40" s="266">
        <f>IFERROR(VLOOKUP(C40,PIVOT!A:E,5,0),0)</f>
        <v>16</v>
      </c>
      <c r="X40" s="238">
        <f t="shared" ref="X40" si="93">L40/8*1.25*0.1</f>
        <v>9.375</v>
      </c>
      <c r="Y40" s="238">
        <f t="shared" si="41"/>
        <v>150</v>
      </c>
      <c r="Z40" s="266">
        <f>IFERROR(VLOOKUP(C40,#REF!,6,0),0)</f>
        <v>0</v>
      </c>
      <c r="AA40" s="239">
        <f t="shared" ref="AA40" si="94">L40/8*1.3</f>
        <v>97.5</v>
      </c>
      <c r="AB40" s="238">
        <f t="shared" ref="AB40" si="95">Z40*AA40</f>
        <v>0</v>
      </c>
      <c r="AC40" s="266"/>
      <c r="AD40" s="215">
        <f t="shared" ref="AD40" si="96">L40/8*1.69</f>
        <v>126.75</v>
      </c>
      <c r="AE40" s="214">
        <f t="shared" ref="AE40" si="97">AD40*AC40</f>
        <v>0</v>
      </c>
      <c r="AF40" s="266">
        <f>IFERROR(VLOOKUP(C40,#REF!,8,0),0)</f>
        <v>0</v>
      </c>
      <c r="AG40" s="239">
        <f t="shared" ref="AG40" si="98">L40/8*1.3*0.1</f>
        <v>9.75</v>
      </c>
      <c r="AH40" s="238">
        <f t="shared" ref="AH40" si="99">AF40*AG40</f>
        <v>0</v>
      </c>
      <c r="AI40" s="213"/>
      <c r="AJ40" s="213">
        <f t="shared" ref="AJ40" si="100">L40/8*1.5</f>
        <v>112.5</v>
      </c>
      <c r="AK40" s="216">
        <f t="shared" ref="AK40" si="101">AI40*AJ40</f>
        <v>0</v>
      </c>
      <c r="AL40" s="213"/>
      <c r="AM40" s="213">
        <f t="shared" ref="AM40" si="102">L40/8*1.5*1.3</f>
        <v>146.25</v>
      </c>
      <c r="AN40" s="216">
        <v>0</v>
      </c>
      <c r="AO40" s="213"/>
      <c r="AP40" s="213">
        <f t="shared" ref="AP40" si="103">L40/8*1.5*0.1</f>
        <v>11.25</v>
      </c>
      <c r="AQ40" s="216">
        <f t="shared" ref="AQ40" si="104">AO40*AP40</f>
        <v>0</v>
      </c>
      <c r="AR40" s="266">
        <f>IFERROR(VLOOKUP(C40,#REF!,7,0),0)</f>
        <v>0</v>
      </c>
      <c r="AS40" s="278">
        <f t="shared" ref="AS40" si="105">L40/8*1.3</f>
        <v>97.5</v>
      </c>
      <c r="AT40" s="277">
        <f t="shared" ref="AT40" si="106">AR40*AS40</f>
        <v>0</v>
      </c>
      <c r="AU40" s="266"/>
      <c r="AV40" s="213"/>
      <c r="AW40" s="216"/>
      <c r="AX40" s="213">
        <f>IFERROR(VLOOKUP(C40,#REF!,8,0),0)</f>
        <v>0</v>
      </c>
      <c r="AY40" s="278">
        <f t="shared" ref="AY40" si="107">L40/8*1.3*0.1</f>
        <v>9.75</v>
      </c>
      <c r="AZ40" s="277">
        <f t="shared" ref="AZ40" si="108">AX40*AY40</f>
        <v>0</v>
      </c>
      <c r="BA40" s="266">
        <f>IFERROR(VLOOKUP(C40,#REF!,10,0),0)</f>
        <v>0</v>
      </c>
      <c r="BB40" s="268">
        <f t="shared" si="53"/>
        <v>150</v>
      </c>
      <c r="BC40" s="247">
        <f t="shared" ref="BC40" si="109">BA40*BB40</f>
        <v>0</v>
      </c>
      <c r="BD40" s="216"/>
      <c r="BE40" s="213"/>
      <c r="BF40" s="213"/>
      <c r="BG40" s="216"/>
      <c r="BH40" s="213"/>
      <c r="BI40" s="213"/>
      <c r="BJ40" s="216">
        <f>IFERROR(VLOOKUP(C40,#REF!,9,0),0)</f>
        <v>0</v>
      </c>
      <c r="BK40" s="276">
        <f t="shared" ref="BK40" si="110">L40/8</f>
        <v>75</v>
      </c>
      <c r="BL40" s="213">
        <f t="shared" ref="BL40" si="111">BJ40*BK40</f>
        <v>0</v>
      </c>
      <c r="BM40" s="216"/>
      <c r="BN40" s="213"/>
      <c r="BO40" s="213"/>
      <c r="BP40" s="213"/>
      <c r="BQ40" s="213"/>
      <c r="BR40" s="213"/>
      <c r="BS40" s="213"/>
      <c r="BT40" s="213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3"/>
      <c r="CF40" s="215"/>
      <c r="CG40" s="215">
        <f t="shared" si="57"/>
        <v>9345</v>
      </c>
      <c r="CH40" s="256">
        <f>VLOOKUP(CX40,SSS_2025!A:N,8)</f>
        <v>1850</v>
      </c>
      <c r="CI40" s="217">
        <f>VLOOKUP(CX40,SSS_2025!A:N,13)</f>
        <v>925</v>
      </c>
      <c r="CJ40" s="217">
        <f>VLOOKUP(CX40,SSS_2025!A:N,9)</f>
        <v>30</v>
      </c>
      <c r="CK40" s="215">
        <v>391.25</v>
      </c>
      <c r="CL40" s="215">
        <v>391.25</v>
      </c>
      <c r="CM40" s="215">
        <v>200</v>
      </c>
      <c r="CN40" s="215">
        <v>200</v>
      </c>
      <c r="CO40" s="214">
        <f t="shared" si="58"/>
        <v>11816.25</v>
      </c>
      <c r="CP40" s="214">
        <f t="shared" si="59"/>
        <v>720</v>
      </c>
      <c r="CQ40" s="214">
        <f t="shared" si="60"/>
        <v>12536.25</v>
      </c>
      <c r="CR40" s="215"/>
      <c r="CS40" s="214">
        <f t="shared" si="61"/>
        <v>12536.25</v>
      </c>
      <c r="CT40" s="273">
        <f t="shared" si="62"/>
        <v>600</v>
      </c>
      <c r="CU40" s="244"/>
      <c r="CV40" s="269">
        <f>IFERROR(VLOOKUP(C40,'[2]BILLING COMPUTATION'!$C$8:$CI$224,85,0),0)</f>
        <v>9348.75</v>
      </c>
      <c r="CW40" s="243">
        <f t="shared" ref="CW40" si="112">CG40</f>
        <v>9345</v>
      </c>
      <c r="CX40" s="245">
        <f t="shared" ref="CX40" si="113">CV40+CW40</f>
        <v>18693.75</v>
      </c>
      <c r="CZ40" s="721">
        <f>IFERROR(VLOOKUP(C40,'[5]BILLING COMPUTATION'!$C$8:$CG$101,83,0),0)</f>
        <v>8842.5</v>
      </c>
      <c r="DA40" s="721">
        <f t="shared" si="29"/>
        <v>9345</v>
      </c>
      <c r="DB40" s="721">
        <f t="shared" si="30"/>
        <v>18187.5</v>
      </c>
      <c r="DC40" s="721">
        <f t="shared" si="31"/>
        <v>-506.25</v>
      </c>
    </row>
    <row r="41" spans="1:107" s="2" customFormat="1" ht="16.899999999999999" customHeight="1">
      <c r="A41" s="235">
        <v>35</v>
      </c>
      <c r="B41" s="265"/>
      <c r="C41" s="266">
        <v>30766</v>
      </c>
      <c r="D41" s="266" t="str">
        <f>VLOOKUP(E41,'F3 MS (2)'!E:F,2,0)</f>
        <v>GD250540</v>
      </c>
      <c r="E41" s="267" t="s">
        <v>328</v>
      </c>
      <c r="F41" s="266" t="str">
        <f>VLOOKUP(C41,'[1]ACTIVE GH'!$C:$I,7,0)</f>
        <v>METAL STAMPING</v>
      </c>
      <c r="G41" s="266" t="str">
        <f>VLOOKUP(C41,'[1]ACTIVE GH'!$C:$J,8,0)</f>
        <v>PRODUCTION</v>
      </c>
      <c r="H41" s="266" t="str">
        <f>VLOOKUP(C41,'[1]ACTIVE GH'!$C:$N,12,0)</f>
        <v>Operator 1</v>
      </c>
      <c r="I41" s="266" t="s">
        <v>180</v>
      </c>
      <c r="J41" s="266">
        <f>IFERROR(VLOOKUP(C41,PIVOT!A:B,2,0),0)</f>
        <v>76</v>
      </c>
      <c r="K41" s="237">
        <f t="shared" si="32"/>
        <v>9.5</v>
      </c>
      <c r="L41" s="237">
        <v>600</v>
      </c>
      <c r="M41" s="238">
        <f t="shared" si="33"/>
        <v>5700</v>
      </c>
      <c r="N41" s="266">
        <f>IFERROR(VLOOKUP(C41,PIVOT!A:F,6,0),0)</f>
        <v>0</v>
      </c>
      <c r="O41" s="239">
        <f t="shared" si="34"/>
        <v>1.25</v>
      </c>
      <c r="P41" s="238">
        <f t="shared" si="35"/>
        <v>0</v>
      </c>
      <c r="Q41" s="266">
        <f>IFERROR(VLOOKUP(C41,PIVOT!A:C,3,0),0)</f>
        <v>0</v>
      </c>
      <c r="R41" s="239">
        <f t="shared" si="36"/>
        <v>93.75</v>
      </c>
      <c r="S41" s="238">
        <f t="shared" si="37"/>
        <v>0</v>
      </c>
      <c r="T41" s="266">
        <f>IFERROR(VLOOKUP(C41,PIVOT!A:D,4,0),0)</f>
        <v>0</v>
      </c>
      <c r="U41" s="239">
        <f t="shared" si="38"/>
        <v>7.5</v>
      </c>
      <c r="V41" s="238">
        <f t="shared" si="39"/>
        <v>0</v>
      </c>
      <c r="W41" s="266">
        <f>IFERROR(VLOOKUP(C41,PIVOT!A:E,5,0),0)</f>
        <v>0</v>
      </c>
      <c r="X41" s="238">
        <f t="shared" si="40"/>
        <v>9.375</v>
      </c>
      <c r="Y41" s="238">
        <f t="shared" si="41"/>
        <v>0</v>
      </c>
      <c r="Z41" s="266">
        <f>IFERROR(VLOOKUP(C41,#REF!,6,0),0)</f>
        <v>0</v>
      </c>
      <c r="AA41" s="239">
        <f t="shared" si="42"/>
        <v>97.5</v>
      </c>
      <c r="AB41" s="238">
        <f t="shared" si="43"/>
        <v>0</v>
      </c>
      <c r="AC41" s="266"/>
      <c r="AD41" s="215">
        <f t="shared" si="44"/>
        <v>126.75</v>
      </c>
      <c r="AE41" s="214">
        <f t="shared" si="45"/>
        <v>0</v>
      </c>
      <c r="AF41" s="266">
        <f>IFERROR(VLOOKUP(C41,#REF!,8,0),0)</f>
        <v>0</v>
      </c>
      <c r="AG41" s="239">
        <f t="shared" si="46"/>
        <v>9.75</v>
      </c>
      <c r="AH41" s="238">
        <f t="shared" si="47"/>
        <v>0</v>
      </c>
      <c r="AI41" s="213"/>
      <c r="AJ41" s="213">
        <f t="shared" si="48"/>
        <v>112.5</v>
      </c>
      <c r="AK41" s="216">
        <f t="shared" si="49"/>
        <v>0</v>
      </c>
      <c r="AL41" s="213"/>
      <c r="AM41" s="213">
        <f t="shared" si="50"/>
        <v>146.25</v>
      </c>
      <c r="AN41" s="216">
        <v>0</v>
      </c>
      <c r="AO41" s="213"/>
      <c r="AP41" s="213">
        <f t="shared" si="51"/>
        <v>11.25</v>
      </c>
      <c r="AQ41" s="216">
        <f t="shared" si="52"/>
        <v>0</v>
      </c>
      <c r="AR41" s="266">
        <f>IFERROR(VLOOKUP(C41,#REF!,7,0),0)</f>
        <v>0</v>
      </c>
      <c r="AS41" s="278">
        <f t="shared" si="16"/>
        <v>97.5</v>
      </c>
      <c r="AT41" s="277">
        <f t="shared" si="17"/>
        <v>0</v>
      </c>
      <c r="AU41" s="266"/>
      <c r="AV41" s="213"/>
      <c r="AW41" s="216"/>
      <c r="AX41" s="213">
        <f>IFERROR(VLOOKUP(C41,#REF!,8,0),0)</f>
        <v>0</v>
      </c>
      <c r="AY41" s="278">
        <f t="shared" si="18"/>
        <v>9.75</v>
      </c>
      <c r="AZ41" s="277">
        <f t="shared" si="19"/>
        <v>0</v>
      </c>
      <c r="BA41" s="266">
        <f>IFERROR(VLOOKUP(C41,#REF!,10,0),0)</f>
        <v>0</v>
      </c>
      <c r="BB41" s="268">
        <f t="shared" si="53"/>
        <v>150</v>
      </c>
      <c r="BC41" s="247">
        <f t="shared" si="54"/>
        <v>0</v>
      </c>
      <c r="BD41" s="216"/>
      <c r="BE41" s="213"/>
      <c r="BF41" s="213"/>
      <c r="BG41" s="216"/>
      <c r="BH41" s="213"/>
      <c r="BI41" s="213"/>
      <c r="BJ41" s="216">
        <f>IFERROR(VLOOKUP(C41,#REF!,9,0),0)</f>
        <v>0</v>
      </c>
      <c r="BK41" s="276">
        <f t="shared" si="55"/>
        <v>75</v>
      </c>
      <c r="BL41" s="213">
        <f t="shared" si="56"/>
        <v>0</v>
      </c>
      <c r="BM41" s="216"/>
      <c r="BN41" s="213"/>
      <c r="BO41" s="213"/>
      <c r="BP41" s="213"/>
      <c r="BQ41" s="213"/>
      <c r="BR41" s="213"/>
      <c r="BS41" s="213"/>
      <c r="BT41" s="213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3"/>
      <c r="CF41" s="215"/>
      <c r="CG41" s="215">
        <f t="shared" si="57"/>
        <v>5700</v>
      </c>
      <c r="CH41" s="256">
        <f>VLOOKUP(CX41,SSS_2025!A:N,8)</f>
        <v>1650</v>
      </c>
      <c r="CI41" s="217">
        <f>VLOOKUP(CX41,SSS_2025!A:N,13)</f>
        <v>825</v>
      </c>
      <c r="CJ41" s="217">
        <f>VLOOKUP(CX41,SSS_2025!A:N,9)</f>
        <v>30</v>
      </c>
      <c r="CK41" s="215">
        <v>391.25</v>
      </c>
      <c r="CL41" s="215">
        <v>391.25</v>
      </c>
      <c r="CM41" s="215">
        <v>200</v>
      </c>
      <c r="CN41" s="215">
        <v>200</v>
      </c>
      <c r="CO41" s="214">
        <f t="shared" si="58"/>
        <v>7971.25</v>
      </c>
      <c r="CP41" s="214">
        <f t="shared" si="59"/>
        <v>570</v>
      </c>
      <c r="CQ41" s="214">
        <f t="shared" si="60"/>
        <v>8541.25</v>
      </c>
      <c r="CR41" s="215"/>
      <c r="CS41" s="214">
        <f t="shared" si="61"/>
        <v>8541.25</v>
      </c>
      <c r="CT41" s="273">
        <f t="shared" si="62"/>
        <v>475</v>
      </c>
      <c r="CU41" s="244"/>
      <c r="CV41" s="269">
        <f>IFERROR(VLOOKUP(C41,'[2]BILLING COMPUTATION'!$C$8:$CI$224,85,0),0)</f>
        <v>10867.5</v>
      </c>
      <c r="CW41" s="243">
        <f t="shared" ref="CW41:CW70" si="114">CG41</f>
        <v>5700</v>
      </c>
      <c r="CX41" s="245">
        <f t="shared" si="63"/>
        <v>16567.5</v>
      </c>
      <c r="CZ41" s="721">
        <f>IFERROR(VLOOKUP(C41,'[5]BILLING COMPUTATION'!$C$8:$CG$101,83,0),0)</f>
        <v>9926.25</v>
      </c>
      <c r="DA41" s="721">
        <f t="shared" si="29"/>
        <v>5700</v>
      </c>
      <c r="DB41" s="721">
        <f t="shared" si="30"/>
        <v>15626.25</v>
      </c>
      <c r="DC41" s="721">
        <f t="shared" si="31"/>
        <v>-941.25</v>
      </c>
    </row>
    <row r="42" spans="1:107" s="2" customFormat="1" ht="16.899999999999999" customHeight="1">
      <c r="A42" s="235">
        <v>36</v>
      </c>
      <c r="B42" s="265"/>
      <c r="C42" s="266">
        <v>12985</v>
      </c>
      <c r="D42" s="266" t="str">
        <f>VLOOKUP(E42,'F3 MS (2)'!E:F,2,0)</f>
        <v>GD250372</v>
      </c>
      <c r="E42" s="267" t="s">
        <v>326</v>
      </c>
      <c r="F42" s="266" t="str">
        <f>VLOOKUP(C42,'[1]ACTIVE GH'!$C:$I,7,0)</f>
        <v>METAL STAMPING</v>
      </c>
      <c r="G42" s="266" t="str">
        <f>VLOOKUP(C42,'[1]ACTIVE GH'!$C:$J,8,0)</f>
        <v>PRODUCTION</v>
      </c>
      <c r="H42" s="266" t="str">
        <f>VLOOKUP(C42,'[1]ACTIVE GH'!$C:$N,12,0)</f>
        <v>Operator 1</v>
      </c>
      <c r="I42" s="266" t="s">
        <v>180</v>
      </c>
      <c r="J42" s="266">
        <f>IFERROR(VLOOKUP(C42,PIVOT!A:B,2,0),0)</f>
        <v>96</v>
      </c>
      <c r="K42" s="237">
        <f t="shared" si="32"/>
        <v>12</v>
      </c>
      <c r="L42" s="237">
        <v>600</v>
      </c>
      <c r="M42" s="238">
        <f t="shared" si="33"/>
        <v>7200</v>
      </c>
      <c r="N42" s="266">
        <f>IFERROR(VLOOKUP(C42,PIVOT!A:F,6,0),0)</f>
        <v>0</v>
      </c>
      <c r="O42" s="239">
        <f t="shared" si="34"/>
        <v>1.25</v>
      </c>
      <c r="P42" s="238">
        <f t="shared" si="35"/>
        <v>0</v>
      </c>
      <c r="Q42" s="266">
        <f>IFERROR(VLOOKUP(C42,PIVOT!A:C,3,0),0)</f>
        <v>0</v>
      </c>
      <c r="R42" s="239">
        <f t="shared" si="36"/>
        <v>93.75</v>
      </c>
      <c r="S42" s="238">
        <f t="shared" si="37"/>
        <v>0</v>
      </c>
      <c r="T42" s="266">
        <f>IFERROR(VLOOKUP(C42,PIVOT!A:D,4,0),0)</f>
        <v>6</v>
      </c>
      <c r="U42" s="239">
        <f t="shared" si="38"/>
        <v>7.5</v>
      </c>
      <c r="V42" s="238">
        <f t="shared" si="39"/>
        <v>45</v>
      </c>
      <c r="W42" s="266">
        <f>IFERROR(VLOOKUP(C42,PIVOT!A:E,5,0),0)</f>
        <v>0</v>
      </c>
      <c r="X42" s="238">
        <f t="shared" si="40"/>
        <v>9.375</v>
      </c>
      <c r="Y42" s="238">
        <f t="shared" si="41"/>
        <v>0</v>
      </c>
      <c r="Z42" s="266">
        <f>IFERROR(VLOOKUP(C42,#REF!,6,0),0)</f>
        <v>0</v>
      </c>
      <c r="AA42" s="239">
        <f t="shared" si="42"/>
        <v>97.5</v>
      </c>
      <c r="AB42" s="238">
        <f t="shared" si="43"/>
        <v>0</v>
      </c>
      <c r="AC42" s="266"/>
      <c r="AD42" s="215">
        <f t="shared" si="44"/>
        <v>126.75</v>
      </c>
      <c r="AE42" s="214">
        <f t="shared" si="45"/>
        <v>0</v>
      </c>
      <c r="AF42" s="266">
        <f>IFERROR(VLOOKUP(C42,#REF!,8,0),0)</f>
        <v>0</v>
      </c>
      <c r="AG42" s="239">
        <f t="shared" si="46"/>
        <v>9.75</v>
      </c>
      <c r="AH42" s="238">
        <f t="shared" si="47"/>
        <v>0</v>
      </c>
      <c r="AI42" s="213"/>
      <c r="AJ42" s="213">
        <f t="shared" si="48"/>
        <v>112.5</v>
      </c>
      <c r="AK42" s="216">
        <f t="shared" si="49"/>
        <v>0</v>
      </c>
      <c r="AL42" s="213"/>
      <c r="AM42" s="213">
        <f t="shared" si="50"/>
        <v>146.25</v>
      </c>
      <c r="AN42" s="216">
        <v>0</v>
      </c>
      <c r="AO42" s="213"/>
      <c r="AP42" s="213">
        <f t="shared" si="51"/>
        <v>11.25</v>
      </c>
      <c r="AQ42" s="216">
        <f t="shared" si="52"/>
        <v>0</v>
      </c>
      <c r="AR42" s="266">
        <f>IFERROR(VLOOKUP(C42,#REF!,7,0),0)</f>
        <v>0</v>
      </c>
      <c r="AS42" s="278">
        <f t="shared" si="16"/>
        <v>97.5</v>
      </c>
      <c r="AT42" s="277">
        <f t="shared" si="17"/>
        <v>0</v>
      </c>
      <c r="AU42" s="266"/>
      <c r="AV42" s="213"/>
      <c r="AW42" s="216"/>
      <c r="AX42" s="213">
        <f>IFERROR(VLOOKUP(C42,#REF!,8,0),0)</f>
        <v>0</v>
      </c>
      <c r="AY42" s="278">
        <f t="shared" si="18"/>
        <v>9.75</v>
      </c>
      <c r="AZ42" s="277">
        <f t="shared" si="19"/>
        <v>0</v>
      </c>
      <c r="BA42" s="266">
        <f>IFERROR(VLOOKUP(C42,#REF!,10,0),0)</f>
        <v>0</v>
      </c>
      <c r="BB42" s="268">
        <f t="shared" si="53"/>
        <v>150</v>
      </c>
      <c r="BC42" s="247">
        <f t="shared" si="54"/>
        <v>0</v>
      </c>
      <c r="BD42" s="216"/>
      <c r="BE42" s="213"/>
      <c r="BF42" s="213"/>
      <c r="BG42" s="216"/>
      <c r="BH42" s="213"/>
      <c r="BI42" s="213"/>
      <c r="BJ42" s="216">
        <f>IFERROR(VLOOKUP(C42,#REF!,9,0),0)</f>
        <v>0</v>
      </c>
      <c r="BK42" s="276">
        <f t="shared" si="55"/>
        <v>75</v>
      </c>
      <c r="BL42" s="213">
        <f t="shared" si="56"/>
        <v>0</v>
      </c>
      <c r="BM42" s="216"/>
      <c r="BN42" s="213"/>
      <c r="BO42" s="213"/>
      <c r="BP42" s="213"/>
      <c r="BQ42" s="213"/>
      <c r="BR42" s="213"/>
      <c r="BS42" s="213"/>
      <c r="BT42" s="213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3"/>
      <c r="CF42" s="215"/>
      <c r="CG42" s="215">
        <f t="shared" si="57"/>
        <v>7245</v>
      </c>
      <c r="CH42" s="256">
        <f>VLOOKUP(CX42,SSS_2025!A:N,8)</f>
        <v>1900</v>
      </c>
      <c r="CI42" s="217">
        <f>VLOOKUP(CX42,SSS_2025!A:N,13)</f>
        <v>950</v>
      </c>
      <c r="CJ42" s="217">
        <f>VLOOKUP(CX42,SSS_2025!A:N,9)</f>
        <v>30</v>
      </c>
      <c r="CK42" s="215">
        <v>391.25</v>
      </c>
      <c r="CL42" s="215">
        <v>391.25</v>
      </c>
      <c r="CM42" s="215">
        <v>200</v>
      </c>
      <c r="CN42" s="215">
        <v>200</v>
      </c>
      <c r="CO42" s="214">
        <f t="shared" si="58"/>
        <v>9766.25</v>
      </c>
      <c r="CP42" s="214">
        <f t="shared" si="59"/>
        <v>720</v>
      </c>
      <c r="CQ42" s="214">
        <f t="shared" si="60"/>
        <v>10486.25</v>
      </c>
      <c r="CR42" s="215"/>
      <c r="CS42" s="214">
        <f t="shared" si="61"/>
        <v>10486.25</v>
      </c>
      <c r="CT42" s="273">
        <f t="shared" si="62"/>
        <v>600</v>
      </c>
      <c r="CU42" s="244"/>
      <c r="CV42" s="269">
        <f>IFERROR(VLOOKUP(C42,'[2]BILLING COMPUTATION'!$C$8:$CI$224,85,0),0)</f>
        <v>11610</v>
      </c>
      <c r="CW42" s="243">
        <f t="shared" si="114"/>
        <v>7245</v>
      </c>
      <c r="CX42" s="245">
        <f t="shared" si="63"/>
        <v>18855</v>
      </c>
      <c r="CZ42" s="721">
        <f>IFERROR(VLOOKUP(C42,'[5]BILLING COMPUTATION'!$C$8:$CG$101,83,0),0)</f>
        <v>9798.75</v>
      </c>
      <c r="DA42" s="721">
        <f t="shared" si="29"/>
        <v>7245</v>
      </c>
      <c r="DB42" s="721">
        <f t="shared" si="30"/>
        <v>17043.75</v>
      </c>
      <c r="DC42" s="721">
        <f t="shared" si="31"/>
        <v>-1811.25</v>
      </c>
    </row>
    <row r="43" spans="1:107" s="2" customFormat="1" ht="16.899999999999999" customHeight="1">
      <c r="A43" s="235">
        <v>37</v>
      </c>
      <c r="B43" s="265"/>
      <c r="C43" s="266">
        <v>30254</v>
      </c>
      <c r="D43" s="266" t="str">
        <f>VLOOKUP(E43,'F3 MS (2)'!E:F,2,0)</f>
        <v>GD250519</v>
      </c>
      <c r="E43" s="267" t="s">
        <v>204</v>
      </c>
      <c r="F43" s="266" t="str">
        <f>VLOOKUP(C43,'[1]ACTIVE GH'!$C:$I,7,0)</f>
        <v>METAL STAMPING</v>
      </c>
      <c r="G43" s="266" t="str">
        <f>VLOOKUP(C43,'[1]ACTIVE GH'!$C:$J,8,0)</f>
        <v>PRODUCTION</v>
      </c>
      <c r="H43" s="266" t="str">
        <f>VLOOKUP(C43,'[1]ACTIVE GH'!$C:$N,12,0)</f>
        <v>Operator 1</v>
      </c>
      <c r="I43" s="266" t="s">
        <v>180</v>
      </c>
      <c r="J43" s="266">
        <f>IFERROR(VLOOKUP(C43,PIVOT!A:B,2,0),0)</f>
        <v>80</v>
      </c>
      <c r="K43" s="237">
        <f t="shared" si="32"/>
        <v>10</v>
      </c>
      <c r="L43" s="237">
        <v>600</v>
      </c>
      <c r="M43" s="238">
        <f t="shared" si="33"/>
        <v>6000</v>
      </c>
      <c r="N43" s="266">
        <f>IFERROR(VLOOKUP(C43,PIVOT!A:F,6,0),0)</f>
        <v>2</v>
      </c>
      <c r="O43" s="239">
        <f t="shared" si="34"/>
        <v>1.25</v>
      </c>
      <c r="P43" s="238">
        <f t="shared" si="35"/>
        <v>-2.5</v>
      </c>
      <c r="Q43" s="266">
        <f>IFERROR(VLOOKUP(C43,PIVOT!A:C,3,0),0)</f>
        <v>3</v>
      </c>
      <c r="R43" s="239">
        <f t="shared" si="36"/>
        <v>93.75</v>
      </c>
      <c r="S43" s="238">
        <f t="shared" si="37"/>
        <v>281.25</v>
      </c>
      <c r="T43" s="266">
        <f>IFERROR(VLOOKUP(C43,PIVOT!A:D,4,0),0)</f>
        <v>59</v>
      </c>
      <c r="U43" s="239">
        <f t="shared" si="38"/>
        <v>7.5</v>
      </c>
      <c r="V43" s="238">
        <f t="shared" si="39"/>
        <v>442.5</v>
      </c>
      <c r="W43" s="266">
        <f>IFERROR(VLOOKUP(C43,PIVOT!A:E,5,0),0)</f>
        <v>3</v>
      </c>
      <c r="X43" s="238">
        <f t="shared" si="40"/>
        <v>9.375</v>
      </c>
      <c r="Y43" s="238">
        <f t="shared" si="41"/>
        <v>28.125</v>
      </c>
      <c r="Z43" s="266">
        <f>IFERROR(VLOOKUP(C43,#REF!,6,0),0)</f>
        <v>0</v>
      </c>
      <c r="AA43" s="239">
        <f t="shared" si="42"/>
        <v>97.5</v>
      </c>
      <c r="AB43" s="238">
        <f t="shared" si="43"/>
        <v>0</v>
      </c>
      <c r="AC43" s="266"/>
      <c r="AD43" s="215">
        <f t="shared" si="44"/>
        <v>126.75</v>
      </c>
      <c r="AE43" s="214">
        <f t="shared" si="45"/>
        <v>0</v>
      </c>
      <c r="AF43" s="266">
        <f>IFERROR(VLOOKUP(C43,#REF!,8,0),0)</f>
        <v>0</v>
      </c>
      <c r="AG43" s="239">
        <f t="shared" si="46"/>
        <v>9.75</v>
      </c>
      <c r="AH43" s="238">
        <f t="shared" si="47"/>
        <v>0</v>
      </c>
      <c r="AI43" s="213"/>
      <c r="AJ43" s="213">
        <f t="shared" si="48"/>
        <v>112.5</v>
      </c>
      <c r="AK43" s="216">
        <f t="shared" si="49"/>
        <v>0</v>
      </c>
      <c r="AL43" s="213"/>
      <c r="AM43" s="213">
        <f t="shared" si="50"/>
        <v>146.25</v>
      </c>
      <c r="AN43" s="216">
        <v>0</v>
      </c>
      <c r="AO43" s="213"/>
      <c r="AP43" s="213">
        <f t="shared" si="51"/>
        <v>11.25</v>
      </c>
      <c r="AQ43" s="216">
        <f t="shared" si="52"/>
        <v>0</v>
      </c>
      <c r="AR43" s="266">
        <f>IFERROR(VLOOKUP(C43,#REF!,7,0),0)</f>
        <v>0</v>
      </c>
      <c r="AS43" s="278">
        <f t="shared" si="16"/>
        <v>97.5</v>
      </c>
      <c r="AT43" s="277">
        <f t="shared" si="17"/>
        <v>0</v>
      </c>
      <c r="AU43" s="266"/>
      <c r="AV43" s="213"/>
      <c r="AW43" s="216"/>
      <c r="AX43" s="213">
        <f>IFERROR(VLOOKUP(C43,#REF!,8,0),0)</f>
        <v>0</v>
      </c>
      <c r="AY43" s="278">
        <f t="shared" si="18"/>
        <v>9.75</v>
      </c>
      <c r="AZ43" s="277">
        <f t="shared" si="19"/>
        <v>0</v>
      </c>
      <c r="BA43" s="266">
        <f>IFERROR(VLOOKUP(C43,#REF!,10,0),0)</f>
        <v>0</v>
      </c>
      <c r="BB43" s="268">
        <f t="shared" si="53"/>
        <v>150</v>
      </c>
      <c r="BC43" s="247">
        <f t="shared" si="54"/>
        <v>0</v>
      </c>
      <c r="BD43" s="216"/>
      <c r="BE43" s="213"/>
      <c r="BF43" s="213"/>
      <c r="BG43" s="216"/>
      <c r="BH43" s="213"/>
      <c r="BI43" s="213"/>
      <c r="BJ43" s="216">
        <f>IFERROR(VLOOKUP(C43,#REF!,9,0),0)</f>
        <v>0</v>
      </c>
      <c r="BK43" s="276">
        <f t="shared" si="55"/>
        <v>75</v>
      </c>
      <c r="BL43" s="213">
        <f t="shared" si="56"/>
        <v>0</v>
      </c>
      <c r="BM43" s="216"/>
      <c r="BN43" s="213"/>
      <c r="BO43" s="213"/>
      <c r="BP43" s="213"/>
      <c r="BQ43" s="213"/>
      <c r="BR43" s="213"/>
      <c r="BS43" s="213"/>
      <c r="BT43" s="213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3"/>
      <c r="CF43" s="215"/>
      <c r="CG43" s="215">
        <f t="shared" si="57"/>
        <v>6749.375</v>
      </c>
      <c r="CH43" s="256">
        <f>VLOOKUP(CX43,SSS_2025!A:N,8)</f>
        <v>1750</v>
      </c>
      <c r="CI43" s="217">
        <f>VLOOKUP(CX43,SSS_2025!A:N,13)</f>
        <v>875</v>
      </c>
      <c r="CJ43" s="217">
        <f>VLOOKUP(CX43,SSS_2025!A:N,9)</f>
        <v>30</v>
      </c>
      <c r="CK43" s="215">
        <v>391.25</v>
      </c>
      <c r="CL43" s="215">
        <v>391.25</v>
      </c>
      <c r="CM43" s="215">
        <v>200</v>
      </c>
      <c r="CN43" s="215">
        <v>200</v>
      </c>
      <c r="CO43" s="214">
        <f t="shared" si="58"/>
        <v>9120.625</v>
      </c>
      <c r="CP43" s="214">
        <f t="shared" si="59"/>
        <v>599.75</v>
      </c>
      <c r="CQ43" s="214">
        <f t="shared" si="60"/>
        <v>9720.375</v>
      </c>
      <c r="CR43" s="215"/>
      <c r="CS43" s="214">
        <f t="shared" si="61"/>
        <v>9720.375</v>
      </c>
      <c r="CT43" s="273">
        <f t="shared" si="62"/>
        <v>499.79166666666669</v>
      </c>
      <c r="CU43" s="244"/>
      <c r="CV43" s="269">
        <f>IFERROR(VLOOKUP(C43,'[2]BILLING COMPUTATION'!$C$8:$CI$224,85,0),0)</f>
        <v>10605</v>
      </c>
      <c r="CW43" s="243">
        <f t="shared" si="114"/>
        <v>6749.375</v>
      </c>
      <c r="CX43" s="245">
        <f t="shared" si="63"/>
        <v>17354.375</v>
      </c>
      <c r="CZ43" s="721">
        <f>IFERROR(VLOOKUP(C43,'[5]BILLING COMPUTATION'!$C$8:$CG$101,83,0),0)</f>
        <v>7852.5</v>
      </c>
      <c r="DA43" s="721">
        <f t="shared" si="29"/>
        <v>6749.375</v>
      </c>
      <c r="DB43" s="721">
        <f t="shared" si="30"/>
        <v>14601.875</v>
      </c>
      <c r="DC43" s="721">
        <f t="shared" si="31"/>
        <v>-2752.5</v>
      </c>
    </row>
    <row r="44" spans="1:107" s="2" customFormat="1" ht="16.899999999999999" customHeight="1">
      <c r="A44" s="235">
        <v>39</v>
      </c>
      <c r="B44" s="265"/>
      <c r="C44" s="266">
        <v>6354</v>
      </c>
      <c r="D44" s="266" t="str">
        <f>VLOOKUP(E44,'F3 MS (2)'!E:F,2,0)</f>
        <v>GD250069</v>
      </c>
      <c r="E44" s="267" t="s">
        <v>347</v>
      </c>
      <c r="F44" s="266" t="str">
        <f>VLOOKUP(C44,'[1]ACTIVE GH'!$C:$I,7,0)</f>
        <v>METAL STAMPING</v>
      </c>
      <c r="G44" s="266" t="str">
        <f>VLOOKUP(C44,'[1]ACTIVE GH'!$C:$J,8,0)</f>
        <v>PRODUCTION</v>
      </c>
      <c r="H44" s="266" t="str">
        <f>VLOOKUP(C44,'[1]ACTIVE GH'!$C:$N,12,0)</f>
        <v>Operator 1</v>
      </c>
      <c r="I44" s="266" t="s">
        <v>180</v>
      </c>
      <c r="J44" s="266">
        <f>IFERROR(VLOOKUP(C44,PIVOT!A:B,2,0),0)</f>
        <v>96</v>
      </c>
      <c r="K44" s="237">
        <f t="shared" si="32"/>
        <v>12</v>
      </c>
      <c r="L44" s="237">
        <v>600</v>
      </c>
      <c r="M44" s="238">
        <f t="shared" si="33"/>
        <v>7200</v>
      </c>
      <c r="N44" s="266">
        <f>IFERROR(VLOOKUP(C44,PIVOT!A:F,6,0),0)</f>
        <v>0</v>
      </c>
      <c r="O44" s="239">
        <f t="shared" si="34"/>
        <v>1.25</v>
      </c>
      <c r="P44" s="238">
        <f t="shared" si="35"/>
        <v>0</v>
      </c>
      <c r="Q44" s="266">
        <f>IFERROR(VLOOKUP(C44,PIVOT!A:C,3,0),0)</f>
        <v>0</v>
      </c>
      <c r="R44" s="239">
        <f t="shared" si="36"/>
        <v>93.75</v>
      </c>
      <c r="S44" s="238">
        <f t="shared" si="37"/>
        <v>0</v>
      </c>
      <c r="T44" s="266">
        <f>IFERROR(VLOOKUP(C44,PIVOT!A:D,4,0),0)</f>
        <v>66</v>
      </c>
      <c r="U44" s="239">
        <f t="shared" si="38"/>
        <v>7.5</v>
      </c>
      <c r="V44" s="238">
        <f t="shared" si="39"/>
        <v>495</v>
      </c>
      <c r="W44" s="266">
        <f>IFERROR(VLOOKUP(C44,PIVOT!A:E,5,0),0)</f>
        <v>0</v>
      </c>
      <c r="X44" s="238">
        <f t="shared" si="40"/>
        <v>9.375</v>
      </c>
      <c r="Y44" s="238">
        <f t="shared" si="41"/>
        <v>0</v>
      </c>
      <c r="Z44" s="266">
        <f>IFERROR(VLOOKUP(C44,#REF!,6,0),0)</f>
        <v>0</v>
      </c>
      <c r="AA44" s="239">
        <f t="shared" si="42"/>
        <v>97.5</v>
      </c>
      <c r="AB44" s="238">
        <f t="shared" si="43"/>
        <v>0</v>
      </c>
      <c r="AC44" s="266"/>
      <c r="AD44" s="215">
        <f t="shared" si="44"/>
        <v>126.75</v>
      </c>
      <c r="AE44" s="214">
        <f t="shared" si="45"/>
        <v>0</v>
      </c>
      <c r="AF44" s="266">
        <f>IFERROR(VLOOKUP(C44,#REF!,8,0),0)</f>
        <v>0</v>
      </c>
      <c r="AG44" s="239">
        <f t="shared" si="46"/>
        <v>9.75</v>
      </c>
      <c r="AH44" s="238">
        <f t="shared" si="47"/>
        <v>0</v>
      </c>
      <c r="AI44" s="213"/>
      <c r="AJ44" s="213">
        <f t="shared" si="48"/>
        <v>112.5</v>
      </c>
      <c r="AK44" s="216">
        <f t="shared" si="49"/>
        <v>0</v>
      </c>
      <c r="AL44" s="213"/>
      <c r="AM44" s="213">
        <f t="shared" si="50"/>
        <v>146.25</v>
      </c>
      <c r="AN44" s="216">
        <v>0</v>
      </c>
      <c r="AO44" s="213"/>
      <c r="AP44" s="213">
        <f t="shared" si="51"/>
        <v>11.25</v>
      </c>
      <c r="AQ44" s="216">
        <f t="shared" si="52"/>
        <v>0</v>
      </c>
      <c r="AR44" s="266">
        <f>IFERROR(VLOOKUP(C44,#REF!,7,0),0)</f>
        <v>0</v>
      </c>
      <c r="AS44" s="278">
        <f t="shared" si="16"/>
        <v>97.5</v>
      </c>
      <c r="AT44" s="277">
        <f t="shared" si="17"/>
        <v>0</v>
      </c>
      <c r="AU44" s="266"/>
      <c r="AV44" s="213"/>
      <c r="AW44" s="216"/>
      <c r="AX44" s="213">
        <f>IFERROR(VLOOKUP(C44,#REF!,8,0),0)</f>
        <v>0</v>
      </c>
      <c r="AY44" s="278">
        <f t="shared" si="18"/>
        <v>9.75</v>
      </c>
      <c r="AZ44" s="277">
        <f t="shared" si="19"/>
        <v>0</v>
      </c>
      <c r="BA44" s="266">
        <f>IFERROR(VLOOKUP(C44,#REF!,10,0),0)</f>
        <v>0</v>
      </c>
      <c r="BB44" s="268">
        <f t="shared" si="53"/>
        <v>150</v>
      </c>
      <c r="BC44" s="247">
        <f t="shared" si="54"/>
        <v>0</v>
      </c>
      <c r="BD44" s="216"/>
      <c r="BE44" s="213"/>
      <c r="BF44" s="213"/>
      <c r="BG44" s="216"/>
      <c r="BH44" s="213"/>
      <c r="BI44" s="213"/>
      <c r="BJ44" s="216">
        <f>IFERROR(VLOOKUP(C44,#REF!,9,0),0)</f>
        <v>0</v>
      </c>
      <c r="BK44" s="276">
        <f t="shared" si="55"/>
        <v>75</v>
      </c>
      <c r="BL44" s="213">
        <f t="shared" si="56"/>
        <v>0</v>
      </c>
      <c r="BM44" s="216"/>
      <c r="BN44" s="213"/>
      <c r="BO44" s="213"/>
      <c r="BP44" s="213"/>
      <c r="BQ44" s="213"/>
      <c r="BR44" s="213"/>
      <c r="BS44" s="213"/>
      <c r="BT44" s="213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3"/>
      <c r="CF44" s="215"/>
      <c r="CG44" s="215">
        <f t="shared" si="57"/>
        <v>7695</v>
      </c>
      <c r="CH44" s="256">
        <f>VLOOKUP(CX44,SSS_2025!A:N,8)</f>
        <v>1850</v>
      </c>
      <c r="CI44" s="217">
        <f>VLOOKUP(CX44,SSS_2025!A:N,13)</f>
        <v>925</v>
      </c>
      <c r="CJ44" s="217">
        <f>VLOOKUP(CX44,SSS_2025!A:N,9)</f>
        <v>30</v>
      </c>
      <c r="CK44" s="215">
        <v>391.25</v>
      </c>
      <c r="CL44" s="215">
        <v>391.25</v>
      </c>
      <c r="CM44" s="215">
        <v>200</v>
      </c>
      <c r="CN44" s="215">
        <v>200</v>
      </c>
      <c r="CO44" s="214">
        <f t="shared" si="58"/>
        <v>10166.25</v>
      </c>
      <c r="CP44" s="214">
        <f t="shared" si="59"/>
        <v>720</v>
      </c>
      <c r="CQ44" s="214">
        <f t="shared" si="60"/>
        <v>10886.25</v>
      </c>
      <c r="CR44" s="215"/>
      <c r="CS44" s="214">
        <f t="shared" si="61"/>
        <v>10886.25</v>
      </c>
      <c r="CT44" s="273">
        <f t="shared" si="62"/>
        <v>600</v>
      </c>
      <c r="CU44" s="244"/>
      <c r="CV44" s="269">
        <f>IFERROR(VLOOKUP(C44,'[2]BILLING COMPUTATION'!$C$8:$CI$224,85,0),0)</f>
        <v>10698.75</v>
      </c>
      <c r="CW44" s="243">
        <f t="shared" si="114"/>
        <v>7695</v>
      </c>
      <c r="CX44" s="245">
        <f t="shared" si="63"/>
        <v>18393.75</v>
      </c>
      <c r="CZ44" s="721">
        <f>IFERROR(VLOOKUP(C44,'[5]BILLING COMPUTATION'!$C$8:$CG$101,83,0),0)</f>
        <v>9408.75</v>
      </c>
      <c r="DA44" s="721">
        <f t="shared" si="29"/>
        <v>7695</v>
      </c>
      <c r="DB44" s="721">
        <f t="shared" si="30"/>
        <v>17103.75</v>
      </c>
      <c r="DC44" s="721">
        <f t="shared" si="31"/>
        <v>-1290</v>
      </c>
    </row>
    <row r="45" spans="1:107" s="2" customFormat="1" ht="16.899999999999999" customHeight="1">
      <c r="A45" s="235">
        <v>40</v>
      </c>
      <c r="B45" s="265"/>
      <c r="C45" s="266">
        <v>13646</v>
      </c>
      <c r="D45" s="266" t="str">
        <f>VLOOKUP(E45,'F3 MS (2)'!E:F,2,0)</f>
        <v>GD250136</v>
      </c>
      <c r="E45" s="267" t="s">
        <v>324</v>
      </c>
      <c r="F45" s="266" t="str">
        <f>VLOOKUP(C45,'[1]ACTIVE GH'!$C:$I,7,0)</f>
        <v>METAL STAMPING</v>
      </c>
      <c r="G45" s="266" t="str">
        <f>VLOOKUP(C45,'[1]ACTIVE GH'!$C:$J,8,0)</f>
        <v>PRODUCTION</v>
      </c>
      <c r="H45" s="266" t="str">
        <f>VLOOKUP(C45,'[1]ACTIVE GH'!$C:$N,12,0)</f>
        <v>Operator 1</v>
      </c>
      <c r="I45" s="266" t="s">
        <v>180</v>
      </c>
      <c r="J45" s="266">
        <f>IFERROR(VLOOKUP(C45,PIVOT!A:B,2,0),0)</f>
        <v>92</v>
      </c>
      <c r="K45" s="237">
        <f t="shared" si="32"/>
        <v>11.5</v>
      </c>
      <c r="L45" s="237">
        <v>600</v>
      </c>
      <c r="M45" s="238">
        <f t="shared" si="33"/>
        <v>6900</v>
      </c>
      <c r="N45" s="266">
        <f>IFERROR(VLOOKUP(C45,PIVOT!A:F,6,0),0)</f>
        <v>0</v>
      </c>
      <c r="O45" s="239">
        <f t="shared" si="34"/>
        <v>1.25</v>
      </c>
      <c r="P45" s="238">
        <f t="shared" si="35"/>
        <v>0</v>
      </c>
      <c r="Q45" s="266">
        <f>IFERROR(VLOOKUP(C45,PIVOT!A:C,3,0),0)</f>
        <v>0</v>
      </c>
      <c r="R45" s="239">
        <f t="shared" si="36"/>
        <v>93.75</v>
      </c>
      <c r="S45" s="238">
        <f t="shared" si="37"/>
        <v>0</v>
      </c>
      <c r="T45" s="266">
        <f>IFERROR(VLOOKUP(C45,PIVOT!A:D,4,0),0)</f>
        <v>6</v>
      </c>
      <c r="U45" s="239">
        <f t="shared" si="38"/>
        <v>7.5</v>
      </c>
      <c r="V45" s="238">
        <f t="shared" si="39"/>
        <v>45</v>
      </c>
      <c r="W45" s="266">
        <f>IFERROR(VLOOKUP(C45,PIVOT!A:E,5,0),0)</f>
        <v>0</v>
      </c>
      <c r="X45" s="238">
        <f t="shared" si="40"/>
        <v>9.375</v>
      </c>
      <c r="Y45" s="238">
        <f t="shared" si="41"/>
        <v>0</v>
      </c>
      <c r="Z45" s="266">
        <f>IFERROR(VLOOKUP(C45,#REF!,6,0),0)</f>
        <v>0</v>
      </c>
      <c r="AA45" s="239">
        <f t="shared" si="42"/>
        <v>97.5</v>
      </c>
      <c r="AB45" s="238">
        <f t="shared" si="43"/>
        <v>0</v>
      </c>
      <c r="AC45" s="266"/>
      <c r="AD45" s="215">
        <f t="shared" si="44"/>
        <v>126.75</v>
      </c>
      <c r="AE45" s="214">
        <f t="shared" si="45"/>
        <v>0</v>
      </c>
      <c r="AF45" s="266">
        <f>IFERROR(VLOOKUP(C45,#REF!,8,0),0)</f>
        <v>0</v>
      </c>
      <c r="AG45" s="239">
        <f t="shared" si="46"/>
        <v>9.75</v>
      </c>
      <c r="AH45" s="238">
        <f t="shared" si="47"/>
        <v>0</v>
      </c>
      <c r="AI45" s="213"/>
      <c r="AJ45" s="213">
        <f t="shared" si="48"/>
        <v>112.5</v>
      </c>
      <c r="AK45" s="216">
        <f t="shared" si="49"/>
        <v>0</v>
      </c>
      <c r="AL45" s="213"/>
      <c r="AM45" s="213">
        <f t="shared" si="50"/>
        <v>146.25</v>
      </c>
      <c r="AN45" s="216">
        <v>0</v>
      </c>
      <c r="AO45" s="213"/>
      <c r="AP45" s="213">
        <f t="shared" si="51"/>
        <v>11.25</v>
      </c>
      <c r="AQ45" s="216">
        <f t="shared" si="52"/>
        <v>0</v>
      </c>
      <c r="AR45" s="266">
        <f>IFERROR(VLOOKUP(C45,#REF!,7,0),0)</f>
        <v>0</v>
      </c>
      <c r="AS45" s="278">
        <f t="shared" si="16"/>
        <v>97.5</v>
      </c>
      <c r="AT45" s="277">
        <f t="shared" si="17"/>
        <v>0</v>
      </c>
      <c r="AU45" s="266"/>
      <c r="AV45" s="213"/>
      <c r="AW45" s="216"/>
      <c r="AX45" s="213">
        <f>IFERROR(VLOOKUP(C45,#REF!,8,0),0)</f>
        <v>0</v>
      </c>
      <c r="AY45" s="278">
        <f t="shared" si="18"/>
        <v>9.75</v>
      </c>
      <c r="AZ45" s="277">
        <f t="shared" si="19"/>
        <v>0</v>
      </c>
      <c r="BA45" s="266">
        <f>IFERROR(VLOOKUP(C45,#REF!,10,0),0)</f>
        <v>0</v>
      </c>
      <c r="BB45" s="268">
        <f t="shared" si="53"/>
        <v>150</v>
      </c>
      <c r="BC45" s="247">
        <f t="shared" si="54"/>
        <v>0</v>
      </c>
      <c r="BD45" s="216"/>
      <c r="BE45" s="213"/>
      <c r="BF45" s="213"/>
      <c r="BG45" s="216"/>
      <c r="BH45" s="213"/>
      <c r="BI45" s="213"/>
      <c r="BJ45" s="216">
        <f>IFERROR(VLOOKUP(C45,#REF!,9,0),0)</f>
        <v>0</v>
      </c>
      <c r="BK45" s="276">
        <f t="shared" si="55"/>
        <v>75</v>
      </c>
      <c r="BL45" s="213">
        <f t="shared" si="56"/>
        <v>0</v>
      </c>
      <c r="BM45" s="216"/>
      <c r="BN45" s="213"/>
      <c r="BO45" s="213"/>
      <c r="BP45" s="213"/>
      <c r="BQ45" s="213"/>
      <c r="BR45" s="213"/>
      <c r="BS45" s="213"/>
      <c r="BT45" s="213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3"/>
      <c r="CF45" s="215"/>
      <c r="CG45" s="215">
        <f t="shared" si="57"/>
        <v>6945</v>
      </c>
      <c r="CH45" s="256">
        <f>VLOOKUP(CX45,SSS_2025!A:N,8)</f>
        <v>1850</v>
      </c>
      <c r="CI45" s="217">
        <f>VLOOKUP(CX45,SSS_2025!A:N,13)</f>
        <v>925</v>
      </c>
      <c r="CJ45" s="217">
        <f>VLOOKUP(CX45,SSS_2025!A:N,9)</f>
        <v>30</v>
      </c>
      <c r="CK45" s="215">
        <v>391.25</v>
      </c>
      <c r="CL45" s="215">
        <v>391.25</v>
      </c>
      <c r="CM45" s="215">
        <v>200</v>
      </c>
      <c r="CN45" s="215">
        <v>200</v>
      </c>
      <c r="CO45" s="214">
        <f t="shared" si="58"/>
        <v>9416.25</v>
      </c>
      <c r="CP45" s="214">
        <f t="shared" si="59"/>
        <v>690</v>
      </c>
      <c r="CQ45" s="214">
        <f t="shared" si="60"/>
        <v>10106.25</v>
      </c>
      <c r="CR45" s="215"/>
      <c r="CS45" s="214">
        <f t="shared" si="61"/>
        <v>10106.25</v>
      </c>
      <c r="CT45" s="273">
        <f t="shared" si="62"/>
        <v>575</v>
      </c>
      <c r="CU45" s="244"/>
      <c r="CV45" s="269">
        <f>IFERROR(VLOOKUP(C45,'[2]BILLING COMPUTATION'!$C$8:$CI$224,85,0),0)</f>
        <v>11610</v>
      </c>
      <c r="CW45" s="243">
        <f t="shared" si="114"/>
        <v>6945</v>
      </c>
      <c r="CX45" s="245">
        <f t="shared" si="63"/>
        <v>18555</v>
      </c>
      <c r="CZ45" s="721">
        <f>IFERROR(VLOOKUP(C45,'[5]BILLING COMPUTATION'!$C$8:$CG$101,83,0),0)</f>
        <v>9926.25</v>
      </c>
      <c r="DA45" s="721">
        <f t="shared" si="29"/>
        <v>6945</v>
      </c>
      <c r="DB45" s="721">
        <f t="shared" si="30"/>
        <v>16871.25</v>
      </c>
      <c r="DC45" s="721">
        <f t="shared" si="31"/>
        <v>-1683.75</v>
      </c>
    </row>
    <row r="46" spans="1:107" s="2" customFormat="1" ht="16.899999999999999" customHeight="1">
      <c r="A46" s="235">
        <v>41</v>
      </c>
      <c r="B46" s="265"/>
      <c r="C46" s="266">
        <v>14831</v>
      </c>
      <c r="D46" s="266" t="str">
        <f>VLOOKUP(E46,'F3 MS (2)'!E:F,2,0)</f>
        <v>GD250235</v>
      </c>
      <c r="E46" s="267" t="s">
        <v>247</v>
      </c>
      <c r="F46" s="266" t="str">
        <f>VLOOKUP(C46,'[1]ACTIVE GH'!$C:$I,7,0)</f>
        <v>METAL STAMPING</v>
      </c>
      <c r="G46" s="266" t="str">
        <f>VLOOKUP(C46,'[1]ACTIVE GH'!$C:$J,8,0)</f>
        <v>PRODUCTION</v>
      </c>
      <c r="H46" s="266" t="str">
        <f>VLOOKUP(C46,'[1]ACTIVE GH'!$C:$N,12,0)</f>
        <v>Operator 1</v>
      </c>
      <c r="I46" s="266" t="s">
        <v>180</v>
      </c>
      <c r="J46" s="266">
        <f>IFERROR(VLOOKUP(C46,PIVOT!A:B,2,0),0)</f>
        <v>88</v>
      </c>
      <c r="K46" s="237">
        <f t="shared" si="32"/>
        <v>11</v>
      </c>
      <c r="L46" s="237">
        <v>600</v>
      </c>
      <c r="M46" s="238">
        <f t="shared" si="33"/>
        <v>6600</v>
      </c>
      <c r="N46" s="266">
        <f>IFERROR(VLOOKUP(C46,PIVOT!A:F,6,0),0)</f>
        <v>0</v>
      </c>
      <c r="O46" s="239">
        <f t="shared" si="34"/>
        <v>1.25</v>
      </c>
      <c r="P46" s="238">
        <f t="shared" si="35"/>
        <v>0</v>
      </c>
      <c r="Q46" s="266">
        <f>IFERROR(VLOOKUP(C46,PIVOT!A:C,3,0),0)</f>
        <v>6</v>
      </c>
      <c r="R46" s="239">
        <f t="shared" si="36"/>
        <v>93.75</v>
      </c>
      <c r="S46" s="238">
        <f t="shared" si="37"/>
        <v>562.5</v>
      </c>
      <c r="T46" s="266">
        <f>IFERROR(VLOOKUP(C46,PIVOT!A:D,4,0),0)</f>
        <v>0</v>
      </c>
      <c r="U46" s="239">
        <f t="shared" si="38"/>
        <v>7.5</v>
      </c>
      <c r="V46" s="238">
        <f t="shared" si="39"/>
        <v>0</v>
      </c>
      <c r="W46" s="266">
        <f>IFERROR(VLOOKUP(C46,PIVOT!A:E,5,0),0)</f>
        <v>0</v>
      </c>
      <c r="X46" s="238">
        <f t="shared" si="40"/>
        <v>9.375</v>
      </c>
      <c r="Y46" s="238">
        <f t="shared" si="41"/>
        <v>0</v>
      </c>
      <c r="Z46" s="266">
        <f>IFERROR(VLOOKUP(C46,#REF!,6,0),0)</f>
        <v>0</v>
      </c>
      <c r="AA46" s="239">
        <f t="shared" si="42"/>
        <v>97.5</v>
      </c>
      <c r="AB46" s="238">
        <f t="shared" si="43"/>
        <v>0</v>
      </c>
      <c r="AC46" s="266"/>
      <c r="AD46" s="215">
        <f t="shared" si="44"/>
        <v>126.75</v>
      </c>
      <c r="AE46" s="214">
        <f t="shared" si="45"/>
        <v>0</v>
      </c>
      <c r="AF46" s="266">
        <f>IFERROR(VLOOKUP(C46,#REF!,8,0),0)</f>
        <v>0</v>
      </c>
      <c r="AG46" s="239">
        <f t="shared" si="46"/>
        <v>9.75</v>
      </c>
      <c r="AH46" s="238">
        <f t="shared" si="47"/>
        <v>0</v>
      </c>
      <c r="AI46" s="213"/>
      <c r="AJ46" s="213">
        <f t="shared" si="48"/>
        <v>112.5</v>
      </c>
      <c r="AK46" s="216">
        <f t="shared" si="49"/>
        <v>0</v>
      </c>
      <c r="AL46" s="213"/>
      <c r="AM46" s="213">
        <f t="shared" si="50"/>
        <v>146.25</v>
      </c>
      <c r="AN46" s="216">
        <v>0</v>
      </c>
      <c r="AO46" s="213"/>
      <c r="AP46" s="213">
        <f t="shared" si="51"/>
        <v>11.25</v>
      </c>
      <c r="AQ46" s="216">
        <f t="shared" si="52"/>
        <v>0</v>
      </c>
      <c r="AR46" s="266">
        <f>IFERROR(VLOOKUP(C46,#REF!,7,0),0)</f>
        <v>0</v>
      </c>
      <c r="AS46" s="278">
        <f t="shared" si="16"/>
        <v>97.5</v>
      </c>
      <c r="AT46" s="277">
        <f t="shared" si="17"/>
        <v>0</v>
      </c>
      <c r="AU46" s="266"/>
      <c r="AV46" s="213"/>
      <c r="AW46" s="216"/>
      <c r="AX46" s="213">
        <f>IFERROR(VLOOKUP(C46,#REF!,8,0),0)</f>
        <v>0</v>
      </c>
      <c r="AY46" s="278">
        <f t="shared" si="18"/>
        <v>9.75</v>
      </c>
      <c r="AZ46" s="277">
        <f t="shared" si="19"/>
        <v>0</v>
      </c>
      <c r="BA46" s="266">
        <f>IFERROR(VLOOKUP(C46,#REF!,10,0),0)</f>
        <v>0</v>
      </c>
      <c r="BB46" s="268">
        <f t="shared" si="53"/>
        <v>150</v>
      </c>
      <c r="BC46" s="247">
        <f t="shared" si="54"/>
        <v>0</v>
      </c>
      <c r="BD46" s="216"/>
      <c r="BE46" s="213"/>
      <c r="BF46" s="213"/>
      <c r="BG46" s="216"/>
      <c r="BH46" s="213"/>
      <c r="BI46" s="213"/>
      <c r="BJ46" s="216">
        <f>IFERROR(VLOOKUP(C46,#REF!,9,0),0)</f>
        <v>0</v>
      </c>
      <c r="BK46" s="276">
        <f t="shared" si="55"/>
        <v>75</v>
      </c>
      <c r="BL46" s="213">
        <f t="shared" si="56"/>
        <v>0</v>
      </c>
      <c r="BM46" s="216"/>
      <c r="BN46" s="213"/>
      <c r="BO46" s="213"/>
      <c r="BP46" s="213"/>
      <c r="BQ46" s="213"/>
      <c r="BR46" s="213"/>
      <c r="BS46" s="213"/>
      <c r="BT46" s="213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3"/>
      <c r="CF46" s="215"/>
      <c r="CG46" s="215">
        <f t="shared" si="57"/>
        <v>7162.5</v>
      </c>
      <c r="CH46" s="256">
        <f>VLOOKUP(CX46,SSS_2025!A:N,8)</f>
        <v>1850</v>
      </c>
      <c r="CI46" s="217">
        <f>VLOOKUP(CX46,SSS_2025!A:N,13)</f>
        <v>925</v>
      </c>
      <c r="CJ46" s="217">
        <f>VLOOKUP(CX46,SSS_2025!A:N,9)</f>
        <v>30</v>
      </c>
      <c r="CK46" s="215">
        <v>391.25</v>
      </c>
      <c r="CL46" s="215">
        <v>391.25</v>
      </c>
      <c r="CM46" s="215">
        <v>200</v>
      </c>
      <c r="CN46" s="215">
        <v>200</v>
      </c>
      <c r="CO46" s="214">
        <f t="shared" si="58"/>
        <v>9633.75</v>
      </c>
      <c r="CP46" s="214">
        <f t="shared" si="59"/>
        <v>660</v>
      </c>
      <c r="CQ46" s="214">
        <f t="shared" si="60"/>
        <v>10293.75</v>
      </c>
      <c r="CR46" s="215"/>
      <c r="CS46" s="214">
        <f t="shared" si="61"/>
        <v>10293.75</v>
      </c>
      <c r="CT46" s="273">
        <f t="shared" si="62"/>
        <v>550</v>
      </c>
      <c r="CU46" s="244"/>
      <c r="CV46" s="269">
        <f>IFERROR(VLOOKUP(C46,'[2]BILLING COMPUTATION'!$C$8:$CI$224,85,0),0)</f>
        <v>11403.75</v>
      </c>
      <c r="CW46" s="243">
        <f t="shared" si="114"/>
        <v>7162.5</v>
      </c>
      <c r="CX46" s="245">
        <f t="shared" si="63"/>
        <v>18566.25</v>
      </c>
      <c r="CZ46" s="721">
        <f>IFERROR(VLOOKUP(C46,'[5]BILLING COMPUTATION'!$C$8:$CG$101,83,0),0)</f>
        <v>8197.5</v>
      </c>
      <c r="DA46" s="721">
        <f t="shared" si="29"/>
        <v>7162.5</v>
      </c>
      <c r="DB46" s="721">
        <f t="shared" si="30"/>
        <v>15360</v>
      </c>
      <c r="DC46" s="721">
        <f t="shared" si="31"/>
        <v>-3206.25</v>
      </c>
    </row>
    <row r="47" spans="1:107" s="2" customFormat="1" ht="16.899999999999999" customHeight="1">
      <c r="A47" s="235">
        <v>42</v>
      </c>
      <c r="B47" s="265"/>
      <c r="C47" s="266">
        <v>11775</v>
      </c>
      <c r="D47" s="266" t="str">
        <f>VLOOKUP(E47,'F3 MS (2)'!E:F,2,0)</f>
        <v>GD250173</v>
      </c>
      <c r="E47" s="267" t="s">
        <v>285</v>
      </c>
      <c r="F47" s="266" t="str">
        <f>VLOOKUP(C47,'[1]ACTIVE GH'!$C:$I,7,0)</f>
        <v>METAL STAMPING</v>
      </c>
      <c r="G47" s="266" t="str">
        <f>VLOOKUP(C47,'[1]ACTIVE GH'!$C:$J,8,0)</f>
        <v>PRODUCTION</v>
      </c>
      <c r="H47" s="266" t="str">
        <f>VLOOKUP(C47,'[1]ACTIVE GH'!$C:$N,12,0)</f>
        <v>Operator 1</v>
      </c>
      <c r="I47" s="266" t="s">
        <v>180</v>
      </c>
      <c r="J47" s="266">
        <f>IFERROR(VLOOKUP(C47,PIVOT!A:B,2,0),0)</f>
        <v>84</v>
      </c>
      <c r="K47" s="237">
        <f t="shared" si="32"/>
        <v>10.5</v>
      </c>
      <c r="L47" s="237">
        <v>600</v>
      </c>
      <c r="M47" s="238">
        <f t="shared" si="33"/>
        <v>6300</v>
      </c>
      <c r="N47" s="266">
        <f>IFERROR(VLOOKUP(C47,PIVOT!A:F,6,0),0)</f>
        <v>0</v>
      </c>
      <c r="O47" s="239">
        <f t="shared" si="34"/>
        <v>1.25</v>
      </c>
      <c r="P47" s="238">
        <f t="shared" si="35"/>
        <v>0</v>
      </c>
      <c r="Q47" s="266">
        <f>IFERROR(VLOOKUP(C47,PIVOT!A:C,3,0),0)</f>
        <v>12</v>
      </c>
      <c r="R47" s="239">
        <f t="shared" si="36"/>
        <v>93.75</v>
      </c>
      <c r="S47" s="238">
        <f t="shared" si="37"/>
        <v>1125</v>
      </c>
      <c r="T47" s="266">
        <f>IFERROR(VLOOKUP(C47,PIVOT!A:D,4,0),0)</f>
        <v>0</v>
      </c>
      <c r="U47" s="239">
        <f t="shared" si="38"/>
        <v>7.5</v>
      </c>
      <c r="V47" s="238">
        <f t="shared" si="39"/>
        <v>0</v>
      </c>
      <c r="W47" s="266">
        <f>IFERROR(VLOOKUP(C47,PIVOT!A:E,5,0),0)</f>
        <v>0</v>
      </c>
      <c r="X47" s="238">
        <f t="shared" si="40"/>
        <v>9.375</v>
      </c>
      <c r="Y47" s="238">
        <f t="shared" si="41"/>
        <v>0</v>
      </c>
      <c r="Z47" s="266">
        <f>IFERROR(VLOOKUP(C47,#REF!,6,0),0)</f>
        <v>0</v>
      </c>
      <c r="AA47" s="239">
        <f t="shared" si="42"/>
        <v>97.5</v>
      </c>
      <c r="AB47" s="238">
        <f t="shared" si="43"/>
        <v>0</v>
      </c>
      <c r="AC47" s="266"/>
      <c r="AD47" s="215">
        <f t="shared" si="44"/>
        <v>126.75</v>
      </c>
      <c r="AE47" s="214">
        <f t="shared" si="45"/>
        <v>0</v>
      </c>
      <c r="AF47" s="266">
        <f>IFERROR(VLOOKUP(C47,#REF!,8,0),0)</f>
        <v>0</v>
      </c>
      <c r="AG47" s="239">
        <f t="shared" si="46"/>
        <v>9.75</v>
      </c>
      <c r="AH47" s="238">
        <f t="shared" si="47"/>
        <v>0</v>
      </c>
      <c r="AI47" s="213"/>
      <c r="AJ47" s="213">
        <f t="shared" si="48"/>
        <v>112.5</v>
      </c>
      <c r="AK47" s="216">
        <f t="shared" si="49"/>
        <v>0</v>
      </c>
      <c r="AL47" s="213"/>
      <c r="AM47" s="213">
        <f t="shared" si="50"/>
        <v>146.25</v>
      </c>
      <c r="AN47" s="216">
        <v>0</v>
      </c>
      <c r="AO47" s="213"/>
      <c r="AP47" s="213">
        <f t="shared" si="51"/>
        <v>11.25</v>
      </c>
      <c r="AQ47" s="216">
        <f t="shared" si="52"/>
        <v>0</v>
      </c>
      <c r="AR47" s="266">
        <f>IFERROR(VLOOKUP(C47,#REF!,7,0),0)</f>
        <v>0</v>
      </c>
      <c r="AS47" s="278">
        <f t="shared" si="16"/>
        <v>97.5</v>
      </c>
      <c r="AT47" s="277">
        <f t="shared" si="17"/>
        <v>0</v>
      </c>
      <c r="AU47" s="266"/>
      <c r="AV47" s="213"/>
      <c r="AW47" s="216"/>
      <c r="AX47" s="213">
        <f>IFERROR(VLOOKUP(C47,#REF!,8,0),0)</f>
        <v>0</v>
      </c>
      <c r="AY47" s="278">
        <f t="shared" si="18"/>
        <v>9.75</v>
      </c>
      <c r="AZ47" s="277">
        <f t="shared" si="19"/>
        <v>0</v>
      </c>
      <c r="BA47" s="266">
        <f>IFERROR(VLOOKUP(C47,#REF!,10,0),0)</f>
        <v>0</v>
      </c>
      <c r="BB47" s="268">
        <f t="shared" si="53"/>
        <v>150</v>
      </c>
      <c r="BC47" s="247">
        <f t="shared" si="54"/>
        <v>0</v>
      </c>
      <c r="BD47" s="216"/>
      <c r="BE47" s="213"/>
      <c r="BF47" s="213"/>
      <c r="BG47" s="216"/>
      <c r="BH47" s="213"/>
      <c r="BI47" s="213"/>
      <c r="BJ47" s="216">
        <f>IFERROR(VLOOKUP(C47,#REF!,9,0),0)</f>
        <v>0</v>
      </c>
      <c r="BK47" s="276">
        <f t="shared" si="55"/>
        <v>75</v>
      </c>
      <c r="BL47" s="213">
        <f t="shared" si="56"/>
        <v>0</v>
      </c>
      <c r="BM47" s="216"/>
      <c r="BN47" s="213"/>
      <c r="BO47" s="213"/>
      <c r="BP47" s="213"/>
      <c r="BQ47" s="213"/>
      <c r="BR47" s="213"/>
      <c r="BS47" s="213"/>
      <c r="BT47" s="213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3"/>
      <c r="CF47" s="215"/>
      <c r="CG47" s="215">
        <f t="shared" si="57"/>
        <v>7425</v>
      </c>
      <c r="CH47" s="256">
        <f>VLOOKUP(CX47,SSS_2025!A:N,8)</f>
        <v>1750</v>
      </c>
      <c r="CI47" s="217">
        <f>VLOOKUP(CX47,SSS_2025!A:N,13)</f>
        <v>875</v>
      </c>
      <c r="CJ47" s="217">
        <f>VLOOKUP(CX47,SSS_2025!A:N,9)</f>
        <v>30</v>
      </c>
      <c r="CK47" s="215">
        <v>391.25</v>
      </c>
      <c r="CL47" s="215">
        <v>391.25</v>
      </c>
      <c r="CM47" s="215">
        <v>200</v>
      </c>
      <c r="CN47" s="215">
        <v>200</v>
      </c>
      <c r="CO47" s="214">
        <f t="shared" si="58"/>
        <v>9796.25</v>
      </c>
      <c r="CP47" s="214">
        <f t="shared" si="59"/>
        <v>630</v>
      </c>
      <c r="CQ47" s="214">
        <f t="shared" si="60"/>
        <v>10426.25</v>
      </c>
      <c r="CR47" s="215"/>
      <c r="CS47" s="214">
        <f t="shared" si="61"/>
        <v>10426.25</v>
      </c>
      <c r="CT47" s="273">
        <f t="shared" si="62"/>
        <v>525</v>
      </c>
      <c r="CU47" s="244"/>
      <c r="CV47" s="269">
        <f>IFERROR(VLOOKUP(C47,'[2]BILLING COMPUTATION'!$C$8:$CI$224,85,0),0)</f>
        <v>10005</v>
      </c>
      <c r="CW47" s="243">
        <f t="shared" si="114"/>
        <v>7425</v>
      </c>
      <c r="CX47" s="245">
        <f t="shared" si="63"/>
        <v>17430</v>
      </c>
      <c r="CZ47" s="721">
        <f>IFERROR(VLOOKUP(C47,'[5]BILLING COMPUTATION'!$C$8:$CG$101,83,0),0)</f>
        <v>11422.5</v>
      </c>
      <c r="DA47" s="721">
        <f t="shared" si="29"/>
        <v>7425</v>
      </c>
      <c r="DB47" s="721">
        <f t="shared" si="30"/>
        <v>18847.5</v>
      </c>
      <c r="DC47" s="721">
        <f t="shared" si="31"/>
        <v>1417.5</v>
      </c>
    </row>
    <row r="48" spans="1:107" s="2" customFormat="1" ht="16.899999999999999" customHeight="1">
      <c r="A48" s="235">
        <v>43</v>
      </c>
      <c r="B48" s="265"/>
      <c r="C48" s="266">
        <v>11872</v>
      </c>
      <c r="D48" s="266" t="str">
        <f>VLOOKUP(E48,'F3 MS (2)'!E:F,2,0)</f>
        <v>GD250161</v>
      </c>
      <c r="E48" s="267" t="s">
        <v>301</v>
      </c>
      <c r="F48" s="266" t="str">
        <f>VLOOKUP(C48,'[1]ACTIVE GH'!$C:$I,7,0)</f>
        <v>METAL STAMPING</v>
      </c>
      <c r="G48" s="266" t="str">
        <f>VLOOKUP(C48,'[1]ACTIVE GH'!$C:$J,8,0)</f>
        <v>PRODUCTION</v>
      </c>
      <c r="H48" s="266" t="str">
        <f>VLOOKUP(C48,'[1]ACTIVE GH'!$C:$N,12,0)</f>
        <v>Operator 1</v>
      </c>
      <c r="I48" s="266" t="s">
        <v>180</v>
      </c>
      <c r="J48" s="266">
        <f>IFERROR(VLOOKUP(C48,PIVOT!A:B,2,0),0)</f>
        <v>96</v>
      </c>
      <c r="K48" s="237">
        <f t="shared" si="32"/>
        <v>12</v>
      </c>
      <c r="L48" s="237">
        <v>600</v>
      </c>
      <c r="M48" s="238">
        <f t="shared" si="33"/>
        <v>7200</v>
      </c>
      <c r="N48" s="266">
        <f>IFERROR(VLOOKUP(C48,PIVOT!A:F,6,0),0)</f>
        <v>0</v>
      </c>
      <c r="O48" s="239">
        <f t="shared" si="34"/>
        <v>1.25</v>
      </c>
      <c r="P48" s="238">
        <f t="shared" si="35"/>
        <v>0</v>
      </c>
      <c r="Q48" s="266">
        <f>IFERROR(VLOOKUP(C48,PIVOT!A:C,3,0),0)</f>
        <v>20</v>
      </c>
      <c r="R48" s="239">
        <f t="shared" si="36"/>
        <v>93.75</v>
      </c>
      <c r="S48" s="238">
        <f t="shared" si="37"/>
        <v>1875</v>
      </c>
      <c r="T48" s="266">
        <f>IFERROR(VLOOKUP(C48,PIVOT!A:D,4,0),0)</f>
        <v>0</v>
      </c>
      <c r="U48" s="239">
        <f t="shared" si="38"/>
        <v>7.5</v>
      </c>
      <c r="V48" s="238">
        <f t="shared" si="39"/>
        <v>0</v>
      </c>
      <c r="W48" s="266">
        <f>IFERROR(VLOOKUP(C48,PIVOT!A:E,5,0),0)</f>
        <v>0</v>
      </c>
      <c r="X48" s="238">
        <f t="shared" si="40"/>
        <v>9.375</v>
      </c>
      <c r="Y48" s="238">
        <f t="shared" si="41"/>
        <v>0</v>
      </c>
      <c r="Z48" s="266">
        <f>IFERROR(VLOOKUP(C48,#REF!,6,0),0)</f>
        <v>0</v>
      </c>
      <c r="AA48" s="239">
        <f t="shared" si="42"/>
        <v>97.5</v>
      </c>
      <c r="AB48" s="238">
        <f t="shared" si="43"/>
        <v>0</v>
      </c>
      <c r="AC48" s="266"/>
      <c r="AD48" s="215">
        <f t="shared" si="44"/>
        <v>126.75</v>
      </c>
      <c r="AE48" s="214">
        <f t="shared" si="45"/>
        <v>0</v>
      </c>
      <c r="AF48" s="266">
        <f>IFERROR(VLOOKUP(C48,#REF!,8,0),0)</f>
        <v>0</v>
      </c>
      <c r="AG48" s="239">
        <f t="shared" si="46"/>
        <v>9.75</v>
      </c>
      <c r="AH48" s="238">
        <f t="shared" si="47"/>
        <v>0</v>
      </c>
      <c r="AI48" s="213"/>
      <c r="AJ48" s="213">
        <f t="shared" si="48"/>
        <v>112.5</v>
      </c>
      <c r="AK48" s="216">
        <f t="shared" si="49"/>
        <v>0</v>
      </c>
      <c r="AL48" s="213"/>
      <c r="AM48" s="213">
        <f t="shared" si="50"/>
        <v>146.25</v>
      </c>
      <c r="AN48" s="216">
        <v>0</v>
      </c>
      <c r="AO48" s="213"/>
      <c r="AP48" s="213">
        <f t="shared" si="51"/>
        <v>11.25</v>
      </c>
      <c r="AQ48" s="216">
        <f t="shared" si="52"/>
        <v>0</v>
      </c>
      <c r="AR48" s="266">
        <f>IFERROR(VLOOKUP(C48,#REF!,7,0),0)</f>
        <v>0</v>
      </c>
      <c r="AS48" s="278">
        <f t="shared" si="16"/>
        <v>97.5</v>
      </c>
      <c r="AT48" s="277">
        <f t="shared" si="17"/>
        <v>0</v>
      </c>
      <c r="AU48" s="266"/>
      <c r="AV48" s="213"/>
      <c r="AW48" s="216"/>
      <c r="AX48" s="213">
        <f>IFERROR(VLOOKUP(C48,#REF!,8,0),0)</f>
        <v>0</v>
      </c>
      <c r="AY48" s="278">
        <f t="shared" si="18"/>
        <v>9.75</v>
      </c>
      <c r="AZ48" s="277">
        <f t="shared" si="19"/>
        <v>0</v>
      </c>
      <c r="BA48" s="266">
        <f>IFERROR(VLOOKUP(C48,#REF!,10,0),0)</f>
        <v>0</v>
      </c>
      <c r="BB48" s="268">
        <f t="shared" si="53"/>
        <v>150</v>
      </c>
      <c r="BC48" s="247">
        <f t="shared" si="54"/>
        <v>0</v>
      </c>
      <c r="BD48" s="216"/>
      <c r="BE48" s="213"/>
      <c r="BF48" s="213"/>
      <c r="BG48" s="216"/>
      <c r="BH48" s="213"/>
      <c r="BI48" s="213"/>
      <c r="BJ48" s="216">
        <f>IFERROR(VLOOKUP(C48,#REF!,9,0),0)</f>
        <v>0</v>
      </c>
      <c r="BK48" s="276">
        <f t="shared" si="55"/>
        <v>75</v>
      </c>
      <c r="BL48" s="213">
        <f t="shared" si="56"/>
        <v>0</v>
      </c>
      <c r="BM48" s="216"/>
      <c r="BN48" s="213"/>
      <c r="BO48" s="213"/>
      <c r="BP48" s="213"/>
      <c r="BQ48" s="213"/>
      <c r="BR48" s="213"/>
      <c r="BS48" s="213"/>
      <c r="BT48" s="213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3"/>
      <c r="CF48" s="215"/>
      <c r="CG48" s="215">
        <f t="shared" si="57"/>
        <v>9075</v>
      </c>
      <c r="CH48" s="256">
        <f>VLOOKUP(CX48,SSS_2025!A:N,8)</f>
        <v>2000</v>
      </c>
      <c r="CI48" s="217">
        <f>VLOOKUP(CX48,SSS_2025!A:N,13)</f>
        <v>1000</v>
      </c>
      <c r="CJ48" s="217">
        <f>VLOOKUP(CX48,SSS_2025!A:N,9)</f>
        <v>30</v>
      </c>
      <c r="CK48" s="215">
        <v>391.25</v>
      </c>
      <c r="CL48" s="215">
        <v>391.25</v>
      </c>
      <c r="CM48" s="215">
        <v>200</v>
      </c>
      <c r="CN48" s="215">
        <v>200</v>
      </c>
      <c r="CO48" s="214">
        <f t="shared" si="58"/>
        <v>11696.25</v>
      </c>
      <c r="CP48" s="214">
        <f t="shared" si="59"/>
        <v>720</v>
      </c>
      <c r="CQ48" s="214">
        <f t="shared" si="60"/>
        <v>12416.25</v>
      </c>
      <c r="CR48" s="215"/>
      <c r="CS48" s="214">
        <f t="shared" si="61"/>
        <v>12416.25</v>
      </c>
      <c r="CT48" s="273">
        <f t="shared" si="62"/>
        <v>600</v>
      </c>
      <c r="CU48" s="244"/>
      <c r="CV48" s="269">
        <f>IFERROR(VLOOKUP(C48,'[2]BILLING COMPUTATION'!$C$8:$CI$224,85,0),0)</f>
        <v>10867.5</v>
      </c>
      <c r="CW48" s="243">
        <f t="shared" si="114"/>
        <v>9075</v>
      </c>
      <c r="CX48" s="245">
        <f t="shared" si="63"/>
        <v>19942.5</v>
      </c>
      <c r="CZ48" s="721">
        <f>IFERROR(VLOOKUP(C48,'[5]BILLING COMPUTATION'!$C$8:$CG$101,83,0),0)</f>
        <v>10455</v>
      </c>
      <c r="DA48" s="721">
        <f t="shared" si="29"/>
        <v>9075</v>
      </c>
      <c r="DB48" s="721">
        <f t="shared" si="30"/>
        <v>19530</v>
      </c>
      <c r="DC48" s="721">
        <f t="shared" si="31"/>
        <v>-412.5</v>
      </c>
    </row>
    <row r="49" spans="1:107" s="2" customFormat="1" ht="16.899999999999999" customHeight="1">
      <c r="A49" s="235">
        <v>44</v>
      </c>
      <c r="B49" s="265"/>
      <c r="C49" s="266">
        <v>6317</v>
      </c>
      <c r="D49" s="266" t="str">
        <f>VLOOKUP(E49,'F3 MS (2)'!E:F,2,0)</f>
        <v>GD250070</v>
      </c>
      <c r="E49" s="267" t="s">
        <v>202</v>
      </c>
      <c r="F49" s="266" t="str">
        <f>VLOOKUP(C49,'[1]ACTIVE GH'!$C:$I,7,0)</f>
        <v>METAL STAMPING</v>
      </c>
      <c r="G49" s="266" t="str">
        <f>VLOOKUP(C49,'[1]ACTIVE GH'!$C:$J,8,0)</f>
        <v>PRODUCTION</v>
      </c>
      <c r="H49" s="266" t="str">
        <f>VLOOKUP(C49,'[1]ACTIVE GH'!$C:$N,12,0)</f>
        <v>Operator 1</v>
      </c>
      <c r="I49" s="266" t="s">
        <v>180</v>
      </c>
      <c r="J49" s="266">
        <f>IFERROR(VLOOKUP(C49,PIVOT!A:B,2,0),0)</f>
        <v>88</v>
      </c>
      <c r="K49" s="237">
        <f t="shared" si="32"/>
        <v>11</v>
      </c>
      <c r="L49" s="237">
        <v>600</v>
      </c>
      <c r="M49" s="238">
        <f t="shared" si="33"/>
        <v>6600</v>
      </c>
      <c r="N49" s="266">
        <f>IFERROR(VLOOKUP(C49,PIVOT!A:F,6,0),0)</f>
        <v>0</v>
      </c>
      <c r="O49" s="239">
        <f t="shared" si="34"/>
        <v>1.25</v>
      </c>
      <c r="P49" s="238">
        <f t="shared" si="35"/>
        <v>0</v>
      </c>
      <c r="Q49" s="266">
        <f>IFERROR(VLOOKUP(C49,PIVOT!A:C,3,0),0)</f>
        <v>6</v>
      </c>
      <c r="R49" s="239">
        <f t="shared" si="36"/>
        <v>93.75</v>
      </c>
      <c r="S49" s="238">
        <f t="shared" si="37"/>
        <v>562.5</v>
      </c>
      <c r="T49" s="266">
        <f>IFERROR(VLOOKUP(C49,PIVOT!A:D,4,0),0)</f>
        <v>66</v>
      </c>
      <c r="U49" s="239">
        <f t="shared" si="38"/>
        <v>7.5</v>
      </c>
      <c r="V49" s="238">
        <f t="shared" si="39"/>
        <v>495</v>
      </c>
      <c r="W49" s="266">
        <f>IFERROR(VLOOKUP(C49,PIVOT!A:E,5,0),0)</f>
        <v>6</v>
      </c>
      <c r="X49" s="238">
        <f t="shared" si="40"/>
        <v>9.375</v>
      </c>
      <c r="Y49" s="238">
        <f t="shared" si="41"/>
        <v>56.25</v>
      </c>
      <c r="Z49" s="266">
        <f>IFERROR(VLOOKUP(C49,#REF!,6,0),0)</f>
        <v>0</v>
      </c>
      <c r="AA49" s="239">
        <f t="shared" si="42"/>
        <v>97.5</v>
      </c>
      <c r="AB49" s="238">
        <f t="shared" si="43"/>
        <v>0</v>
      </c>
      <c r="AC49" s="266"/>
      <c r="AD49" s="215">
        <f t="shared" si="44"/>
        <v>126.75</v>
      </c>
      <c r="AE49" s="214">
        <f t="shared" si="45"/>
        <v>0</v>
      </c>
      <c r="AF49" s="266">
        <f>IFERROR(VLOOKUP(C49,#REF!,8,0),0)</f>
        <v>0</v>
      </c>
      <c r="AG49" s="239">
        <f t="shared" si="46"/>
        <v>9.75</v>
      </c>
      <c r="AH49" s="238">
        <f t="shared" si="47"/>
        <v>0</v>
      </c>
      <c r="AI49" s="213"/>
      <c r="AJ49" s="213">
        <f t="shared" si="48"/>
        <v>112.5</v>
      </c>
      <c r="AK49" s="216">
        <f t="shared" si="49"/>
        <v>0</v>
      </c>
      <c r="AL49" s="213"/>
      <c r="AM49" s="213">
        <f t="shared" si="50"/>
        <v>146.25</v>
      </c>
      <c r="AN49" s="216">
        <v>0</v>
      </c>
      <c r="AO49" s="213"/>
      <c r="AP49" s="213">
        <f t="shared" si="51"/>
        <v>11.25</v>
      </c>
      <c r="AQ49" s="216">
        <f t="shared" si="52"/>
        <v>0</v>
      </c>
      <c r="AR49" s="266">
        <f>IFERROR(VLOOKUP(C49,#REF!,7,0),0)</f>
        <v>0</v>
      </c>
      <c r="AS49" s="278">
        <f t="shared" si="16"/>
        <v>97.5</v>
      </c>
      <c r="AT49" s="277">
        <f t="shared" si="17"/>
        <v>0</v>
      </c>
      <c r="AU49" s="266"/>
      <c r="AV49" s="213"/>
      <c r="AW49" s="216"/>
      <c r="AX49" s="213">
        <f>IFERROR(VLOOKUP(C49,#REF!,8,0),0)</f>
        <v>0</v>
      </c>
      <c r="AY49" s="278">
        <f t="shared" si="18"/>
        <v>9.75</v>
      </c>
      <c r="AZ49" s="277">
        <f t="shared" si="19"/>
        <v>0</v>
      </c>
      <c r="BA49" s="266">
        <f>IFERROR(VLOOKUP(C49,#REF!,10,0),0)</f>
        <v>0</v>
      </c>
      <c r="BB49" s="268">
        <f t="shared" si="53"/>
        <v>150</v>
      </c>
      <c r="BC49" s="247">
        <f t="shared" si="54"/>
        <v>0</v>
      </c>
      <c r="BD49" s="216"/>
      <c r="BE49" s="213"/>
      <c r="BF49" s="213"/>
      <c r="BG49" s="216"/>
      <c r="BH49" s="213"/>
      <c r="BI49" s="213"/>
      <c r="BJ49" s="216">
        <f>IFERROR(VLOOKUP(C49,#REF!,9,0),0)</f>
        <v>0</v>
      </c>
      <c r="BK49" s="276">
        <f t="shared" si="55"/>
        <v>75</v>
      </c>
      <c r="BL49" s="213">
        <f t="shared" si="56"/>
        <v>0</v>
      </c>
      <c r="BM49" s="216"/>
      <c r="BN49" s="213"/>
      <c r="BO49" s="213"/>
      <c r="BP49" s="213"/>
      <c r="BQ49" s="213"/>
      <c r="BR49" s="213"/>
      <c r="BS49" s="213"/>
      <c r="BT49" s="213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3"/>
      <c r="CF49" s="215"/>
      <c r="CG49" s="215">
        <f t="shared" si="57"/>
        <v>7713.75</v>
      </c>
      <c r="CH49" s="256">
        <f>VLOOKUP(CX49,SSS_2025!A:N,8)</f>
        <v>1850</v>
      </c>
      <c r="CI49" s="217">
        <f>VLOOKUP(CX49,SSS_2025!A:N,13)</f>
        <v>925</v>
      </c>
      <c r="CJ49" s="217">
        <f>VLOOKUP(CX49,SSS_2025!A:N,9)</f>
        <v>30</v>
      </c>
      <c r="CK49" s="215">
        <v>391.25</v>
      </c>
      <c r="CL49" s="215">
        <v>391.25</v>
      </c>
      <c r="CM49" s="215">
        <v>200</v>
      </c>
      <c r="CN49" s="215">
        <v>200</v>
      </c>
      <c r="CO49" s="214">
        <f t="shared" si="58"/>
        <v>10185</v>
      </c>
      <c r="CP49" s="214">
        <f t="shared" si="59"/>
        <v>660</v>
      </c>
      <c r="CQ49" s="214">
        <f t="shared" si="60"/>
        <v>10845</v>
      </c>
      <c r="CR49" s="215"/>
      <c r="CS49" s="214">
        <f t="shared" si="61"/>
        <v>10845</v>
      </c>
      <c r="CT49" s="273">
        <f t="shared" si="62"/>
        <v>550</v>
      </c>
      <c r="CU49" s="244"/>
      <c r="CV49" s="269">
        <f>IFERROR(VLOOKUP(C49,'[2]BILLING COMPUTATION'!$C$8:$CI$224,85,0),0)</f>
        <v>10605</v>
      </c>
      <c r="CW49" s="243">
        <f t="shared" si="114"/>
        <v>7713.75</v>
      </c>
      <c r="CX49" s="245">
        <f t="shared" si="63"/>
        <v>18318.75</v>
      </c>
      <c r="CZ49" s="721">
        <f>IFERROR(VLOOKUP(C49,'[5]BILLING COMPUTATION'!$C$8:$CG$101,83,0),0)</f>
        <v>8227.5</v>
      </c>
      <c r="DA49" s="721">
        <f t="shared" si="29"/>
        <v>7713.75</v>
      </c>
      <c r="DB49" s="721">
        <f t="shared" si="30"/>
        <v>15941.25</v>
      </c>
      <c r="DC49" s="721">
        <f t="shared" si="31"/>
        <v>-2377.5</v>
      </c>
    </row>
    <row r="50" spans="1:107" s="2" customFormat="1" ht="16.899999999999999" customHeight="1">
      <c r="A50" s="235">
        <v>45</v>
      </c>
      <c r="B50" s="265"/>
      <c r="C50" s="266">
        <v>14233</v>
      </c>
      <c r="D50" s="266" t="str">
        <f>VLOOKUP(E50,'F3 MS (2)'!E:F,2,0)</f>
        <v>GD250399</v>
      </c>
      <c r="E50" s="267" t="s">
        <v>322</v>
      </c>
      <c r="F50" s="266" t="str">
        <f>VLOOKUP(C50,'[1]ACTIVE GH'!$C:$I,7,0)</f>
        <v>METAL STAMPING</v>
      </c>
      <c r="G50" s="266" t="str">
        <f>VLOOKUP(C50,'[1]ACTIVE GH'!$C:$J,8,0)</f>
        <v>PRODUCTION</v>
      </c>
      <c r="H50" s="266" t="str">
        <f>VLOOKUP(C50,'[1]ACTIVE GH'!$C:$N,12,0)</f>
        <v>Operator 1</v>
      </c>
      <c r="I50" s="266" t="s">
        <v>180</v>
      </c>
      <c r="J50" s="266">
        <f>IFERROR(VLOOKUP(C50,PIVOT!A:B,2,0),0)</f>
        <v>96</v>
      </c>
      <c r="K50" s="237">
        <f t="shared" si="32"/>
        <v>12</v>
      </c>
      <c r="L50" s="237">
        <v>600</v>
      </c>
      <c r="M50" s="238">
        <f t="shared" si="33"/>
        <v>7200</v>
      </c>
      <c r="N50" s="266">
        <f>IFERROR(VLOOKUP(C50,PIVOT!A:F,6,0),0)</f>
        <v>0</v>
      </c>
      <c r="O50" s="239">
        <f t="shared" si="34"/>
        <v>1.25</v>
      </c>
      <c r="P50" s="238">
        <f t="shared" si="35"/>
        <v>0</v>
      </c>
      <c r="Q50" s="266">
        <f>IFERROR(VLOOKUP(C50,PIVOT!A:C,3,0),0)</f>
        <v>0</v>
      </c>
      <c r="R50" s="239">
        <f t="shared" si="36"/>
        <v>93.75</v>
      </c>
      <c r="S50" s="238">
        <f t="shared" si="37"/>
        <v>0</v>
      </c>
      <c r="T50" s="266">
        <f>IFERROR(VLOOKUP(C50,PIVOT!A:D,4,0),0)</f>
        <v>6</v>
      </c>
      <c r="U50" s="239">
        <f t="shared" si="38"/>
        <v>7.5</v>
      </c>
      <c r="V50" s="238">
        <f t="shared" si="39"/>
        <v>45</v>
      </c>
      <c r="W50" s="266">
        <f>IFERROR(VLOOKUP(C50,PIVOT!A:E,5,0),0)</f>
        <v>0</v>
      </c>
      <c r="X50" s="238">
        <f t="shared" si="40"/>
        <v>9.375</v>
      </c>
      <c r="Y50" s="238">
        <f t="shared" si="41"/>
        <v>0</v>
      </c>
      <c r="Z50" s="266">
        <f>IFERROR(VLOOKUP(C50,#REF!,6,0),0)</f>
        <v>0</v>
      </c>
      <c r="AA50" s="239">
        <f t="shared" si="42"/>
        <v>97.5</v>
      </c>
      <c r="AB50" s="238">
        <f t="shared" si="43"/>
        <v>0</v>
      </c>
      <c r="AC50" s="266"/>
      <c r="AD50" s="215">
        <f t="shared" si="44"/>
        <v>126.75</v>
      </c>
      <c r="AE50" s="214">
        <f t="shared" si="45"/>
        <v>0</v>
      </c>
      <c r="AF50" s="266">
        <f>IFERROR(VLOOKUP(C50,#REF!,8,0),0)</f>
        <v>0</v>
      </c>
      <c r="AG50" s="239">
        <f t="shared" si="46"/>
        <v>9.75</v>
      </c>
      <c r="AH50" s="238">
        <f t="shared" si="47"/>
        <v>0</v>
      </c>
      <c r="AI50" s="213"/>
      <c r="AJ50" s="213">
        <f t="shared" si="48"/>
        <v>112.5</v>
      </c>
      <c r="AK50" s="216">
        <f t="shared" si="49"/>
        <v>0</v>
      </c>
      <c r="AL50" s="213"/>
      <c r="AM50" s="213">
        <f t="shared" si="50"/>
        <v>146.25</v>
      </c>
      <c r="AN50" s="216">
        <v>0</v>
      </c>
      <c r="AO50" s="213"/>
      <c r="AP50" s="213">
        <f t="shared" si="51"/>
        <v>11.25</v>
      </c>
      <c r="AQ50" s="216">
        <f t="shared" si="52"/>
        <v>0</v>
      </c>
      <c r="AR50" s="266">
        <f>IFERROR(VLOOKUP(C50,#REF!,7,0),0)</f>
        <v>0</v>
      </c>
      <c r="AS50" s="278">
        <f t="shared" si="16"/>
        <v>97.5</v>
      </c>
      <c r="AT50" s="277">
        <f t="shared" si="17"/>
        <v>0</v>
      </c>
      <c r="AU50" s="266"/>
      <c r="AV50" s="213"/>
      <c r="AW50" s="216"/>
      <c r="AX50" s="213">
        <f>IFERROR(VLOOKUP(C50,#REF!,8,0),0)</f>
        <v>0</v>
      </c>
      <c r="AY50" s="278">
        <f t="shared" si="18"/>
        <v>9.75</v>
      </c>
      <c r="AZ50" s="277">
        <f t="shared" si="19"/>
        <v>0</v>
      </c>
      <c r="BA50" s="266">
        <f>IFERROR(VLOOKUP(C50,#REF!,10,0),0)</f>
        <v>0</v>
      </c>
      <c r="BB50" s="268">
        <f t="shared" si="53"/>
        <v>150</v>
      </c>
      <c r="BC50" s="247">
        <f t="shared" si="54"/>
        <v>0</v>
      </c>
      <c r="BD50" s="216"/>
      <c r="BE50" s="213"/>
      <c r="BF50" s="213"/>
      <c r="BG50" s="216"/>
      <c r="BH50" s="213"/>
      <c r="BI50" s="213"/>
      <c r="BJ50" s="216">
        <f>IFERROR(VLOOKUP(C50,#REF!,9,0),0)</f>
        <v>0</v>
      </c>
      <c r="BK50" s="276">
        <f t="shared" si="55"/>
        <v>75</v>
      </c>
      <c r="BL50" s="213">
        <f t="shared" si="56"/>
        <v>0</v>
      </c>
      <c r="BM50" s="216"/>
      <c r="BN50" s="213"/>
      <c r="BO50" s="213"/>
      <c r="BP50" s="213"/>
      <c r="BQ50" s="213"/>
      <c r="BR50" s="213"/>
      <c r="BS50" s="213"/>
      <c r="BT50" s="213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3"/>
      <c r="CF50" s="215"/>
      <c r="CG50" s="215">
        <f t="shared" si="57"/>
        <v>7245</v>
      </c>
      <c r="CH50" s="256">
        <f>VLOOKUP(CX50,SSS_2025!A:N,8)</f>
        <v>1550</v>
      </c>
      <c r="CI50" s="217">
        <f>VLOOKUP(CX50,SSS_2025!A:N,13)</f>
        <v>775</v>
      </c>
      <c r="CJ50" s="217">
        <f>VLOOKUP(CX50,SSS_2025!A:N,9)</f>
        <v>30</v>
      </c>
      <c r="CK50" s="215">
        <v>391.25</v>
      </c>
      <c r="CL50" s="215">
        <v>391.25</v>
      </c>
      <c r="CM50" s="215">
        <v>200</v>
      </c>
      <c r="CN50" s="215">
        <v>200</v>
      </c>
      <c r="CO50" s="214">
        <f t="shared" si="58"/>
        <v>9416.25</v>
      </c>
      <c r="CP50" s="214">
        <f t="shared" si="59"/>
        <v>720</v>
      </c>
      <c r="CQ50" s="214">
        <f t="shared" si="60"/>
        <v>10136.25</v>
      </c>
      <c r="CR50" s="215"/>
      <c r="CS50" s="214">
        <f t="shared" si="61"/>
        <v>10136.25</v>
      </c>
      <c r="CT50" s="273">
        <f t="shared" si="62"/>
        <v>600</v>
      </c>
      <c r="CU50" s="244"/>
      <c r="CV50" s="269">
        <f>IFERROR(VLOOKUP(C50,'[2]BILLING COMPUTATION'!$C$8:$CI$224,85,0),0)</f>
        <v>8403.75</v>
      </c>
      <c r="CW50" s="243">
        <f t="shared" si="114"/>
        <v>7245</v>
      </c>
      <c r="CX50" s="245">
        <f t="shared" si="63"/>
        <v>15648.75</v>
      </c>
      <c r="CZ50" s="721">
        <f>IFERROR(VLOOKUP(C50,'[5]BILLING COMPUTATION'!$C$8:$CG$101,83,0),0)</f>
        <v>10132.5</v>
      </c>
      <c r="DA50" s="721">
        <f t="shared" si="29"/>
        <v>7245</v>
      </c>
      <c r="DB50" s="721">
        <f t="shared" si="30"/>
        <v>17377.5</v>
      </c>
      <c r="DC50" s="721">
        <f t="shared" si="31"/>
        <v>1728.75</v>
      </c>
    </row>
    <row r="51" spans="1:107" s="2" customFormat="1" ht="16.899999999999999" customHeight="1">
      <c r="A51" s="235">
        <v>46</v>
      </c>
      <c r="B51" s="265"/>
      <c r="C51" s="266">
        <v>11842</v>
      </c>
      <c r="D51" s="266" t="str">
        <f>VLOOKUP(E51,'F3 MS (2)'!E:F,2,0)</f>
        <v>GD250167</v>
      </c>
      <c r="E51" s="267" t="s">
        <v>283</v>
      </c>
      <c r="F51" s="266" t="str">
        <f>VLOOKUP(C51,'[1]ACTIVE GH'!$C:$I,7,0)</f>
        <v>METAL STAMPING</v>
      </c>
      <c r="G51" s="266" t="str">
        <f>VLOOKUP(C51,'[1]ACTIVE GH'!$C:$J,8,0)</f>
        <v>PRODUCTION</v>
      </c>
      <c r="H51" s="266" t="str">
        <f>VLOOKUP(C51,'[1]ACTIVE GH'!$C:$N,12,0)</f>
        <v>Operator 1</v>
      </c>
      <c r="I51" s="266" t="s">
        <v>180</v>
      </c>
      <c r="J51" s="266">
        <f>IFERROR(VLOOKUP(C51,PIVOT!A:B,2,0),0)</f>
        <v>80</v>
      </c>
      <c r="K51" s="237">
        <f t="shared" si="32"/>
        <v>10</v>
      </c>
      <c r="L51" s="237">
        <v>600</v>
      </c>
      <c r="M51" s="238">
        <f t="shared" si="33"/>
        <v>6000</v>
      </c>
      <c r="N51" s="266">
        <f>IFERROR(VLOOKUP(C51,PIVOT!A:F,6,0),0)</f>
        <v>0</v>
      </c>
      <c r="O51" s="239">
        <f t="shared" si="34"/>
        <v>1.25</v>
      </c>
      <c r="P51" s="238">
        <f t="shared" si="35"/>
        <v>0</v>
      </c>
      <c r="Q51" s="266">
        <f>IFERROR(VLOOKUP(C51,PIVOT!A:C,3,0),0)</f>
        <v>14</v>
      </c>
      <c r="R51" s="239">
        <f t="shared" si="36"/>
        <v>93.75</v>
      </c>
      <c r="S51" s="238">
        <f t="shared" si="37"/>
        <v>1312.5</v>
      </c>
      <c r="T51" s="266">
        <f>IFERROR(VLOOKUP(C51,PIVOT!A:D,4,0),0)</f>
        <v>30</v>
      </c>
      <c r="U51" s="239">
        <f t="shared" si="38"/>
        <v>7.5</v>
      </c>
      <c r="V51" s="238">
        <f t="shared" si="39"/>
        <v>225</v>
      </c>
      <c r="W51" s="266">
        <f>IFERROR(VLOOKUP(C51,PIVOT!A:E,5,0),0)</f>
        <v>6</v>
      </c>
      <c r="X51" s="238">
        <f t="shared" si="40"/>
        <v>9.375</v>
      </c>
      <c r="Y51" s="238">
        <f t="shared" si="41"/>
        <v>56.25</v>
      </c>
      <c r="Z51" s="266">
        <f>IFERROR(VLOOKUP(C51,#REF!,6,0),0)</f>
        <v>0</v>
      </c>
      <c r="AA51" s="239">
        <f t="shared" si="42"/>
        <v>97.5</v>
      </c>
      <c r="AB51" s="238">
        <f t="shared" si="43"/>
        <v>0</v>
      </c>
      <c r="AC51" s="266"/>
      <c r="AD51" s="215">
        <f t="shared" si="44"/>
        <v>126.75</v>
      </c>
      <c r="AE51" s="214">
        <f t="shared" si="45"/>
        <v>0</v>
      </c>
      <c r="AF51" s="266">
        <f>IFERROR(VLOOKUP(C51,#REF!,8,0),0)</f>
        <v>0</v>
      </c>
      <c r="AG51" s="239">
        <f t="shared" si="46"/>
        <v>9.75</v>
      </c>
      <c r="AH51" s="238">
        <f t="shared" si="47"/>
        <v>0</v>
      </c>
      <c r="AI51" s="213"/>
      <c r="AJ51" s="213">
        <f t="shared" si="48"/>
        <v>112.5</v>
      </c>
      <c r="AK51" s="216">
        <f t="shared" si="49"/>
        <v>0</v>
      </c>
      <c r="AL51" s="213"/>
      <c r="AM51" s="213">
        <f t="shared" si="50"/>
        <v>146.25</v>
      </c>
      <c r="AN51" s="216">
        <v>0</v>
      </c>
      <c r="AO51" s="213"/>
      <c r="AP51" s="213">
        <f t="shared" si="51"/>
        <v>11.25</v>
      </c>
      <c r="AQ51" s="216">
        <f t="shared" si="52"/>
        <v>0</v>
      </c>
      <c r="AR51" s="266">
        <f>IFERROR(VLOOKUP(C51,#REF!,7,0),0)</f>
        <v>0</v>
      </c>
      <c r="AS51" s="278">
        <f t="shared" si="16"/>
        <v>97.5</v>
      </c>
      <c r="AT51" s="277">
        <f t="shared" si="17"/>
        <v>0</v>
      </c>
      <c r="AU51" s="266"/>
      <c r="AV51" s="213"/>
      <c r="AW51" s="216"/>
      <c r="AX51" s="213">
        <f>IFERROR(VLOOKUP(C51,#REF!,8,0),0)</f>
        <v>0</v>
      </c>
      <c r="AY51" s="278">
        <f t="shared" si="18"/>
        <v>9.75</v>
      </c>
      <c r="AZ51" s="277">
        <f t="shared" si="19"/>
        <v>0</v>
      </c>
      <c r="BA51" s="266">
        <f>IFERROR(VLOOKUP(C51,#REF!,10,0),0)</f>
        <v>0</v>
      </c>
      <c r="BB51" s="268">
        <f t="shared" si="53"/>
        <v>150</v>
      </c>
      <c r="BC51" s="247">
        <f t="shared" si="54"/>
        <v>0</v>
      </c>
      <c r="BD51" s="216"/>
      <c r="BE51" s="213"/>
      <c r="BF51" s="213"/>
      <c r="BG51" s="216"/>
      <c r="BH51" s="213"/>
      <c r="BI51" s="213"/>
      <c r="BJ51" s="216">
        <f>IFERROR(VLOOKUP(C51,#REF!,9,0),0)</f>
        <v>0</v>
      </c>
      <c r="BK51" s="276">
        <f t="shared" si="55"/>
        <v>75</v>
      </c>
      <c r="BL51" s="213">
        <f t="shared" si="56"/>
        <v>0</v>
      </c>
      <c r="BM51" s="216"/>
      <c r="BN51" s="213"/>
      <c r="BO51" s="213"/>
      <c r="BP51" s="213"/>
      <c r="BQ51" s="213"/>
      <c r="BR51" s="213"/>
      <c r="BS51" s="213"/>
      <c r="BT51" s="213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3"/>
      <c r="CF51" s="215"/>
      <c r="CG51" s="215">
        <f t="shared" si="57"/>
        <v>7593.75</v>
      </c>
      <c r="CH51" s="256">
        <f>VLOOKUP(CX51,SSS_2025!A:N,8)</f>
        <v>1850</v>
      </c>
      <c r="CI51" s="217">
        <f>VLOOKUP(CX51,SSS_2025!A:N,13)</f>
        <v>925</v>
      </c>
      <c r="CJ51" s="217">
        <f>VLOOKUP(CX51,SSS_2025!A:N,9)</f>
        <v>30</v>
      </c>
      <c r="CK51" s="215">
        <v>391.25</v>
      </c>
      <c r="CL51" s="215">
        <v>391.25</v>
      </c>
      <c r="CM51" s="215">
        <v>200</v>
      </c>
      <c r="CN51" s="215">
        <v>200</v>
      </c>
      <c r="CO51" s="214">
        <f t="shared" si="58"/>
        <v>10065</v>
      </c>
      <c r="CP51" s="214">
        <f t="shared" si="59"/>
        <v>600</v>
      </c>
      <c r="CQ51" s="214">
        <f t="shared" si="60"/>
        <v>10665</v>
      </c>
      <c r="CR51" s="215"/>
      <c r="CS51" s="214">
        <f t="shared" si="61"/>
        <v>10665</v>
      </c>
      <c r="CT51" s="273">
        <f t="shared" si="62"/>
        <v>500</v>
      </c>
      <c r="CU51" s="244"/>
      <c r="CV51" s="269">
        <f>IFERROR(VLOOKUP(C51,'[2]BILLING COMPUTATION'!$C$8:$CI$224,85,0),0)</f>
        <v>10680</v>
      </c>
      <c r="CW51" s="243">
        <f t="shared" si="114"/>
        <v>7593.75</v>
      </c>
      <c r="CX51" s="245">
        <f t="shared" si="63"/>
        <v>18273.75</v>
      </c>
      <c r="CZ51" s="721">
        <f>IFERROR(VLOOKUP(C51,'[5]BILLING COMPUTATION'!$C$8:$CG$101,83,0),0)</f>
        <v>9292.5</v>
      </c>
      <c r="DA51" s="721">
        <f t="shared" si="29"/>
        <v>7593.75</v>
      </c>
      <c r="DB51" s="721">
        <f t="shared" si="30"/>
        <v>16886.25</v>
      </c>
      <c r="DC51" s="721">
        <f t="shared" si="31"/>
        <v>-1387.5</v>
      </c>
    </row>
    <row r="52" spans="1:107" s="2" customFormat="1" ht="16.899999999999999" customHeight="1">
      <c r="A52" s="235">
        <v>47</v>
      </c>
      <c r="B52" s="265"/>
      <c r="C52" s="266">
        <v>12164</v>
      </c>
      <c r="D52" s="266" t="str">
        <f>VLOOKUP(E52,'F3 MS (2)'!E:F,2,0)</f>
        <v>GD250147</v>
      </c>
      <c r="E52" s="267" t="s">
        <v>212</v>
      </c>
      <c r="F52" s="266" t="str">
        <f>VLOOKUP(C52,'[1]ACTIVE GH'!$C:$I,7,0)</f>
        <v>METAL STAMPING</v>
      </c>
      <c r="G52" s="266" t="str">
        <f>VLOOKUP(C52,'[1]ACTIVE GH'!$C:$J,8,0)</f>
        <v>PRODUCTION</v>
      </c>
      <c r="H52" s="266" t="str">
        <f>VLOOKUP(C52,'[1]ACTIVE GH'!$C:$N,12,0)</f>
        <v>Operator 1</v>
      </c>
      <c r="I52" s="266" t="s">
        <v>180</v>
      </c>
      <c r="J52" s="266">
        <f>IFERROR(VLOOKUP(C52,PIVOT!A:B,2,0),0)</f>
        <v>80</v>
      </c>
      <c r="K52" s="237">
        <f t="shared" si="32"/>
        <v>10</v>
      </c>
      <c r="L52" s="237">
        <v>600</v>
      </c>
      <c r="M52" s="238">
        <f t="shared" si="33"/>
        <v>6000</v>
      </c>
      <c r="N52" s="266">
        <f>IFERROR(VLOOKUP(C52,PIVOT!A:F,6,0),0)</f>
        <v>0</v>
      </c>
      <c r="O52" s="239">
        <f t="shared" si="34"/>
        <v>1.25</v>
      </c>
      <c r="P52" s="238">
        <f t="shared" si="35"/>
        <v>0</v>
      </c>
      <c r="Q52" s="266">
        <f>IFERROR(VLOOKUP(C52,PIVOT!A:C,3,0),0)</f>
        <v>6</v>
      </c>
      <c r="R52" s="239">
        <f t="shared" si="36"/>
        <v>93.75</v>
      </c>
      <c r="S52" s="238">
        <f t="shared" si="37"/>
        <v>562.5</v>
      </c>
      <c r="T52" s="266">
        <f>IFERROR(VLOOKUP(C52,PIVOT!A:D,4,0),0)</f>
        <v>0</v>
      </c>
      <c r="U52" s="239">
        <f t="shared" si="38"/>
        <v>7.5</v>
      </c>
      <c r="V52" s="238">
        <f t="shared" si="39"/>
        <v>0</v>
      </c>
      <c r="W52" s="266">
        <f>IFERROR(VLOOKUP(C52,PIVOT!A:E,5,0),0)</f>
        <v>0</v>
      </c>
      <c r="X52" s="238">
        <f t="shared" si="40"/>
        <v>9.375</v>
      </c>
      <c r="Y52" s="238">
        <f t="shared" si="41"/>
        <v>0</v>
      </c>
      <c r="Z52" s="266">
        <f>IFERROR(VLOOKUP(C52,#REF!,6,0),0)</f>
        <v>0</v>
      </c>
      <c r="AA52" s="239">
        <f t="shared" si="42"/>
        <v>97.5</v>
      </c>
      <c r="AB52" s="238">
        <f t="shared" si="43"/>
        <v>0</v>
      </c>
      <c r="AC52" s="266"/>
      <c r="AD52" s="215">
        <f t="shared" si="44"/>
        <v>126.75</v>
      </c>
      <c r="AE52" s="214">
        <f t="shared" si="45"/>
        <v>0</v>
      </c>
      <c r="AF52" s="266">
        <f>IFERROR(VLOOKUP(C52,#REF!,8,0),0)</f>
        <v>0</v>
      </c>
      <c r="AG52" s="239">
        <f t="shared" si="46"/>
        <v>9.75</v>
      </c>
      <c r="AH52" s="238">
        <f t="shared" si="47"/>
        <v>0</v>
      </c>
      <c r="AI52" s="213"/>
      <c r="AJ52" s="213">
        <f t="shared" si="48"/>
        <v>112.5</v>
      </c>
      <c r="AK52" s="216">
        <f t="shared" si="49"/>
        <v>0</v>
      </c>
      <c r="AL52" s="213"/>
      <c r="AM52" s="213">
        <f t="shared" si="50"/>
        <v>146.25</v>
      </c>
      <c r="AN52" s="216">
        <v>0</v>
      </c>
      <c r="AO52" s="213"/>
      <c r="AP52" s="213">
        <f t="shared" si="51"/>
        <v>11.25</v>
      </c>
      <c r="AQ52" s="216">
        <f t="shared" si="52"/>
        <v>0</v>
      </c>
      <c r="AR52" s="266">
        <f>IFERROR(VLOOKUP(C52,#REF!,7,0),0)</f>
        <v>0</v>
      </c>
      <c r="AS52" s="278">
        <f t="shared" si="16"/>
        <v>97.5</v>
      </c>
      <c r="AT52" s="277">
        <f t="shared" si="17"/>
        <v>0</v>
      </c>
      <c r="AU52" s="266"/>
      <c r="AV52" s="213"/>
      <c r="AW52" s="216"/>
      <c r="AX52" s="213">
        <f>IFERROR(VLOOKUP(C52,#REF!,8,0),0)</f>
        <v>0</v>
      </c>
      <c r="AY52" s="278">
        <f t="shared" si="18"/>
        <v>9.75</v>
      </c>
      <c r="AZ52" s="277">
        <f t="shared" si="19"/>
        <v>0</v>
      </c>
      <c r="BA52" s="266">
        <f>IFERROR(VLOOKUP(C52,#REF!,10,0),0)</f>
        <v>0</v>
      </c>
      <c r="BB52" s="268">
        <f t="shared" si="53"/>
        <v>150</v>
      </c>
      <c r="BC52" s="247">
        <f t="shared" si="54"/>
        <v>0</v>
      </c>
      <c r="BD52" s="216"/>
      <c r="BE52" s="213"/>
      <c r="BF52" s="213"/>
      <c r="BG52" s="216"/>
      <c r="BH52" s="213"/>
      <c r="BI52" s="213"/>
      <c r="BJ52" s="216">
        <f>IFERROR(VLOOKUP(C52,#REF!,9,0),0)</f>
        <v>0</v>
      </c>
      <c r="BK52" s="276">
        <f t="shared" si="55"/>
        <v>75</v>
      </c>
      <c r="BL52" s="213">
        <f t="shared" si="56"/>
        <v>0</v>
      </c>
      <c r="BM52" s="216"/>
      <c r="BN52" s="213"/>
      <c r="BO52" s="213"/>
      <c r="BP52" s="213"/>
      <c r="BQ52" s="213"/>
      <c r="BR52" s="213"/>
      <c r="BS52" s="213"/>
      <c r="BT52" s="213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3"/>
      <c r="CF52" s="215"/>
      <c r="CG52" s="215">
        <f t="shared" si="57"/>
        <v>6562.5</v>
      </c>
      <c r="CH52" s="256">
        <f>VLOOKUP(CX52,SSS_2025!A:N,8)</f>
        <v>1850</v>
      </c>
      <c r="CI52" s="217">
        <f>VLOOKUP(CX52,SSS_2025!A:N,13)</f>
        <v>925</v>
      </c>
      <c r="CJ52" s="217">
        <f>VLOOKUP(CX52,SSS_2025!A:N,9)</f>
        <v>30</v>
      </c>
      <c r="CK52" s="215">
        <v>391.25</v>
      </c>
      <c r="CL52" s="215">
        <v>391.25</v>
      </c>
      <c r="CM52" s="215">
        <v>200</v>
      </c>
      <c r="CN52" s="215">
        <v>200</v>
      </c>
      <c r="CO52" s="214">
        <f t="shared" si="58"/>
        <v>9033.75</v>
      </c>
      <c r="CP52" s="214">
        <f t="shared" si="59"/>
        <v>600</v>
      </c>
      <c r="CQ52" s="214">
        <f t="shared" si="60"/>
        <v>9633.75</v>
      </c>
      <c r="CR52" s="215"/>
      <c r="CS52" s="214">
        <f t="shared" si="61"/>
        <v>9633.75</v>
      </c>
      <c r="CT52" s="273">
        <f t="shared" si="62"/>
        <v>500</v>
      </c>
      <c r="CU52" s="244"/>
      <c r="CV52" s="269">
        <f>IFERROR(VLOOKUP(C52,'[2]BILLING COMPUTATION'!$C$8:$CI$224,85,0),0)</f>
        <v>11797.5</v>
      </c>
      <c r="CW52" s="243">
        <f t="shared" si="114"/>
        <v>6562.5</v>
      </c>
      <c r="CX52" s="245">
        <f t="shared" si="63"/>
        <v>18360</v>
      </c>
      <c r="CZ52" s="721">
        <f>IFERROR(VLOOKUP(C52,'[5]BILLING COMPUTATION'!$C$8:$CG$101,83,0),0)</f>
        <v>7830</v>
      </c>
      <c r="DA52" s="721">
        <f t="shared" si="29"/>
        <v>6562.5</v>
      </c>
      <c r="DB52" s="721">
        <f t="shared" si="30"/>
        <v>14392.5</v>
      </c>
      <c r="DC52" s="721">
        <f t="shared" si="31"/>
        <v>-3967.5</v>
      </c>
    </row>
    <row r="53" spans="1:107" s="2" customFormat="1" ht="16.899999999999999" customHeight="1">
      <c r="A53" s="235">
        <v>49</v>
      </c>
      <c r="B53" s="265"/>
      <c r="C53" s="266">
        <v>14267</v>
      </c>
      <c r="D53" s="266" t="str">
        <f>VLOOKUP(E53,'F3 MS (2)'!E:F,2,0)</f>
        <v>GD250412</v>
      </c>
      <c r="E53" s="267" t="s">
        <v>345</v>
      </c>
      <c r="F53" s="266" t="str">
        <f>VLOOKUP(C53,'[1]ACTIVE GH'!$C:$I,7,0)</f>
        <v>METAL STAMPING</v>
      </c>
      <c r="G53" s="266" t="str">
        <f>VLOOKUP(C53,'[1]ACTIVE GH'!$C:$J,8,0)</f>
        <v>PRODUCTION</v>
      </c>
      <c r="H53" s="266" t="str">
        <f>VLOOKUP(C53,'[1]ACTIVE GH'!$C:$N,12,0)</f>
        <v>Operator 1</v>
      </c>
      <c r="I53" s="266" t="s">
        <v>180</v>
      </c>
      <c r="J53" s="266">
        <f>IFERROR(VLOOKUP(C53,PIVOT!A:B,2,0),0)</f>
        <v>88</v>
      </c>
      <c r="K53" s="237">
        <f t="shared" si="32"/>
        <v>11</v>
      </c>
      <c r="L53" s="237">
        <v>600</v>
      </c>
      <c r="M53" s="238">
        <f t="shared" si="33"/>
        <v>6600</v>
      </c>
      <c r="N53" s="266">
        <f>IFERROR(VLOOKUP(C53,PIVOT!A:F,6,0),0)</f>
        <v>0</v>
      </c>
      <c r="O53" s="239">
        <f t="shared" si="34"/>
        <v>1.25</v>
      </c>
      <c r="P53" s="238">
        <f t="shared" si="35"/>
        <v>0</v>
      </c>
      <c r="Q53" s="266">
        <f>IFERROR(VLOOKUP(C53,PIVOT!A:C,3,0),0)</f>
        <v>0</v>
      </c>
      <c r="R53" s="239">
        <f t="shared" si="36"/>
        <v>93.75</v>
      </c>
      <c r="S53" s="238">
        <f t="shared" si="37"/>
        <v>0</v>
      </c>
      <c r="T53" s="266">
        <f>IFERROR(VLOOKUP(C53,PIVOT!A:D,4,0),0)</f>
        <v>66</v>
      </c>
      <c r="U53" s="239">
        <f t="shared" si="38"/>
        <v>7.5</v>
      </c>
      <c r="V53" s="238">
        <f t="shared" si="39"/>
        <v>495</v>
      </c>
      <c r="W53" s="266">
        <f>IFERROR(VLOOKUP(C53,PIVOT!A:E,5,0),0)</f>
        <v>0</v>
      </c>
      <c r="X53" s="238">
        <f t="shared" si="40"/>
        <v>9.375</v>
      </c>
      <c r="Y53" s="238">
        <f t="shared" si="41"/>
        <v>0</v>
      </c>
      <c r="Z53" s="266">
        <f>IFERROR(VLOOKUP(C53,#REF!,6,0),0)</f>
        <v>0</v>
      </c>
      <c r="AA53" s="239">
        <f t="shared" si="42"/>
        <v>97.5</v>
      </c>
      <c r="AB53" s="238">
        <f t="shared" si="43"/>
        <v>0</v>
      </c>
      <c r="AC53" s="266"/>
      <c r="AD53" s="215">
        <f t="shared" si="44"/>
        <v>126.75</v>
      </c>
      <c r="AE53" s="214">
        <f t="shared" si="45"/>
        <v>0</v>
      </c>
      <c r="AF53" s="266">
        <f>IFERROR(VLOOKUP(C53,#REF!,8,0),0)</f>
        <v>0</v>
      </c>
      <c r="AG53" s="239">
        <f t="shared" si="46"/>
        <v>9.75</v>
      </c>
      <c r="AH53" s="238">
        <f t="shared" si="47"/>
        <v>0</v>
      </c>
      <c r="AI53" s="213"/>
      <c r="AJ53" s="213">
        <f t="shared" si="48"/>
        <v>112.5</v>
      </c>
      <c r="AK53" s="216">
        <f t="shared" si="49"/>
        <v>0</v>
      </c>
      <c r="AL53" s="213"/>
      <c r="AM53" s="213">
        <f t="shared" si="50"/>
        <v>146.25</v>
      </c>
      <c r="AN53" s="216">
        <v>0</v>
      </c>
      <c r="AO53" s="213"/>
      <c r="AP53" s="213">
        <f t="shared" si="51"/>
        <v>11.25</v>
      </c>
      <c r="AQ53" s="216">
        <f t="shared" si="52"/>
        <v>0</v>
      </c>
      <c r="AR53" s="266">
        <f>IFERROR(VLOOKUP(C53,#REF!,7,0),0)</f>
        <v>0</v>
      </c>
      <c r="AS53" s="278">
        <f t="shared" si="16"/>
        <v>97.5</v>
      </c>
      <c r="AT53" s="277">
        <f t="shared" si="17"/>
        <v>0</v>
      </c>
      <c r="AU53" s="266"/>
      <c r="AV53" s="213"/>
      <c r="AW53" s="216"/>
      <c r="AX53" s="213">
        <f>IFERROR(VLOOKUP(C53,#REF!,8,0),0)</f>
        <v>0</v>
      </c>
      <c r="AY53" s="278">
        <f t="shared" si="18"/>
        <v>9.75</v>
      </c>
      <c r="AZ53" s="277">
        <f t="shared" si="19"/>
        <v>0</v>
      </c>
      <c r="BA53" s="266">
        <f>IFERROR(VLOOKUP(C53,#REF!,10,0),0)</f>
        <v>0</v>
      </c>
      <c r="BB53" s="268">
        <f t="shared" si="53"/>
        <v>150</v>
      </c>
      <c r="BC53" s="247">
        <f t="shared" si="54"/>
        <v>0</v>
      </c>
      <c r="BD53" s="216"/>
      <c r="BE53" s="213"/>
      <c r="BF53" s="213"/>
      <c r="BG53" s="216"/>
      <c r="BH53" s="213"/>
      <c r="BI53" s="213"/>
      <c r="BJ53" s="216">
        <f>IFERROR(VLOOKUP(C53,#REF!,9,0),0)</f>
        <v>0</v>
      </c>
      <c r="BK53" s="276">
        <f t="shared" si="55"/>
        <v>75</v>
      </c>
      <c r="BL53" s="213">
        <f t="shared" si="56"/>
        <v>0</v>
      </c>
      <c r="BM53" s="216"/>
      <c r="BN53" s="213"/>
      <c r="BO53" s="213"/>
      <c r="BP53" s="213"/>
      <c r="BQ53" s="213"/>
      <c r="BR53" s="213"/>
      <c r="BS53" s="213"/>
      <c r="BT53" s="213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3"/>
      <c r="CF53" s="215"/>
      <c r="CG53" s="215">
        <f t="shared" si="57"/>
        <v>7095</v>
      </c>
      <c r="CH53" s="256">
        <f>VLOOKUP(CX53,SSS_2025!A:N,8)</f>
        <v>1800</v>
      </c>
      <c r="CI53" s="217">
        <f>VLOOKUP(CX53,SSS_2025!A:N,13)</f>
        <v>900</v>
      </c>
      <c r="CJ53" s="217">
        <f>VLOOKUP(CX53,SSS_2025!A:N,9)</f>
        <v>30</v>
      </c>
      <c r="CK53" s="215">
        <v>391.25</v>
      </c>
      <c r="CL53" s="215">
        <v>391.25</v>
      </c>
      <c r="CM53" s="215">
        <v>200</v>
      </c>
      <c r="CN53" s="215">
        <v>200</v>
      </c>
      <c r="CO53" s="214">
        <f t="shared" si="58"/>
        <v>9516.25</v>
      </c>
      <c r="CP53" s="214">
        <f t="shared" si="59"/>
        <v>660</v>
      </c>
      <c r="CQ53" s="214">
        <f t="shared" si="60"/>
        <v>10176.25</v>
      </c>
      <c r="CR53" s="215"/>
      <c r="CS53" s="214">
        <f t="shared" si="61"/>
        <v>10176.25</v>
      </c>
      <c r="CT53" s="273">
        <f t="shared" si="62"/>
        <v>550</v>
      </c>
      <c r="CU53" s="244"/>
      <c r="CV53" s="269">
        <f>IFERROR(VLOOKUP(C53,'[2]BILLING COMPUTATION'!$C$8:$CI$224,85,0),0)</f>
        <v>10698.75</v>
      </c>
      <c r="CW53" s="243">
        <f t="shared" si="114"/>
        <v>7095</v>
      </c>
      <c r="CX53" s="245">
        <f t="shared" si="63"/>
        <v>17793.75</v>
      </c>
      <c r="CZ53" s="721">
        <f>IFERROR(VLOOKUP(C53,'[5]BILLING COMPUTATION'!$C$8:$CG$101,83,0),0)</f>
        <v>9596.25</v>
      </c>
      <c r="DA53" s="721">
        <f t="shared" si="29"/>
        <v>7095</v>
      </c>
      <c r="DB53" s="721">
        <f t="shared" si="30"/>
        <v>16691.25</v>
      </c>
      <c r="DC53" s="721">
        <f t="shared" si="31"/>
        <v>-1102.5</v>
      </c>
    </row>
    <row r="54" spans="1:107" s="2" customFormat="1" ht="16.899999999999999" customHeight="1">
      <c r="A54" s="235">
        <v>50</v>
      </c>
      <c r="B54" s="265"/>
      <c r="C54" s="266">
        <v>32504</v>
      </c>
      <c r="D54" s="266" t="str">
        <f>VLOOKUP(E54,'F3 MS (2)'!E:F,2,0)</f>
        <v>GD260707</v>
      </c>
      <c r="E54" s="267" t="s">
        <v>258</v>
      </c>
      <c r="F54" s="266" t="str">
        <f>VLOOKUP(C54,'[1]ACTIVE GH'!$C:$I,7,0)</f>
        <v>METAL STAMPING</v>
      </c>
      <c r="G54" s="266" t="str">
        <f>VLOOKUP(C54,'[1]ACTIVE GH'!$C:$J,8,0)</f>
        <v>PRODUCTION</v>
      </c>
      <c r="H54" s="266" t="str">
        <f>VLOOKUP(C54,'[1]ACTIVE GH'!$C:$N,12,0)</f>
        <v>Operator 1</v>
      </c>
      <c r="I54" s="266" t="s">
        <v>180</v>
      </c>
      <c r="J54" s="266">
        <f>IFERROR(VLOOKUP(C54,PIVOT!A:B,2,0),0)</f>
        <v>88</v>
      </c>
      <c r="K54" s="237">
        <f t="shared" si="32"/>
        <v>11</v>
      </c>
      <c r="L54" s="237">
        <v>600</v>
      </c>
      <c r="M54" s="238">
        <f t="shared" si="33"/>
        <v>6600</v>
      </c>
      <c r="N54" s="266">
        <f>IFERROR(VLOOKUP(C54,PIVOT!A:F,6,0),0)</f>
        <v>0</v>
      </c>
      <c r="O54" s="239">
        <f t="shared" si="34"/>
        <v>1.25</v>
      </c>
      <c r="P54" s="238">
        <f t="shared" si="35"/>
        <v>0</v>
      </c>
      <c r="Q54" s="266">
        <f>IFERROR(VLOOKUP(C54,PIVOT!A:C,3,0),0)</f>
        <v>4</v>
      </c>
      <c r="R54" s="239">
        <f t="shared" si="36"/>
        <v>93.75</v>
      </c>
      <c r="S54" s="238">
        <f t="shared" si="37"/>
        <v>375</v>
      </c>
      <c r="T54" s="266">
        <f>IFERROR(VLOOKUP(C54,PIVOT!A:D,4,0),0)</f>
        <v>60</v>
      </c>
      <c r="U54" s="239">
        <f t="shared" si="38"/>
        <v>7.5</v>
      </c>
      <c r="V54" s="238">
        <f t="shared" si="39"/>
        <v>450</v>
      </c>
      <c r="W54" s="266">
        <f>IFERROR(VLOOKUP(C54,PIVOT!A:E,5,0),0)</f>
        <v>4</v>
      </c>
      <c r="X54" s="238">
        <f t="shared" si="40"/>
        <v>9.375</v>
      </c>
      <c r="Y54" s="238">
        <f t="shared" si="41"/>
        <v>37.5</v>
      </c>
      <c r="Z54" s="266">
        <f>IFERROR(VLOOKUP(C54,#REF!,6,0),0)</f>
        <v>0</v>
      </c>
      <c r="AA54" s="239">
        <f t="shared" si="42"/>
        <v>97.5</v>
      </c>
      <c r="AB54" s="238">
        <f t="shared" si="43"/>
        <v>0</v>
      </c>
      <c r="AC54" s="266"/>
      <c r="AD54" s="215">
        <f t="shared" si="44"/>
        <v>126.75</v>
      </c>
      <c r="AE54" s="214">
        <f t="shared" si="45"/>
        <v>0</v>
      </c>
      <c r="AF54" s="266">
        <f>IFERROR(VLOOKUP(C54,#REF!,8,0),0)</f>
        <v>0</v>
      </c>
      <c r="AG54" s="239">
        <f t="shared" si="46"/>
        <v>9.75</v>
      </c>
      <c r="AH54" s="238">
        <f t="shared" si="47"/>
        <v>0</v>
      </c>
      <c r="AI54" s="213"/>
      <c r="AJ54" s="213">
        <f t="shared" si="48"/>
        <v>112.5</v>
      </c>
      <c r="AK54" s="216">
        <f t="shared" si="49"/>
        <v>0</v>
      </c>
      <c r="AL54" s="213"/>
      <c r="AM54" s="213">
        <f t="shared" si="50"/>
        <v>146.25</v>
      </c>
      <c r="AN54" s="216">
        <v>0</v>
      </c>
      <c r="AO54" s="213"/>
      <c r="AP54" s="213">
        <f t="shared" si="51"/>
        <v>11.25</v>
      </c>
      <c r="AQ54" s="216">
        <f t="shared" si="52"/>
        <v>0</v>
      </c>
      <c r="AR54" s="266">
        <f>IFERROR(VLOOKUP(C54,#REF!,7,0),0)</f>
        <v>0</v>
      </c>
      <c r="AS54" s="278">
        <f t="shared" si="16"/>
        <v>97.5</v>
      </c>
      <c r="AT54" s="277">
        <f t="shared" si="17"/>
        <v>0</v>
      </c>
      <c r="AU54" s="266"/>
      <c r="AV54" s="213"/>
      <c r="AW54" s="216"/>
      <c r="AX54" s="213">
        <f>IFERROR(VLOOKUP(C54,#REF!,8,0),0)</f>
        <v>0</v>
      </c>
      <c r="AY54" s="278">
        <f t="shared" si="18"/>
        <v>9.75</v>
      </c>
      <c r="AZ54" s="277">
        <f t="shared" si="19"/>
        <v>0</v>
      </c>
      <c r="BA54" s="266">
        <f>IFERROR(VLOOKUP(C54,#REF!,10,0),0)</f>
        <v>0</v>
      </c>
      <c r="BB54" s="268">
        <f t="shared" si="53"/>
        <v>150</v>
      </c>
      <c r="BC54" s="247">
        <f t="shared" si="54"/>
        <v>0</v>
      </c>
      <c r="BD54" s="216"/>
      <c r="BE54" s="213"/>
      <c r="BF54" s="213"/>
      <c r="BG54" s="216"/>
      <c r="BH54" s="213"/>
      <c r="BI54" s="213"/>
      <c r="BJ54" s="216">
        <f>IFERROR(VLOOKUP(C54,#REF!,9,0),0)</f>
        <v>0</v>
      </c>
      <c r="BK54" s="276">
        <f t="shared" si="55"/>
        <v>75</v>
      </c>
      <c r="BL54" s="213">
        <f t="shared" si="56"/>
        <v>0</v>
      </c>
      <c r="BM54" s="216"/>
      <c r="BN54" s="213"/>
      <c r="BO54" s="213"/>
      <c r="BP54" s="213"/>
      <c r="BQ54" s="213"/>
      <c r="BR54" s="213"/>
      <c r="BS54" s="213"/>
      <c r="BT54" s="213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3"/>
      <c r="CF54" s="215"/>
      <c r="CG54" s="215">
        <f t="shared" si="57"/>
        <v>7462.5</v>
      </c>
      <c r="CH54" s="256">
        <f>VLOOKUP(CX54,SSS_2025!A:N,8)</f>
        <v>1800</v>
      </c>
      <c r="CI54" s="217">
        <f>VLOOKUP(CX54,SSS_2025!A:N,13)</f>
        <v>900</v>
      </c>
      <c r="CJ54" s="217">
        <f>VLOOKUP(CX54,SSS_2025!A:N,9)</f>
        <v>30</v>
      </c>
      <c r="CK54" s="215">
        <v>391.25</v>
      </c>
      <c r="CL54" s="215">
        <v>391.25</v>
      </c>
      <c r="CM54" s="215">
        <v>200</v>
      </c>
      <c r="CN54" s="215">
        <v>200</v>
      </c>
      <c r="CO54" s="214">
        <f t="shared" si="58"/>
        <v>9883.75</v>
      </c>
      <c r="CP54" s="214">
        <f t="shared" si="59"/>
        <v>660</v>
      </c>
      <c r="CQ54" s="214">
        <f t="shared" si="60"/>
        <v>10543.75</v>
      </c>
      <c r="CR54" s="215"/>
      <c r="CS54" s="214">
        <f t="shared" si="61"/>
        <v>10543.75</v>
      </c>
      <c r="CT54" s="273">
        <f t="shared" si="62"/>
        <v>550</v>
      </c>
      <c r="CU54" s="244"/>
      <c r="CV54" s="269">
        <f>IFERROR(VLOOKUP(C54,'[2]BILLING COMPUTATION'!$C$8:$CI$224,85,0),0)</f>
        <v>10698.75</v>
      </c>
      <c r="CW54" s="243">
        <f t="shared" si="114"/>
        <v>7462.5</v>
      </c>
      <c r="CX54" s="245">
        <f t="shared" si="63"/>
        <v>18161.25</v>
      </c>
      <c r="CZ54" s="721">
        <f>IFERROR(VLOOKUP(C54,'[5]BILLING COMPUTATION'!$C$8:$CG$101,83,0),0)</f>
        <v>7627.5</v>
      </c>
      <c r="DA54" s="721">
        <f t="shared" si="29"/>
        <v>7462.5</v>
      </c>
      <c r="DB54" s="721">
        <f t="shared" si="30"/>
        <v>15090</v>
      </c>
      <c r="DC54" s="721">
        <f t="shared" si="31"/>
        <v>-3071.25</v>
      </c>
    </row>
    <row r="55" spans="1:107" s="2" customFormat="1" ht="16.899999999999999" customHeight="1">
      <c r="A55" s="235">
        <v>51</v>
      </c>
      <c r="B55" s="265"/>
      <c r="C55" s="266">
        <v>30246</v>
      </c>
      <c r="D55" s="266" t="str">
        <f>VLOOKUP(E55,'F3 MS (2)'!E:F,2,0)</f>
        <v>GD250508</v>
      </c>
      <c r="E55" s="267" t="s">
        <v>299</v>
      </c>
      <c r="F55" s="266" t="str">
        <f>VLOOKUP(C55,'[1]ACTIVE GH'!$C:$I,7,0)</f>
        <v>METAL STAMPING</v>
      </c>
      <c r="G55" s="266" t="str">
        <f>VLOOKUP(C55,'[1]ACTIVE GH'!$C:$J,8,0)</f>
        <v>PRODUCTION</v>
      </c>
      <c r="H55" s="266" t="str">
        <f>VLOOKUP(C55,'[1]ACTIVE GH'!$C:$N,12,0)</f>
        <v>Operator 1</v>
      </c>
      <c r="I55" s="266" t="s">
        <v>180</v>
      </c>
      <c r="J55" s="266">
        <f>IFERROR(VLOOKUP(C55,PIVOT!A:B,2,0),0)</f>
        <v>80</v>
      </c>
      <c r="K55" s="237">
        <f t="shared" si="32"/>
        <v>10</v>
      </c>
      <c r="L55" s="237">
        <v>600</v>
      </c>
      <c r="M55" s="238">
        <f t="shared" si="33"/>
        <v>6000</v>
      </c>
      <c r="N55" s="266">
        <f>IFERROR(VLOOKUP(C55,PIVOT!A:F,6,0),0)</f>
        <v>0</v>
      </c>
      <c r="O55" s="239">
        <f t="shared" si="34"/>
        <v>1.25</v>
      </c>
      <c r="P55" s="238">
        <f t="shared" si="35"/>
        <v>0</v>
      </c>
      <c r="Q55" s="266">
        <f>IFERROR(VLOOKUP(C55,PIVOT!A:C,3,0),0)</f>
        <v>10</v>
      </c>
      <c r="R55" s="239">
        <f t="shared" si="36"/>
        <v>93.75</v>
      </c>
      <c r="S55" s="238">
        <f t="shared" si="37"/>
        <v>937.5</v>
      </c>
      <c r="T55" s="266">
        <f>IFERROR(VLOOKUP(C55,PIVOT!A:D,4,0),0)</f>
        <v>0</v>
      </c>
      <c r="U55" s="239">
        <f t="shared" si="38"/>
        <v>7.5</v>
      </c>
      <c r="V55" s="238">
        <f t="shared" si="39"/>
        <v>0</v>
      </c>
      <c r="W55" s="266">
        <f>IFERROR(VLOOKUP(C55,PIVOT!A:E,5,0),0)</f>
        <v>0</v>
      </c>
      <c r="X55" s="238">
        <f t="shared" si="40"/>
        <v>9.375</v>
      </c>
      <c r="Y55" s="238">
        <f t="shared" si="41"/>
        <v>0</v>
      </c>
      <c r="Z55" s="266">
        <f>IFERROR(VLOOKUP(C55,#REF!,6,0),0)</f>
        <v>0</v>
      </c>
      <c r="AA55" s="239">
        <f t="shared" si="42"/>
        <v>97.5</v>
      </c>
      <c r="AB55" s="238">
        <f t="shared" si="43"/>
        <v>0</v>
      </c>
      <c r="AC55" s="266"/>
      <c r="AD55" s="215">
        <f t="shared" si="44"/>
        <v>126.75</v>
      </c>
      <c r="AE55" s="214">
        <f t="shared" si="45"/>
        <v>0</v>
      </c>
      <c r="AF55" s="266">
        <f>IFERROR(VLOOKUP(C55,#REF!,8,0),0)</f>
        <v>0</v>
      </c>
      <c r="AG55" s="239">
        <f t="shared" si="46"/>
        <v>9.75</v>
      </c>
      <c r="AH55" s="238">
        <f t="shared" si="47"/>
        <v>0</v>
      </c>
      <c r="AI55" s="213"/>
      <c r="AJ55" s="213">
        <f t="shared" si="48"/>
        <v>112.5</v>
      </c>
      <c r="AK55" s="216">
        <f t="shared" si="49"/>
        <v>0</v>
      </c>
      <c r="AL55" s="213"/>
      <c r="AM55" s="213">
        <f t="shared" si="50"/>
        <v>146.25</v>
      </c>
      <c r="AN55" s="216">
        <v>0</v>
      </c>
      <c r="AO55" s="213"/>
      <c r="AP55" s="213">
        <f t="shared" si="51"/>
        <v>11.25</v>
      </c>
      <c r="AQ55" s="216">
        <f t="shared" si="52"/>
        <v>0</v>
      </c>
      <c r="AR55" s="266">
        <f>IFERROR(VLOOKUP(C55,#REF!,7,0),0)</f>
        <v>0</v>
      </c>
      <c r="AS55" s="278">
        <f t="shared" si="16"/>
        <v>97.5</v>
      </c>
      <c r="AT55" s="277">
        <f t="shared" si="17"/>
        <v>0</v>
      </c>
      <c r="AU55" s="266"/>
      <c r="AV55" s="213"/>
      <c r="AW55" s="216"/>
      <c r="AX55" s="213">
        <f>IFERROR(VLOOKUP(C55,#REF!,8,0),0)</f>
        <v>0</v>
      </c>
      <c r="AY55" s="278">
        <f t="shared" si="18"/>
        <v>9.75</v>
      </c>
      <c r="AZ55" s="277">
        <f t="shared" si="19"/>
        <v>0</v>
      </c>
      <c r="BA55" s="266">
        <f>IFERROR(VLOOKUP(C55,#REF!,10,0),0)</f>
        <v>0</v>
      </c>
      <c r="BB55" s="268">
        <f t="shared" si="53"/>
        <v>150</v>
      </c>
      <c r="BC55" s="247">
        <f t="shared" si="54"/>
        <v>0</v>
      </c>
      <c r="BD55" s="216"/>
      <c r="BE55" s="213"/>
      <c r="BF55" s="213"/>
      <c r="BG55" s="216"/>
      <c r="BH55" s="213"/>
      <c r="BI55" s="213"/>
      <c r="BJ55" s="216">
        <f>IFERROR(VLOOKUP(C55,#REF!,9,0),0)</f>
        <v>0</v>
      </c>
      <c r="BK55" s="276">
        <f t="shared" si="55"/>
        <v>75</v>
      </c>
      <c r="BL55" s="213">
        <f t="shared" si="56"/>
        <v>0</v>
      </c>
      <c r="BM55" s="216"/>
      <c r="BN55" s="213"/>
      <c r="BO55" s="213"/>
      <c r="BP55" s="213"/>
      <c r="BQ55" s="213"/>
      <c r="BR55" s="213"/>
      <c r="BS55" s="213"/>
      <c r="BT55" s="213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3"/>
      <c r="CF55" s="215"/>
      <c r="CG55" s="215">
        <f t="shared" si="57"/>
        <v>6937.5</v>
      </c>
      <c r="CH55" s="256">
        <f>VLOOKUP(CX55,SSS_2025!A:N,8)</f>
        <v>1650</v>
      </c>
      <c r="CI55" s="217">
        <f>VLOOKUP(CX55,SSS_2025!A:N,13)</f>
        <v>825</v>
      </c>
      <c r="CJ55" s="217">
        <f>VLOOKUP(CX55,SSS_2025!A:N,9)</f>
        <v>30</v>
      </c>
      <c r="CK55" s="215">
        <v>391.25</v>
      </c>
      <c r="CL55" s="215">
        <v>391.25</v>
      </c>
      <c r="CM55" s="215">
        <v>200</v>
      </c>
      <c r="CN55" s="215">
        <v>200</v>
      </c>
      <c r="CO55" s="214">
        <f t="shared" si="58"/>
        <v>9208.75</v>
      </c>
      <c r="CP55" s="214">
        <f t="shared" si="59"/>
        <v>600</v>
      </c>
      <c r="CQ55" s="214">
        <f t="shared" si="60"/>
        <v>9808.75</v>
      </c>
      <c r="CR55" s="215"/>
      <c r="CS55" s="214">
        <f t="shared" si="61"/>
        <v>9808.75</v>
      </c>
      <c r="CT55" s="273">
        <f t="shared" si="62"/>
        <v>500</v>
      </c>
      <c r="CU55" s="244"/>
      <c r="CV55" s="269">
        <f>IFERROR(VLOOKUP(C55,'[2]BILLING COMPUTATION'!$C$8:$CI$224,85,0),0)</f>
        <v>9442.5</v>
      </c>
      <c r="CW55" s="243">
        <f t="shared" si="114"/>
        <v>6937.5</v>
      </c>
      <c r="CX55" s="245">
        <f t="shared" si="63"/>
        <v>16380</v>
      </c>
      <c r="CZ55" s="721">
        <f>IFERROR(VLOOKUP(C55,'[5]BILLING COMPUTATION'!$C$8:$CG$101,83,0),0)</f>
        <v>8100</v>
      </c>
      <c r="DA55" s="721">
        <f t="shared" si="29"/>
        <v>6937.5</v>
      </c>
      <c r="DB55" s="721">
        <f t="shared" si="30"/>
        <v>15037.5</v>
      </c>
      <c r="DC55" s="721">
        <f t="shared" si="31"/>
        <v>-1342.5</v>
      </c>
    </row>
    <row r="56" spans="1:107" s="2" customFormat="1" ht="16.899999999999999" customHeight="1">
      <c r="A56" s="235">
        <v>52</v>
      </c>
      <c r="B56" s="265"/>
      <c r="C56" s="266">
        <v>14275</v>
      </c>
      <c r="D56" s="266" t="str">
        <f>VLOOKUP(E56,'F3 MS (2)'!E:F,2,0)</f>
        <v>GD250417</v>
      </c>
      <c r="E56" s="267" t="s">
        <v>227</v>
      </c>
      <c r="F56" s="266" t="str">
        <f>VLOOKUP(C56,'[1]ACTIVE GH'!$C:$I,7,0)</f>
        <v>METAL STAMPING</v>
      </c>
      <c r="G56" s="266" t="str">
        <f>VLOOKUP(C56,'[1]ACTIVE GH'!$C:$J,8,0)</f>
        <v>PRODUCTION</v>
      </c>
      <c r="H56" s="266" t="str">
        <f>VLOOKUP(C56,'[1]ACTIVE GH'!$C:$N,12,0)</f>
        <v>Operator 1</v>
      </c>
      <c r="I56" s="266" t="s">
        <v>180</v>
      </c>
      <c r="J56" s="266">
        <f>IFERROR(VLOOKUP(C56,PIVOT!A:B,2,0),0)</f>
        <v>88</v>
      </c>
      <c r="K56" s="237">
        <f t="shared" si="32"/>
        <v>11</v>
      </c>
      <c r="L56" s="237">
        <v>600</v>
      </c>
      <c r="M56" s="238">
        <f t="shared" si="33"/>
        <v>6600</v>
      </c>
      <c r="N56" s="266">
        <f>IFERROR(VLOOKUP(C56,PIVOT!A:F,6,0),0)</f>
        <v>0</v>
      </c>
      <c r="O56" s="239">
        <f t="shared" si="34"/>
        <v>1.25</v>
      </c>
      <c r="P56" s="238">
        <f t="shared" si="35"/>
        <v>0</v>
      </c>
      <c r="Q56" s="266">
        <f>IFERROR(VLOOKUP(C56,PIVOT!A:C,3,0),0)</f>
        <v>8</v>
      </c>
      <c r="R56" s="239">
        <f t="shared" si="36"/>
        <v>93.75</v>
      </c>
      <c r="S56" s="238">
        <f t="shared" si="37"/>
        <v>750</v>
      </c>
      <c r="T56" s="266">
        <f>IFERROR(VLOOKUP(C56,PIVOT!A:D,4,0),0)</f>
        <v>66</v>
      </c>
      <c r="U56" s="239">
        <f t="shared" si="38"/>
        <v>7.5</v>
      </c>
      <c r="V56" s="238">
        <f t="shared" si="39"/>
        <v>495</v>
      </c>
      <c r="W56" s="266">
        <f>IFERROR(VLOOKUP(C56,PIVOT!A:E,5,0),0)</f>
        <v>8</v>
      </c>
      <c r="X56" s="238">
        <f t="shared" si="40"/>
        <v>9.375</v>
      </c>
      <c r="Y56" s="238">
        <f t="shared" si="41"/>
        <v>75</v>
      </c>
      <c r="Z56" s="266">
        <f>IFERROR(VLOOKUP(C56,#REF!,6,0),0)</f>
        <v>0</v>
      </c>
      <c r="AA56" s="239">
        <f t="shared" si="42"/>
        <v>97.5</v>
      </c>
      <c r="AB56" s="238">
        <f t="shared" si="43"/>
        <v>0</v>
      </c>
      <c r="AC56" s="266"/>
      <c r="AD56" s="215">
        <f t="shared" si="44"/>
        <v>126.75</v>
      </c>
      <c r="AE56" s="214">
        <f t="shared" si="45"/>
        <v>0</v>
      </c>
      <c r="AF56" s="266">
        <f>IFERROR(VLOOKUP(C56,#REF!,8,0),0)</f>
        <v>0</v>
      </c>
      <c r="AG56" s="239">
        <f t="shared" si="46"/>
        <v>9.75</v>
      </c>
      <c r="AH56" s="238">
        <f t="shared" si="47"/>
        <v>0</v>
      </c>
      <c r="AI56" s="213"/>
      <c r="AJ56" s="213">
        <f t="shared" si="48"/>
        <v>112.5</v>
      </c>
      <c r="AK56" s="216">
        <f t="shared" si="49"/>
        <v>0</v>
      </c>
      <c r="AL56" s="213"/>
      <c r="AM56" s="213">
        <f t="shared" si="50"/>
        <v>146.25</v>
      </c>
      <c r="AN56" s="216">
        <v>0</v>
      </c>
      <c r="AO56" s="213"/>
      <c r="AP56" s="213">
        <f t="shared" si="51"/>
        <v>11.25</v>
      </c>
      <c r="AQ56" s="216">
        <f t="shared" si="52"/>
        <v>0</v>
      </c>
      <c r="AR56" s="266">
        <f>IFERROR(VLOOKUP(C56,#REF!,7,0),0)</f>
        <v>0</v>
      </c>
      <c r="AS56" s="278">
        <f t="shared" si="16"/>
        <v>97.5</v>
      </c>
      <c r="AT56" s="277">
        <f t="shared" si="17"/>
        <v>0</v>
      </c>
      <c r="AU56" s="266"/>
      <c r="AV56" s="213"/>
      <c r="AW56" s="216"/>
      <c r="AX56" s="213">
        <f>IFERROR(VLOOKUP(C56,#REF!,8,0),0)</f>
        <v>0</v>
      </c>
      <c r="AY56" s="278">
        <f t="shared" si="18"/>
        <v>9.75</v>
      </c>
      <c r="AZ56" s="277">
        <f t="shared" si="19"/>
        <v>0</v>
      </c>
      <c r="BA56" s="266">
        <f>IFERROR(VLOOKUP(C56,#REF!,10,0),0)</f>
        <v>0</v>
      </c>
      <c r="BB56" s="268">
        <f t="shared" si="53"/>
        <v>150</v>
      </c>
      <c r="BC56" s="247">
        <f t="shared" si="54"/>
        <v>0</v>
      </c>
      <c r="BD56" s="216"/>
      <c r="BE56" s="213"/>
      <c r="BF56" s="213"/>
      <c r="BG56" s="216"/>
      <c r="BH56" s="213"/>
      <c r="BI56" s="213"/>
      <c r="BJ56" s="216">
        <f>IFERROR(VLOOKUP(C56,#REF!,9,0),0)</f>
        <v>0</v>
      </c>
      <c r="BK56" s="276">
        <f t="shared" si="55"/>
        <v>75</v>
      </c>
      <c r="BL56" s="213">
        <f t="shared" si="56"/>
        <v>0</v>
      </c>
      <c r="BM56" s="216"/>
      <c r="BN56" s="213"/>
      <c r="BO56" s="213"/>
      <c r="BP56" s="213"/>
      <c r="BQ56" s="213"/>
      <c r="BR56" s="213"/>
      <c r="BS56" s="213"/>
      <c r="BT56" s="213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3"/>
      <c r="CF56" s="215"/>
      <c r="CG56" s="215">
        <f t="shared" si="57"/>
        <v>7920</v>
      </c>
      <c r="CH56" s="256">
        <f>VLOOKUP(CX56,SSS_2025!A:N,8)</f>
        <v>1850</v>
      </c>
      <c r="CI56" s="217">
        <f>VLOOKUP(CX56,SSS_2025!A:N,13)</f>
        <v>925</v>
      </c>
      <c r="CJ56" s="217">
        <f>VLOOKUP(CX56,SSS_2025!A:N,9)</f>
        <v>30</v>
      </c>
      <c r="CK56" s="215">
        <v>391.25</v>
      </c>
      <c r="CL56" s="215">
        <v>391.25</v>
      </c>
      <c r="CM56" s="215">
        <v>200</v>
      </c>
      <c r="CN56" s="215">
        <v>200</v>
      </c>
      <c r="CO56" s="214">
        <f t="shared" si="58"/>
        <v>10391.25</v>
      </c>
      <c r="CP56" s="214">
        <f t="shared" si="59"/>
        <v>660</v>
      </c>
      <c r="CQ56" s="214">
        <f t="shared" si="60"/>
        <v>11051.25</v>
      </c>
      <c r="CR56" s="215"/>
      <c r="CS56" s="214">
        <f t="shared" si="61"/>
        <v>11051.25</v>
      </c>
      <c r="CT56" s="273">
        <f t="shared" si="62"/>
        <v>550</v>
      </c>
      <c r="CU56" s="244"/>
      <c r="CV56" s="269">
        <f>IFERROR(VLOOKUP(C56,'[2]BILLING COMPUTATION'!$C$8:$CI$224,85,0),0)</f>
        <v>10698.75</v>
      </c>
      <c r="CW56" s="243">
        <f t="shared" si="114"/>
        <v>7920</v>
      </c>
      <c r="CX56" s="245">
        <f t="shared" si="63"/>
        <v>18618.75</v>
      </c>
      <c r="CZ56" s="721">
        <f>IFERROR(VLOOKUP(C56,'[5]BILLING COMPUTATION'!$C$8:$CG$101,83,0),0)</f>
        <v>7871.25</v>
      </c>
      <c r="DA56" s="721">
        <f t="shared" si="29"/>
        <v>7920</v>
      </c>
      <c r="DB56" s="721">
        <f t="shared" si="30"/>
        <v>15791.25</v>
      </c>
      <c r="DC56" s="721">
        <f t="shared" si="31"/>
        <v>-2827.5</v>
      </c>
    </row>
    <row r="57" spans="1:107" s="2" customFormat="1" ht="16.899999999999999" customHeight="1">
      <c r="A57" s="235">
        <v>53</v>
      </c>
      <c r="B57" s="265"/>
      <c r="C57" s="266">
        <v>14285</v>
      </c>
      <c r="D57" s="266" t="str">
        <f>VLOOKUP(E57,'F3 MS (2)'!E:F,2,0)</f>
        <v>GD250424</v>
      </c>
      <c r="E57" s="267" t="s">
        <v>224</v>
      </c>
      <c r="F57" s="266" t="str">
        <f>VLOOKUP(C57,'[1]ACTIVE GH'!$C:$I,7,0)</f>
        <v>METAL STAMPING</v>
      </c>
      <c r="G57" s="266" t="str">
        <f>VLOOKUP(C57,'[1]ACTIVE GH'!$C:$J,8,0)</f>
        <v>PRODUCTION</v>
      </c>
      <c r="H57" s="266" t="str">
        <f>VLOOKUP(C57,'[1]ACTIVE GH'!$C:$N,12,0)</f>
        <v>Operator 1</v>
      </c>
      <c r="I57" s="266" t="s">
        <v>180</v>
      </c>
      <c r="J57" s="266">
        <f>IFERROR(VLOOKUP(C57,PIVOT!A:B,2,0),0)</f>
        <v>80</v>
      </c>
      <c r="K57" s="237">
        <f t="shared" si="32"/>
        <v>10</v>
      </c>
      <c r="L57" s="237">
        <v>600</v>
      </c>
      <c r="M57" s="238">
        <f t="shared" si="33"/>
        <v>6000</v>
      </c>
      <c r="N57" s="266">
        <f>IFERROR(VLOOKUP(C57,PIVOT!A:F,6,0),0)</f>
        <v>0</v>
      </c>
      <c r="O57" s="239">
        <f t="shared" si="34"/>
        <v>1.25</v>
      </c>
      <c r="P57" s="238">
        <f t="shared" si="35"/>
        <v>0</v>
      </c>
      <c r="Q57" s="266">
        <f>IFERROR(VLOOKUP(C57,PIVOT!A:C,3,0),0)</f>
        <v>8</v>
      </c>
      <c r="R57" s="239">
        <f t="shared" si="36"/>
        <v>93.75</v>
      </c>
      <c r="S57" s="238">
        <f t="shared" si="37"/>
        <v>750</v>
      </c>
      <c r="T57" s="266">
        <f>IFERROR(VLOOKUP(C57,PIVOT!A:D,4,0),0)</f>
        <v>60</v>
      </c>
      <c r="U57" s="239">
        <f t="shared" si="38"/>
        <v>7.5</v>
      </c>
      <c r="V57" s="238">
        <f t="shared" si="39"/>
        <v>450</v>
      </c>
      <c r="W57" s="266">
        <f>IFERROR(VLOOKUP(C57,PIVOT!A:E,5,0),0)</f>
        <v>8</v>
      </c>
      <c r="X57" s="238">
        <f t="shared" si="40"/>
        <v>9.375</v>
      </c>
      <c r="Y57" s="238">
        <f t="shared" si="41"/>
        <v>75</v>
      </c>
      <c r="Z57" s="266">
        <f>IFERROR(VLOOKUP(C57,#REF!,6,0),0)</f>
        <v>0</v>
      </c>
      <c r="AA57" s="239">
        <f t="shared" si="42"/>
        <v>97.5</v>
      </c>
      <c r="AB57" s="238">
        <f t="shared" si="43"/>
        <v>0</v>
      </c>
      <c r="AC57" s="266"/>
      <c r="AD57" s="215">
        <f t="shared" si="44"/>
        <v>126.75</v>
      </c>
      <c r="AE57" s="214">
        <f t="shared" si="45"/>
        <v>0</v>
      </c>
      <c r="AF57" s="266">
        <f>IFERROR(VLOOKUP(C57,#REF!,8,0),0)</f>
        <v>0</v>
      </c>
      <c r="AG57" s="239">
        <f t="shared" si="46"/>
        <v>9.75</v>
      </c>
      <c r="AH57" s="238">
        <f t="shared" si="47"/>
        <v>0</v>
      </c>
      <c r="AI57" s="213"/>
      <c r="AJ57" s="213">
        <f t="shared" si="48"/>
        <v>112.5</v>
      </c>
      <c r="AK57" s="216">
        <f t="shared" si="49"/>
        <v>0</v>
      </c>
      <c r="AL57" s="213"/>
      <c r="AM57" s="213">
        <f t="shared" si="50"/>
        <v>146.25</v>
      </c>
      <c r="AN57" s="216">
        <v>0</v>
      </c>
      <c r="AO57" s="213"/>
      <c r="AP57" s="213">
        <f t="shared" si="51"/>
        <v>11.25</v>
      </c>
      <c r="AQ57" s="216">
        <f t="shared" si="52"/>
        <v>0</v>
      </c>
      <c r="AR57" s="266">
        <f>IFERROR(VLOOKUP(C57,#REF!,7,0),0)</f>
        <v>0</v>
      </c>
      <c r="AS57" s="278">
        <f t="shared" si="16"/>
        <v>97.5</v>
      </c>
      <c r="AT57" s="277">
        <f t="shared" si="17"/>
        <v>0</v>
      </c>
      <c r="AU57" s="266"/>
      <c r="AV57" s="213"/>
      <c r="AW57" s="216"/>
      <c r="AX57" s="213">
        <f>IFERROR(VLOOKUP(C57,#REF!,8,0),0)</f>
        <v>0</v>
      </c>
      <c r="AY57" s="278">
        <f t="shared" si="18"/>
        <v>9.75</v>
      </c>
      <c r="AZ57" s="277">
        <f t="shared" si="19"/>
        <v>0</v>
      </c>
      <c r="BA57" s="266">
        <f>IFERROR(VLOOKUP(C57,#REF!,10,0),0)</f>
        <v>0</v>
      </c>
      <c r="BB57" s="268">
        <f t="shared" si="53"/>
        <v>150</v>
      </c>
      <c r="BC57" s="247">
        <f t="shared" si="54"/>
        <v>0</v>
      </c>
      <c r="BD57" s="216"/>
      <c r="BE57" s="213"/>
      <c r="BF57" s="213"/>
      <c r="BG57" s="216"/>
      <c r="BH57" s="213"/>
      <c r="BI57" s="213"/>
      <c r="BJ57" s="216">
        <f>IFERROR(VLOOKUP(C57,#REF!,9,0),0)</f>
        <v>0</v>
      </c>
      <c r="BK57" s="276">
        <f t="shared" si="55"/>
        <v>75</v>
      </c>
      <c r="BL57" s="213">
        <f t="shared" si="56"/>
        <v>0</v>
      </c>
      <c r="BM57" s="216"/>
      <c r="BN57" s="213"/>
      <c r="BO57" s="213"/>
      <c r="BP57" s="213"/>
      <c r="BQ57" s="213"/>
      <c r="BR57" s="213"/>
      <c r="BS57" s="213"/>
      <c r="BT57" s="213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3"/>
      <c r="CF57" s="215"/>
      <c r="CG57" s="215">
        <f t="shared" si="57"/>
        <v>7275</v>
      </c>
      <c r="CH57" s="256">
        <f>VLOOKUP(CX57,SSS_2025!A:N,8)</f>
        <v>1800</v>
      </c>
      <c r="CI57" s="217">
        <f>VLOOKUP(CX57,SSS_2025!A:N,13)</f>
        <v>900</v>
      </c>
      <c r="CJ57" s="217">
        <f>VLOOKUP(CX57,SSS_2025!A:N,9)</f>
        <v>30</v>
      </c>
      <c r="CK57" s="215">
        <v>391.25</v>
      </c>
      <c r="CL57" s="215">
        <v>391.25</v>
      </c>
      <c r="CM57" s="215">
        <v>200</v>
      </c>
      <c r="CN57" s="215">
        <v>200</v>
      </c>
      <c r="CO57" s="214">
        <f t="shared" si="58"/>
        <v>9696.25</v>
      </c>
      <c r="CP57" s="214">
        <f t="shared" si="59"/>
        <v>600</v>
      </c>
      <c r="CQ57" s="214">
        <f t="shared" si="60"/>
        <v>10296.25</v>
      </c>
      <c r="CR57" s="215"/>
      <c r="CS57" s="214">
        <f t="shared" si="61"/>
        <v>10296.25</v>
      </c>
      <c r="CT57" s="273">
        <f t="shared" si="62"/>
        <v>500</v>
      </c>
      <c r="CU57" s="244"/>
      <c r="CV57" s="269">
        <f>IFERROR(VLOOKUP(C57,'[2]BILLING COMPUTATION'!$C$8:$CI$224,85,0),0)</f>
        <v>10511.25</v>
      </c>
      <c r="CW57" s="243">
        <f t="shared" si="114"/>
        <v>7275</v>
      </c>
      <c r="CX57" s="245">
        <f t="shared" si="63"/>
        <v>17786.25</v>
      </c>
      <c r="CZ57" s="721">
        <f>IFERROR(VLOOKUP(C57,'[5]BILLING COMPUTATION'!$C$8:$CG$101,83,0),0)</f>
        <v>7871.25</v>
      </c>
      <c r="DA57" s="721">
        <f t="shared" si="29"/>
        <v>7275</v>
      </c>
      <c r="DB57" s="721">
        <f t="shared" si="30"/>
        <v>15146.25</v>
      </c>
      <c r="DC57" s="721">
        <f t="shared" si="31"/>
        <v>-2640</v>
      </c>
    </row>
    <row r="58" spans="1:107" s="2" customFormat="1" ht="16.899999999999999" customHeight="1">
      <c r="A58" s="235">
        <v>54</v>
      </c>
      <c r="B58" s="265"/>
      <c r="C58" s="266">
        <v>32488</v>
      </c>
      <c r="D58" s="266" t="str">
        <f>VLOOKUP(E58,'F3 MS (2)'!E:F,2,0)</f>
        <v>GD260703</v>
      </c>
      <c r="E58" s="267" t="s">
        <v>363</v>
      </c>
      <c r="F58" s="266" t="str">
        <f>VLOOKUP(C58,'[1]ACTIVE GH'!$C:$I,7,0)</f>
        <v>METAL STAMPING</v>
      </c>
      <c r="G58" s="266" t="str">
        <f>VLOOKUP(C58,'[1]ACTIVE GH'!$C:$J,8,0)</f>
        <v>PRODUCTION</v>
      </c>
      <c r="H58" s="266" t="str">
        <f>VLOOKUP(C58,'[1]ACTIVE GH'!$C:$N,12,0)</f>
        <v>Operator 1</v>
      </c>
      <c r="I58" s="266" t="s">
        <v>180</v>
      </c>
      <c r="J58" s="266">
        <f>IFERROR(VLOOKUP(C58,PIVOT!A:B,2,0),0)</f>
        <v>96</v>
      </c>
      <c r="K58" s="237">
        <f t="shared" si="32"/>
        <v>12</v>
      </c>
      <c r="L58" s="237">
        <v>600</v>
      </c>
      <c r="M58" s="238">
        <f t="shared" si="33"/>
        <v>7200</v>
      </c>
      <c r="N58" s="266">
        <f>IFERROR(VLOOKUP(C58,PIVOT!A:F,6,0),0)</f>
        <v>0</v>
      </c>
      <c r="O58" s="239">
        <f t="shared" si="34"/>
        <v>1.25</v>
      </c>
      <c r="P58" s="238">
        <f t="shared" si="35"/>
        <v>0</v>
      </c>
      <c r="Q58" s="266">
        <f>IFERROR(VLOOKUP(C58,PIVOT!A:C,3,0),0)</f>
        <v>12</v>
      </c>
      <c r="R58" s="239">
        <f t="shared" si="36"/>
        <v>93.75</v>
      </c>
      <c r="S58" s="238">
        <f t="shared" si="37"/>
        <v>1125</v>
      </c>
      <c r="T58" s="266">
        <f>IFERROR(VLOOKUP(C58,PIVOT!A:D,4,0),0)</f>
        <v>0</v>
      </c>
      <c r="U58" s="239">
        <f t="shared" si="38"/>
        <v>7.5</v>
      </c>
      <c r="V58" s="238">
        <f t="shared" si="39"/>
        <v>0</v>
      </c>
      <c r="W58" s="266">
        <f>IFERROR(VLOOKUP(C58,PIVOT!A:E,5,0),0)</f>
        <v>0</v>
      </c>
      <c r="X58" s="238">
        <f t="shared" si="40"/>
        <v>9.375</v>
      </c>
      <c r="Y58" s="238">
        <f t="shared" si="41"/>
        <v>0</v>
      </c>
      <c r="Z58" s="266">
        <f>IFERROR(VLOOKUP(C58,#REF!,6,0),0)</f>
        <v>0</v>
      </c>
      <c r="AA58" s="239">
        <f t="shared" si="42"/>
        <v>97.5</v>
      </c>
      <c r="AB58" s="238">
        <f t="shared" si="43"/>
        <v>0</v>
      </c>
      <c r="AC58" s="266"/>
      <c r="AD58" s="215">
        <f t="shared" si="44"/>
        <v>126.75</v>
      </c>
      <c r="AE58" s="214">
        <f t="shared" si="45"/>
        <v>0</v>
      </c>
      <c r="AF58" s="266">
        <f>IFERROR(VLOOKUP(C58,#REF!,8,0),0)</f>
        <v>0</v>
      </c>
      <c r="AG58" s="239">
        <f t="shared" si="46"/>
        <v>9.75</v>
      </c>
      <c r="AH58" s="238">
        <f t="shared" si="47"/>
        <v>0</v>
      </c>
      <c r="AI58" s="213"/>
      <c r="AJ58" s="213">
        <f t="shared" si="48"/>
        <v>112.5</v>
      </c>
      <c r="AK58" s="216">
        <f t="shared" si="49"/>
        <v>0</v>
      </c>
      <c r="AL58" s="213"/>
      <c r="AM58" s="213">
        <f t="shared" si="50"/>
        <v>146.25</v>
      </c>
      <c r="AN58" s="216">
        <v>0</v>
      </c>
      <c r="AO58" s="213"/>
      <c r="AP58" s="213">
        <f t="shared" si="51"/>
        <v>11.25</v>
      </c>
      <c r="AQ58" s="216">
        <f t="shared" si="52"/>
        <v>0</v>
      </c>
      <c r="AR58" s="266">
        <f>IFERROR(VLOOKUP(C58,#REF!,7,0),0)</f>
        <v>0</v>
      </c>
      <c r="AS58" s="278">
        <f t="shared" si="16"/>
        <v>97.5</v>
      </c>
      <c r="AT58" s="277">
        <f t="shared" si="17"/>
        <v>0</v>
      </c>
      <c r="AU58" s="266"/>
      <c r="AV58" s="213"/>
      <c r="AW58" s="216"/>
      <c r="AX58" s="213">
        <f>IFERROR(VLOOKUP(C58,#REF!,8,0),0)</f>
        <v>0</v>
      </c>
      <c r="AY58" s="278">
        <f t="shared" si="18"/>
        <v>9.75</v>
      </c>
      <c r="AZ58" s="277">
        <f t="shared" si="19"/>
        <v>0</v>
      </c>
      <c r="BA58" s="266">
        <f>IFERROR(VLOOKUP(C58,#REF!,10,0),0)</f>
        <v>0</v>
      </c>
      <c r="BB58" s="268">
        <f t="shared" si="53"/>
        <v>150</v>
      </c>
      <c r="BC58" s="247">
        <f t="shared" si="54"/>
        <v>0</v>
      </c>
      <c r="BD58" s="216"/>
      <c r="BE58" s="213"/>
      <c r="BF58" s="213"/>
      <c r="BG58" s="216"/>
      <c r="BH58" s="213"/>
      <c r="BI58" s="213"/>
      <c r="BJ58" s="216">
        <f>IFERROR(VLOOKUP(C58,#REF!,9,0),0)</f>
        <v>0</v>
      </c>
      <c r="BK58" s="276">
        <f t="shared" si="55"/>
        <v>75</v>
      </c>
      <c r="BL58" s="213">
        <f t="shared" si="56"/>
        <v>0</v>
      </c>
      <c r="BM58" s="216"/>
      <c r="BN58" s="213"/>
      <c r="BO58" s="213"/>
      <c r="BP58" s="213"/>
      <c r="BQ58" s="213"/>
      <c r="BR58" s="213"/>
      <c r="BS58" s="213"/>
      <c r="BT58" s="213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3"/>
      <c r="CF58" s="215"/>
      <c r="CG58" s="215">
        <f t="shared" si="57"/>
        <v>8325</v>
      </c>
      <c r="CH58" s="256">
        <f>VLOOKUP(CX58,SSS_2025!A:N,8)</f>
        <v>1850</v>
      </c>
      <c r="CI58" s="217">
        <f>VLOOKUP(CX58,SSS_2025!A:N,13)</f>
        <v>925</v>
      </c>
      <c r="CJ58" s="217">
        <f>VLOOKUP(CX58,SSS_2025!A:N,9)</f>
        <v>30</v>
      </c>
      <c r="CK58" s="215">
        <v>391.25</v>
      </c>
      <c r="CL58" s="215">
        <v>391.25</v>
      </c>
      <c r="CM58" s="215">
        <v>200</v>
      </c>
      <c r="CN58" s="215">
        <v>200</v>
      </c>
      <c r="CO58" s="214">
        <f t="shared" si="58"/>
        <v>10796.25</v>
      </c>
      <c r="CP58" s="214">
        <f t="shared" si="59"/>
        <v>720</v>
      </c>
      <c r="CQ58" s="214">
        <f t="shared" si="60"/>
        <v>11516.25</v>
      </c>
      <c r="CR58" s="215"/>
      <c r="CS58" s="214">
        <f t="shared" si="61"/>
        <v>11516.25</v>
      </c>
      <c r="CT58" s="273">
        <f t="shared" si="62"/>
        <v>600</v>
      </c>
      <c r="CU58" s="244"/>
      <c r="CV58" s="269">
        <f>IFERROR(VLOOKUP(C58,'[2]BILLING COMPUTATION'!$C$8:$CI$224,85,0),0)</f>
        <v>10113.75</v>
      </c>
      <c r="CW58" s="243">
        <f t="shared" si="114"/>
        <v>8325</v>
      </c>
      <c r="CX58" s="245">
        <f t="shared" si="63"/>
        <v>18438.75</v>
      </c>
      <c r="CZ58" s="721">
        <f>IFERROR(VLOOKUP(C58,'[5]BILLING COMPUTATION'!$C$8:$CG$101,83,0),0)</f>
        <v>9862.5</v>
      </c>
      <c r="DA58" s="721">
        <f t="shared" si="29"/>
        <v>8325</v>
      </c>
      <c r="DB58" s="721">
        <f t="shared" si="30"/>
        <v>18187.5</v>
      </c>
      <c r="DC58" s="721">
        <f t="shared" si="31"/>
        <v>-251.25</v>
      </c>
    </row>
    <row r="59" spans="1:107" s="2" customFormat="1" ht="16.899999999999999" customHeight="1">
      <c r="A59" s="235">
        <v>55</v>
      </c>
      <c r="B59" s="265"/>
      <c r="C59" s="266">
        <v>14291</v>
      </c>
      <c r="D59" s="266" t="str">
        <f>VLOOKUP(E59,'F3 MS (2)'!E:F,2,0)</f>
        <v>GD250428</v>
      </c>
      <c r="E59" s="267" t="s">
        <v>320</v>
      </c>
      <c r="F59" s="266" t="str">
        <f>VLOOKUP(C59,'[1]ACTIVE GH'!$C:$I,7,0)</f>
        <v>METAL STAMPING</v>
      </c>
      <c r="G59" s="266" t="str">
        <f>VLOOKUP(C59,'[1]ACTIVE GH'!$C:$J,8,0)</f>
        <v>PRODUCTION</v>
      </c>
      <c r="H59" s="266" t="str">
        <f>VLOOKUP(C59,'[1]ACTIVE GH'!$C:$N,12,0)</f>
        <v>Operator 1</v>
      </c>
      <c r="I59" s="266" t="s">
        <v>180</v>
      </c>
      <c r="J59" s="266">
        <f>IFERROR(VLOOKUP(C59,PIVOT!A:B,2,0),0)</f>
        <v>96</v>
      </c>
      <c r="K59" s="237">
        <f t="shared" si="32"/>
        <v>12</v>
      </c>
      <c r="L59" s="237">
        <v>600</v>
      </c>
      <c r="M59" s="238">
        <f t="shared" si="33"/>
        <v>7200</v>
      </c>
      <c r="N59" s="266">
        <f>IFERROR(VLOOKUP(C59,PIVOT!A:F,6,0),0)</f>
        <v>0</v>
      </c>
      <c r="O59" s="239">
        <f t="shared" si="34"/>
        <v>1.25</v>
      </c>
      <c r="P59" s="238">
        <f t="shared" si="35"/>
        <v>0</v>
      </c>
      <c r="Q59" s="266">
        <f>IFERROR(VLOOKUP(C59,PIVOT!A:C,3,0),0)</f>
        <v>2</v>
      </c>
      <c r="R59" s="239">
        <f t="shared" si="36"/>
        <v>93.75</v>
      </c>
      <c r="S59" s="238">
        <f t="shared" si="37"/>
        <v>187.5</v>
      </c>
      <c r="T59" s="266">
        <f>IFERROR(VLOOKUP(C59,PIVOT!A:D,4,0),0)</f>
        <v>6</v>
      </c>
      <c r="U59" s="239">
        <f t="shared" si="38"/>
        <v>7.5</v>
      </c>
      <c r="V59" s="238">
        <f t="shared" si="39"/>
        <v>45</v>
      </c>
      <c r="W59" s="266">
        <f>IFERROR(VLOOKUP(C59,PIVOT!A:E,5,0),0)</f>
        <v>0</v>
      </c>
      <c r="X59" s="238">
        <f t="shared" si="40"/>
        <v>9.375</v>
      </c>
      <c r="Y59" s="238">
        <f t="shared" si="41"/>
        <v>0</v>
      </c>
      <c r="Z59" s="266">
        <f>IFERROR(VLOOKUP(C59,#REF!,6,0),0)</f>
        <v>0</v>
      </c>
      <c r="AA59" s="239">
        <f t="shared" si="42"/>
        <v>97.5</v>
      </c>
      <c r="AB59" s="238">
        <f t="shared" si="43"/>
        <v>0</v>
      </c>
      <c r="AC59" s="266"/>
      <c r="AD59" s="215">
        <f t="shared" si="44"/>
        <v>126.75</v>
      </c>
      <c r="AE59" s="214">
        <f t="shared" si="45"/>
        <v>0</v>
      </c>
      <c r="AF59" s="266">
        <f>IFERROR(VLOOKUP(C59,#REF!,8,0),0)</f>
        <v>0</v>
      </c>
      <c r="AG59" s="239">
        <f t="shared" si="46"/>
        <v>9.75</v>
      </c>
      <c r="AH59" s="238">
        <f t="shared" si="47"/>
        <v>0</v>
      </c>
      <c r="AI59" s="213"/>
      <c r="AJ59" s="213">
        <f t="shared" si="48"/>
        <v>112.5</v>
      </c>
      <c r="AK59" s="216">
        <f t="shared" si="49"/>
        <v>0</v>
      </c>
      <c r="AL59" s="213"/>
      <c r="AM59" s="213">
        <f t="shared" si="50"/>
        <v>146.25</v>
      </c>
      <c r="AN59" s="216">
        <v>0</v>
      </c>
      <c r="AO59" s="213"/>
      <c r="AP59" s="213">
        <f t="shared" si="51"/>
        <v>11.25</v>
      </c>
      <c r="AQ59" s="216">
        <f t="shared" si="52"/>
        <v>0</v>
      </c>
      <c r="AR59" s="266">
        <f>IFERROR(VLOOKUP(C59,#REF!,7,0),0)</f>
        <v>0</v>
      </c>
      <c r="AS59" s="278">
        <f t="shared" si="16"/>
        <v>97.5</v>
      </c>
      <c r="AT59" s="277">
        <f t="shared" si="17"/>
        <v>0</v>
      </c>
      <c r="AU59" s="266"/>
      <c r="AV59" s="213"/>
      <c r="AW59" s="216"/>
      <c r="AX59" s="213">
        <f>IFERROR(VLOOKUP(C59,#REF!,8,0),0)</f>
        <v>0</v>
      </c>
      <c r="AY59" s="278">
        <f t="shared" si="18"/>
        <v>9.75</v>
      </c>
      <c r="AZ59" s="277">
        <f t="shared" si="19"/>
        <v>0</v>
      </c>
      <c r="BA59" s="266">
        <f>IFERROR(VLOOKUP(C59,#REF!,10,0),0)</f>
        <v>0</v>
      </c>
      <c r="BB59" s="268">
        <f t="shared" si="53"/>
        <v>150</v>
      </c>
      <c r="BC59" s="247">
        <f t="shared" si="54"/>
        <v>0</v>
      </c>
      <c r="BD59" s="216"/>
      <c r="BE59" s="213"/>
      <c r="BF59" s="213"/>
      <c r="BG59" s="216"/>
      <c r="BH59" s="213"/>
      <c r="BI59" s="213"/>
      <c r="BJ59" s="216">
        <f>IFERROR(VLOOKUP(C59,#REF!,9,0),0)</f>
        <v>0</v>
      </c>
      <c r="BK59" s="276">
        <f t="shared" si="55"/>
        <v>75</v>
      </c>
      <c r="BL59" s="213">
        <f t="shared" si="56"/>
        <v>0</v>
      </c>
      <c r="BM59" s="216"/>
      <c r="BN59" s="213"/>
      <c r="BO59" s="213"/>
      <c r="BP59" s="213"/>
      <c r="BQ59" s="213"/>
      <c r="BR59" s="213"/>
      <c r="BS59" s="213"/>
      <c r="BT59" s="213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3"/>
      <c r="CF59" s="215"/>
      <c r="CG59" s="215">
        <f t="shared" si="57"/>
        <v>7432.5</v>
      </c>
      <c r="CH59" s="256">
        <f>VLOOKUP(CX59,SSS_2025!A:N,8)</f>
        <v>1900</v>
      </c>
      <c r="CI59" s="217">
        <f>VLOOKUP(CX59,SSS_2025!A:N,13)</f>
        <v>950</v>
      </c>
      <c r="CJ59" s="217">
        <f>VLOOKUP(CX59,SSS_2025!A:N,9)</f>
        <v>30</v>
      </c>
      <c r="CK59" s="215">
        <v>391.25</v>
      </c>
      <c r="CL59" s="215">
        <v>391.25</v>
      </c>
      <c r="CM59" s="215">
        <v>200</v>
      </c>
      <c r="CN59" s="215">
        <v>200</v>
      </c>
      <c r="CO59" s="214">
        <f t="shared" si="58"/>
        <v>9953.75</v>
      </c>
      <c r="CP59" s="214">
        <f t="shared" si="59"/>
        <v>720</v>
      </c>
      <c r="CQ59" s="214">
        <f t="shared" si="60"/>
        <v>10673.75</v>
      </c>
      <c r="CR59" s="215"/>
      <c r="CS59" s="214">
        <f t="shared" si="61"/>
        <v>10673.75</v>
      </c>
      <c r="CT59" s="273">
        <f t="shared" si="62"/>
        <v>600</v>
      </c>
      <c r="CU59" s="244"/>
      <c r="CV59" s="269">
        <f>IFERROR(VLOOKUP(C59,'[2]BILLING COMPUTATION'!$C$8:$CI$224,85,0),0)</f>
        <v>11610</v>
      </c>
      <c r="CW59" s="243">
        <f t="shared" si="114"/>
        <v>7432.5</v>
      </c>
      <c r="CX59" s="245">
        <f t="shared" si="63"/>
        <v>19042.5</v>
      </c>
      <c r="CZ59" s="721">
        <f>IFERROR(VLOOKUP(C59,'[5]BILLING COMPUTATION'!$C$8:$CG$101,83,0),0)</f>
        <v>9247.5</v>
      </c>
      <c r="DA59" s="721">
        <f t="shared" si="29"/>
        <v>7432.5</v>
      </c>
      <c r="DB59" s="721">
        <f t="shared" si="30"/>
        <v>16680</v>
      </c>
      <c r="DC59" s="721">
        <f t="shared" si="31"/>
        <v>-2362.5</v>
      </c>
    </row>
    <row r="60" spans="1:107" s="2" customFormat="1" ht="16.899999999999999" customHeight="1">
      <c r="A60" s="235">
        <v>56</v>
      </c>
      <c r="B60" s="265"/>
      <c r="C60" s="266">
        <v>11834</v>
      </c>
      <c r="D60" s="266" t="str">
        <f>VLOOKUP(E60,'F3 MS (2)'!E:F,2,0)</f>
        <v>GD250169</v>
      </c>
      <c r="E60" s="267" t="s">
        <v>273</v>
      </c>
      <c r="F60" s="266" t="str">
        <f>VLOOKUP(C60,'[1]ACTIVE GH'!$C:$I,7,0)</f>
        <v>METAL STAMPING</v>
      </c>
      <c r="G60" s="266" t="str">
        <f>VLOOKUP(C60,'[1]ACTIVE GH'!$C:$J,8,0)</f>
        <v>PRODUCTION</v>
      </c>
      <c r="H60" s="266" t="str">
        <f>VLOOKUP(C60,'[1]ACTIVE GH'!$C:$N,12,0)</f>
        <v>Operator 1</v>
      </c>
      <c r="I60" s="266" t="s">
        <v>180</v>
      </c>
      <c r="J60" s="266">
        <f>IFERROR(VLOOKUP(C60,PIVOT!A:B,2,0),0)</f>
        <v>96</v>
      </c>
      <c r="K60" s="237">
        <f t="shared" si="32"/>
        <v>12</v>
      </c>
      <c r="L60" s="237">
        <v>600</v>
      </c>
      <c r="M60" s="238">
        <f t="shared" si="33"/>
        <v>7200</v>
      </c>
      <c r="N60" s="266">
        <f>IFERROR(VLOOKUP(C60,PIVOT!A:F,6,0),0)</f>
        <v>0</v>
      </c>
      <c r="O60" s="239">
        <f t="shared" si="34"/>
        <v>1.25</v>
      </c>
      <c r="P60" s="238">
        <f t="shared" si="35"/>
        <v>0</v>
      </c>
      <c r="Q60" s="266">
        <f>IFERROR(VLOOKUP(C60,PIVOT!A:C,3,0),0)</f>
        <v>16</v>
      </c>
      <c r="R60" s="239">
        <f t="shared" si="36"/>
        <v>93.75</v>
      </c>
      <c r="S60" s="238">
        <f t="shared" si="37"/>
        <v>1500</v>
      </c>
      <c r="T60" s="266">
        <f>IFERROR(VLOOKUP(C60,PIVOT!A:D,4,0),0)</f>
        <v>0</v>
      </c>
      <c r="U60" s="239">
        <f t="shared" si="38"/>
        <v>7.5</v>
      </c>
      <c r="V60" s="238">
        <f t="shared" si="39"/>
        <v>0</v>
      </c>
      <c r="W60" s="266">
        <f>IFERROR(VLOOKUP(C60,PIVOT!A:E,5,0),0)</f>
        <v>0</v>
      </c>
      <c r="X60" s="238">
        <f t="shared" si="40"/>
        <v>9.375</v>
      </c>
      <c r="Y60" s="238">
        <f t="shared" si="41"/>
        <v>0</v>
      </c>
      <c r="Z60" s="266">
        <f>IFERROR(VLOOKUP(C60,#REF!,6,0),0)</f>
        <v>0</v>
      </c>
      <c r="AA60" s="239">
        <f t="shared" si="42"/>
        <v>97.5</v>
      </c>
      <c r="AB60" s="238">
        <f t="shared" si="43"/>
        <v>0</v>
      </c>
      <c r="AC60" s="266"/>
      <c r="AD60" s="215">
        <f t="shared" si="44"/>
        <v>126.75</v>
      </c>
      <c r="AE60" s="214">
        <f t="shared" si="45"/>
        <v>0</v>
      </c>
      <c r="AF60" s="266">
        <f>IFERROR(VLOOKUP(C60,#REF!,8,0),0)</f>
        <v>0</v>
      </c>
      <c r="AG60" s="239">
        <f t="shared" si="46"/>
        <v>9.75</v>
      </c>
      <c r="AH60" s="238">
        <f t="shared" si="47"/>
        <v>0</v>
      </c>
      <c r="AI60" s="213"/>
      <c r="AJ60" s="213">
        <f t="shared" si="48"/>
        <v>112.5</v>
      </c>
      <c r="AK60" s="216">
        <f t="shared" si="49"/>
        <v>0</v>
      </c>
      <c r="AL60" s="213"/>
      <c r="AM60" s="213">
        <f t="shared" si="50"/>
        <v>146.25</v>
      </c>
      <c r="AN60" s="216">
        <v>0</v>
      </c>
      <c r="AO60" s="213"/>
      <c r="AP60" s="213">
        <f t="shared" si="51"/>
        <v>11.25</v>
      </c>
      <c r="AQ60" s="216">
        <f t="shared" si="52"/>
        <v>0</v>
      </c>
      <c r="AR60" s="266">
        <f>IFERROR(VLOOKUP(C60,#REF!,7,0),0)</f>
        <v>0</v>
      </c>
      <c r="AS60" s="278">
        <f t="shared" si="16"/>
        <v>97.5</v>
      </c>
      <c r="AT60" s="277">
        <f t="shared" si="17"/>
        <v>0</v>
      </c>
      <c r="AU60" s="266"/>
      <c r="AV60" s="213"/>
      <c r="AW60" s="216"/>
      <c r="AX60" s="213">
        <f>IFERROR(VLOOKUP(C60,#REF!,8,0),0)</f>
        <v>0</v>
      </c>
      <c r="AY60" s="278">
        <f t="shared" si="18"/>
        <v>9.75</v>
      </c>
      <c r="AZ60" s="277">
        <f t="shared" si="19"/>
        <v>0</v>
      </c>
      <c r="BA60" s="266">
        <f>IFERROR(VLOOKUP(C60,#REF!,10,0),0)</f>
        <v>0</v>
      </c>
      <c r="BB60" s="268">
        <f t="shared" si="53"/>
        <v>150</v>
      </c>
      <c r="BC60" s="247">
        <f t="shared" si="54"/>
        <v>0</v>
      </c>
      <c r="BD60" s="216"/>
      <c r="BE60" s="213"/>
      <c r="BF60" s="213"/>
      <c r="BG60" s="216"/>
      <c r="BH60" s="213"/>
      <c r="BI60" s="213"/>
      <c r="BJ60" s="216">
        <f>IFERROR(VLOOKUP(C60,#REF!,9,0),0)</f>
        <v>0</v>
      </c>
      <c r="BK60" s="276">
        <f t="shared" si="55"/>
        <v>75</v>
      </c>
      <c r="BL60" s="213">
        <f t="shared" si="56"/>
        <v>0</v>
      </c>
      <c r="BM60" s="216"/>
      <c r="BN60" s="213"/>
      <c r="BO60" s="213"/>
      <c r="BP60" s="213"/>
      <c r="BQ60" s="213"/>
      <c r="BR60" s="213"/>
      <c r="BS60" s="213"/>
      <c r="BT60" s="213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3"/>
      <c r="CF60" s="215"/>
      <c r="CG60" s="215">
        <f t="shared" si="57"/>
        <v>8700</v>
      </c>
      <c r="CH60" s="256">
        <f>VLOOKUP(CX60,SSS_2025!A:N,8)</f>
        <v>1950</v>
      </c>
      <c r="CI60" s="217">
        <f>VLOOKUP(CX60,SSS_2025!A:N,13)</f>
        <v>975</v>
      </c>
      <c r="CJ60" s="217">
        <f>VLOOKUP(CX60,SSS_2025!A:N,9)</f>
        <v>30</v>
      </c>
      <c r="CK60" s="215">
        <v>391.25</v>
      </c>
      <c r="CL60" s="215">
        <v>391.25</v>
      </c>
      <c r="CM60" s="215">
        <v>200</v>
      </c>
      <c r="CN60" s="215">
        <v>200</v>
      </c>
      <c r="CO60" s="214">
        <f t="shared" si="58"/>
        <v>11271.25</v>
      </c>
      <c r="CP60" s="214">
        <f t="shared" si="59"/>
        <v>720</v>
      </c>
      <c r="CQ60" s="214">
        <f t="shared" si="60"/>
        <v>11991.25</v>
      </c>
      <c r="CR60" s="215"/>
      <c r="CS60" s="214">
        <f t="shared" si="61"/>
        <v>11991.25</v>
      </c>
      <c r="CT60" s="273">
        <f t="shared" si="62"/>
        <v>600</v>
      </c>
      <c r="CU60" s="244"/>
      <c r="CV60" s="269">
        <f>IFERROR(VLOOKUP(C60,'[2]BILLING COMPUTATION'!$C$8:$CI$224,85,0),0)</f>
        <v>10867.5</v>
      </c>
      <c r="CW60" s="243">
        <f t="shared" si="114"/>
        <v>8700</v>
      </c>
      <c r="CX60" s="245">
        <f t="shared" si="63"/>
        <v>19567.5</v>
      </c>
      <c r="CZ60" s="721">
        <f>IFERROR(VLOOKUP(C60,'[5]BILLING COMPUTATION'!$C$8:$CG$101,83,0),0)</f>
        <v>11422.5</v>
      </c>
      <c r="DA60" s="721">
        <f t="shared" si="29"/>
        <v>8700</v>
      </c>
      <c r="DB60" s="721">
        <f t="shared" si="30"/>
        <v>20122.5</v>
      </c>
      <c r="DC60" s="721">
        <f t="shared" si="31"/>
        <v>555</v>
      </c>
    </row>
    <row r="61" spans="1:107" s="2" customFormat="1" ht="16.899999999999999" customHeight="1">
      <c r="A61" s="235">
        <v>57</v>
      </c>
      <c r="B61" s="265"/>
      <c r="C61" s="266">
        <v>30356</v>
      </c>
      <c r="D61" s="266" t="str">
        <f>VLOOKUP(E61,'F3 MS (2)'!E:F,2,0)</f>
        <v>GD250503</v>
      </c>
      <c r="E61" s="267" t="s">
        <v>210</v>
      </c>
      <c r="F61" s="266" t="str">
        <f>VLOOKUP(C61,'[1]ACTIVE GH'!$C:$I,7,0)</f>
        <v>METAL STAMPING</v>
      </c>
      <c r="G61" s="266" t="str">
        <f>VLOOKUP(C61,'[1]ACTIVE GH'!$C:$J,8,0)</f>
        <v>PRODUCTION</v>
      </c>
      <c r="H61" s="266" t="str">
        <f>VLOOKUP(C61,'[1]ACTIVE GH'!$C:$N,12,0)</f>
        <v>Operator 1</v>
      </c>
      <c r="I61" s="266" t="s">
        <v>180</v>
      </c>
      <c r="J61" s="266">
        <f>IFERROR(VLOOKUP(C61,PIVOT!A:B,2,0),0)</f>
        <v>80</v>
      </c>
      <c r="K61" s="237">
        <f t="shared" si="32"/>
        <v>10</v>
      </c>
      <c r="L61" s="237">
        <v>600</v>
      </c>
      <c r="M61" s="238">
        <f t="shared" si="33"/>
        <v>6000</v>
      </c>
      <c r="N61" s="266">
        <f>IFERROR(VLOOKUP(C61,PIVOT!A:F,6,0),0)</f>
        <v>0</v>
      </c>
      <c r="O61" s="239">
        <f t="shared" si="34"/>
        <v>1.25</v>
      </c>
      <c r="P61" s="238">
        <f t="shared" si="35"/>
        <v>0</v>
      </c>
      <c r="Q61" s="266">
        <f>IFERROR(VLOOKUP(C61,PIVOT!A:C,3,0),0)</f>
        <v>6</v>
      </c>
      <c r="R61" s="239">
        <f t="shared" si="36"/>
        <v>93.75</v>
      </c>
      <c r="S61" s="238">
        <f t="shared" si="37"/>
        <v>562.5</v>
      </c>
      <c r="T61" s="266">
        <f>IFERROR(VLOOKUP(C61,PIVOT!A:D,4,0),0)</f>
        <v>0</v>
      </c>
      <c r="U61" s="239">
        <f t="shared" si="38"/>
        <v>7.5</v>
      </c>
      <c r="V61" s="238">
        <f t="shared" si="39"/>
        <v>0</v>
      </c>
      <c r="W61" s="266">
        <f>IFERROR(VLOOKUP(C61,PIVOT!A:E,5,0),0)</f>
        <v>0</v>
      </c>
      <c r="X61" s="238">
        <f t="shared" si="40"/>
        <v>9.375</v>
      </c>
      <c r="Y61" s="238">
        <f t="shared" si="41"/>
        <v>0</v>
      </c>
      <c r="Z61" s="266">
        <f>IFERROR(VLOOKUP(C61,#REF!,6,0),0)</f>
        <v>0</v>
      </c>
      <c r="AA61" s="239">
        <f t="shared" si="42"/>
        <v>97.5</v>
      </c>
      <c r="AB61" s="238">
        <f t="shared" si="43"/>
        <v>0</v>
      </c>
      <c r="AC61" s="266"/>
      <c r="AD61" s="215">
        <f t="shared" si="44"/>
        <v>126.75</v>
      </c>
      <c r="AE61" s="214">
        <f t="shared" si="45"/>
        <v>0</v>
      </c>
      <c r="AF61" s="266">
        <f>IFERROR(VLOOKUP(C61,#REF!,8,0),0)</f>
        <v>0</v>
      </c>
      <c r="AG61" s="239">
        <f t="shared" si="46"/>
        <v>9.75</v>
      </c>
      <c r="AH61" s="238">
        <f t="shared" si="47"/>
        <v>0</v>
      </c>
      <c r="AI61" s="213"/>
      <c r="AJ61" s="213">
        <f t="shared" si="48"/>
        <v>112.5</v>
      </c>
      <c r="AK61" s="216">
        <f t="shared" si="49"/>
        <v>0</v>
      </c>
      <c r="AL61" s="213"/>
      <c r="AM61" s="213">
        <f t="shared" si="50"/>
        <v>146.25</v>
      </c>
      <c r="AN61" s="216">
        <v>0</v>
      </c>
      <c r="AO61" s="213"/>
      <c r="AP61" s="213">
        <f t="shared" si="51"/>
        <v>11.25</v>
      </c>
      <c r="AQ61" s="216">
        <f t="shared" si="52"/>
        <v>0</v>
      </c>
      <c r="AR61" s="266">
        <f>IFERROR(VLOOKUP(C61,#REF!,7,0),0)</f>
        <v>0</v>
      </c>
      <c r="AS61" s="278">
        <f t="shared" si="16"/>
        <v>97.5</v>
      </c>
      <c r="AT61" s="277">
        <f t="shared" si="17"/>
        <v>0</v>
      </c>
      <c r="AU61" s="266"/>
      <c r="AV61" s="213"/>
      <c r="AW61" s="216"/>
      <c r="AX61" s="213">
        <f>IFERROR(VLOOKUP(C61,#REF!,8,0),0)</f>
        <v>0</v>
      </c>
      <c r="AY61" s="278">
        <f t="shared" si="18"/>
        <v>9.75</v>
      </c>
      <c r="AZ61" s="277">
        <f t="shared" si="19"/>
        <v>0</v>
      </c>
      <c r="BA61" s="266">
        <f>IFERROR(VLOOKUP(C61,#REF!,10,0),0)</f>
        <v>0</v>
      </c>
      <c r="BB61" s="268">
        <f t="shared" si="53"/>
        <v>150</v>
      </c>
      <c r="BC61" s="247">
        <f t="shared" si="54"/>
        <v>0</v>
      </c>
      <c r="BD61" s="216"/>
      <c r="BE61" s="213"/>
      <c r="BF61" s="213"/>
      <c r="BG61" s="216"/>
      <c r="BH61" s="213"/>
      <c r="BI61" s="213"/>
      <c r="BJ61" s="216">
        <f>IFERROR(VLOOKUP(C61,#REF!,9,0),0)</f>
        <v>0</v>
      </c>
      <c r="BK61" s="276">
        <f t="shared" si="55"/>
        <v>75</v>
      </c>
      <c r="BL61" s="213">
        <f t="shared" si="56"/>
        <v>0</v>
      </c>
      <c r="BM61" s="216"/>
      <c r="BN61" s="213"/>
      <c r="BO61" s="213"/>
      <c r="BP61" s="213"/>
      <c r="BQ61" s="213"/>
      <c r="BR61" s="213"/>
      <c r="BS61" s="213"/>
      <c r="BT61" s="213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3"/>
      <c r="CF61" s="215"/>
      <c r="CG61" s="215">
        <f t="shared" si="57"/>
        <v>6562.5</v>
      </c>
      <c r="CH61" s="256">
        <f>VLOOKUP(CX61,SSS_2025!A:N,8)</f>
        <v>1750</v>
      </c>
      <c r="CI61" s="217">
        <f>VLOOKUP(CX61,SSS_2025!A:N,13)</f>
        <v>875</v>
      </c>
      <c r="CJ61" s="217">
        <f>VLOOKUP(CX61,SSS_2025!A:N,9)</f>
        <v>30</v>
      </c>
      <c r="CK61" s="215">
        <v>391.25</v>
      </c>
      <c r="CL61" s="215">
        <v>391.25</v>
      </c>
      <c r="CM61" s="215">
        <v>200</v>
      </c>
      <c r="CN61" s="215">
        <v>200</v>
      </c>
      <c r="CO61" s="214">
        <f t="shared" si="58"/>
        <v>8933.75</v>
      </c>
      <c r="CP61" s="214">
        <f t="shared" si="59"/>
        <v>600</v>
      </c>
      <c r="CQ61" s="214">
        <f t="shared" si="60"/>
        <v>9533.75</v>
      </c>
      <c r="CR61" s="215"/>
      <c r="CS61" s="214">
        <f t="shared" si="61"/>
        <v>9533.75</v>
      </c>
      <c r="CT61" s="273">
        <f t="shared" si="62"/>
        <v>500</v>
      </c>
      <c r="CU61" s="244"/>
      <c r="CV61" s="269">
        <f>IFERROR(VLOOKUP(C61,'[2]BILLING COMPUTATION'!$C$8:$CI$224,85,0),0)</f>
        <v>10830</v>
      </c>
      <c r="CW61" s="243">
        <f t="shared" si="114"/>
        <v>6562.5</v>
      </c>
      <c r="CX61" s="245">
        <f t="shared" si="63"/>
        <v>17392.5</v>
      </c>
      <c r="CZ61" s="721">
        <f>IFERROR(VLOOKUP(C61,'[5]BILLING COMPUTATION'!$C$8:$CG$101,83,0),0)</f>
        <v>7830</v>
      </c>
      <c r="DA61" s="721">
        <f t="shared" si="29"/>
        <v>6562.5</v>
      </c>
      <c r="DB61" s="721">
        <f t="shared" si="30"/>
        <v>14392.5</v>
      </c>
      <c r="DC61" s="721">
        <f t="shared" si="31"/>
        <v>-3000</v>
      </c>
    </row>
    <row r="62" spans="1:107" s="2" customFormat="1" ht="16.899999999999999" customHeight="1">
      <c r="A62" s="235">
        <v>58</v>
      </c>
      <c r="B62" s="265"/>
      <c r="C62" s="266">
        <v>11829</v>
      </c>
      <c r="D62" s="266" t="str">
        <f>VLOOKUP(E62,'F3 MS (2)'!E:F,2,0)</f>
        <v>GD250168</v>
      </c>
      <c r="E62" s="267" t="s">
        <v>297</v>
      </c>
      <c r="F62" s="266" t="str">
        <f>VLOOKUP(C62,'[1]ACTIVE GH'!$C:$I,7,0)</f>
        <v>METAL STAMPING</v>
      </c>
      <c r="G62" s="266" t="str">
        <f>VLOOKUP(C62,'[1]ACTIVE GH'!$C:$J,8,0)</f>
        <v>PRODUCTION</v>
      </c>
      <c r="H62" s="266" t="str">
        <f>VLOOKUP(C62,'[1]ACTIVE GH'!$C:$N,12,0)</f>
        <v>Operator 1</v>
      </c>
      <c r="I62" s="266" t="s">
        <v>180</v>
      </c>
      <c r="J62" s="266">
        <f>IFERROR(VLOOKUP(C62,PIVOT!A:B,2,0),0)</f>
        <v>96</v>
      </c>
      <c r="K62" s="237">
        <f t="shared" si="32"/>
        <v>12</v>
      </c>
      <c r="L62" s="237">
        <v>600</v>
      </c>
      <c r="M62" s="238">
        <f t="shared" si="33"/>
        <v>7200</v>
      </c>
      <c r="N62" s="266">
        <f>IFERROR(VLOOKUP(C62,PIVOT!A:F,6,0),0)</f>
        <v>0</v>
      </c>
      <c r="O62" s="239">
        <f t="shared" si="34"/>
        <v>1.25</v>
      </c>
      <c r="P62" s="238">
        <f t="shared" si="35"/>
        <v>0</v>
      </c>
      <c r="Q62" s="266">
        <f>IFERROR(VLOOKUP(C62,PIVOT!A:C,3,0),0)</f>
        <v>20</v>
      </c>
      <c r="R62" s="239">
        <f t="shared" si="36"/>
        <v>93.75</v>
      </c>
      <c r="S62" s="238">
        <f t="shared" si="37"/>
        <v>1875</v>
      </c>
      <c r="T62" s="266">
        <f>IFERROR(VLOOKUP(C62,PIVOT!A:D,4,0),0)</f>
        <v>0</v>
      </c>
      <c r="U62" s="239">
        <f t="shared" si="38"/>
        <v>7.5</v>
      </c>
      <c r="V62" s="238">
        <f t="shared" si="39"/>
        <v>0</v>
      </c>
      <c r="W62" s="266">
        <f>IFERROR(VLOOKUP(C62,PIVOT!A:E,5,0),0)</f>
        <v>0</v>
      </c>
      <c r="X62" s="238">
        <f t="shared" si="40"/>
        <v>9.375</v>
      </c>
      <c r="Y62" s="238">
        <f t="shared" si="41"/>
        <v>0</v>
      </c>
      <c r="Z62" s="266">
        <f>IFERROR(VLOOKUP(C62,#REF!,6,0),0)</f>
        <v>0</v>
      </c>
      <c r="AA62" s="239">
        <f t="shared" si="42"/>
        <v>97.5</v>
      </c>
      <c r="AB62" s="238">
        <f t="shared" si="43"/>
        <v>0</v>
      </c>
      <c r="AC62" s="266"/>
      <c r="AD62" s="215">
        <f t="shared" si="44"/>
        <v>126.75</v>
      </c>
      <c r="AE62" s="214">
        <f t="shared" si="45"/>
        <v>0</v>
      </c>
      <c r="AF62" s="266">
        <f>IFERROR(VLOOKUP(C62,#REF!,8,0),0)</f>
        <v>0</v>
      </c>
      <c r="AG62" s="239">
        <f t="shared" si="46"/>
        <v>9.75</v>
      </c>
      <c r="AH62" s="238">
        <f t="shared" si="47"/>
        <v>0</v>
      </c>
      <c r="AI62" s="213"/>
      <c r="AJ62" s="213">
        <f t="shared" si="48"/>
        <v>112.5</v>
      </c>
      <c r="AK62" s="216">
        <f t="shared" si="49"/>
        <v>0</v>
      </c>
      <c r="AL62" s="213"/>
      <c r="AM62" s="213">
        <f t="shared" si="50"/>
        <v>146.25</v>
      </c>
      <c r="AN62" s="216">
        <v>0</v>
      </c>
      <c r="AO62" s="213"/>
      <c r="AP62" s="213">
        <f t="shared" si="51"/>
        <v>11.25</v>
      </c>
      <c r="AQ62" s="216">
        <f t="shared" si="52"/>
        <v>0</v>
      </c>
      <c r="AR62" s="266">
        <f>IFERROR(VLOOKUP(C62,#REF!,7,0),0)</f>
        <v>0</v>
      </c>
      <c r="AS62" s="278">
        <f t="shared" si="16"/>
        <v>97.5</v>
      </c>
      <c r="AT62" s="277">
        <f t="shared" si="17"/>
        <v>0</v>
      </c>
      <c r="AU62" s="266"/>
      <c r="AV62" s="213"/>
      <c r="AW62" s="216"/>
      <c r="AX62" s="213">
        <f>IFERROR(VLOOKUP(C62,#REF!,8,0),0)</f>
        <v>0</v>
      </c>
      <c r="AY62" s="278">
        <f t="shared" si="18"/>
        <v>9.75</v>
      </c>
      <c r="AZ62" s="277">
        <f t="shared" si="19"/>
        <v>0</v>
      </c>
      <c r="BA62" s="266">
        <f>IFERROR(VLOOKUP(C62,#REF!,10,0),0)</f>
        <v>0</v>
      </c>
      <c r="BB62" s="268">
        <f t="shared" si="53"/>
        <v>150</v>
      </c>
      <c r="BC62" s="247">
        <f t="shared" si="54"/>
        <v>0</v>
      </c>
      <c r="BD62" s="216"/>
      <c r="BE62" s="213"/>
      <c r="BF62" s="213"/>
      <c r="BG62" s="216"/>
      <c r="BH62" s="213"/>
      <c r="BI62" s="213"/>
      <c r="BJ62" s="216">
        <f>IFERROR(VLOOKUP(C62,#REF!,9,0),0)</f>
        <v>0</v>
      </c>
      <c r="BK62" s="276">
        <f t="shared" si="55"/>
        <v>75</v>
      </c>
      <c r="BL62" s="213">
        <f t="shared" si="56"/>
        <v>0</v>
      </c>
      <c r="BM62" s="216"/>
      <c r="BN62" s="213"/>
      <c r="BO62" s="213"/>
      <c r="BP62" s="213"/>
      <c r="BQ62" s="213"/>
      <c r="BR62" s="213"/>
      <c r="BS62" s="213"/>
      <c r="BT62" s="213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3"/>
      <c r="CF62" s="215"/>
      <c r="CG62" s="215">
        <f t="shared" si="57"/>
        <v>9075</v>
      </c>
      <c r="CH62" s="256">
        <f>VLOOKUP(CX62,SSS_2025!A:N,8)</f>
        <v>2000</v>
      </c>
      <c r="CI62" s="217">
        <f>VLOOKUP(CX62,SSS_2025!A:N,13)</f>
        <v>1000</v>
      </c>
      <c r="CJ62" s="217">
        <f>VLOOKUP(CX62,SSS_2025!A:N,9)</f>
        <v>30</v>
      </c>
      <c r="CK62" s="215">
        <v>391.25</v>
      </c>
      <c r="CL62" s="215">
        <v>391.25</v>
      </c>
      <c r="CM62" s="215">
        <v>200</v>
      </c>
      <c r="CN62" s="215">
        <v>200</v>
      </c>
      <c r="CO62" s="214">
        <f t="shared" si="58"/>
        <v>11696.25</v>
      </c>
      <c r="CP62" s="214">
        <f t="shared" si="59"/>
        <v>720</v>
      </c>
      <c r="CQ62" s="214">
        <f t="shared" si="60"/>
        <v>12416.25</v>
      </c>
      <c r="CR62" s="215"/>
      <c r="CS62" s="214">
        <f t="shared" si="61"/>
        <v>12416.25</v>
      </c>
      <c r="CT62" s="273">
        <f t="shared" si="62"/>
        <v>600</v>
      </c>
      <c r="CU62" s="244"/>
      <c r="CV62" s="269">
        <f>IFERROR(VLOOKUP(C62,'[2]BILLING COMPUTATION'!$C$8:$CI$224,85,0),0)</f>
        <v>10867.5</v>
      </c>
      <c r="CW62" s="243">
        <f t="shared" si="114"/>
        <v>9075</v>
      </c>
      <c r="CX62" s="245">
        <f t="shared" si="63"/>
        <v>19942.5</v>
      </c>
      <c r="CZ62" s="721">
        <f>IFERROR(VLOOKUP(C62,'[5]BILLING COMPUTATION'!$C$8:$CG$101,83,0),0)</f>
        <v>9367.5</v>
      </c>
      <c r="DA62" s="721">
        <f t="shared" si="29"/>
        <v>9075</v>
      </c>
      <c r="DB62" s="721">
        <f t="shared" si="30"/>
        <v>18442.5</v>
      </c>
      <c r="DC62" s="721">
        <f t="shared" si="31"/>
        <v>-1500</v>
      </c>
    </row>
    <row r="63" spans="1:107" s="2" customFormat="1" ht="16.899999999999999" customHeight="1">
      <c r="A63" s="235">
        <v>59</v>
      </c>
      <c r="B63" s="265"/>
      <c r="C63" s="266">
        <v>32515</v>
      </c>
      <c r="D63" s="266" t="s">
        <v>373</v>
      </c>
      <c r="E63" s="267" t="s">
        <v>259</v>
      </c>
      <c r="F63" s="266" t="str">
        <f>VLOOKUP(C63,'[1]ACTIVE GH'!$C:$I,7,0)</f>
        <v>METAL STAMPING</v>
      </c>
      <c r="G63" s="266" t="str">
        <f>VLOOKUP(C63,'[1]ACTIVE GH'!$C:$J,8,0)</f>
        <v>PRODUCTION</v>
      </c>
      <c r="H63" s="266" t="str">
        <f>VLOOKUP(C63,'[1]ACTIVE GH'!$C:$N,12,0)</f>
        <v>Operator 1</v>
      </c>
      <c r="I63" s="266" t="s">
        <v>180</v>
      </c>
      <c r="J63" s="266">
        <f>IFERROR(VLOOKUP(C63,PIVOT!A:B,2,0),0)</f>
        <v>80</v>
      </c>
      <c r="K63" s="237">
        <f t="shared" si="32"/>
        <v>10</v>
      </c>
      <c r="L63" s="237">
        <v>600</v>
      </c>
      <c r="M63" s="238">
        <f t="shared" si="33"/>
        <v>6000</v>
      </c>
      <c r="N63" s="266">
        <f>IFERROR(VLOOKUP(C63,PIVOT!A:F,6,0),0)</f>
        <v>0</v>
      </c>
      <c r="O63" s="239">
        <f t="shared" si="34"/>
        <v>1.25</v>
      </c>
      <c r="P63" s="238">
        <f t="shared" si="35"/>
        <v>0</v>
      </c>
      <c r="Q63" s="266">
        <f>IFERROR(VLOOKUP(C63,PIVOT!A:C,3,0),0)</f>
        <v>10</v>
      </c>
      <c r="R63" s="239">
        <f t="shared" si="36"/>
        <v>93.75</v>
      </c>
      <c r="S63" s="238">
        <f t="shared" si="37"/>
        <v>937.5</v>
      </c>
      <c r="T63" s="266">
        <f>IFERROR(VLOOKUP(C63,PIVOT!A:D,4,0),0)</f>
        <v>60</v>
      </c>
      <c r="U63" s="239">
        <f t="shared" si="38"/>
        <v>7.5</v>
      </c>
      <c r="V63" s="238">
        <f t="shared" si="39"/>
        <v>450</v>
      </c>
      <c r="W63" s="266">
        <f>IFERROR(VLOOKUP(C63,PIVOT!A:E,5,0),0)</f>
        <v>10</v>
      </c>
      <c r="X63" s="238">
        <f t="shared" si="40"/>
        <v>9.375</v>
      </c>
      <c r="Y63" s="238">
        <f t="shared" si="41"/>
        <v>93.75</v>
      </c>
      <c r="Z63" s="266">
        <f>IFERROR(VLOOKUP(C63,#REF!,6,0),0)</f>
        <v>0</v>
      </c>
      <c r="AA63" s="239">
        <f t="shared" si="42"/>
        <v>97.5</v>
      </c>
      <c r="AB63" s="238">
        <f t="shared" si="43"/>
        <v>0</v>
      </c>
      <c r="AC63" s="266"/>
      <c r="AD63" s="215">
        <f t="shared" si="44"/>
        <v>126.75</v>
      </c>
      <c r="AE63" s="214">
        <f t="shared" si="45"/>
        <v>0</v>
      </c>
      <c r="AF63" s="266">
        <f>IFERROR(VLOOKUP(C63,#REF!,8,0),0)</f>
        <v>0</v>
      </c>
      <c r="AG63" s="239">
        <f t="shared" si="46"/>
        <v>9.75</v>
      </c>
      <c r="AH63" s="238">
        <f t="shared" si="47"/>
        <v>0</v>
      </c>
      <c r="AI63" s="213"/>
      <c r="AJ63" s="213">
        <f t="shared" si="48"/>
        <v>112.5</v>
      </c>
      <c r="AK63" s="216">
        <f t="shared" si="49"/>
        <v>0</v>
      </c>
      <c r="AL63" s="213"/>
      <c r="AM63" s="213">
        <f t="shared" si="50"/>
        <v>146.25</v>
      </c>
      <c r="AN63" s="216">
        <v>0</v>
      </c>
      <c r="AO63" s="213"/>
      <c r="AP63" s="213">
        <f t="shared" si="51"/>
        <v>11.25</v>
      </c>
      <c r="AQ63" s="216">
        <f t="shared" si="52"/>
        <v>0</v>
      </c>
      <c r="AR63" s="266">
        <f>IFERROR(VLOOKUP(C63,#REF!,7,0),0)</f>
        <v>0</v>
      </c>
      <c r="AS63" s="278">
        <f t="shared" si="16"/>
        <v>97.5</v>
      </c>
      <c r="AT63" s="277">
        <f t="shared" si="17"/>
        <v>0</v>
      </c>
      <c r="AU63" s="266"/>
      <c r="AV63" s="213"/>
      <c r="AW63" s="216"/>
      <c r="AX63" s="213">
        <f>IFERROR(VLOOKUP(C63,#REF!,8,0),0)</f>
        <v>0</v>
      </c>
      <c r="AY63" s="278">
        <f t="shared" si="18"/>
        <v>9.75</v>
      </c>
      <c r="AZ63" s="277">
        <f t="shared" si="19"/>
        <v>0</v>
      </c>
      <c r="BA63" s="266">
        <f>IFERROR(VLOOKUP(C63,#REF!,10,0),0)</f>
        <v>0</v>
      </c>
      <c r="BB63" s="268">
        <f t="shared" si="53"/>
        <v>150</v>
      </c>
      <c r="BC63" s="247">
        <f t="shared" si="54"/>
        <v>0</v>
      </c>
      <c r="BD63" s="216"/>
      <c r="BE63" s="213"/>
      <c r="BF63" s="213"/>
      <c r="BG63" s="216"/>
      <c r="BH63" s="213"/>
      <c r="BI63" s="213"/>
      <c r="BJ63" s="216">
        <f>IFERROR(VLOOKUP(C63,#REF!,9,0),0)</f>
        <v>0</v>
      </c>
      <c r="BK63" s="276">
        <f t="shared" si="55"/>
        <v>75</v>
      </c>
      <c r="BL63" s="213">
        <f t="shared" si="56"/>
        <v>0</v>
      </c>
      <c r="BM63" s="216"/>
      <c r="BN63" s="213"/>
      <c r="BO63" s="213"/>
      <c r="BP63" s="213"/>
      <c r="BQ63" s="213"/>
      <c r="BR63" s="213"/>
      <c r="BS63" s="213"/>
      <c r="BT63" s="213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3"/>
      <c r="CF63" s="215"/>
      <c r="CG63" s="215">
        <f t="shared" si="57"/>
        <v>7481.25</v>
      </c>
      <c r="CH63" s="256">
        <f>VLOOKUP(CX63,SSS_2025!A:N,8)</f>
        <v>1700</v>
      </c>
      <c r="CI63" s="217">
        <f>VLOOKUP(CX63,SSS_2025!A:N,13)</f>
        <v>850</v>
      </c>
      <c r="CJ63" s="217">
        <f>VLOOKUP(CX63,SSS_2025!A:N,9)</f>
        <v>30</v>
      </c>
      <c r="CK63" s="215">
        <v>391.25</v>
      </c>
      <c r="CL63" s="215">
        <v>391.25</v>
      </c>
      <c r="CM63" s="215">
        <v>200</v>
      </c>
      <c r="CN63" s="215">
        <v>200</v>
      </c>
      <c r="CO63" s="214">
        <f t="shared" si="58"/>
        <v>9802.5</v>
      </c>
      <c r="CP63" s="214">
        <f t="shared" si="59"/>
        <v>600</v>
      </c>
      <c r="CQ63" s="214">
        <f t="shared" si="60"/>
        <v>10402.5</v>
      </c>
      <c r="CR63" s="215"/>
      <c r="CS63" s="214">
        <f t="shared" si="61"/>
        <v>10402.5</v>
      </c>
      <c r="CT63" s="273">
        <f t="shared" si="62"/>
        <v>500</v>
      </c>
      <c r="CU63" s="244"/>
      <c r="CV63" s="269">
        <f>IFERROR(VLOOKUP(C63,'[2]BILLING COMPUTATION'!$C$8:$CI$224,85,0),0)</f>
        <v>9508.75</v>
      </c>
      <c r="CW63" s="243">
        <f t="shared" si="114"/>
        <v>7481.25</v>
      </c>
      <c r="CX63" s="245">
        <f t="shared" si="63"/>
        <v>16990</v>
      </c>
      <c r="CZ63" s="721">
        <f>IFERROR(VLOOKUP(C63,'[5]BILLING COMPUTATION'!$C$8:$CG$101,83,0),0)</f>
        <v>6240</v>
      </c>
      <c r="DA63" s="721">
        <f t="shared" si="29"/>
        <v>7481.25</v>
      </c>
      <c r="DB63" s="721">
        <f t="shared" si="30"/>
        <v>13721.25</v>
      </c>
      <c r="DC63" s="721">
        <f t="shared" si="31"/>
        <v>-3268.75</v>
      </c>
    </row>
    <row r="64" spans="1:107" s="2" customFormat="1" ht="16.899999999999999" customHeight="1">
      <c r="A64" s="235">
        <v>60</v>
      </c>
      <c r="B64" s="265"/>
      <c r="C64" s="266">
        <v>14915</v>
      </c>
      <c r="D64" s="266" t="str">
        <f>VLOOKUP(E64,'F3 MS (2)'!E:F,2,0)</f>
        <v>GD250241</v>
      </c>
      <c r="E64" s="267" t="s">
        <v>245</v>
      </c>
      <c r="F64" s="266" t="str">
        <f>VLOOKUP(C64,'[1]ACTIVE GH'!$C:$I,7,0)</f>
        <v>METAL STAMPING</v>
      </c>
      <c r="G64" s="266" t="str">
        <f>VLOOKUP(C64,'[1]ACTIVE GH'!$C:$J,8,0)</f>
        <v>PRODUCTION</v>
      </c>
      <c r="H64" s="266" t="str">
        <f>VLOOKUP(C64,'[1]ACTIVE GH'!$C:$N,12,0)</f>
        <v>Operator 1</v>
      </c>
      <c r="I64" s="266" t="s">
        <v>180</v>
      </c>
      <c r="J64" s="266">
        <f>IFERROR(VLOOKUP(C64,PIVOT!A:B,2,0),0)</f>
        <v>96</v>
      </c>
      <c r="K64" s="237">
        <f t="shared" si="32"/>
        <v>12</v>
      </c>
      <c r="L64" s="237">
        <v>600</v>
      </c>
      <c r="M64" s="238">
        <f t="shared" si="33"/>
        <v>7200</v>
      </c>
      <c r="N64" s="266">
        <f>IFERROR(VLOOKUP(C64,PIVOT!A:F,6,0),0)</f>
        <v>0</v>
      </c>
      <c r="O64" s="239">
        <f t="shared" si="34"/>
        <v>1.25</v>
      </c>
      <c r="P64" s="238">
        <f t="shared" si="35"/>
        <v>0</v>
      </c>
      <c r="Q64" s="266">
        <f>IFERROR(VLOOKUP(C64,PIVOT!A:C,3,0),0)</f>
        <v>6</v>
      </c>
      <c r="R64" s="239">
        <f t="shared" si="36"/>
        <v>93.75</v>
      </c>
      <c r="S64" s="238">
        <f t="shared" si="37"/>
        <v>562.5</v>
      </c>
      <c r="T64" s="266">
        <f>IFERROR(VLOOKUP(C64,PIVOT!A:D,4,0),0)</f>
        <v>6</v>
      </c>
      <c r="U64" s="239">
        <f t="shared" si="38"/>
        <v>7.5</v>
      </c>
      <c r="V64" s="238">
        <f t="shared" si="39"/>
        <v>45</v>
      </c>
      <c r="W64" s="266">
        <f>IFERROR(VLOOKUP(C64,PIVOT!A:E,5,0),0)</f>
        <v>0</v>
      </c>
      <c r="X64" s="238">
        <f t="shared" si="40"/>
        <v>9.375</v>
      </c>
      <c r="Y64" s="238">
        <f t="shared" si="41"/>
        <v>0</v>
      </c>
      <c r="Z64" s="266">
        <f>IFERROR(VLOOKUP(C64,#REF!,6,0),0)</f>
        <v>0</v>
      </c>
      <c r="AA64" s="239">
        <f t="shared" si="42"/>
        <v>97.5</v>
      </c>
      <c r="AB64" s="238">
        <f t="shared" si="43"/>
        <v>0</v>
      </c>
      <c r="AC64" s="266"/>
      <c r="AD64" s="215">
        <f t="shared" si="44"/>
        <v>126.75</v>
      </c>
      <c r="AE64" s="214">
        <f t="shared" si="45"/>
        <v>0</v>
      </c>
      <c r="AF64" s="266">
        <f>IFERROR(VLOOKUP(C64,#REF!,8,0),0)</f>
        <v>0</v>
      </c>
      <c r="AG64" s="239">
        <f t="shared" si="46"/>
        <v>9.75</v>
      </c>
      <c r="AH64" s="238">
        <f t="shared" si="47"/>
        <v>0</v>
      </c>
      <c r="AI64" s="213"/>
      <c r="AJ64" s="213">
        <f t="shared" si="48"/>
        <v>112.5</v>
      </c>
      <c r="AK64" s="216">
        <f t="shared" si="49"/>
        <v>0</v>
      </c>
      <c r="AL64" s="213"/>
      <c r="AM64" s="213">
        <f t="shared" si="50"/>
        <v>146.25</v>
      </c>
      <c r="AN64" s="216">
        <v>0</v>
      </c>
      <c r="AO64" s="213"/>
      <c r="AP64" s="213">
        <f t="shared" si="51"/>
        <v>11.25</v>
      </c>
      <c r="AQ64" s="216">
        <f t="shared" si="52"/>
        <v>0</v>
      </c>
      <c r="AR64" s="266">
        <f>IFERROR(VLOOKUP(C64,#REF!,7,0),0)</f>
        <v>0</v>
      </c>
      <c r="AS64" s="278">
        <f t="shared" si="16"/>
        <v>97.5</v>
      </c>
      <c r="AT64" s="277">
        <f t="shared" si="17"/>
        <v>0</v>
      </c>
      <c r="AU64" s="266"/>
      <c r="AV64" s="213"/>
      <c r="AW64" s="216"/>
      <c r="AX64" s="213">
        <f>IFERROR(VLOOKUP(C64,#REF!,8,0),0)</f>
        <v>0</v>
      </c>
      <c r="AY64" s="278">
        <f t="shared" si="18"/>
        <v>9.75</v>
      </c>
      <c r="AZ64" s="277">
        <f t="shared" si="19"/>
        <v>0</v>
      </c>
      <c r="BA64" s="266">
        <f>IFERROR(VLOOKUP(C64,#REF!,10,0),0)</f>
        <v>0</v>
      </c>
      <c r="BB64" s="268">
        <f t="shared" si="53"/>
        <v>150</v>
      </c>
      <c r="BC64" s="247">
        <f t="shared" si="54"/>
        <v>0</v>
      </c>
      <c r="BD64" s="216"/>
      <c r="BE64" s="213"/>
      <c r="BF64" s="213"/>
      <c r="BG64" s="216"/>
      <c r="BH64" s="213"/>
      <c r="BI64" s="213"/>
      <c r="BJ64" s="216">
        <f>IFERROR(VLOOKUP(C64,#REF!,9,0),0)</f>
        <v>0</v>
      </c>
      <c r="BK64" s="276">
        <f t="shared" si="55"/>
        <v>75</v>
      </c>
      <c r="BL64" s="213">
        <f t="shared" si="56"/>
        <v>0</v>
      </c>
      <c r="BM64" s="216"/>
      <c r="BN64" s="213"/>
      <c r="BO64" s="213"/>
      <c r="BP64" s="213"/>
      <c r="BQ64" s="213"/>
      <c r="BR64" s="213"/>
      <c r="BS64" s="213"/>
      <c r="BT64" s="213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3"/>
      <c r="CF64" s="215"/>
      <c r="CG64" s="215">
        <f t="shared" si="57"/>
        <v>7807.5</v>
      </c>
      <c r="CH64" s="256">
        <f>VLOOKUP(CX64,SSS_2025!A:N,8)</f>
        <v>1500</v>
      </c>
      <c r="CI64" s="217">
        <f>VLOOKUP(CX64,SSS_2025!A:N,13)</f>
        <v>750</v>
      </c>
      <c r="CJ64" s="217">
        <f>VLOOKUP(CX64,SSS_2025!A:N,9)</f>
        <v>30</v>
      </c>
      <c r="CK64" s="215">
        <v>391.25</v>
      </c>
      <c r="CL64" s="215">
        <v>391.25</v>
      </c>
      <c r="CM64" s="215">
        <v>200</v>
      </c>
      <c r="CN64" s="215">
        <v>200</v>
      </c>
      <c r="CO64" s="214">
        <f t="shared" si="58"/>
        <v>9928.75</v>
      </c>
      <c r="CP64" s="214">
        <f t="shared" si="59"/>
        <v>720</v>
      </c>
      <c r="CQ64" s="214">
        <f t="shared" si="60"/>
        <v>10648.75</v>
      </c>
      <c r="CR64" s="215"/>
      <c r="CS64" s="214">
        <f t="shared" si="61"/>
        <v>10648.75</v>
      </c>
      <c r="CT64" s="273">
        <f t="shared" si="62"/>
        <v>600</v>
      </c>
      <c r="CU64" s="244"/>
      <c r="CV64" s="269">
        <f>IFERROR(VLOOKUP(C64,'[2]BILLING COMPUTATION'!$C$8:$CI$224,85,0),0)</f>
        <v>6978.75</v>
      </c>
      <c r="CW64" s="243">
        <f t="shared" si="114"/>
        <v>7807.5</v>
      </c>
      <c r="CX64" s="245">
        <f t="shared" si="63"/>
        <v>14786.25</v>
      </c>
      <c r="CZ64" s="721">
        <f>IFERROR(VLOOKUP(C64,'[5]BILLING COMPUTATION'!$C$8:$CG$101,83,0),0)</f>
        <v>8036.25</v>
      </c>
      <c r="DA64" s="721">
        <f t="shared" si="29"/>
        <v>7807.5</v>
      </c>
      <c r="DB64" s="721">
        <f t="shared" si="30"/>
        <v>15843.75</v>
      </c>
      <c r="DC64" s="721">
        <f t="shared" si="31"/>
        <v>1057.5</v>
      </c>
    </row>
    <row r="65" spans="1:107" s="2" customFormat="1" ht="16.899999999999999" customHeight="1">
      <c r="A65" s="235">
        <v>61</v>
      </c>
      <c r="B65" s="265"/>
      <c r="C65" s="266">
        <v>14326</v>
      </c>
      <c r="D65" s="266" t="str">
        <f>VLOOKUP(E65,'F3 MS (2)'!E:F,2,0)</f>
        <v>GD250439</v>
      </c>
      <c r="E65" s="267" t="s">
        <v>318</v>
      </c>
      <c r="F65" s="266" t="str">
        <f>VLOOKUP(C65,'[1]ACTIVE GH'!$C:$I,7,0)</f>
        <v>METAL STAMPING</v>
      </c>
      <c r="G65" s="266" t="str">
        <f>VLOOKUP(C65,'[1]ACTIVE GH'!$C:$J,8,0)</f>
        <v>PRODUCTION</v>
      </c>
      <c r="H65" s="266" t="str">
        <f>VLOOKUP(C65,'[1]ACTIVE GH'!$C:$N,12,0)</f>
        <v>Operator 1</v>
      </c>
      <c r="I65" s="266" t="s">
        <v>180</v>
      </c>
      <c r="J65" s="266">
        <f>IFERROR(VLOOKUP(C65,PIVOT!A:B,2,0),0)</f>
        <v>96</v>
      </c>
      <c r="K65" s="237">
        <f t="shared" si="32"/>
        <v>12</v>
      </c>
      <c r="L65" s="237">
        <v>600</v>
      </c>
      <c r="M65" s="238">
        <f t="shared" si="33"/>
        <v>7200</v>
      </c>
      <c r="N65" s="266">
        <f>IFERROR(VLOOKUP(C65,PIVOT!A:F,6,0),0)</f>
        <v>0</v>
      </c>
      <c r="O65" s="239">
        <f t="shared" si="34"/>
        <v>1.25</v>
      </c>
      <c r="P65" s="238">
        <f t="shared" si="35"/>
        <v>0</v>
      </c>
      <c r="Q65" s="266">
        <f>IFERROR(VLOOKUP(C65,PIVOT!A:C,3,0),0)</f>
        <v>0</v>
      </c>
      <c r="R65" s="239">
        <f t="shared" si="36"/>
        <v>93.75</v>
      </c>
      <c r="S65" s="238">
        <f t="shared" si="37"/>
        <v>0</v>
      </c>
      <c r="T65" s="266">
        <f>IFERROR(VLOOKUP(C65,PIVOT!A:D,4,0),0)</f>
        <v>6</v>
      </c>
      <c r="U65" s="239">
        <f t="shared" si="38"/>
        <v>7.5</v>
      </c>
      <c r="V65" s="238">
        <f t="shared" si="39"/>
        <v>45</v>
      </c>
      <c r="W65" s="266">
        <f>IFERROR(VLOOKUP(C65,PIVOT!A:E,5,0),0)</f>
        <v>0</v>
      </c>
      <c r="X65" s="238">
        <f t="shared" si="40"/>
        <v>9.375</v>
      </c>
      <c r="Y65" s="238">
        <f t="shared" si="41"/>
        <v>0</v>
      </c>
      <c r="Z65" s="266">
        <f>IFERROR(VLOOKUP(C65,#REF!,6,0),0)</f>
        <v>0</v>
      </c>
      <c r="AA65" s="239">
        <f t="shared" si="42"/>
        <v>97.5</v>
      </c>
      <c r="AB65" s="238">
        <f t="shared" si="43"/>
        <v>0</v>
      </c>
      <c r="AC65" s="266"/>
      <c r="AD65" s="215">
        <f t="shared" si="44"/>
        <v>126.75</v>
      </c>
      <c r="AE65" s="214">
        <f t="shared" si="45"/>
        <v>0</v>
      </c>
      <c r="AF65" s="266">
        <f>IFERROR(VLOOKUP(C65,#REF!,8,0),0)</f>
        <v>0</v>
      </c>
      <c r="AG65" s="239">
        <f t="shared" si="46"/>
        <v>9.75</v>
      </c>
      <c r="AH65" s="238">
        <f t="shared" si="47"/>
        <v>0</v>
      </c>
      <c r="AI65" s="213"/>
      <c r="AJ65" s="213">
        <f t="shared" si="48"/>
        <v>112.5</v>
      </c>
      <c r="AK65" s="216">
        <f t="shared" si="49"/>
        <v>0</v>
      </c>
      <c r="AL65" s="213"/>
      <c r="AM65" s="213">
        <f t="shared" si="50"/>
        <v>146.25</v>
      </c>
      <c r="AN65" s="216">
        <v>0</v>
      </c>
      <c r="AO65" s="213"/>
      <c r="AP65" s="213">
        <f t="shared" si="51"/>
        <v>11.25</v>
      </c>
      <c r="AQ65" s="216">
        <f t="shared" si="52"/>
        <v>0</v>
      </c>
      <c r="AR65" s="266">
        <f>IFERROR(VLOOKUP(C65,#REF!,7,0),0)</f>
        <v>0</v>
      </c>
      <c r="AS65" s="278">
        <f t="shared" si="16"/>
        <v>97.5</v>
      </c>
      <c r="AT65" s="277">
        <f t="shared" si="17"/>
        <v>0</v>
      </c>
      <c r="AU65" s="266"/>
      <c r="AV65" s="213"/>
      <c r="AW65" s="216"/>
      <c r="AX65" s="213">
        <f>IFERROR(VLOOKUP(C65,#REF!,8,0),0)</f>
        <v>0</v>
      </c>
      <c r="AY65" s="278">
        <f t="shared" si="18"/>
        <v>9.75</v>
      </c>
      <c r="AZ65" s="277">
        <f t="shared" si="19"/>
        <v>0</v>
      </c>
      <c r="BA65" s="266">
        <f>IFERROR(VLOOKUP(C65,#REF!,10,0),0)</f>
        <v>0</v>
      </c>
      <c r="BB65" s="268">
        <f t="shared" si="53"/>
        <v>150</v>
      </c>
      <c r="BC65" s="247">
        <f t="shared" si="54"/>
        <v>0</v>
      </c>
      <c r="BD65" s="216"/>
      <c r="BE65" s="213"/>
      <c r="BF65" s="213"/>
      <c r="BG65" s="216"/>
      <c r="BH65" s="213"/>
      <c r="BI65" s="213"/>
      <c r="BJ65" s="216">
        <f>IFERROR(VLOOKUP(C65,#REF!,9,0),0)</f>
        <v>0</v>
      </c>
      <c r="BK65" s="276">
        <f t="shared" si="55"/>
        <v>75</v>
      </c>
      <c r="BL65" s="213">
        <f t="shared" si="56"/>
        <v>0</v>
      </c>
      <c r="BM65" s="216"/>
      <c r="BN65" s="213"/>
      <c r="BO65" s="213"/>
      <c r="BP65" s="213"/>
      <c r="BQ65" s="213"/>
      <c r="BR65" s="213"/>
      <c r="BS65" s="213"/>
      <c r="BT65" s="213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3"/>
      <c r="CF65" s="215"/>
      <c r="CG65" s="215">
        <f t="shared" si="57"/>
        <v>7245</v>
      </c>
      <c r="CH65" s="256">
        <f>VLOOKUP(CX65,SSS_2025!A:N,8)</f>
        <v>1850</v>
      </c>
      <c r="CI65" s="217">
        <f>VLOOKUP(CX65,SSS_2025!A:N,13)</f>
        <v>925</v>
      </c>
      <c r="CJ65" s="217">
        <f>VLOOKUP(CX65,SSS_2025!A:N,9)</f>
        <v>30</v>
      </c>
      <c r="CK65" s="215">
        <v>391.25</v>
      </c>
      <c r="CL65" s="215">
        <v>391.25</v>
      </c>
      <c r="CM65" s="215">
        <v>200</v>
      </c>
      <c r="CN65" s="215">
        <v>200</v>
      </c>
      <c r="CO65" s="214">
        <f t="shared" si="58"/>
        <v>9716.25</v>
      </c>
      <c r="CP65" s="214">
        <f t="shared" si="59"/>
        <v>720</v>
      </c>
      <c r="CQ65" s="214">
        <f t="shared" si="60"/>
        <v>10436.25</v>
      </c>
      <c r="CR65" s="215"/>
      <c r="CS65" s="214">
        <f t="shared" si="61"/>
        <v>10436.25</v>
      </c>
      <c r="CT65" s="273">
        <f t="shared" si="62"/>
        <v>600</v>
      </c>
      <c r="CU65" s="244"/>
      <c r="CV65" s="269">
        <f>IFERROR(VLOOKUP(C65,'[2]BILLING COMPUTATION'!$C$8:$CI$224,85,0),0)</f>
        <v>11216.25</v>
      </c>
      <c r="CW65" s="243">
        <f t="shared" si="114"/>
        <v>7245</v>
      </c>
      <c r="CX65" s="245">
        <f t="shared" si="63"/>
        <v>18461.25</v>
      </c>
      <c r="CZ65" s="721">
        <f>IFERROR(VLOOKUP(C65,'[5]BILLING COMPUTATION'!$C$8:$CG$101,83,0),0)</f>
        <v>10132.5</v>
      </c>
      <c r="DA65" s="721">
        <f t="shared" si="29"/>
        <v>7245</v>
      </c>
      <c r="DB65" s="721">
        <f t="shared" si="30"/>
        <v>17377.5</v>
      </c>
      <c r="DC65" s="721">
        <f t="shared" si="31"/>
        <v>-1083.75</v>
      </c>
    </row>
    <row r="66" spans="1:107" s="2" customFormat="1" ht="16.899999999999999" customHeight="1">
      <c r="A66" s="235">
        <v>62</v>
      </c>
      <c r="B66" s="265"/>
      <c r="C66" s="266">
        <v>14328</v>
      </c>
      <c r="D66" s="266" t="str">
        <f>VLOOKUP(E66,'F3 MS (2)'!E:F,2,0)</f>
        <v>GD250441</v>
      </c>
      <c r="E66" s="267" t="s">
        <v>316</v>
      </c>
      <c r="F66" s="266" t="str">
        <f>VLOOKUP(C66,'[1]ACTIVE GH'!$C:$I,7,0)</f>
        <v>METAL STAMPING</v>
      </c>
      <c r="G66" s="266" t="str">
        <f>VLOOKUP(C66,'[1]ACTIVE GH'!$C:$J,8,0)</f>
        <v>PRODUCTION</v>
      </c>
      <c r="H66" s="266" t="str">
        <f>VLOOKUP(C66,'[1]ACTIVE GH'!$C:$N,12,0)</f>
        <v>Operator 1</v>
      </c>
      <c r="I66" s="266" t="s">
        <v>180</v>
      </c>
      <c r="J66" s="266">
        <f>IFERROR(VLOOKUP(C66,PIVOT!A:B,2,0),0)</f>
        <v>88</v>
      </c>
      <c r="K66" s="237">
        <f t="shared" si="32"/>
        <v>11</v>
      </c>
      <c r="L66" s="237">
        <v>600</v>
      </c>
      <c r="M66" s="238">
        <f t="shared" si="33"/>
        <v>6600</v>
      </c>
      <c r="N66" s="266">
        <f>IFERROR(VLOOKUP(C66,PIVOT!A:F,6,0),0)</f>
        <v>0</v>
      </c>
      <c r="O66" s="239">
        <f t="shared" si="34"/>
        <v>1.25</v>
      </c>
      <c r="P66" s="238">
        <f t="shared" si="35"/>
        <v>0</v>
      </c>
      <c r="Q66" s="266">
        <f>IFERROR(VLOOKUP(C66,PIVOT!A:C,3,0),0)</f>
        <v>4</v>
      </c>
      <c r="R66" s="239">
        <f t="shared" si="36"/>
        <v>93.75</v>
      </c>
      <c r="S66" s="238">
        <f t="shared" si="37"/>
        <v>375</v>
      </c>
      <c r="T66" s="266">
        <f>IFERROR(VLOOKUP(C66,PIVOT!A:D,4,0),0)</f>
        <v>66</v>
      </c>
      <c r="U66" s="239">
        <f t="shared" si="38"/>
        <v>7.5</v>
      </c>
      <c r="V66" s="238">
        <f t="shared" si="39"/>
        <v>495</v>
      </c>
      <c r="W66" s="266">
        <f>IFERROR(VLOOKUP(C66,PIVOT!A:E,5,0),0)</f>
        <v>4</v>
      </c>
      <c r="X66" s="238">
        <f t="shared" si="40"/>
        <v>9.375</v>
      </c>
      <c r="Y66" s="238">
        <f t="shared" si="41"/>
        <v>37.5</v>
      </c>
      <c r="Z66" s="266">
        <f>IFERROR(VLOOKUP(C66,#REF!,6,0),0)</f>
        <v>0</v>
      </c>
      <c r="AA66" s="239">
        <f t="shared" si="42"/>
        <v>97.5</v>
      </c>
      <c r="AB66" s="238">
        <f t="shared" si="43"/>
        <v>0</v>
      </c>
      <c r="AC66" s="266"/>
      <c r="AD66" s="215">
        <f t="shared" si="44"/>
        <v>126.75</v>
      </c>
      <c r="AE66" s="214">
        <f t="shared" si="45"/>
        <v>0</v>
      </c>
      <c r="AF66" s="266">
        <f>IFERROR(VLOOKUP(C66,#REF!,8,0),0)</f>
        <v>0</v>
      </c>
      <c r="AG66" s="239">
        <f t="shared" si="46"/>
        <v>9.75</v>
      </c>
      <c r="AH66" s="238">
        <f t="shared" si="47"/>
        <v>0</v>
      </c>
      <c r="AI66" s="213"/>
      <c r="AJ66" s="213">
        <f t="shared" si="48"/>
        <v>112.5</v>
      </c>
      <c r="AK66" s="216">
        <f t="shared" si="49"/>
        <v>0</v>
      </c>
      <c r="AL66" s="213"/>
      <c r="AM66" s="213">
        <f t="shared" si="50"/>
        <v>146.25</v>
      </c>
      <c r="AN66" s="216">
        <v>0</v>
      </c>
      <c r="AO66" s="213"/>
      <c r="AP66" s="213">
        <f t="shared" si="51"/>
        <v>11.25</v>
      </c>
      <c r="AQ66" s="216">
        <f t="shared" si="52"/>
        <v>0</v>
      </c>
      <c r="AR66" s="266">
        <f>IFERROR(VLOOKUP(C66,#REF!,7,0),0)</f>
        <v>0</v>
      </c>
      <c r="AS66" s="278">
        <f t="shared" si="16"/>
        <v>97.5</v>
      </c>
      <c r="AT66" s="277">
        <f t="shared" si="17"/>
        <v>0</v>
      </c>
      <c r="AU66" s="266"/>
      <c r="AV66" s="213"/>
      <c r="AW66" s="216"/>
      <c r="AX66" s="213">
        <f>IFERROR(VLOOKUP(C66,#REF!,8,0),0)</f>
        <v>0</v>
      </c>
      <c r="AY66" s="278">
        <f t="shared" si="18"/>
        <v>9.75</v>
      </c>
      <c r="AZ66" s="277">
        <f t="shared" si="19"/>
        <v>0</v>
      </c>
      <c r="BA66" s="266">
        <f>IFERROR(VLOOKUP(C66,#REF!,10,0),0)</f>
        <v>0</v>
      </c>
      <c r="BB66" s="268">
        <f t="shared" si="53"/>
        <v>150</v>
      </c>
      <c r="BC66" s="247">
        <f t="shared" si="54"/>
        <v>0</v>
      </c>
      <c r="BD66" s="216"/>
      <c r="BE66" s="213"/>
      <c r="BF66" s="213"/>
      <c r="BG66" s="216"/>
      <c r="BH66" s="213"/>
      <c r="BI66" s="213"/>
      <c r="BJ66" s="216">
        <f>IFERROR(VLOOKUP(C66,#REF!,9,0),0)</f>
        <v>0</v>
      </c>
      <c r="BK66" s="276">
        <f t="shared" si="55"/>
        <v>75</v>
      </c>
      <c r="BL66" s="213">
        <f t="shared" si="56"/>
        <v>0</v>
      </c>
      <c r="BM66" s="216"/>
      <c r="BN66" s="213"/>
      <c r="BO66" s="213"/>
      <c r="BP66" s="213"/>
      <c r="BQ66" s="213"/>
      <c r="BR66" s="213"/>
      <c r="BS66" s="213"/>
      <c r="BT66" s="213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3"/>
      <c r="CF66" s="215"/>
      <c r="CG66" s="215">
        <f t="shared" si="57"/>
        <v>7507.5</v>
      </c>
      <c r="CH66" s="256">
        <f>VLOOKUP(CX66,SSS_2025!A:N,8)</f>
        <v>1800</v>
      </c>
      <c r="CI66" s="217">
        <f>VLOOKUP(CX66,SSS_2025!A:N,13)</f>
        <v>900</v>
      </c>
      <c r="CJ66" s="217">
        <f>VLOOKUP(CX66,SSS_2025!A:N,9)</f>
        <v>30</v>
      </c>
      <c r="CK66" s="215">
        <v>391.25</v>
      </c>
      <c r="CL66" s="215">
        <v>391.25</v>
      </c>
      <c r="CM66" s="215">
        <v>200</v>
      </c>
      <c r="CN66" s="215">
        <v>200</v>
      </c>
      <c r="CO66" s="214">
        <f t="shared" si="58"/>
        <v>9928.75</v>
      </c>
      <c r="CP66" s="214">
        <f t="shared" si="59"/>
        <v>660</v>
      </c>
      <c r="CQ66" s="214">
        <f t="shared" si="60"/>
        <v>10588.75</v>
      </c>
      <c r="CR66" s="215"/>
      <c r="CS66" s="214">
        <f t="shared" si="61"/>
        <v>10588.75</v>
      </c>
      <c r="CT66" s="273">
        <f t="shared" si="62"/>
        <v>550</v>
      </c>
      <c r="CU66" s="244"/>
      <c r="CV66" s="269">
        <f>IFERROR(VLOOKUP(C66,'[2]BILLING COMPUTATION'!$C$8:$CI$224,85,0),0)</f>
        <v>10698.75</v>
      </c>
      <c r="CW66" s="243">
        <f t="shared" si="114"/>
        <v>7507.5</v>
      </c>
      <c r="CX66" s="245">
        <f t="shared" si="63"/>
        <v>18206.25</v>
      </c>
      <c r="CZ66" s="721">
        <f>IFERROR(VLOOKUP(C66,'[5]BILLING COMPUTATION'!$C$8:$CG$101,83,0),0)</f>
        <v>8208.75</v>
      </c>
      <c r="DA66" s="721">
        <f t="shared" si="29"/>
        <v>7507.5</v>
      </c>
      <c r="DB66" s="721">
        <f t="shared" si="30"/>
        <v>15716.25</v>
      </c>
      <c r="DC66" s="721">
        <f t="shared" si="31"/>
        <v>-2490</v>
      </c>
    </row>
    <row r="67" spans="1:107" s="2" customFormat="1" ht="16.899999999999999" customHeight="1">
      <c r="A67" s="235">
        <v>63</v>
      </c>
      <c r="B67" s="265"/>
      <c r="C67" s="266">
        <v>10997</v>
      </c>
      <c r="D67" s="266" t="str">
        <f>VLOOKUP(E67,'F3 MS (2)'!E:F,2,0)</f>
        <v>GD250122</v>
      </c>
      <c r="E67" s="267" t="s">
        <v>243</v>
      </c>
      <c r="F67" s="266" t="str">
        <f>VLOOKUP(C67,'[1]ACTIVE GH'!$C:$I,7,0)</f>
        <v>METAL STAMPING</v>
      </c>
      <c r="G67" s="266" t="str">
        <f>VLOOKUP(C67,'[1]ACTIVE GH'!$C:$J,8,0)</f>
        <v>PRODUCTION</v>
      </c>
      <c r="H67" s="266" t="str">
        <f>VLOOKUP(C67,'[1]ACTIVE GH'!$C:$N,12,0)</f>
        <v>Operator 1</v>
      </c>
      <c r="I67" s="266" t="s">
        <v>180</v>
      </c>
      <c r="J67" s="266">
        <f>IFERROR(VLOOKUP(C67,PIVOT!A:B,2,0),0)</f>
        <v>88</v>
      </c>
      <c r="K67" s="237">
        <f t="shared" si="32"/>
        <v>11</v>
      </c>
      <c r="L67" s="237">
        <v>600</v>
      </c>
      <c r="M67" s="238">
        <f t="shared" si="33"/>
        <v>6600</v>
      </c>
      <c r="N67" s="266">
        <f>IFERROR(VLOOKUP(C67,PIVOT!A:F,6,0),0)</f>
        <v>0</v>
      </c>
      <c r="O67" s="239">
        <f t="shared" si="34"/>
        <v>1.25</v>
      </c>
      <c r="P67" s="238">
        <f t="shared" si="35"/>
        <v>0</v>
      </c>
      <c r="Q67" s="266">
        <f>IFERROR(VLOOKUP(C67,PIVOT!A:C,3,0),0)</f>
        <v>0</v>
      </c>
      <c r="R67" s="239">
        <f t="shared" si="36"/>
        <v>93.75</v>
      </c>
      <c r="S67" s="238">
        <f t="shared" si="37"/>
        <v>0</v>
      </c>
      <c r="T67" s="266">
        <f>IFERROR(VLOOKUP(C67,PIVOT!A:D,4,0),0)</f>
        <v>0</v>
      </c>
      <c r="U67" s="239">
        <f t="shared" si="38"/>
        <v>7.5</v>
      </c>
      <c r="V67" s="238">
        <f t="shared" si="39"/>
        <v>0</v>
      </c>
      <c r="W67" s="266">
        <f>IFERROR(VLOOKUP(C67,PIVOT!A:E,5,0),0)</f>
        <v>0</v>
      </c>
      <c r="X67" s="238">
        <f t="shared" si="40"/>
        <v>9.375</v>
      </c>
      <c r="Y67" s="238">
        <f t="shared" si="41"/>
        <v>0</v>
      </c>
      <c r="Z67" s="266">
        <f>IFERROR(VLOOKUP(C67,#REF!,6,0),0)</f>
        <v>0</v>
      </c>
      <c r="AA67" s="239">
        <f t="shared" si="42"/>
        <v>97.5</v>
      </c>
      <c r="AB67" s="238">
        <f t="shared" si="43"/>
        <v>0</v>
      </c>
      <c r="AC67" s="266"/>
      <c r="AD67" s="215">
        <f t="shared" si="44"/>
        <v>126.75</v>
      </c>
      <c r="AE67" s="214">
        <f t="shared" si="45"/>
        <v>0</v>
      </c>
      <c r="AF67" s="266">
        <f>IFERROR(VLOOKUP(C67,#REF!,8,0),0)</f>
        <v>0</v>
      </c>
      <c r="AG67" s="239">
        <f t="shared" si="46"/>
        <v>9.75</v>
      </c>
      <c r="AH67" s="238">
        <f t="shared" si="47"/>
        <v>0</v>
      </c>
      <c r="AI67" s="213"/>
      <c r="AJ67" s="213">
        <f t="shared" si="48"/>
        <v>112.5</v>
      </c>
      <c r="AK67" s="216">
        <f t="shared" si="49"/>
        <v>0</v>
      </c>
      <c r="AL67" s="213"/>
      <c r="AM67" s="213">
        <f t="shared" si="50"/>
        <v>146.25</v>
      </c>
      <c r="AN67" s="216">
        <v>0</v>
      </c>
      <c r="AO67" s="213"/>
      <c r="AP67" s="213">
        <f t="shared" si="51"/>
        <v>11.25</v>
      </c>
      <c r="AQ67" s="216">
        <f t="shared" si="52"/>
        <v>0</v>
      </c>
      <c r="AR67" s="266">
        <f>IFERROR(VLOOKUP(C67,#REF!,7,0),0)</f>
        <v>0</v>
      </c>
      <c r="AS67" s="278">
        <f t="shared" si="16"/>
        <v>97.5</v>
      </c>
      <c r="AT67" s="277">
        <f t="shared" si="17"/>
        <v>0</v>
      </c>
      <c r="AU67" s="266"/>
      <c r="AV67" s="213"/>
      <c r="AW67" s="216"/>
      <c r="AX67" s="213">
        <f>IFERROR(VLOOKUP(C67,#REF!,8,0),0)</f>
        <v>0</v>
      </c>
      <c r="AY67" s="278">
        <f t="shared" si="18"/>
        <v>9.75</v>
      </c>
      <c r="AZ67" s="277">
        <f t="shared" si="19"/>
        <v>0</v>
      </c>
      <c r="BA67" s="266">
        <f>IFERROR(VLOOKUP(C67,#REF!,10,0),0)</f>
        <v>0</v>
      </c>
      <c r="BB67" s="268">
        <f t="shared" si="53"/>
        <v>150</v>
      </c>
      <c r="BC67" s="247">
        <f t="shared" si="54"/>
        <v>0</v>
      </c>
      <c r="BD67" s="216"/>
      <c r="BE67" s="213"/>
      <c r="BF67" s="213"/>
      <c r="BG67" s="216"/>
      <c r="BH67" s="213"/>
      <c r="BI67" s="213"/>
      <c r="BJ67" s="216">
        <f>IFERROR(VLOOKUP(C67,#REF!,9,0),0)</f>
        <v>0</v>
      </c>
      <c r="BK67" s="276">
        <f t="shared" si="55"/>
        <v>75</v>
      </c>
      <c r="BL67" s="213">
        <f t="shared" si="56"/>
        <v>0</v>
      </c>
      <c r="BM67" s="216"/>
      <c r="BN67" s="213"/>
      <c r="BO67" s="213"/>
      <c r="BP67" s="213"/>
      <c r="BQ67" s="213"/>
      <c r="BR67" s="213"/>
      <c r="BS67" s="213"/>
      <c r="BT67" s="213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3"/>
      <c r="CF67" s="215"/>
      <c r="CG67" s="215">
        <f t="shared" si="57"/>
        <v>6600</v>
      </c>
      <c r="CH67" s="256">
        <f>VLOOKUP(CX67,SSS_2025!A:N,8)</f>
        <v>1700</v>
      </c>
      <c r="CI67" s="217">
        <f>VLOOKUP(CX67,SSS_2025!A:N,13)</f>
        <v>850</v>
      </c>
      <c r="CJ67" s="217">
        <f>VLOOKUP(CX67,SSS_2025!A:N,9)</f>
        <v>30</v>
      </c>
      <c r="CK67" s="215">
        <v>391.25</v>
      </c>
      <c r="CL67" s="215">
        <v>391.25</v>
      </c>
      <c r="CM67" s="215">
        <v>200</v>
      </c>
      <c r="CN67" s="215">
        <v>200</v>
      </c>
      <c r="CO67" s="214">
        <f t="shared" si="58"/>
        <v>8921.25</v>
      </c>
      <c r="CP67" s="214">
        <f t="shared" si="59"/>
        <v>660</v>
      </c>
      <c r="CQ67" s="214">
        <f t="shared" si="60"/>
        <v>9581.25</v>
      </c>
      <c r="CR67" s="215"/>
      <c r="CS67" s="214">
        <f t="shared" si="61"/>
        <v>9581.25</v>
      </c>
      <c r="CT67" s="273">
        <f t="shared" si="62"/>
        <v>550</v>
      </c>
      <c r="CU67" s="244"/>
      <c r="CV67" s="269">
        <f>IFERROR(VLOOKUP(C67,'[2]BILLING COMPUTATION'!$C$8:$CI$224,85,0),0)</f>
        <v>10597.5</v>
      </c>
      <c r="CW67" s="243">
        <f t="shared" si="114"/>
        <v>6600</v>
      </c>
      <c r="CX67" s="245">
        <f t="shared" si="63"/>
        <v>17197.5</v>
      </c>
      <c r="CZ67" s="721">
        <f>IFERROR(VLOOKUP(C67,'[5]BILLING COMPUTATION'!$C$8:$CG$101,83,0),0)</f>
        <v>8475</v>
      </c>
      <c r="DA67" s="721">
        <f t="shared" si="29"/>
        <v>6600</v>
      </c>
      <c r="DB67" s="721">
        <f t="shared" si="30"/>
        <v>15075</v>
      </c>
      <c r="DC67" s="721">
        <f t="shared" si="31"/>
        <v>-2122.5</v>
      </c>
    </row>
    <row r="68" spans="1:107" s="2" customFormat="1" ht="16.899999999999999" customHeight="1">
      <c r="A68" s="235">
        <v>64</v>
      </c>
      <c r="B68" s="265"/>
      <c r="C68" s="266">
        <v>10424</v>
      </c>
      <c r="D68" s="266" t="str">
        <f>VLOOKUP(E68,'F3 MS (2)'!E:F,2,0)</f>
        <v>GD250117</v>
      </c>
      <c r="E68" s="267" t="s">
        <v>343</v>
      </c>
      <c r="F68" s="266" t="str">
        <f>VLOOKUP(C68,'[1]ACTIVE GH'!$C:$I,7,0)</f>
        <v>METAL STAMPING</v>
      </c>
      <c r="G68" s="266" t="str">
        <f>VLOOKUP(C68,'[1]ACTIVE GH'!$C:$J,8,0)</f>
        <v>PRODUCTION</v>
      </c>
      <c r="H68" s="266" t="str">
        <f>VLOOKUP(C68,'[1]ACTIVE GH'!$C:$N,12,0)</f>
        <v>Operator 1</v>
      </c>
      <c r="I68" s="266" t="s">
        <v>180</v>
      </c>
      <c r="J68" s="266">
        <f>IFERROR(VLOOKUP(C68,PIVOT!A:B,2,0),0)</f>
        <v>96</v>
      </c>
      <c r="K68" s="237">
        <f t="shared" si="32"/>
        <v>12</v>
      </c>
      <c r="L68" s="237">
        <v>600</v>
      </c>
      <c r="M68" s="238">
        <f t="shared" si="33"/>
        <v>7200</v>
      </c>
      <c r="N68" s="266">
        <f>IFERROR(VLOOKUP(C68,PIVOT!A:F,6,0),0)</f>
        <v>0</v>
      </c>
      <c r="O68" s="239">
        <f t="shared" si="34"/>
        <v>1.25</v>
      </c>
      <c r="P68" s="238">
        <f t="shared" si="35"/>
        <v>0</v>
      </c>
      <c r="Q68" s="266">
        <f>IFERROR(VLOOKUP(C68,PIVOT!A:C,3,0),0)</f>
        <v>4</v>
      </c>
      <c r="R68" s="239">
        <f t="shared" si="36"/>
        <v>93.75</v>
      </c>
      <c r="S68" s="238">
        <f t="shared" si="37"/>
        <v>375</v>
      </c>
      <c r="T68" s="266">
        <f>IFERROR(VLOOKUP(C68,PIVOT!A:D,4,0),0)</f>
        <v>66</v>
      </c>
      <c r="U68" s="239">
        <f t="shared" si="38"/>
        <v>7.5</v>
      </c>
      <c r="V68" s="238">
        <f t="shared" si="39"/>
        <v>495</v>
      </c>
      <c r="W68" s="266">
        <f>IFERROR(VLOOKUP(C68,PIVOT!A:E,5,0),0)</f>
        <v>4</v>
      </c>
      <c r="X68" s="238">
        <f t="shared" si="40"/>
        <v>9.375</v>
      </c>
      <c r="Y68" s="238">
        <f t="shared" si="41"/>
        <v>37.5</v>
      </c>
      <c r="Z68" s="266">
        <f>IFERROR(VLOOKUP(C68,#REF!,6,0),0)</f>
        <v>0</v>
      </c>
      <c r="AA68" s="239">
        <f t="shared" si="42"/>
        <v>97.5</v>
      </c>
      <c r="AB68" s="238">
        <f t="shared" si="43"/>
        <v>0</v>
      </c>
      <c r="AC68" s="266"/>
      <c r="AD68" s="215">
        <f t="shared" si="44"/>
        <v>126.75</v>
      </c>
      <c r="AE68" s="214">
        <f t="shared" si="45"/>
        <v>0</v>
      </c>
      <c r="AF68" s="266">
        <f>IFERROR(VLOOKUP(C68,#REF!,8,0),0)</f>
        <v>0</v>
      </c>
      <c r="AG68" s="239">
        <f t="shared" si="46"/>
        <v>9.75</v>
      </c>
      <c r="AH68" s="238">
        <f t="shared" si="47"/>
        <v>0</v>
      </c>
      <c r="AI68" s="213"/>
      <c r="AJ68" s="213">
        <f t="shared" si="48"/>
        <v>112.5</v>
      </c>
      <c r="AK68" s="216">
        <f t="shared" si="49"/>
        <v>0</v>
      </c>
      <c r="AL68" s="213"/>
      <c r="AM68" s="213">
        <f t="shared" si="50"/>
        <v>146.25</v>
      </c>
      <c r="AN68" s="216">
        <v>0</v>
      </c>
      <c r="AO68" s="213"/>
      <c r="AP68" s="213">
        <f t="shared" si="51"/>
        <v>11.25</v>
      </c>
      <c r="AQ68" s="216">
        <f t="shared" si="52"/>
        <v>0</v>
      </c>
      <c r="AR68" s="266">
        <f>IFERROR(VLOOKUP(C68,#REF!,7,0),0)</f>
        <v>0</v>
      </c>
      <c r="AS68" s="278">
        <f t="shared" si="16"/>
        <v>97.5</v>
      </c>
      <c r="AT68" s="277">
        <f t="shared" si="17"/>
        <v>0</v>
      </c>
      <c r="AU68" s="266"/>
      <c r="AV68" s="213"/>
      <c r="AW68" s="216"/>
      <c r="AX68" s="213">
        <f>IFERROR(VLOOKUP(C68,#REF!,8,0),0)</f>
        <v>0</v>
      </c>
      <c r="AY68" s="278">
        <f t="shared" si="18"/>
        <v>9.75</v>
      </c>
      <c r="AZ68" s="277">
        <f t="shared" si="19"/>
        <v>0</v>
      </c>
      <c r="BA68" s="266">
        <f>IFERROR(VLOOKUP(C68,#REF!,10,0),0)</f>
        <v>0</v>
      </c>
      <c r="BB68" s="268">
        <f t="shared" si="53"/>
        <v>150</v>
      </c>
      <c r="BC68" s="247">
        <f t="shared" si="54"/>
        <v>0</v>
      </c>
      <c r="BD68" s="216"/>
      <c r="BE68" s="213"/>
      <c r="BF68" s="213"/>
      <c r="BG68" s="216"/>
      <c r="BH68" s="213"/>
      <c r="BI68" s="213"/>
      <c r="BJ68" s="216">
        <f>IFERROR(VLOOKUP(C68,#REF!,9,0),0)</f>
        <v>0</v>
      </c>
      <c r="BK68" s="276">
        <f t="shared" si="55"/>
        <v>75</v>
      </c>
      <c r="BL68" s="213">
        <f t="shared" si="56"/>
        <v>0</v>
      </c>
      <c r="BM68" s="216"/>
      <c r="BN68" s="213"/>
      <c r="BO68" s="213"/>
      <c r="BP68" s="213"/>
      <c r="BQ68" s="213"/>
      <c r="BR68" s="213"/>
      <c r="BS68" s="213"/>
      <c r="BT68" s="213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3"/>
      <c r="CF68" s="215"/>
      <c r="CG68" s="215">
        <f t="shared" si="57"/>
        <v>8107.5</v>
      </c>
      <c r="CH68" s="256">
        <f>VLOOKUP(CX68,SSS_2025!A:N,8)</f>
        <v>1900</v>
      </c>
      <c r="CI68" s="217">
        <f>VLOOKUP(CX68,SSS_2025!A:N,13)</f>
        <v>950</v>
      </c>
      <c r="CJ68" s="217">
        <f>VLOOKUP(CX68,SSS_2025!A:N,9)</f>
        <v>30</v>
      </c>
      <c r="CK68" s="215">
        <v>391.25</v>
      </c>
      <c r="CL68" s="215">
        <v>391.25</v>
      </c>
      <c r="CM68" s="215">
        <v>200</v>
      </c>
      <c r="CN68" s="215">
        <v>200</v>
      </c>
      <c r="CO68" s="214">
        <f t="shared" si="58"/>
        <v>10628.75</v>
      </c>
      <c r="CP68" s="214">
        <f t="shared" si="59"/>
        <v>720</v>
      </c>
      <c r="CQ68" s="214">
        <f t="shared" si="60"/>
        <v>11348.75</v>
      </c>
      <c r="CR68" s="215"/>
      <c r="CS68" s="214">
        <f t="shared" si="61"/>
        <v>11348.75</v>
      </c>
      <c r="CT68" s="273">
        <f t="shared" si="62"/>
        <v>600</v>
      </c>
      <c r="CU68" s="244"/>
      <c r="CV68" s="269">
        <f>IFERROR(VLOOKUP(C68,'[2]BILLING COMPUTATION'!$C$8:$CI$224,85,0),0)</f>
        <v>10698.75</v>
      </c>
      <c r="CW68" s="243">
        <f t="shared" si="114"/>
        <v>8107.5</v>
      </c>
      <c r="CX68" s="245">
        <f t="shared" si="63"/>
        <v>18806.25</v>
      </c>
      <c r="CZ68" s="721">
        <f>IFERROR(VLOOKUP(C68,'[5]BILLING COMPUTATION'!$C$8:$CG$101,83,0),0)</f>
        <v>8621.25</v>
      </c>
      <c r="DA68" s="721">
        <f t="shared" si="29"/>
        <v>8107.5</v>
      </c>
      <c r="DB68" s="721">
        <f t="shared" si="30"/>
        <v>16728.75</v>
      </c>
      <c r="DC68" s="721">
        <f t="shared" si="31"/>
        <v>-2077.5</v>
      </c>
    </row>
    <row r="69" spans="1:107" s="2" customFormat="1" ht="16.899999999999999" customHeight="1">
      <c r="A69" s="235">
        <v>65</v>
      </c>
      <c r="B69" s="265"/>
      <c r="C69" s="266">
        <v>8176</v>
      </c>
      <c r="D69" s="266" t="str">
        <f>VLOOKUP(E69,'F3 MS (2)'!E:F,2,0)</f>
        <v>GD250051</v>
      </c>
      <c r="E69" s="267" t="s">
        <v>200</v>
      </c>
      <c r="F69" s="266" t="str">
        <f>VLOOKUP(C69,'[1]ACTIVE GH'!$C:$I,7,0)</f>
        <v>METAL STAMPING</v>
      </c>
      <c r="G69" s="266" t="str">
        <f>VLOOKUP(C69,'[1]ACTIVE GH'!$C:$J,8,0)</f>
        <v>PRODUCTION</v>
      </c>
      <c r="H69" s="266" t="str">
        <f>VLOOKUP(C69,'[1]ACTIVE GH'!$C:$N,12,0)</f>
        <v>Operator 1</v>
      </c>
      <c r="I69" s="266" t="s">
        <v>180</v>
      </c>
      <c r="J69" s="266">
        <f>IFERROR(VLOOKUP(C69,PIVOT!A:B,2,0),0)</f>
        <v>72</v>
      </c>
      <c r="K69" s="237">
        <f t="shared" si="32"/>
        <v>9</v>
      </c>
      <c r="L69" s="237">
        <v>600</v>
      </c>
      <c r="M69" s="238">
        <f t="shared" si="33"/>
        <v>5400</v>
      </c>
      <c r="N69" s="266">
        <f>IFERROR(VLOOKUP(C69,PIVOT!A:F,6,0),0)</f>
        <v>0</v>
      </c>
      <c r="O69" s="239">
        <f t="shared" si="34"/>
        <v>1.25</v>
      </c>
      <c r="P69" s="238">
        <f t="shared" si="35"/>
        <v>0</v>
      </c>
      <c r="Q69" s="266">
        <f>IFERROR(VLOOKUP(C69,PIVOT!A:C,3,0),0)</f>
        <v>4</v>
      </c>
      <c r="R69" s="239">
        <f t="shared" si="36"/>
        <v>93.75</v>
      </c>
      <c r="S69" s="238">
        <f t="shared" si="37"/>
        <v>375</v>
      </c>
      <c r="T69" s="266">
        <f>IFERROR(VLOOKUP(C69,PIVOT!A:D,4,0),0)</f>
        <v>48</v>
      </c>
      <c r="U69" s="239">
        <f t="shared" si="38"/>
        <v>7.5</v>
      </c>
      <c r="V69" s="238">
        <f t="shared" si="39"/>
        <v>360</v>
      </c>
      <c r="W69" s="266">
        <f>IFERROR(VLOOKUP(C69,PIVOT!A:E,5,0),0)</f>
        <v>4</v>
      </c>
      <c r="X69" s="238">
        <f t="shared" si="40"/>
        <v>9.375</v>
      </c>
      <c r="Y69" s="238">
        <f t="shared" si="41"/>
        <v>37.5</v>
      </c>
      <c r="Z69" s="266">
        <f>IFERROR(VLOOKUP(C69,#REF!,6,0),0)</f>
        <v>0</v>
      </c>
      <c r="AA69" s="239">
        <f t="shared" si="42"/>
        <v>97.5</v>
      </c>
      <c r="AB69" s="238">
        <f t="shared" si="43"/>
        <v>0</v>
      </c>
      <c r="AC69" s="266"/>
      <c r="AD69" s="215">
        <f t="shared" si="44"/>
        <v>126.75</v>
      </c>
      <c r="AE69" s="214">
        <f t="shared" si="45"/>
        <v>0</v>
      </c>
      <c r="AF69" s="266">
        <f>IFERROR(VLOOKUP(C69,#REF!,8,0),0)</f>
        <v>0</v>
      </c>
      <c r="AG69" s="239">
        <f t="shared" si="46"/>
        <v>9.75</v>
      </c>
      <c r="AH69" s="238">
        <f t="shared" si="47"/>
        <v>0</v>
      </c>
      <c r="AI69" s="213"/>
      <c r="AJ69" s="213">
        <f t="shared" si="48"/>
        <v>112.5</v>
      </c>
      <c r="AK69" s="216">
        <f t="shared" si="49"/>
        <v>0</v>
      </c>
      <c r="AL69" s="213"/>
      <c r="AM69" s="213">
        <f t="shared" si="50"/>
        <v>146.25</v>
      </c>
      <c r="AN69" s="216">
        <v>0</v>
      </c>
      <c r="AO69" s="213"/>
      <c r="AP69" s="213">
        <f t="shared" si="51"/>
        <v>11.25</v>
      </c>
      <c r="AQ69" s="216">
        <f t="shared" si="52"/>
        <v>0</v>
      </c>
      <c r="AR69" s="266">
        <f>IFERROR(VLOOKUP(C69,#REF!,7,0),0)</f>
        <v>0</v>
      </c>
      <c r="AS69" s="278">
        <f t="shared" si="16"/>
        <v>97.5</v>
      </c>
      <c r="AT69" s="277">
        <f t="shared" si="17"/>
        <v>0</v>
      </c>
      <c r="AU69" s="266"/>
      <c r="AV69" s="213"/>
      <c r="AW69" s="216"/>
      <c r="AX69" s="213">
        <f>IFERROR(VLOOKUP(C69,#REF!,8,0),0)</f>
        <v>0</v>
      </c>
      <c r="AY69" s="278">
        <f t="shared" si="18"/>
        <v>9.75</v>
      </c>
      <c r="AZ69" s="277">
        <f t="shared" si="19"/>
        <v>0</v>
      </c>
      <c r="BA69" s="266">
        <f>IFERROR(VLOOKUP(C69,#REF!,10,0),0)</f>
        <v>0</v>
      </c>
      <c r="BB69" s="268">
        <f t="shared" si="53"/>
        <v>150</v>
      </c>
      <c r="BC69" s="247">
        <f t="shared" si="54"/>
        <v>0</v>
      </c>
      <c r="BD69" s="216"/>
      <c r="BE69" s="213"/>
      <c r="BF69" s="213"/>
      <c r="BG69" s="216"/>
      <c r="BH69" s="213"/>
      <c r="BI69" s="213"/>
      <c r="BJ69" s="216">
        <f>IFERROR(VLOOKUP(C69,#REF!,9,0),0)</f>
        <v>0</v>
      </c>
      <c r="BK69" s="276">
        <f t="shared" si="55"/>
        <v>75</v>
      </c>
      <c r="BL69" s="213">
        <f t="shared" si="56"/>
        <v>0</v>
      </c>
      <c r="BM69" s="216"/>
      <c r="BN69" s="213"/>
      <c r="BO69" s="213"/>
      <c r="BP69" s="213"/>
      <c r="BQ69" s="213"/>
      <c r="BR69" s="213"/>
      <c r="BS69" s="213"/>
      <c r="BT69" s="213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3"/>
      <c r="CF69" s="215"/>
      <c r="CG69" s="215">
        <f t="shared" si="57"/>
        <v>6172.5</v>
      </c>
      <c r="CH69" s="256">
        <f>VLOOKUP(CX69,SSS_2025!A:N,8)</f>
        <v>1150</v>
      </c>
      <c r="CI69" s="217">
        <f>VLOOKUP(CX69,SSS_2025!A:N,13)</f>
        <v>575</v>
      </c>
      <c r="CJ69" s="217">
        <f>VLOOKUP(CX69,SSS_2025!A:N,9)</f>
        <v>10</v>
      </c>
      <c r="CK69" s="215">
        <v>391.25</v>
      </c>
      <c r="CL69" s="215">
        <v>391.25</v>
      </c>
      <c r="CM69" s="215">
        <v>200</v>
      </c>
      <c r="CN69" s="215">
        <v>200</v>
      </c>
      <c r="CO69" s="214">
        <f t="shared" si="58"/>
        <v>7923.75</v>
      </c>
      <c r="CP69" s="214">
        <f t="shared" si="59"/>
        <v>540</v>
      </c>
      <c r="CQ69" s="214">
        <f t="shared" si="60"/>
        <v>8463.75</v>
      </c>
      <c r="CR69" s="215"/>
      <c r="CS69" s="214">
        <f t="shared" si="61"/>
        <v>8463.75</v>
      </c>
      <c r="CT69" s="273">
        <f t="shared" si="62"/>
        <v>450</v>
      </c>
      <c r="CU69" s="244"/>
      <c r="CV69" s="269">
        <f>IFERROR(VLOOKUP(C69,'[2]BILLING COMPUTATION'!$C$8:$CI$224,85,0),0)</f>
        <v>5325</v>
      </c>
      <c r="CW69" s="243">
        <f t="shared" si="114"/>
        <v>6172.5</v>
      </c>
      <c r="CX69" s="245">
        <f t="shared" si="63"/>
        <v>11497.5</v>
      </c>
      <c r="CZ69" s="721">
        <f>IFERROR(VLOOKUP(C69,'[5]BILLING COMPUTATION'!$C$8:$CG$101,83,0),0)</f>
        <v>9596.25</v>
      </c>
      <c r="DA69" s="721">
        <f t="shared" si="29"/>
        <v>6172.5</v>
      </c>
      <c r="DB69" s="721">
        <f t="shared" si="30"/>
        <v>15768.75</v>
      </c>
      <c r="DC69" s="721">
        <f t="shared" si="31"/>
        <v>4271.25</v>
      </c>
    </row>
    <row r="70" spans="1:107" s="2" customFormat="1" ht="16.899999999999999" customHeight="1">
      <c r="A70" s="235">
        <v>66</v>
      </c>
      <c r="B70" s="265"/>
      <c r="C70" s="266">
        <v>11742</v>
      </c>
      <c r="D70" s="266" t="str">
        <f>VLOOKUP(E70,'F3 MS (2)'!E:F,2,0)</f>
        <v>GD250174</v>
      </c>
      <c r="E70" s="267" t="s">
        <v>281</v>
      </c>
      <c r="F70" s="266" t="str">
        <f>VLOOKUP(C70,'[1]ACTIVE GH'!$C:$I,7,0)</f>
        <v>METAL STAMPING</v>
      </c>
      <c r="G70" s="266" t="str">
        <f>VLOOKUP(C70,'[1]ACTIVE GH'!$C:$J,8,0)</f>
        <v>PRODUCTION</v>
      </c>
      <c r="H70" s="266" t="str">
        <f>VLOOKUP(C70,'[1]ACTIVE GH'!$C:$N,12,0)</f>
        <v>Operator 1</v>
      </c>
      <c r="I70" s="266" t="s">
        <v>180</v>
      </c>
      <c r="J70" s="266">
        <f>IFERROR(VLOOKUP(C70,PIVOT!A:B,2,0),0)</f>
        <v>96</v>
      </c>
      <c r="K70" s="237">
        <f t="shared" ref="K70:K98" si="115">J70/8</f>
        <v>12</v>
      </c>
      <c r="L70" s="237">
        <v>600</v>
      </c>
      <c r="M70" s="238">
        <f t="shared" si="33"/>
        <v>7200</v>
      </c>
      <c r="N70" s="266">
        <f>IFERROR(VLOOKUP(C70,PIVOT!A:F,6,0),0)</f>
        <v>0</v>
      </c>
      <c r="O70" s="239">
        <f t="shared" ref="O70:O98" si="116">L70/8/60</f>
        <v>1.25</v>
      </c>
      <c r="P70" s="238">
        <f t="shared" si="35"/>
        <v>0</v>
      </c>
      <c r="Q70" s="266">
        <f>IFERROR(VLOOKUP(C70,PIVOT!A:C,3,0),0)</f>
        <v>16</v>
      </c>
      <c r="R70" s="239">
        <f t="shared" ref="R70:R98" si="117">L70/8*1.25</f>
        <v>93.75</v>
      </c>
      <c r="S70" s="238">
        <f t="shared" ref="S70:S98" si="118">Q70*R70</f>
        <v>1500</v>
      </c>
      <c r="T70" s="266">
        <f>IFERROR(VLOOKUP(C70,PIVOT!A:D,4,0),0)</f>
        <v>6</v>
      </c>
      <c r="U70" s="239">
        <f t="shared" si="38"/>
        <v>7.5</v>
      </c>
      <c r="V70" s="238">
        <f t="shared" si="39"/>
        <v>45</v>
      </c>
      <c r="W70" s="266">
        <f>IFERROR(VLOOKUP(C70,PIVOT!A:E,5,0),0)</f>
        <v>0</v>
      </c>
      <c r="X70" s="238">
        <f t="shared" ref="X70:X98" si="119">L70/8*1.25*0.1</f>
        <v>9.375</v>
      </c>
      <c r="Y70" s="238">
        <f t="shared" si="41"/>
        <v>0</v>
      </c>
      <c r="Z70" s="266">
        <f>IFERROR(VLOOKUP(C70,#REF!,6,0),0)</f>
        <v>0</v>
      </c>
      <c r="AA70" s="239">
        <f t="shared" ref="AA70:AA98" si="120">L70/8*1.3</f>
        <v>97.5</v>
      </c>
      <c r="AB70" s="238">
        <f t="shared" ref="AB70:AB98" si="121">Z70*AA70</f>
        <v>0</v>
      </c>
      <c r="AC70" s="266"/>
      <c r="AD70" s="215">
        <f t="shared" ref="AD70:AD98" si="122">L70/8*1.69</f>
        <v>126.75</v>
      </c>
      <c r="AE70" s="214">
        <f t="shared" ref="AE70:AE98" si="123">AD70*AC70</f>
        <v>0</v>
      </c>
      <c r="AF70" s="266">
        <f>IFERROR(VLOOKUP(C70,#REF!,8,0),0)</f>
        <v>0</v>
      </c>
      <c r="AG70" s="239">
        <f t="shared" ref="AG70:AG98" si="124">L70/8*1.3*0.1</f>
        <v>9.75</v>
      </c>
      <c r="AH70" s="238">
        <f t="shared" ref="AH70:AH98" si="125">AF70*AG70</f>
        <v>0</v>
      </c>
      <c r="AI70" s="213"/>
      <c r="AJ70" s="213">
        <f t="shared" ref="AJ70:AJ98" si="126">L70/8*1.5</f>
        <v>112.5</v>
      </c>
      <c r="AK70" s="216">
        <f t="shared" ref="AK70:AK98" si="127">AI70*AJ70</f>
        <v>0</v>
      </c>
      <c r="AL70" s="213"/>
      <c r="AM70" s="213">
        <f t="shared" ref="AM70:AM98" si="128">L70/8*1.5*1.3</f>
        <v>146.25</v>
      </c>
      <c r="AN70" s="216">
        <v>0</v>
      </c>
      <c r="AO70" s="213"/>
      <c r="AP70" s="213">
        <f t="shared" ref="AP70:AP98" si="129">L70/8*1.5*0.1</f>
        <v>11.25</v>
      </c>
      <c r="AQ70" s="216">
        <f t="shared" ref="AQ70:AQ98" si="130">AO70*AP70</f>
        <v>0</v>
      </c>
      <c r="AR70" s="266">
        <f>IFERROR(VLOOKUP(C70,#REF!,7,0),0)</f>
        <v>0</v>
      </c>
      <c r="AS70" s="278">
        <f t="shared" ref="AS70:AS98" si="131">L70/8*1.3</f>
        <v>97.5</v>
      </c>
      <c r="AT70" s="277">
        <f t="shared" ref="AT70:AT98" si="132">AR70*AS70</f>
        <v>0</v>
      </c>
      <c r="AU70" s="266"/>
      <c r="AV70" s="213"/>
      <c r="AW70" s="216"/>
      <c r="AX70" s="213">
        <f>IFERROR(VLOOKUP(C70,#REF!,8,0),0)</f>
        <v>0</v>
      </c>
      <c r="AY70" s="278">
        <f t="shared" ref="AY70:AY98" si="133">L70/8*1.3*0.1</f>
        <v>9.75</v>
      </c>
      <c r="AZ70" s="277">
        <f t="shared" ref="AZ70:AZ98" si="134">AX70*AY70</f>
        <v>0</v>
      </c>
      <c r="BA70" s="266">
        <f>IFERROR(VLOOKUP(C70,#REF!,10,0),0)</f>
        <v>0</v>
      </c>
      <c r="BB70" s="268">
        <f t="shared" ref="BB70:BB98" si="135">600/8*2</f>
        <v>150</v>
      </c>
      <c r="BC70" s="247">
        <f t="shared" ref="BC70:BC98" si="136">BA70*BB70</f>
        <v>0</v>
      </c>
      <c r="BD70" s="216"/>
      <c r="BE70" s="213"/>
      <c r="BF70" s="213"/>
      <c r="BG70" s="216"/>
      <c r="BH70" s="213"/>
      <c r="BI70" s="213"/>
      <c r="BJ70" s="216">
        <f>IFERROR(VLOOKUP(C70,#REF!,9,0),0)</f>
        <v>0</v>
      </c>
      <c r="BK70" s="276">
        <f t="shared" ref="BK70:BK98" si="137">L70/8</f>
        <v>75</v>
      </c>
      <c r="BL70" s="213">
        <f t="shared" ref="BL70:BL98" si="138">BJ70*BK70</f>
        <v>0</v>
      </c>
      <c r="BM70" s="216"/>
      <c r="BN70" s="213"/>
      <c r="BO70" s="213"/>
      <c r="BP70" s="213"/>
      <c r="BQ70" s="213"/>
      <c r="BR70" s="213"/>
      <c r="BS70" s="213"/>
      <c r="BT70" s="213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3"/>
      <c r="CF70" s="215"/>
      <c r="CG70" s="215">
        <f t="shared" si="57"/>
        <v>8745</v>
      </c>
      <c r="CH70" s="256">
        <f>VLOOKUP(CX70,SSS_2025!A:N,8)</f>
        <v>1900</v>
      </c>
      <c r="CI70" s="217">
        <f>VLOOKUP(CX70,SSS_2025!A:N,13)</f>
        <v>950</v>
      </c>
      <c r="CJ70" s="217">
        <f>VLOOKUP(CX70,SSS_2025!A:N,9)</f>
        <v>30</v>
      </c>
      <c r="CK70" s="215">
        <v>391.25</v>
      </c>
      <c r="CL70" s="215">
        <v>391.25</v>
      </c>
      <c r="CM70" s="215">
        <v>200</v>
      </c>
      <c r="CN70" s="215">
        <v>200</v>
      </c>
      <c r="CO70" s="214">
        <f t="shared" si="58"/>
        <v>11266.25</v>
      </c>
      <c r="CP70" s="214">
        <f t="shared" si="59"/>
        <v>720</v>
      </c>
      <c r="CQ70" s="214">
        <f t="shared" si="60"/>
        <v>11986.25</v>
      </c>
      <c r="CR70" s="215"/>
      <c r="CS70" s="214">
        <f t="shared" si="61"/>
        <v>11986.25</v>
      </c>
      <c r="CT70" s="273">
        <f t="shared" si="62"/>
        <v>600</v>
      </c>
      <c r="CU70" s="244"/>
      <c r="CV70" s="269">
        <f>IFERROR(VLOOKUP(C70,'[2]BILLING COMPUTATION'!$C$8:$CI$224,85,0),0)</f>
        <v>10492.5</v>
      </c>
      <c r="CW70" s="243">
        <f t="shared" si="114"/>
        <v>8745</v>
      </c>
      <c r="CX70" s="245">
        <f t="shared" ref="CX70:CX98" si="139">CV70+CW70</f>
        <v>19237.5</v>
      </c>
      <c r="CZ70" s="721">
        <f>IFERROR(VLOOKUP(C70,'[5]BILLING COMPUTATION'!$C$8:$CG$101,83,0),0)</f>
        <v>11418.75</v>
      </c>
      <c r="DA70" s="721">
        <f t="shared" si="29"/>
        <v>8745</v>
      </c>
      <c r="DB70" s="721">
        <f t="shared" si="30"/>
        <v>20163.75</v>
      </c>
      <c r="DC70" s="721">
        <f t="shared" si="31"/>
        <v>926.25</v>
      </c>
    </row>
    <row r="71" spans="1:107" s="2" customFormat="1" ht="16.899999999999999" customHeight="1">
      <c r="A71" s="235">
        <v>67</v>
      </c>
      <c r="B71" s="265"/>
      <c r="C71" s="266">
        <v>32494</v>
      </c>
      <c r="D71" s="266" t="str">
        <f>VLOOKUP(E71,'F3 MS (2)'!E:F,2,0)</f>
        <v>GD260705</v>
      </c>
      <c r="E71" s="267" t="s">
        <v>364</v>
      </c>
      <c r="F71" s="266" t="str">
        <f>VLOOKUP(C71,'[1]ACTIVE GH'!$C:$I,7,0)</f>
        <v>METAL STAMPING</v>
      </c>
      <c r="G71" s="266" t="str">
        <f>VLOOKUP(C71,'[1]ACTIVE GH'!$C:$J,8,0)</f>
        <v>PRODUCTION</v>
      </c>
      <c r="H71" s="266" t="str">
        <f>VLOOKUP(C71,'[1]ACTIVE GH'!$C:$N,12,0)</f>
        <v>Operator 1</v>
      </c>
      <c r="I71" s="266" t="s">
        <v>180</v>
      </c>
      <c r="J71" s="266">
        <f>IFERROR(VLOOKUP(C71,PIVOT!A:B,2,0),0)</f>
        <v>96</v>
      </c>
      <c r="K71" s="237">
        <f t="shared" si="115"/>
        <v>12</v>
      </c>
      <c r="L71" s="237">
        <v>600</v>
      </c>
      <c r="M71" s="238">
        <f t="shared" si="33"/>
        <v>7200</v>
      </c>
      <c r="N71" s="266">
        <f>IFERROR(VLOOKUP(C71,PIVOT!A:F,6,0),0)</f>
        <v>0</v>
      </c>
      <c r="O71" s="239">
        <f t="shared" si="116"/>
        <v>1.25</v>
      </c>
      <c r="P71" s="238">
        <f t="shared" si="35"/>
        <v>0</v>
      </c>
      <c r="Q71" s="266">
        <f>IFERROR(VLOOKUP(C71,PIVOT!A:C,3,0),0)</f>
        <v>12</v>
      </c>
      <c r="R71" s="239">
        <f t="shared" si="117"/>
        <v>93.75</v>
      </c>
      <c r="S71" s="238">
        <f t="shared" si="118"/>
        <v>1125</v>
      </c>
      <c r="T71" s="266">
        <f>IFERROR(VLOOKUP(C71,PIVOT!A:D,4,0),0)</f>
        <v>0</v>
      </c>
      <c r="U71" s="239">
        <f t="shared" si="38"/>
        <v>7.5</v>
      </c>
      <c r="V71" s="238">
        <f t="shared" si="39"/>
        <v>0</v>
      </c>
      <c r="W71" s="266">
        <f>IFERROR(VLOOKUP(C71,PIVOT!A:E,5,0),0)</f>
        <v>0</v>
      </c>
      <c r="X71" s="238">
        <f t="shared" si="119"/>
        <v>9.375</v>
      </c>
      <c r="Y71" s="238">
        <f t="shared" si="41"/>
        <v>0</v>
      </c>
      <c r="Z71" s="266">
        <f>IFERROR(VLOOKUP(C71,#REF!,6,0),0)</f>
        <v>0</v>
      </c>
      <c r="AA71" s="239">
        <f t="shared" si="120"/>
        <v>97.5</v>
      </c>
      <c r="AB71" s="238">
        <f t="shared" si="121"/>
        <v>0</v>
      </c>
      <c r="AC71" s="266"/>
      <c r="AD71" s="215">
        <f t="shared" si="122"/>
        <v>126.75</v>
      </c>
      <c r="AE71" s="214">
        <f t="shared" si="123"/>
        <v>0</v>
      </c>
      <c r="AF71" s="266">
        <f>IFERROR(VLOOKUP(C71,#REF!,8,0),0)</f>
        <v>0</v>
      </c>
      <c r="AG71" s="239">
        <f t="shared" si="124"/>
        <v>9.75</v>
      </c>
      <c r="AH71" s="238">
        <f t="shared" si="125"/>
        <v>0</v>
      </c>
      <c r="AI71" s="213"/>
      <c r="AJ71" s="213">
        <f t="shared" si="126"/>
        <v>112.5</v>
      </c>
      <c r="AK71" s="216">
        <f t="shared" si="127"/>
        <v>0</v>
      </c>
      <c r="AL71" s="213"/>
      <c r="AM71" s="213">
        <f t="shared" si="128"/>
        <v>146.25</v>
      </c>
      <c r="AN71" s="216">
        <v>0</v>
      </c>
      <c r="AO71" s="213"/>
      <c r="AP71" s="213">
        <f t="shared" si="129"/>
        <v>11.25</v>
      </c>
      <c r="AQ71" s="216">
        <f t="shared" si="130"/>
        <v>0</v>
      </c>
      <c r="AR71" s="266">
        <f>IFERROR(VLOOKUP(C71,#REF!,7,0),0)</f>
        <v>0</v>
      </c>
      <c r="AS71" s="278">
        <f t="shared" si="131"/>
        <v>97.5</v>
      </c>
      <c r="AT71" s="277">
        <f t="shared" si="132"/>
        <v>0</v>
      </c>
      <c r="AU71" s="266"/>
      <c r="AV71" s="213"/>
      <c r="AW71" s="216"/>
      <c r="AX71" s="213">
        <f>IFERROR(VLOOKUP(C71,#REF!,8,0),0)</f>
        <v>0</v>
      </c>
      <c r="AY71" s="278">
        <f t="shared" si="133"/>
        <v>9.75</v>
      </c>
      <c r="AZ71" s="277">
        <f t="shared" si="134"/>
        <v>0</v>
      </c>
      <c r="BA71" s="266">
        <f>IFERROR(VLOOKUP(C71,#REF!,10,0),0)</f>
        <v>0</v>
      </c>
      <c r="BB71" s="268">
        <f t="shared" si="135"/>
        <v>150</v>
      </c>
      <c r="BC71" s="247">
        <f t="shared" si="136"/>
        <v>0</v>
      </c>
      <c r="BD71" s="216"/>
      <c r="BE71" s="213"/>
      <c r="BF71" s="213"/>
      <c r="BG71" s="216"/>
      <c r="BH71" s="213"/>
      <c r="BI71" s="213"/>
      <c r="BJ71" s="216">
        <f>IFERROR(VLOOKUP(C71,#REF!,9,0),0)</f>
        <v>0</v>
      </c>
      <c r="BK71" s="276">
        <f t="shared" si="137"/>
        <v>75</v>
      </c>
      <c r="BL71" s="213">
        <f t="shared" si="138"/>
        <v>0</v>
      </c>
      <c r="BM71" s="216"/>
      <c r="BN71" s="213"/>
      <c r="BO71" s="213"/>
      <c r="BP71" s="213"/>
      <c r="BQ71" s="213"/>
      <c r="BR71" s="213"/>
      <c r="BS71" s="213"/>
      <c r="BT71" s="213"/>
      <c r="BU71" s="215"/>
      <c r="BV71" s="215"/>
      <c r="BW71" s="215"/>
      <c r="BX71" s="215"/>
      <c r="BY71" s="215"/>
      <c r="BZ71" s="215"/>
      <c r="CA71" s="215"/>
      <c r="CB71" s="215"/>
      <c r="CC71" s="215"/>
      <c r="CD71" s="215"/>
      <c r="CE71" s="213"/>
      <c r="CF71" s="215"/>
      <c r="CG71" s="215">
        <f t="shared" si="57"/>
        <v>8325</v>
      </c>
      <c r="CH71" s="256">
        <f>VLOOKUP(CX71,SSS_2025!A:N,8)</f>
        <v>1850</v>
      </c>
      <c r="CI71" s="217">
        <f>VLOOKUP(CX71,SSS_2025!A:N,13)</f>
        <v>925</v>
      </c>
      <c r="CJ71" s="217">
        <f>VLOOKUP(CX71,SSS_2025!A:N,9)</f>
        <v>30</v>
      </c>
      <c r="CK71" s="215">
        <v>391.25</v>
      </c>
      <c r="CL71" s="215">
        <v>391.25</v>
      </c>
      <c r="CM71" s="215">
        <v>200</v>
      </c>
      <c r="CN71" s="215">
        <v>200</v>
      </c>
      <c r="CO71" s="214">
        <f t="shared" si="58"/>
        <v>10796.25</v>
      </c>
      <c r="CP71" s="214">
        <f t="shared" si="59"/>
        <v>720</v>
      </c>
      <c r="CQ71" s="214">
        <f t="shared" si="60"/>
        <v>11516.25</v>
      </c>
      <c r="CR71" s="215"/>
      <c r="CS71" s="214">
        <f t="shared" si="61"/>
        <v>11516.25</v>
      </c>
      <c r="CT71" s="273">
        <f t="shared" si="62"/>
        <v>600</v>
      </c>
      <c r="CU71" s="244"/>
      <c r="CV71" s="269">
        <f>IFERROR(VLOOKUP(C71,'[2]BILLING COMPUTATION'!$C$8:$CI$224,85,0),0)</f>
        <v>10305</v>
      </c>
      <c r="CW71" s="243">
        <f t="shared" ref="CW71:CW98" si="140">CG71</f>
        <v>8325</v>
      </c>
      <c r="CX71" s="245">
        <f t="shared" si="139"/>
        <v>18630</v>
      </c>
      <c r="CZ71" s="721">
        <f>IFERROR(VLOOKUP(C71,'[5]BILLING COMPUTATION'!$C$8:$CG$101,83,0),0)</f>
        <v>7500</v>
      </c>
      <c r="DA71" s="721">
        <f t="shared" si="29"/>
        <v>8325</v>
      </c>
      <c r="DB71" s="721">
        <f t="shared" si="30"/>
        <v>15825</v>
      </c>
      <c r="DC71" s="721">
        <f t="shared" si="31"/>
        <v>-2805</v>
      </c>
    </row>
    <row r="72" spans="1:107" s="2" customFormat="1" ht="16.899999999999999" customHeight="1">
      <c r="A72" s="235">
        <v>68</v>
      </c>
      <c r="B72" s="265"/>
      <c r="C72" s="266">
        <v>6244</v>
      </c>
      <c r="D72" s="266" t="str">
        <f>VLOOKUP(E72,'F3 MS (2)'!E:F,2,0)</f>
        <v>GD250073</v>
      </c>
      <c r="E72" s="267" t="s">
        <v>342</v>
      </c>
      <c r="F72" s="266" t="str">
        <f>VLOOKUP(C72,'[1]ACTIVE GH'!$C:$I,7,0)</f>
        <v>METAL STAMPING</v>
      </c>
      <c r="G72" s="266" t="str">
        <f>VLOOKUP(C72,'[1]ACTIVE GH'!$C:$J,8,0)</f>
        <v>PRODUCTION</v>
      </c>
      <c r="H72" s="266" t="str">
        <f>VLOOKUP(C72,'[1]ACTIVE GH'!$C:$N,12,0)</f>
        <v>Operator 1</v>
      </c>
      <c r="I72" s="266" t="s">
        <v>180</v>
      </c>
      <c r="J72" s="266">
        <f>IFERROR(VLOOKUP(C72,PIVOT!A:B,2,0),0)</f>
        <v>80</v>
      </c>
      <c r="K72" s="237">
        <f t="shared" si="115"/>
        <v>10</v>
      </c>
      <c r="L72" s="237">
        <v>600</v>
      </c>
      <c r="M72" s="238">
        <f t="shared" si="33"/>
        <v>6000</v>
      </c>
      <c r="N72" s="266">
        <f>IFERROR(VLOOKUP(C72,PIVOT!A:F,6,0),0)</f>
        <v>0</v>
      </c>
      <c r="O72" s="239">
        <f t="shared" si="116"/>
        <v>1.25</v>
      </c>
      <c r="P72" s="238">
        <f t="shared" si="35"/>
        <v>0</v>
      </c>
      <c r="Q72" s="266">
        <f>IFERROR(VLOOKUP(C72,PIVOT!A:C,3,0),0)</f>
        <v>0</v>
      </c>
      <c r="R72" s="239">
        <f t="shared" si="117"/>
        <v>93.75</v>
      </c>
      <c r="S72" s="238">
        <f t="shared" si="118"/>
        <v>0</v>
      </c>
      <c r="T72" s="266">
        <f>IFERROR(VLOOKUP(C72,PIVOT!A:D,4,0),0)</f>
        <v>54</v>
      </c>
      <c r="U72" s="239">
        <f t="shared" si="38"/>
        <v>7.5</v>
      </c>
      <c r="V72" s="238">
        <f t="shared" si="39"/>
        <v>405</v>
      </c>
      <c r="W72" s="266">
        <f>IFERROR(VLOOKUP(C72,PIVOT!A:E,5,0),0)</f>
        <v>0</v>
      </c>
      <c r="X72" s="238">
        <f t="shared" si="119"/>
        <v>9.375</v>
      </c>
      <c r="Y72" s="238">
        <f t="shared" si="41"/>
        <v>0</v>
      </c>
      <c r="Z72" s="266">
        <f>IFERROR(VLOOKUP(C72,#REF!,6,0),0)</f>
        <v>0</v>
      </c>
      <c r="AA72" s="239">
        <f t="shared" si="120"/>
        <v>97.5</v>
      </c>
      <c r="AB72" s="238">
        <f t="shared" si="121"/>
        <v>0</v>
      </c>
      <c r="AC72" s="266"/>
      <c r="AD72" s="215">
        <f t="shared" si="122"/>
        <v>126.75</v>
      </c>
      <c r="AE72" s="214">
        <f t="shared" si="123"/>
        <v>0</v>
      </c>
      <c r="AF72" s="266">
        <f>IFERROR(VLOOKUP(C72,#REF!,8,0),0)</f>
        <v>0</v>
      </c>
      <c r="AG72" s="239">
        <f t="shared" si="124"/>
        <v>9.75</v>
      </c>
      <c r="AH72" s="238">
        <f t="shared" si="125"/>
        <v>0</v>
      </c>
      <c r="AI72" s="213"/>
      <c r="AJ72" s="213">
        <f t="shared" si="126"/>
        <v>112.5</v>
      </c>
      <c r="AK72" s="216">
        <f t="shared" si="127"/>
        <v>0</v>
      </c>
      <c r="AL72" s="213"/>
      <c r="AM72" s="213">
        <f t="shared" si="128"/>
        <v>146.25</v>
      </c>
      <c r="AN72" s="216">
        <v>0</v>
      </c>
      <c r="AO72" s="213"/>
      <c r="AP72" s="213">
        <f t="shared" si="129"/>
        <v>11.25</v>
      </c>
      <c r="AQ72" s="216">
        <f t="shared" si="130"/>
        <v>0</v>
      </c>
      <c r="AR72" s="266">
        <f>IFERROR(VLOOKUP(C72,#REF!,7,0),0)</f>
        <v>0</v>
      </c>
      <c r="AS72" s="278">
        <f t="shared" si="131"/>
        <v>97.5</v>
      </c>
      <c r="AT72" s="277">
        <f t="shared" si="132"/>
        <v>0</v>
      </c>
      <c r="AU72" s="266"/>
      <c r="AV72" s="213"/>
      <c r="AW72" s="216"/>
      <c r="AX72" s="213">
        <f>IFERROR(VLOOKUP(C72,#REF!,8,0),0)</f>
        <v>0</v>
      </c>
      <c r="AY72" s="278">
        <f t="shared" si="133"/>
        <v>9.75</v>
      </c>
      <c r="AZ72" s="277">
        <f t="shared" si="134"/>
        <v>0</v>
      </c>
      <c r="BA72" s="266">
        <f>IFERROR(VLOOKUP(C72,#REF!,10,0),0)</f>
        <v>0</v>
      </c>
      <c r="BB72" s="268">
        <f t="shared" si="135"/>
        <v>150</v>
      </c>
      <c r="BC72" s="247">
        <f t="shared" si="136"/>
        <v>0</v>
      </c>
      <c r="BD72" s="216"/>
      <c r="BE72" s="213"/>
      <c r="BF72" s="213"/>
      <c r="BG72" s="216"/>
      <c r="BH72" s="213"/>
      <c r="BI72" s="213"/>
      <c r="BJ72" s="216">
        <f>IFERROR(VLOOKUP(C72,#REF!,9,0),0)</f>
        <v>0</v>
      </c>
      <c r="BK72" s="276">
        <f t="shared" si="137"/>
        <v>75</v>
      </c>
      <c r="BL72" s="213">
        <f t="shared" si="138"/>
        <v>0</v>
      </c>
      <c r="BM72" s="216"/>
      <c r="BN72" s="213"/>
      <c r="BO72" s="213"/>
      <c r="BP72" s="213"/>
      <c r="BQ72" s="213"/>
      <c r="BR72" s="213"/>
      <c r="BS72" s="213"/>
      <c r="BT72" s="213"/>
      <c r="BU72" s="215"/>
      <c r="BV72" s="215"/>
      <c r="BW72" s="215"/>
      <c r="BX72" s="215"/>
      <c r="BY72" s="215"/>
      <c r="BZ72" s="215"/>
      <c r="CA72" s="215"/>
      <c r="CB72" s="215"/>
      <c r="CC72" s="215"/>
      <c r="CD72" s="215"/>
      <c r="CE72" s="213"/>
      <c r="CF72" s="215"/>
      <c r="CG72" s="215">
        <f t="shared" si="57"/>
        <v>6405</v>
      </c>
      <c r="CH72" s="256">
        <f>VLOOKUP(CX72,SSS_2025!A:N,8)</f>
        <v>1700</v>
      </c>
      <c r="CI72" s="217">
        <f>VLOOKUP(CX72,SSS_2025!A:N,13)</f>
        <v>850</v>
      </c>
      <c r="CJ72" s="217">
        <f>VLOOKUP(CX72,SSS_2025!A:N,9)</f>
        <v>30</v>
      </c>
      <c r="CK72" s="215">
        <v>391.25</v>
      </c>
      <c r="CL72" s="215">
        <v>391.25</v>
      </c>
      <c r="CM72" s="215">
        <v>200</v>
      </c>
      <c r="CN72" s="215">
        <v>200</v>
      </c>
      <c r="CO72" s="214">
        <f t="shared" si="58"/>
        <v>8726.25</v>
      </c>
      <c r="CP72" s="214">
        <f t="shared" si="59"/>
        <v>600</v>
      </c>
      <c r="CQ72" s="214">
        <f t="shared" si="60"/>
        <v>9326.25</v>
      </c>
      <c r="CR72" s="215"/>
      <c r="CS72" s="214">
        <f t="shared" si="61"/>
        <v>9326.25</v>
      </c>
      <c r="CT72" s="273">
        <f t="shared" si="62"/>
        <v>500</v>
      </c>
      <c r="CU72" s="244"/>
      <c r="CV72" s="269">
        <f>IFERROR(VLOOKUP(C72,'[2]BILLING COMPUTATION'!$C$8:$CI$224,85,0),0)</f>
        <v>10698.75</v>
      </c>
      <c r="CW72" s="243">
        <f t="shared" si="140"/>
        <v>6405</v>
      </c>
      <c r="CX72" s="245">
        <f t="shared" si="139"/>
        <v>17103.75</v>
      </c>
      <c r="CZ72" s="721">
        <f>IFERROR(VLOOKUP(C72,'[5]BILLING COMPUTATION'!$C$8:$CG$101,83,0),0)</f>
        <v>9408.75</v>
      </c>
      <c r="DA72" s="721">
        <f t="shared" ref="DA72:DA98" si="141">CG72</f>
        <v>6405</v>
      </c>
      <c r="DB72" s="721">
        <f t="shared" ref="DB72:DB97" si="142">SUM(CZ72:DA72)</f>
        <v>15813.75</v>
      </c>
      <c r="DC72" s="721">
        <f t="shared" ref="DC72:DC97" si="143">DB72-CX72</f>
        <v>-1290</v>
      </c>
    </row>
    <row r="73" spans="1:107" s="2" customFormat="1" ht="16.899999999999999" customHeight="1">
      <c r="A73" s="235">
        <v>69</v>
      </c>
      <c r="B73" s="265"/>
      <c r="C73" s="266">
        <v>30680</v>
      </c>
      <c r="D73" s="266" t="str">
        <f>VLOOKUP(E73,'F3 MS (2)'!E:F,2,0)</f>
        <v>GD250547</v>
      </c>
      <c r="E73" s="267" t="s">
        <v>198</v>
      </c>
      <c r="F73" s="266" t="str">
        <f>VLOOKUP(C73,'[1]ACTIVE GH'!$C:$I,7,0)</f>
        <v>METAL STAMPING</v>
      </c>
      <c r="G73" s="266" t="str">
        <f>VLOOKUP(C73,'[1]ACTIVE GH'!$C:$J,8,0)</f>
        <v>PRODUCTION</v>
      </c>
      <c r="H73" s="266" t="str">
        <f>VLOOKUP(C73,'[1]ACTIVE GH'!$C:$N,12,0)</f>
        <v>Operator 1</v>
      </c>
      <c r="I73" s="266" t="s">
        <v>180</v>
      </c>
      <c r="J73" s="266">
        <f>IFERROR(VLOOKUP(C73,PIVOT!A:B,2,0),0)</f>
        <v>88</v>
      </c>
      <c r="K73" s="237">
        <f t="shared" si="115"/>
        <v>11</v>
      </c>
      <c r="L73" s="237">
        <v>600</v>
      </c>
      <c r="M73" s="238">
        <f t="shared" ref="M73:M98" si="144">K73*L73</f>
        <v>6600</v>
      </c>
      <c r="N73" s="266">
        <f>IFERROR(VLOOKUP(C73,PIVOT!A:F,6,0),0)</f>
        <v>0</v>
      </c>
      <c r="O73" s="239">
        <f t="shared" si="116"/>
        <v>1.25</v>
      </c>
      <c r="P73" s="238">
        <f t="shared" ref="P73:P98" si="145">-N73*O73</f>
        <v>0</v>
      </c>
      <c r="Q73" s="266">
        <f>IFERROR(VLOOKUP(C73,PIVOT!A:C,3,0),0)</f>
        <v>4</v>
      </c>
      <c r="R73" s="239">
        <f t="shared" si="117"/>
        <v>93.75</v>
      </c>
      <c r="S73" s="238">
        <f t="shared" si="118"/>
        <v>375</v>
      </c>
      <c r="T73" s="266">
        <f>IFERROR(VLOOKUP(C73,PIVOT!A:D,4,0),0)</f>
        <v>66</v>
      </c>
      <c r="U73" s="239">
        <f t="shared" ref="U73:U98" si="146">L73/8*0.1</f>
        <v>7.5</v>
      </c>
      <c r="V73" s="238">
        <f t="shared" ref="V73:V98" si="147">T73*U73</f>
        <v>495</v>
      </c>
      <c r="W73" s="266">
        <f>IFERROR(VLOOKUP(C73,PIVOT!A:E,5,0),0)</f>
        <v>4</v>
      </c>
      <c r="X73" s="238">
        <f t="shared" si="119"/>
        <v>9.375</v>
      </c>
      <c r="Y73" s="238">
        <f t="shared" ref="Y73:Y98" si="148">X73*W73</f>
        <v>37.5</v>
      </c>
      <c r="Z73" s="266">
        <f>IFERROR(VLOOKUP(C73,#REF!,6,0),0)</f>
        <v>0</v>
      </c>
      <c r="AA73" s="239">
        <f t="shared" si="120"/>
        <v>97.5</v>
      </c>
      <c r="AB73" s="238">
        <f t="shared" si="121"/>
        <v>0</v>
      </c>
      <c r="AC73" s="266"/>
      <c r="AD73" s="215">
        <f t="shared" si="122"/>
        <v>126.75</v>
      </c>
      <c r="AE73" s="214">
        <f t="shared" si="123"/>
        <v>0</v>
      </c>
      <c r="AF73" s="266">
        <f>IFERROR(VLOOKUP(C73,#REF!,8,0),0)</f>
        <v>0</v>
      </c>
      <c r="AG73" s="239">
        <f t="shared" si="124"/>
        <v>9.75</v>
      </c>
      <c r="AH73" s="238">
        <f t="shared" si="125"/>
        <v>0</v>
      </c>
      <c r="AI73" s="213"/>
      <c r="AJ73" s="213">
        <f t="shared" si="126"/>
        <v>112.5</v>
      </c>
      <c r="AK73" s="216">
        <f t="shared" si="127"/>
        <v>0</v>
      </c>
      <c r="AL73" s="213"/>
      <c r="AM73" s="213">
        <f t="shared" si="128"/>
        <v>146.25</v>
      </c>
      <c r="AN73" s="216">
        <v>0</v>
      </c>
      <c r="AO73" s="213"/>
      <c r="AP73" s="213">
        <f t="shared" si="129"/>
        <v>11.25</v>
      </c>
      <c r="AQ73" s="216">
        <f t="shared" si="130"/>
        <v>0</v>
      </c>
      <c r="AR73" s="266">
        <f>IFERROR(VLOOKUP(C73,#REF!,7,0),0)</f>
        <v>0</v>
      </c>
      <c r="AS73" s="278">
        <f t="shared" si="131"/>
        <v>97.5</v>
      </c>
      <c r="AT73" s="277">
        <f t="shared" si="132"/>
        <v>0</v>
      </c>
      <c r="AU73" s="266"/>
      <c r="AV73" s="213"/>
      <c r="AW73" s="216"/>
      <c r="AX73" s="213">
        <f>IFERROR(VLOOKUP(C73,#REF!,8,0),0)</f>
        <v>0</v>
      </c>
      <c r="AY73" s="278">
        <f t="shared" si="133"/>
        <v>9.75</v>
      </c>
      <c r="AZ73" s="277">
        <f t="shared" si="134"/>
        <v>0</v>
      </c>
      <c r="BA73" s="266">
        <f>IFERROR(VLOOKUP(C73,#REF!,10,0),0)</f>
        <v>0</v>
      </c>
      <c r="BB73" s="268">
        <f t="shared" si="135"/>
        <v>150</v>
      </c>
      <c r="BC73" s="247">
        <f t="shared" si="136"/>
        <v>0</v>
      </c>
      <c r="BD73" s="216"/>
      <c r="BE73" s="213"/>
      <c r="BF73" s="213"/>
      <c r="BG73" s="216"/>
      <c r="BH73" s="213"/>
      <c r="BI73" s="213"/>
      <c r="BJ73" s="216">
        <f>IFERROR(VLOOKUP(C73,#REF!,9,0),0)</f>
        <v>0</v>
      </c>
      <c r="BK73" s="276">
        <f t="shared" si="137"/>
        <v>75</v>
      </c>
      <c r="BL73" s="213">
        <f t="shared" si="138"/>
        <v>0</v>
      </c>
      <c r="BM73" s="216"/>
      <c r="BN73" s="213"/>
      <c r="BO73" s="213"/>
      <c r="BP73" s="213"/>
      <c r="BQ73" s="213"/>
      <c r="BR73" s="213"/>
      <c r="BS73" s="213"/>
      <c r="BT73" s="213"/>
      <c r="BU73" s="215"/>
      <c r="BV73" s="215"/>
      <c r="BW73" s="215"/>
      <c r="BX73" s="215"/>
      <c r="BY73" s="215"/>
      <c r="BZ73" s="215"/>
      <c r="CA73" s="215"/>
      <c r="CB73" s="215"/>
      <c r="CC73" s="215"/>
      <c r="CD73" s="215"/>
      <c r="CE73" s="213"/>
      <c r="CF73" s="215"/>
      <c r="CG73" s="215">
        <f t="shared" ref="CG73:CG98" si="149">SUM(Y73,V73,S73,P73,M73)</f>
        <v>7507.5</v>
      </c>
      <c r="CH73" s="256">
        <f>VLOOKUP(CX73,SSS_2025!A:N,8)</f>
        <v>1700</v>
      </c>
      <c r="CI73" s="217">
        <f>VLOOKUP(CX73,SSS_2025!A:N,13)</f>
        <v>850</v>
      </c>
      <c r="CJ73" s="217">
        <f>VLOOKUP(CX73,SSS_2025!A:N,9)</f>
        <v>30</v>
      </c>
      <c r="CK73" s="215">
        <v>391.25</v>
      </c>
      <c r="CL73" s="215">
        <v>391.25</v>
      </c>
      <c r="CM73" s="215">
        <v>200</v>
      </c>
      <c r="CN73" s="215">
        <v>200</v>
      </c>
      <c r="CO73" s="214">
        <f t="shared" ref="CO73:CO98" si="150">CG73+CH73+CJ73+CL73+CN73</f>
        <v>9828.75</v>
      </c>
      <c r="CP73" s="214">
        <f t="shared" ref="CP73:CP98" si="151">(M73+P73+BN73)*10%</f>
        <v>660</v>
      </c>
      <c r="CQ73" s="214">
        <f t="shared" ref="CQ73:CQ98" si="152">CO73+CP73</f>
        <v>10488.75</v>
      </c>
      <c r="CR73" s="215"/>
      <c r="CS73" s="214">
        <f t="shared" ref="CS73:CS98" si="153">CQ73+CR73</f>
        <v>10488.75</v>
      </c>
      <c r="CT73" s="273">
        <f t="shared" ref="CT73:CT98" si="154">SUM(M73+(BC73/2)+BL73+BN73+P73)/12</f>
        <v>550</v>
      </c>
      <c r="CU73" s="244"/>
      <c r="CV73" s="269">
        <f>IFERROR(VLOOKUP(C73,'[2]BILLING COMPUTATION'!$C$8:$CI$224,85,0),0)</f>
        <v>9536.25</v>
      </c>
      <c r="CW73" s="243">
        <f t="shared" si="140"/>
        <v>7507.5</v>
      </c>
      <c r="CX73" s="245">
        <f t="shared" si="139"/>
        <v>17043.75</v>
      </c>
      <c r="CZ73" s="721">
        <f>IFERROR(VLOOKUP(C73,'[5]BILLING COMPUTATION'!$C$8:$CG$101,83,0),0)</f>
        <v>6352.5</v>
      </c>
      <c r="DA73" s="721">
        <f t="shared" si="141"/>
        <v>7507.5</v>
      </c>
      <c r="DB73" s="721">
        <f t="shared" si="142"/>
        <v>13860</v>
      </c>
      <c r="DC73" s="721">
        <f t="shared" si="143"/>
        <v>-3183.75</v>
      </c>
    </row>
    <row r="74" spans="1:107" s="2" customFormat="1" ht="16.899999999999999" customHeight="1">
      <c r="A74" s="235">
        <v>70</v>
      </c>
      <c r="B74" s="265"/>
      <c r="C74" s="266">
        <v>12460</v>
      </c>
      <c r="D74" s="266" t="str">
        <f>VLOOKUP(E74,'F3 MS (2)'!E:F,2,0)</f>
        <v>GD250123</v>
      </c>
      <c r="E74" s="267" t="s">
        <v>223</v>
      </c>
      <c r="F74" s="266" t="str">
        <f>VLOOKUP(C74,'[1]ACTIVE GH'!$C:$I,7,0)</f>
        <v>METAL STAMPING</v>
      </c>
      <c r="G74" s="266" t="str">
        <f>VLOOKUP(C74,'[1]ACTIVE GH'!$C:$J,8,0)</f>
        <v>PRODUCTION</v>
      </c>
      <c r="H74" s="266" t="str">
        <f>VLOOKUP(C74,'[1]ACTIVE GH'!$C:$N,12,0)</f>
        <v>Operator 1</v>
      </c>
      <c r="I74" s="266" t="s">
        <v>180</v>
      </c>
      <c r="J74" s="266">
        <f>IFERROR(VLOOKUP(C74,PIVOT!A:B,2,0),0)</f>
        <v>96</v>
      </c>
      <c r="K74" s="237">
        <f t="shared" si="115"/>
        <v>12</v>
      </c>
      <c r="L74" s="237">
        <v>600</v>
      </c>
      <c r="M74" s="238">
        <f t="shared" si="144"/>
        <v>7200</v>
      </c>
      <c r="N74" s="266">
        <f>IFERROR(VLOOKUP(C74,PIVOT!A:F,6,0),0)</f>
        <v>0</v>
      </c>
      <c r="O74" s="239">
        <f t="shared" si="116"/>
        <v>1.25</v>
      </c>
      <c r="P74" s="238">
        <f t="shared" si="145"/>
        <v>0</v>
      </c>
      <c r="Q74" s="266">
        <f>IFERROR(VLOOKUP(C74,PIVOT!A:C,3,0),0)</f>
        <v>10</v>
      </c>
      <c r="R74" s="239">
        <f t="shared" si="117"/>
        <v>93.75</v>
      </c>
      <c r="S74" s="238">
        <f t="shared" si="118"/>
        <v>937.5</v>
      </c>
      <c r="T74" s="266">
        <f>IFERROR(VLOOKUP(C74,PIVOT!A:D,4,0),0)</f>
        <v>66</v>
      </c>
      <c r="U74" s="239">
        <f t="shared" si="146"/>
        <v>7.5</v>
      </c>
      <c r="V74" s="238">
        <f t="shared" si="147"/>
        <v>495</v>
      </c>
      <c r="W74" s="266">
        <f>IFERROR(VLOOKUP(C74,PIVOT!A:E,5,0),0)</f>
        <v>10</v>
      </c>
      <c r="X74" s="238">
        <f t="shared" si="119"/>
        <v>9.375</v>
      </c>
      <c r="Y74" s="238">
        <f t="shared" si="148"/>
        <v>93.75</v>
      </c>
      <c r="Z74" s="266">
        <f>IFERROR(VLOOKUP(C74,#REF!,6,0),0)</f>
        <v>0</v>
      </c>
      <c r="AA74" s="239">
        <f t="shared" si="120"/>
        <v>97.5</v>
      </c>
      <c r="AB74" s="238">
        <f t="shared" si="121"/>
        <v>0</v>
      </c>
      <c r="AC74" s="266"/>
      <c r="AD74" s="215">
        <f t="shared" si="122"/>
        <v>126.75</v>
      </c>
      <c r="AE74" s="214">
        <f t="shared" si="123"/>
        <v>0</v>
      </c>
      <c r="AF74" s="266">
        <f>IFERROR(VLOOKUP(C74,#REF!,8,0),0)</f>
        <v>0</v>
      </c>
      <c r="AG74" s="239">
        <f t="shared" si="124"/>
        <v>9.75</v>
      </c>
      <c r="AH74" s="238">
        <f t="shared" si="125"/>
        <v>0</v>
      </c>
      <c r="AI74" s="213"/>
      <c r="AJ74" s="213">
        <f t="shared" si="126"/>
        <v>112.5</v>
      </c>
      <c r="AK74" s="216">
        <f t="shared" si="127"/>
        <v>0</v>
      </c>
      <c r="AL74" s="213"/>
      <c r="AM74" s="213">
        <f t="shared" si="128"/>
        <v>146.25</v>
      </c>
      <c r="AN74" s="216">
        <v>0</v>
      </c>
      <c r="AO74" s="213"/>
      <c r="AP74" s="213">
        <f t="shared" si="129"/>
        <v>11.25</v>
      </c>
      <c r="AQ74" s="216">
        <f t="shared" si="130"/>
        <v>0</v>
      </c>
      <c r="AR74" s="266">
        <f>IFERROR(VLOOKUP(C74,#REF!,7,0),0)</f>
        <v>0</v>
      </c>
      <c r="AS74" s="278">
        <f t="shared" si="131"/>
        <v>97.5</v>
      </c>
      <c r="AT74" s="277">
        <f t="shared" si="132"/>
        <v>0</v>
      </c>
      <c r="AU74" s="266"/>
      <c r="AV74" s="213"/>
      <c r="AW74" s="216"/>
      <c r="AX74" s="213">
        <f>IFERROR(VLOOKUP(C74,#REF!,8,0),0)</f>
        <v>0</v>
      </c>
      <c r="AY74" s="278">
        <f t="shared" si="133"/>
        <v>9.75</v>
      </c>
      <c r="AZ74" s="277">
        <f t="shared" si="134"/>
        <v>0</v>
      </c>
      <c r="BA74" s="266">
        <f>IFERROR(VLOOKUP(C74,#REF!,10,0),0)</f>
        <v>0</v>
      </c>
      <c r="BB74" s="268">
        <f t="shared" si="135"/>
        <v>150</v>
      </c>
      <c r="BC74" s="247">
        <f t="shared" si="136"/>
        <v>0</v>
      </c>
      <c r="BD74" s="216"/>
      <c r="BE74" s="213"/>
      <c r="BF74" s="213"/>
      <c r="BG74" s="216"/>
      <c r="BH74" s="213"/>
      <c r="BI74" s="213"/>
      <c r="BJ74" s="216">
        <f>IFERROR(VLOOKUP(C74,#REF!,9,0),0)</f>
        <v>0</v>
      </c>
      <c r="BK74" s="276">
        <f t="shared" si="137"/>
        <v>75</v>
      </c>
      <c r="BL74" s="213">
        <f t="shared" si="138"/>
        <v>0</v>
      </c>
      <c r="BM74" s="216"/>
      <c r="BN74" s="213"/>
      <c r="BO74" s="213"/>
      <c r="BP74" s="213"/>
      <c r="BQ74" s="213"/>
      <c r="BR74" s="213"/>
      <c r="BS74" s="213"/>
      <c r="BT74" s="213"/>
      <c r="BU74" s="215"/>
      <c r="BV74" s="215"/>
      <c r="BW74" s="215"/>
      <c r="BX74" s="215"/>
      <c r="BY74" s="215"/>
      <c r="BZ74" s="215"/>
      <c r="CA74" s="215"/>
      <c r="CB74" s="215"/>
      <c r="CC74" s="215"/>
      <c r="CD74" s="215"/>
      <c r="CE74" s="213"/>
      <c r="CF74" s="215"/>
      <c r="CG74" s="215">
        <f t="shared" si="149"/>
        <v>8726.25</v>
      </c>
      <c r="CH74" s="256">
        <f>VLOOKUP(CX74,SSS_2025!A:N,8)</f>
        <v>1950</v>
      </c>
      <c r="CI74" s="217">
        <f>VLOOKUP(CX74,SSS_2025!A:N,13)</f>
        <v>975</v>
      </c>
      <c r="CJ74" s="217">
        <f>VLOOKUP(CX74,SSS_2025!A:N,9)</f>
        <v>30</v>
      </c>
      <c r="CK74" s="215">
        <v>391.25</v>
      </c>
      <c r="CL74" s="215">
        <v>391.25</v>
      </c>
      <c r="CM74" s="215">
        <v>200</v>
      </c>
      <c r="CN74" s="215">
        <v>200</v>
      </c>
      <c r="CO74" s="214">
        <f t="shared" si="150"/>
        <v>11297.5</v>
      </c>
      <c r="CP74" s="214">
        <f t="shared" si="151"/>
        <v>720</v>
      </c>
      <c r="CQ74" s="214">
        <f t="shared" si="152"/>
        <v>12017.5</v>
      </c>
      <c r="CR74" s="215"/>
      <c r="CS74" s="214">
        <f t="shared" si="153"/>
        <v>12017.5</v>
      </c>
      <c r="CT74" s="273">
        <f t="shared" si="154"/>
        <v>600</v>
      </c>
      <c r="CU74" s="244"/>
      <c r="CV74" s="269">
        <f>IFERROR(VLOOKUP(C74,'[2]BILLING COMPUTATION'!$C$8:$CI$224,85,0),0)</f>
        <v>10698.75</v>
      </c>
      <c r="CW74" s="243">
        <f t="shared" si="140"/>
        <v>8726.25</v>
      </c>
      <c r="CX74" s="245">
        <f t="shared" si="139"/>
        <v>19425</v>
      </c>
      <c r="CZ74" s="721">
        <f>IFERROR(VLOOKUP(C74,'[5]BILLING COMPUTATION'!$C$8:$CG$101,83,0),0)</f>
        <v>10562.5</v>
      </c>
      <c r="DA74" s="721">
        <f t="shared" si="141"/>
        <v>8726.25</v>
      </c>
      <c r="DB74" s="721">
        <f t="shared" si="142"/>
        <v>19288.75</v>
      </c>
      <c r="DC74" s="721">
        <f t="shared" si="143"/>
        <v>-136.25</v>
      </c>
    </row>
    <row r="75" spans="1:107" s="2" customFormat="1" ht="16.899999999999999" customHeight="1">
      <c r="A75" s="235">
        <v>71</v>
      </c>
      <c r="B75" s="265"/>
      <c r="C75" s="266">
        <v>30019</v>
      </c>
      <c r="D75" s="266" t="str">
        <f>VLOOKUP(E75,'F3 MS (2)'!E:F,2,0)</f>
        <v>GD250452</v>
      </c>
      <c r="E75" s="267" t="s">
        <v>242</v>
      </c>
      <c r="F75" s="266" t="str">
        <f>VLOOKUP(C75,'[1]ACTIVE GH'!$C:$I,7,0)</f>
        <v>METAL STAMPING</v>
      </c>
      <c r="G75" s="266" t="str">
        <f>VLOOKUP(C75,'[1]ACTIVE GH'!$C:$J,8,0)</f>
        <v>PRODUCTION</v>
      </c>
      <c r="H75" s="266" t="str">
        <f>VLOOKUP(C75,'[1]ACTIVE GH'!$C:$N,12,0)</f>
        <v>Operator 1</v>
      </c>
      <c r="I75" s="266" t="s">
        <v>180</v>
      </c>
      <c r="J75" s="266">
        <f>IFERROR(VLOOKUP(C75,PIVOT!A:B,2,0),0)</f>
        <v>88</v>
      </c>
      <c r="K75" s="237">
        <f t="shared" si="115"/>
        <v>11</v>
      </c>
      <c r="L75" s="237">
        <v>600</v>
      </c>
      <c r="M75" s="238">
        <f t="shared" si="144"/>
        <v>6600</v>
      </c>
      <c r="N75" s="266">
        <f>IFERROR(VLOOKUP(C75,PIVOT!A:F,6,0),0)</f>
        <v>0</v>
      </c>
      <c r="O75" s="239">
        <f t="shared" si="116"/>
        <v>1.25</v>
      </c>
      <c r="P75" s="238">
        <f t="shared" si="145"/>
        <v>0</v>
      </c>
      <c r="Q75" s="266">
        <f>IFERROR(VLOOKUP(C75,PIVOT!A:C,3,0),0)</f>
        <v>0</v>
      </c>
      <c r="R75" s="239">
        <f t="shared" si="117"/>
        <v>93.75</v>
      </c>
      <c r="S75" s="238">
        <f t="shared" si="118"/>
        <v>0</v>
      </c>
      <c r="T75" s="266">
        <f>IFERROR(VLOOKUP(C75,PIVOT!A:D,4,0),0)</f>
        <v>0</v>
      </c>
      <c r="U75" s="239">
        <f t="shared" si="146"/>
        <v>7.5</v>
      </c>
      <c r="V75" s="238">
        <f t="shared" si="147"/>
        <v>0</v>
      </c>
      <c r="W75" s="266">
        <f>IFERROR(VLOOKUP(C75,PIVOT!A:E,5,0),0)</f>
        <v>0</v>
      </c>
      <c r="X75" s="238">
        <f t="shared" si="119"/>
        <v>9.375</v>
      </c>
      <c r="Y75" s="238">
        <f t="shared" si="148"/>
        <v>0</v>
      </c>
      <c r="Z75" s="266">
        <f>IFERROR(VLOOKUP(C75,#REF!,6,0),0)</f>
        <v>0</v>
      </c>
      <c r="AA75" s="239">
        <f t="shared" si="120"/>
        <v>97.5</v>
      </c>
      <c r="AB75" s="238">
        <f t="shared" si="121"/>
        <v>0</v>
      </c>
      <c r="AC75" s="266"/>
      <c r="AD75" s="215">
        <f t="shared" si="122"/>
        <v>126.75</v>
      </c>
      <c r="AE75" s="214">
        <f t="shared" si="123"/>
        <v>0</v>
      </c>
      <c r="AF75" s="266">
        <f>IFERROR(VLOOKUP(C75,#REF!,8,0),0)</f>
        <v>0</v>
      </c>
      <c r="AG75" s="239">
        <f t="shared" si="124"/>
        <v>9.75</v>
      </c>
      <c r="AH75" s="238">
        <f t="shared" si="125"/>
        <v>0</v>
      </c>
      <c r="AI75" s="213"/>
      <c r="AJ75" s="213">
        <f t="shared" si="126"/>
        <v>112.5</v>
      </c>
      <c r="AK75" s="216">
        <f t="shared" si="127"/>
        <v>0</v>
      </c>
      <c r="AL75" s="213"/>
      <c r="AM75" s="213">
        <f t="shared" si="128"/>
        <v>146.25</v>
      </c>
      <c r="AN75" s="216">
        <v>0</v>
      </c>
      <c r="AO75" s="213"/>
      <c r="AP75" s="213">
        <f t="shared" si="129"/>
        <v>11.25</v>
      </c>
      <c r="AQ75" s="216">
        <f t="shared" si="130"/>
        <v>0</v>
      </c>
      <c r="AR75" s="266">
        <f>IFERROR(VLOOKUP(C75,#REF!,7,0),0)</f>
        <v>0</v>
      </c>
      <c r="AS75" s="278">
        <f t="shared" si="131"/>
        <v>97.5</v>
      </c>
      <c r="AT75" s="277">
        <f t="shared" si="132"/>
        <v>0</v>
      </c>
      <c r="AU75" s="266"/>
      <c r="AV75" s="213"/>
      <c r="AW75" s="216"/>
      <c r="AX75" s="213">
        <f>IFERROR(VLOOKUP(C75,#REF!,8,0),0)</f>
        <v>0</v>
      </c>
      <c r="AY75" s="278">
        <f t="shared" si="133"/>
        <v>9.75</v>
      </c>
      <c r="AZ75" s="277">
        <f t="shared" si="134"/>
        <v>0</v>
      </c>
      <c r="BA75" s="266">
        <f>IFERROR(VLOOKUP(C75,#REF!,10,0),0)</f>
        <v>0</v>
      </c>
      <c r="BB75" s="268">
        <f t="shared" si="135"/>
        <v>150</v>
      </c>
      <c r="BC75" s="247">
        <f t="shared" si="136"/>
        <v>0</v>
      </c>
      <c r="BD75" s="216"/>
      <c r="BE75" s="213"/>
      <c r="BF75" s="213"/>
      <c r="BG75" s="216"/>
      <c r="BH75" s="213"/>
      <c r="BI75" s="213"/>
      <c r="BJ75" s="216">
        <f>IFERROR(VLOOKUP(C75,#REF!,9,0),0)</f>
        <v>0</v>
      </c>
      <c r="BK75" s="276">
        <f t="shared" si="137"/>
        <v>75</v>
      </c>
      <c r="BL75" s="213">
        <f t="shared" si="138"/>
        <v>0</v>
      </c>
      <c r="BM75" s="216"/>
      <c r="BN75" s="213"/>
      <c r="BO75" s="213"/>
      <c r="BP75" s="213"/>
      <c r="BQ75" s="213"/>
      <c r="BR75" s="213"/>
      <c r="BS75" s="213"/>
      <c r="BT75" s="213"/>
      <c r="BU75" s="215"/>
      <c r="BV75" s="215"/>
      <c r="BW75" s="215"/>
      <c r="BX75" s="215"/>
      <c r="BY75" s="215"/>
      <c r="BZ75" s="215"/>
      <c r="CA75" s="215"/>
      <c r="CB75" s="215"/>
      <c r="CC75" s="215"/>
      <c r="CD75" s="215"/>
      <c r="CE75" s="213"/>
      <c r="CF75" s="215"/>
      <c r="CG75" s="215">
        <f t="shared" si="149"/>
        <v>6600</v>
      </c>
      <c r="CH75" s="256">
        <f>VLOOKUP(CX75,SSS_2025!A:N,8)</f>
        <v>1000</v>
      </c>
      <c r="CI75" s="217">
        <f>VLOOKUP(CX75,SSS_2025!A:N,13)</f>
        <v>500</v>
      </c>
      <c r="CJ75" s="217">
        <f>VLOOKUP(CX75,SSS_2025!A:N,9)</f>
        <v>10</v>
      </c>
      <c r="CK75" s="215">
        <v>391.25</v>
      </c>
      <c r="CL75" s="215">
        <v>391.25</v>
      </c>
      <c r="CM75" s="215">
        <v>200</v>
      </c>
      <c r="CN75" s="215">
        <v>200</v>
      </c>
      <c r="CO75" s="214">
        <f t="shared" si="150"/>
        <v>8201.25</v>
      </c>
      <c r="CP75" s="214">
        <f t="shared" si="151"/>
        <v>660</v>
      </c>
      <c r="CQ75" s="214">
        <f t="shared" si="152"/>
        <v>8861.25</v>
      </c>
      <c r="CR75" s="215"/>
      <c r="CS75" s="214">
        <f t="shared" si="153"/>
        <v>8861.25</v>
      </c>
      <c r="CT75" s="273">
        <f t="shared" si="154"/>
        <v>550</v>
      </c>
      <c r="CU75" s="244"/>
      <c r="CV75" s="269">
        <f>IFERROR(VLOOKUP(C75,'[2]BILLING COMPUTATION'!$C$8:$CI$224,85,0),0)</f>
        <v>3375</v>
      </c>
      <c r="CW75" s="243">
        <f t="shared" si="140"/>
        <v>6600</v>
      </c>
      <c r="CX75" s="245">
        <f t="shared" si="139"/>
        <v>9975</v>
      </c>
      <c r="CZ75" s="721">
        <f>IFERROR(VLOOKUP(C75,'[5]BILLING COMPUTATION'!$C$8:$CG$101,83,0),0)</f>
        <v>9110</v>
      </c>
      <c r="DA75" s="721">
        <f t="shared" si="141"/>
        <v>6600</v>
      </c>
      <c r="DB75" s="721">
        <f t="shared" si="142"/>
        <v>15710</v>
      </c>
      <c r="DC75" s="721">
        <f t="shared" si="143"/>
        <v>5735</v>
      </c>
    </row>
    <row r="76" spans="1:107" s="2" customFormat="1" ht="16.899999999999999" customHeight="1">
      <c r="A76" s="235">
        <v>72</v>
      </c>
      <c r="B76" s="265"/>
      <c r="C76" s="266">
        <v>30292</v>
      </c>
      <c r="D76" s="266" t="str">
        <f>VLOOKUP(E76,'F3 MS (2)'!E:F,2,0)</f>
        <v>GD250527</v>
      </c>
      <c r="E76" s="267" t="s">
        <v>279</v>
      </c>
      <c r="F76" s="266" t="str">
        <f>VLOOKUP(C76,'[1]ACTIVE GH'!$C:$I,7,0)</f>
        <v>METAL STAMPING</v>
      </c>
      <c r="G76" s="266" t="str">
        <f>VLOOKUP(C76,'[1]ACTIVE GH'!$C:$J,8,0)</f>
        <v>PRODUCTION</v>
      </c>
      <c r="H76" s="266" t="str">
        <f>VLOOKUP(C76,'[1]ACTIVE GH'!$C:$N,12,0)</f>
        <v>Operator 1</v>
      </c>
      <c r="I76" s="266" t="s">
        <v>180</v>
      </c>
      <c r="J76" s="266">
        <f>IFERROR(VLOOKUP(C76,PIVOT!A:B,2,0),0)</f>
        <v>96</v>
      </c>
      <c r="K76" s="237">
        <f t="shared" si="115"/>
        <v>12</v>
      </c>
      <c r="L76" s="237">
        <v>600</v>
      </c>
      <c r="M76" s="238">
        <f t="shared" si="144"/>
        <v>7200</v>
      </c>
      <c r="N76" s="266">
        <f>IFERROR(VLOOKUP(C76,PIVOT!A:F,6,0),0)</f>
        <v>0</v>
      </c>
      <c r="O76" s="239">
        <f t="shared" si="116"/>
        <v>1.25</v>
      </c>
      <c r="P76" s="238">
        <f t="shared" si="145"/>
        <v>0</v>
      </c>
      <c r="Q76" s="266">
        <f>IFERROR(VLOOKUP(C76,PIVOT!A:C,3,0),0)</f>
        <v>16</v>
      </c>
      <c r="R76" s="239">
        <f t="shared" si="117"/>
        <v>93.75</v>
      </c>
      <c r="S76" s="238">
        <f t="shared" si="118"/>
        <v>1500</v>
      </c>
      <c r="T76" s="266">
        <f>IFERROR(VLOOKUP(C76,PIVOT!A:D,4,0),0)</f>
        <v>0</v>
      </c>
      <c r="U76" s="239">
        <f t="shared" si="146"/>
        <v>7.5</v>
      </c>
      <c r="V76" s="238">
        <f t="shared" si="147"/>
        <v>0</v>
      </c>
      <c r="W76" s="266">
        <f>IFERROR(VLOOKUP(C76,PIVOT!A:E,5,0),0)</f>
        <v>0</v>
      </c>
      <c r="X76" s="238">
        <f t="shared" si="119"/>
        <v>9.375</v>
      </c>
      <c r="Y76" s="238">
        <f t="shared" si="148"/>
        <v>0</v>
      </c>
      <c r="Z76" s="266">
        <f>IFERROR(VLOOKUP(C76,#REF!,6,0),0)</f>
        <v>0</v>
      </c>
      <c r="AA76" s="239">
        <f t="shared" si="120"/>
        <v>97.5</v>
      </c>
      <c r="AB76" s="238">
        <f t="shared" si="121"/>
        <v>0</v>
      </c>
      <c r="AC76" s="266"/>
      <c r="AD76" s="215">
        <f t="shared" si="122"/>
        <v>126.75</v>
      </c>
      <c r="AE76" s="214">
        <f t="shared" si="123"/>
        <v>0</v>
      </c>
      <c r="AF76" s="266">
        <f>IFERROR(VLOOKUP(C76,#REF!,8,0),0)</f>
        <v>0</v>
      </c>
      <c r="AG76" s="239">
        <f t="shared" si="124"/>
        <v>9.75</v>
      </c>
      <c r="AH76" s="238">
        <f t="shared" si="125"/>
        <v>0</v>
      </c>
      <c r="AI76" s="213"/>
      <c r="AJ76" s="213">
        <f t="shared" si="126"/>
        <v>112.5</v>
      </c>
      <c r="AK76" s="216">
        <f t="shared" si="127"/>
        <v>0</v>
      </c>
      <c r="AL76" s="213"/>
      <c r="AM76" s="213">
        <f t="shared" si="128"/>
        <v>146.25</v>
      </c>
      <c r="AN76" s="216">
        <v>0</v>
      </c>
      <c r="AO76" s="213"/>
      <c r="AP76" s="213">
        <f t="shared" si="129"/>
        <v>11.25</v>
      </c>
      <c r="AQ76" s="216">
        <f t="shared" si="130"/>
        <v>0</v>
      </c>
      <c r="AR76" s="266">
        <f>IFERROR(VLOOKUP(C76,#REF!,7,0),0)</f>
        <v>0</v>
      </c>
      <c r="AS76" s="278">
        <f t="shared" si="131"/>
        <v>97.5</v>
      </c>
      <c r="AT76" s="277">
        <f t="shared" si="132"/>
        <v>0</v>
      </c>
      <c r="AU76" s="266"/>
      <c r="AV76" s="213"/>
      <c r="AW76" s="216"/>
      <c r="AX76" s="213">
        <f>IFERROR(VLOOKUP(C76,#REF!,8,0),0)</f>
        <v>0</v>
      </c>
      <c r="AY76" s="278">
        <f t="shared" si="133"/>
        <v>9.75</v>
      </c>
      <c r="AZ76" s="277">
        <f t="shared" si="134"/>
        <v>0</v>
      </c>
      <c r="BA76" s="266">
        <f>IFERROR(VLOOKUP(C76,#REF!,10,0),0)</f>
        <v>0</v>
      </c>
      <c r="BB76" s="268">
        <f t="shared" si="135"/>
        <v>150</v>
      </c>
      <c r="BC76" s="247">
        <f t="shared" si="136"/>
        <v>0</v>
      </c>
      <c r="BD76" s="216"/>
      <c r="BE76" s="213"/>
      <c r="BF76" s="213"/>
      <c r="BG76" s="216"/>
      <c r="BH76" s="213"/>
      <c r="BI76" s="213"/>
      <c r="BJ76" s="216">
        <f>IFERROR(VLOOKUP(C76,#REF!,9,0),0)</f>
        <v>0</v>
      </c>
      <c r="BK76" s="276">
        <f t="shared" si="137"/>
        <v>75</v>
      </c>
      <c r="BL76" s="213">
        <f t="shared" si="138"/>
        <v>0</v>
      </c>
      <c r="BM76" s="216"/>
      <c r="BN76" s="213"/>
      <c r="BO76" s="213"/>
      <c r="BP76" s="213"/>
      <c r="BQ76" s="213"/>
      <c r="BR76" s="213"/>
      <c r="BS76" s="213"/>
      <c r="BT76" s="213"/>
      <c r="BU76" s="215"/>
      <c r="BV76" s="215"/>
      <c r="BW76" s="215"/>
      <c r="BX76" s="215"/>
      <c r="BY76" s="215"/>
      <c r="BZ76" s="215"/>
      <c r="CA76" s="215"/>
      <c r="CB76" s="215"/>
      <c r="CC76" s="215"/>
      <c r="CD76" s="215"/>
      <c r="CE76" s="213"/>
      <c r="CF76" s="215"/>
      <c r="CG76" s="215">
        <f t="shared" si="149"/>
        <v>8700</v>
      </c>
      <c r="CH76" s="256">
        <f>VLOOKUP(CX76,SSS_2025!A:N,8)</f>
        <v>1900</v>
      </c>
      <c r="CI76" s="217">
        <f>VLOOKUP(CX76,SSS_2025!A:N,13)</f>
        <v>950</v>
      </c>
      <c r="CJ76" s="217">
        <f>VLOOKUP(CX76,SSS_2025!A:N,9)</f>
        <v>30</v>
      </c>
      <c r="CK76" s="215">
        <v>391.25</v>
      </c>
      <c r="CL76" s="215">
        <v>391.25</v>
      </c>
      <c r="CM76" s="215">
        <v>200</v>
      </c>
      <c r="CN76" s="215">
        <v>200</v>
      </c>
      <c r="CO76" s="214">
        <f t="shared" si="150"/>
        <v>11221.25</v>
      </c>
      <c r="CP76" s="214">
        <f t="shared" si="151"/>
        <v>720</v>
      </c>
      <c r="CQ76" s="214">
        <f t="shared" si="152"/>
        <v>11941.25</v>
      </c>
      <c r="CR76" s="215"/>
      <c r="CS76" s="214">
        <f t="shared" si="153"/>
        <v>11941.25</v>
      </c>
      <c r="CT76" s="273">
        <f t="shared" si="154"/>
        <v>600</v>
      </c>
      <c r="CU76" s="244"/>
      <c r="CV76" s="269">
        <f>IFERROR(VLOOKUP(C76,'[2]BILLING COMPUTATION'!$C$8:$CI$224,85,0),0)</f>
        <v>10492.5</v>
      </c>
      <c r="CW76" s="243">
        <f t="shared" si="140"/>
        <v>8700</v>
      </c>
      <c r="CX76" s="245">
        <f t="shared" si="139"/>
        <v>19192.5</v>
      </c>
      <c r="CZ76" s="721">
        <f>IFERROR(VLOOKUP(C76,'[5]BILLING COMPUTATION'!$C$8:$CG$101,83,0),0)</f>
        <v>10490</v>
      </c>
      <c r="DA76" s="721">
        <f t="shared" si="141"/>
        <v>8700</v>
      </c>
      <c r="DB76" s="721">
        <f t="shared" si="142"/>
        <v>19190</v>
      </c>
      <c r="DC76" s="721">
        <f t="shared" si="143"/>
        <v>-2.5</v>
      </c>
    </row>
    <row r="77" spans="1:107" s="2" customFormat="1" ht="16.899999999999999" customHeight="1">
      <c r="A77" s="235">
        <v>73</v>
      </c>
      <c r="B77" s="265"/>
      <c r="C77" s="266">
        <v>14835</v>
      </c>
      <c r="D77" s="266" t="str">
        <f>VLOOKUP(E77,'F3 MS (2)'!E:F,2,0)</f>
        <v>GD250237</v>
      </c>
      <c r="E77" s="267" t="s">
        <v>271</v>
      </c>
      <c r="F77" s="266" t="str">
        <f>VLOOKUP(C77,'[1]ACTIVE GH'!$C:$I,7,0)</f>
        <v>METAL STAMPING</v>
      </c>
      <c r="G77" s="266" t="str">
        <f>VLOOKUP(C77,'[1]ACTIVE GH'!$C:$J,8,0)</f>
        <v>PRODUCTION</v>
      </c>
      <c r="H77" s="266" t="str">
        <f>VLOOKUP(C77,'[1]ACTIVE GH'!$C:$N,12,0)</f>
        <v>Operator 1</v>
      </c>
      <c r="I77" s="266" t="s">
        <v>180</v>
      </c>
      <c r="J77" s="266">
        <f>IFERROR(VLOOKUP(C77,PIVOT!A:B,2,0),0)</f>
        <v>96</v>
      </c>
      <c r="K77" s="237">
        <f t="shared" si="115"/>
        <v>12</v>
      </c>
      <c r="L77" s="237">
        <v>600</v>
      </c>
      <c r="M77" s="238">
        <f t="shared" si="144"/>
        <v>7200</v>
      </c>
      <c r="N77" s="266">
        <f>IFERROR(VLOOKUP(C77,PIVOT!A:F,6,0),0)</f>
        <v>0</v>
      </c>
      <c r="O77" s="239">
        <f t="shared" si="116"/>
        <v>1.25</v>
      </c>
      <c r="P77" s="238">
        <f t="shared" si="145"/>
        <v>0</v>
      </c>
      <c r="Q77" s="266">
        <f>IFERROR(VLOOKUP(C77,PIVOT!A:C,3,0),0)</f>
        <v>20</v>
      </c>
      <c r="R77" s="239">
        <f t="shared" si="117"/>
        <v>93.75</v>
      </c>
      <c r="S77" s="238">
        <f t="shared" si="118"/>
        <v>1875</v>
      </c>
      <c r="T77" s="266">
        <f>IFERROR(VLOOKUP(C77,PIVOT!A:D,4,0),0)</f>
        <v>6</v>
      </c>
      <c r="U77" s="239">
        <f t="shared" si="146"/>
        <v>7.5</v>
      </c>
      <c r="V77" s="238">
        <f t="shared" si="147"/>
        <v>45</v>
      </c>
      <c r="W77" s="266">
        <f>IFERROR(VLOOKUP(C77,PIVOT!A:E,5,0),0)</f>
        <v>0</v>
      </c>
      <c r="X77" s="238">
        <f t="shared" si="119"/>
        <v>9.375</v>
      </c>
      <c r="Y77" s="238">
        <f t="shared" si="148"/>
        <v>0</v>
      </c>
      <c r="Z77" s="266">
        <f>IFERROR(VLOOKUP(C77,#REF!,6,0),0)</f>
        <v>0</v>
      </c>
      <c r="AA77" s="239">
        <f t="shared" si="120"/>
        <v>97.5</v>
      </c>
      <c r="AB77" s="238">
        <f t="shared" si="121"/>
        <v>0</v>
      </c>
      <c r="AC77" s="266"/>
      <c r="AD77" s="215">
        <f t="shared" si="122"/>
        <v>126.75</v>
      </c>
      <c r="AE77" s="214">
        <f t="shared" si="123"/>
        <v>0</v>
      </c>
      <c r="AF77" s="266">
        <f>IFERROR(VLOOKUP(C77,#REF!,8,0),0)</f>
        <v>0</v>
      </c>
      <c r="AG77" s="239">
        <f t="shared" si="124"/>
        <v>9.75</v>
      </c>
      <c r="AH77" s="238">
        <f t="shared" si="125"/>
        <v>0</v>
      </c>
      <c r="AI77" s="213"/>
      <c r="AJ77" s="213">
        <f t="shared" si="126"/>
        <v>112.5</v>
      </c>
      <c r="AK77" s="216">
        <f t="shared" si="127"/>
        <v>0</v>
      </c>
      <c r="AL77" s="213"/>
      <c r="AM77" s="213">
        <f t="shared" si="128"/>
        <v>146.25</v>
      </c>
      <c r="AN77" s="216">
        <v>0</v>
      </c>
      <c r="AO77" s="213"/>
      <c r="AP77" s="213">
        <f t="shared" si="129"/>
        <v>11.25</v>
      </c>
      <c r="AQ77" s="216">
        <f t="shared" si="130"/>
        <v>0</v>
      </c>
      <c r="AR77" s="266">
        <f>IFERROR(VLOOKUP(C77,#REF!,7,0),0)</f>
        <v>0</v>
      </c>
      <c r="AS77" s="278">
        <f t="shared" si="131"/>
        <v>97.5</v>
      </c>
      <c r="AT77" s="277">
        <f t="shared" si="132"/>
        <v>0</v>
      </c>
      <c r="AU77" s="266"/>
      <c r="AV77" s="213"/>
      <c r="AW77" s="216"/>
      <c r="AX77" s="213">
        <f>IFERROR(VLOOKUP(C77,#REF!,8,0),0)</f>
        <v>0</v>
      </c>
      <c r="AY77" s="278">
        <f t="shared" si="133"/>
        <v>9.75</v>
      </c>
      <c r="AZ77" s="277">
        <f t="shared" si="134"/>
        <v>0</v>
      </c>
      <c r="BA77" s="266">
        <f>IFERROR(VLOOKUP(C77,#REF!,10,0),0)</f>
        <v>0</v>
      </c>
      <c r="BB77" s="268">
        <f t="shared" si="135"/>
        <v>150</v>
      </c>
      <c r="BC77" s="247">
        <f t="shared" si="136"/>
        <v>0</v>
      </c>
      <c r="BD77" s="216"/>
      <c r="BE77" s="213"/>
      <c r="BF77" s="213"/>
      <c r="BG77" s="216"/>
      <c r="BH77" s="213"/>
      <c r="BI77" s="213"/>
      <c r="BJ77" s="216">
        <f>IFERROR(VLOOKUP(C77,#REF!,9,0),0)</f>
        <v>0</v>
      </c>
      <c r="BK77" s="276">
        <f t="shared" si="137"/>
        <v>75</v>
      </c>
      <c r="BL77" s="213">
        <f t="shared" si="138"/>
        <v>0</v>
      </c>
      <c r="BM77" s="216"/>
      <c r="BN77" s="213"/>
      <c r="BO77" s="213"/>
      <c r="BP77" s="213"/>
      <c r="BQ77" s="213"/>
      <c r="BR77" s="213"/>
      <c r="BS77" s="213"/>
      <c r="BT77" s="213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3"/>
      <c r="CF77" s="215"/>
      <c r="CG77" s="215">
        <f t="shared" si="149"/>
        <v>9120</v>
      </c>
      <c r="CH77" s="256">
        <f>VLOOKUP(CX77,SSS_2025!A:N,8)</f>
        <v>2050</v>
      </c>
      <c r="CI77" s="217">
        <f>VLOOKUP(CX77,SSS_2025!A:N,13)</f>
        <v>1025</v>
      </c>
      <c r="CJ77" s="217">
        <f>VLOOKUP(CX77,SSS_2025!A:N,9)</f>
        <v>30</v>
      </c>
      <c r="CK77" s="215">
        <v>391.25</v>
      </c>
      <c r="CL77" s="215">
        <v>391.25</v>
      </c>
      <c r="CM77" s="215">
        <v>200</v>
      </c>
      <c r="CN77" s="215">
        <v>200</v>
      </c>
      <c r="CO77" s="214">
        <f t="shared" si="150"/>
        <v>11791.25</v>
      </c>
      <c r="CP77" s="214">
        <f t="shared" si="151"/>
        <v>720</v>
      </c>
      <c r="CQ77" s="214">
        <f t="shared" si="152"/>
        <v>12511.25</v>
      </c>
      <c r="CR77" s="215"/>
      <c r="CS77" s="214">
        <f t="shared" si="153"/>
        <v>12511.25</v>
      </c>
      <c r="CT77" s="273">
        <f t="shared" si="154"/>
        <v>600</v>
      </c>
      <c r="CU77" s="244"/>
      <c r="CV77" s="269">
        <f>IFERROR(VLOOKUP(C77,'[2]BILLING COMPUTATION'!$C$8:$CI$224,85,0),0)</f>
        <v>11197.5</v>
      </c>
      <c r="CW77" s="243">
        <f t="shared" si="140"/>
        <v>9120</v>
      </c>
      <c r="CX77" s="245">
        <f t="shared" si="139"/>
        <v>20317.5</v>
      </c>
      <c r="CZ77" s="721">
        <f>IFERROR(VLOOKUP(C77,'[5]BILLING COMPUTATION'!$C$8:$CG$101,83,0),0)</f>
        <v>11325</v>
      </c>
      <c r="DA77" s="721">
        <f t="shared" si="141"/>
        <v>9120</v>
      </c>
      <c r="DB77" s="721">
        <f t="shared" si="142"/>
        <v>20445</v>
      </c>
      <c r="DC77" s="721">
        <f t="shared" si="143"/>
        <v>127.5</v>
      </c>
    </row>
    <row r="78" spans="1:107" s="2" customFormat="1" ht="16.899999999999999" customHeight="1">
      <c r="A78" s="235">
        <v>74</v>
      </c>
      <c r="B78" s="265"/>
      <c r="C78" s="266">
        <v>14357</v>
      </c>
      <c r="D78" s="266" t="str">
        <f>VLOOKUP(E78,'F3 MS (2)'!E:F,2,0)</f>
        <v>GD250455</v>
      </c>
      <c r="E78" s="267" t="s">
        <v>295</v>
      </c>
      <c r="F78" s="266" t="str">
        <f>VLOOKUP(C78,'[1]ACTIVE GH'!$C:$I,7,0)</f>
        <v>METAL STAMPING</v>
      </c>
      <c r="G78" s="266" t="str">
        <f>VLOOKUP(C78,'[1]ACTIVE GH'!$C:$J,8,0)</f>
        <v>PRODUCTION</v>
      </c>
      <c r="H78" s="266" t="str">
        <f>VLOOKUP(C78,'[1]ACTIVE GH'!$C:$N,12,0)</f>
        <v>Operator 1</v>
      </c>
      <c r="I78" s="266" t="s">
        <v>180</v>
      </c>
      <c r="J78" s="266">
        <f>IFERROR(VLOOKUP(C78,PIVOT!A:B,2,0),0)</f>
        <v>92</v>
      </c>
      <c r="K78" s="237">
        <f t="shared" si="115"/>
        <v>11.5</v>
      </c>
      <c r="L78" s="237">
        <v>600</v>
      </c>
      <c r="M78" s="238">
        <f t="shared" si="144"/>
        <v>6900</v>
      </c>
      <c r="N78" s="266">
        <f>IFERROR(VLOOKUP(C78,PIVOT!A:F,6,0),0)</f>
        <v>0</v>
      </c>
      <c r="O78" s="239">
        <f t="shared" si="116"/>
        <v>1.25</v>
      </c>
      <c r="P78" s="238">
        <f t="shared" si="145"/>
        <v>0</v>
      </c>
      <c r="Q78" s="266">
        <f>IFERROR(VLOOKUP(C78,PIVOT!A:C,3,0),0)</f>
        <v>18</v>
      </c>
      <c r="R78" s="239">
        <f t="shared" si="117"/>
        <v>93.75</v>
      </c>
      <c r="S78" s="238">
        <f t="shared" si="118"/>
        <v>1687.5</v>
      </c>
      <c r="T78" s="266">
        <f>IFERROR(VLOOKUP(C78,PIVOT!A:D,4,0),0)</f>
        <v>0</v>
      </c>
      <c r="U78" s="239">
        <f t="shared" si="146"/>
        <v>7.5</v>
      </c>
      <c r="V78" s="238">
        <f t="shared" si="147"/>
        <v>0</v>
      </c>
      <c r="W78" s="266">
        <f>IFERROR(VLOOKUP(C78,PIVOT!A:E,5,0),0)</f>
        <v>0</v>
      </c>
      <c r="X78" s="238">
        <f t="shared" si="119"/>
        <v>9.375</v>
      </c>
      <c r="Y78" s="238">
        <f t="shared" si="148"/>
        <v>0</v>
      </c>
      <c r="Z78" s="266">
        <f>IFERROR(VLOOKUP(C78,#REF!,6,0),0)</f>
        <v>0</v>
      </c>
      <c r="AA78" s="239">
        <f t="shared" si="120"/>
        <v>97.5</v>
      </c>
      <c r="AB78" s="238">
        <f t="shared" si="121"/>
        <v>0</v>
      </c>
      <c r="AC78" s="266"/>
      <c r="AD78" s="215">
        <f t="shared" si="122"/>
        <v>126.75</v>
      </c>
      <c r="AE78" s="214">
        <f t="shared" si="123"/>
        <v>0</v>
      </c>
      <c r="AF78" s="266">
        <f>IFERROR(VLOOKUP(C78,#REF!,8,0),0)</f>
        <v>0</v>
      </c>
      <c r="AG78" s="239">
        <f t="shared" si="124"/>
        <v>9.75</v>
      </c>
      <c r="AH78" s="238">
        <f t="shared" si="125"/>
        <v>0</v>
      </c>
      <c r="AI78" s="213"/>
      <c r="AJ78" s="213">
        <f t="shared" si="126"/>
        <v>112.5</v>
      </c>
      <c r="AK78" s="216">
        <f t="shared" si="127"/>
        <v>0</v>
      </c>
      <c r="AL78" s="213"/>
      <c r="AM78" s="213">
        <f t="shared" si="128"/>
        <v>146.25</v>
      </c>
      <c r="AN78" s="216">
        <v>0</v>
      </c>
      <c r="AO78" s="213"/>
      <c r="AP78" s="213">
        <f t="shared" si="129"/>
        <v>11.25</v>
      </c>
      <c r="AQ78" s="216">
        <f t="shared" si="130"/>
        <v>0</v>
      </c>
      <c r="AR78" s="266">
        <f>IFERROR(VLOOKUP(C78,#REF!,7,0),0)</f>
        <v>0</v>
      </c>
      <c r="AS78" s="278">
        <f t="shared" si="131"/>
        <v>97.5</v>
      </c>
      <c r="AT78" s="277">
        <f t="shared" si="132"/>
        <v>0</v>
      </c>
      <c r="AU78" s="266"/>
      <c r="AV78" s="213"/>
      <c r="AW78" s="216"/>
      <c r="AX78" s="213">
        <f>IFERROR(VLOOKUP(C78,#REF!,8,0),0)</f>
        <v>0</v>
      </c>
      <c r="AY78" s="278">
        <f t="shared" si="133"/>
        <v>9.75</v>
      </c>
      <c r="AZ78" s="277">
        <f t="shared" si="134"/>
        <v>0</v>
      </c>
      <c r="BA78" s="266">
        <f>IFERROR(VLOOKUP(C78,#REF!,10,0),0)</f>
        <v>0</v>
      </c>
      <c r="BB78" s="268">
        <f t="shared" si="135"/>
        <v>150</v>
      </c>
      <c r="BC78" s="247">
        <f t="shared" si="136"/>
        <v>0</v>
      </c>
      <c r="BD78" s="216"/>
      <c r="BE78" s="213"/>
      <c r="BF78" s="213"/>
      <c r="BG78" s="216"/>
      <c r="BH78" s="213"/>
      <c r="BI78" s="213"/>
      <c r="BJ78" s="216">
        <f>IFERROR(VLOOKUP(C78,#REF!,9,0),0)</f>
        <v>0</v>
      </c>
      <c r="BK78" s="276">
        <f t="shared" si="137"/>
        <v>75</v>
      </c>
      <c r="BL78" s="213">
        <f t="shared" si="138"/>
        <v>0</v>
      </c>
      <c r="BM78" s="216"/>
      <c r="BN78" s="213"/>
      <c r="BO78" s="213"/>
      <c r="BP78" s="213"/>
      <c r="BQ78" s="213"/>
      <c r="BR78" s="213"/>
      <c r="BS78" s="213"/>
      <c r="BT78" s="213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3"/>
      <c r="CF78" s="215"/>
      <c r="CG78" s="215">
        <f t="shared" si="149"/>
        <v>8587.5</v>
      </c>
      <c r="CH78" s="256">
        <f>VLOOKUP(CX78,SSS_2025!A:N,8)</f>
        <v>1950</v>
      </c>
      <c r="CI78" s="217">
        <f>VLOOKUP(CX78,SSS_2025!A:N,13)</f>
        <v>975</v>
      </c>
      <c r="CJ78" s="217">
        <f>VLOOKUP(CX78,SSS_2025!A:N,9)</f>
        <v>30</v>
      </c>
      <c r="CK78" s="215">
        <v>391.25</v>
      </c>
      <c r="CL78" s="215">
        <v>391.25</v>
      </c>
      <c r="CM78" s="215">
        <v>200</v>
      </c>
      <c r="CN78" s="215">
        <v>200</v>
      </c>
      <c r="CO78" s="214">
        <f t="shared" si="150"/>
        <v>11158.75</v>
      </c>
      <c r="CP78" s="214">
        <f t="shared" si="151"/>
        <v>690</v>
      </c>
      <c r="CQ78" s="214">
        <f t="shared" si="152"/>
        <v>11848.75</v>
      </c>
      <c r="CR78" s="215"/>
      <c r="CS78" s="214">
        <f t="shared" si="153"/>
        <v>11848.75</v>
      </c>
      <c r="CT78" s="273">
        <f t="shared" si="154"/>
        <v>575</v>
      </c>
      <c r="CU78" s="244"/>
      <c r="CV78" s="269">
        <f>IFERROR(VLOOKUP(C78,'[2]BILLING COMPUTATION'!$C$8:$CI$224,85,0),0)</f>
        <v>10680</v>
      </c>
      <c r="CW78" s="243">
        <f t="shared" si="140"/>
        <v>8587.5</v>
      </c>
      <c r="CX78" s="245">
        <f t="shared" si="139"/>
        <v>19267.5</v>
      </c>
      <c r="CZ78" s="721">
        <f>IFERROR(VLOOKUP(C78,'[5]BILLING COMPUTATION'!$C$8:$CG$101,83,0),0)</f>
        <v>11235</v>
      </c>
      <c r="DA78" s="721">
        <f t="shared" si="141"/>
        <v>8587.5</v>
      </c>
      <c r="DB78" s="721">
        <f t="shared" si="142"/>
        <v>19822.5</v>
      </c>
      <c r="DC78" s="721">
        <f t="shared" si="143"/>
        <v>555</v>
      </c>
    </row>
    <row r="79" spans="1:107" s="2" customFormat="1" ht="16.899999999999999" customHeight="1">
      <c r="A79" s="235">
        <v>75</v>
      </c>
      <c r="B79" s="265"/>
      <c r="C79" s="266">
        <v>30611</v>
      </c>
      <c r="D79" s="266" t="str">
        <f>VLOOKUP(E79,'F3 MS (2)'!E:F,2,0)</f>
        <v>GD250554</v>
      </c>
      <c r="E79" s="267" t="s">
        <v>310</v>
      </c>
      <c r="F79" s="266" t="str">
        <f>VLOOKUP(C79,'[1]ACTIVE GH'!$C:$I,7,0)</f>
        <v>METAL STAMPING</v>
      </c>
      <c r="G79" s="266" t="str">
        <f>VLOOKUP(C79,'[1]ACTIVE GH'!$C:$J,8,0)</f>
        <v>PRODUCTION</v>
      </c>
      <c r="H79" s="266" t="str">
        <f>VLOOKUP(C79,'[1]ACTIVE GH'!$C:$N,12,0)</f>
        <v>Operator 1</v>
      </c>
      <c r="I79" s="266" t="s">
        <v>180</v>
      </c>
      <c r="J79" s="266">
        <f>IFERROR(VLOOKUP(C79,PIVOT!A:B,2,0),0)</f>
        <v>96</v>
      </c>
      <c r="K79" s="237">
        <f t="shared" si="115"/>
        <v>12</v>
      </c>
      <c r="L79" s="237">
        <v>600</v>
      </c>
      <c r="M79" s="238">
        <f t="shared" si="144"/>
        <v>7200</v>
      </c>
      <c r="N79" s="266">
        <f>IFERROR(VLOOKUP(C79,PIVOT!A:F,6,0),0)</f>
        <v>0</v>
      </c>
      <c r="O79" s="239">
        <f t="shared" si="116"/>
        <v>1.25</v>
      </c>
      <c r="P79" s="238">
        <f t="shared" si="145"/>
        <v>0</v>
      </c>
      <c r="Q79" s="266">
        <f>IFERROR(VLOOKUP(C79,PIVOT!A:C,3,0),0)</f>
        <v>6</v>
      </c>
      <c r="R79" s="239">
        <f t="shared" si="117"/>
        <v>93.75</v>
      </c>
      <c r="S79" s="238">
        <f t="shared" si="118"/>
        <v>562.5</v>
      </c>
      <c r="T79" s="266">
        <f>IFERROR(VLOOKUP(C79,PIVOT!A:D,4,0),0)</f>
        <v>0</v>
      </c>
      <c r="U79" s="239">
        <f t="shared" si="146"/>
        <v>7.5</v>
      </c>
      <c r="V79" s="238">
        <f t="shared" si="147"/>
        <v>0</v>
      </c>
      <c r="W79" s="266">
        <f>IFERROR(VLOOKUP(C79,PIVOT!A:E,5,0),0)</f>
        <v>0</v>
      </c>
      <c r="X79" s="238">
        <f t="shared" si="119"/>
        <v>9.375</v>
      </c>
      <c r="Y79" s="238">
        <f t="shared" si="148"/>
        <v>0</v>
      </c>
      <c r="Z79" s="266">
        <f>IFERROR(VLOOKUP(C79,#REF!,6,0),0)</f>
        <v>0</v>
      </c>
      <c r="AA79" s="239">
        <f t="shared" si="120"/>
        <v>97.5</v>
      </c>
      <c r="AB79" s="238">
        <f t="shared" si="121"/>
        <v>0</v>
      </c>
      <c r="AC79" s="266"/>
      <c r="AD79" s="215">
        <f t="shared" si="122"/>
        <v>126.75</v>
      </c>
      <c r="AE79" s="214">
        <f t="shared" si="123"/>
        <v>0</v>
      </c>
      <c r="AF79" s="266">
        <f>IFERROR(VLOOKUP(C79,#REF!,8,0),0)</f>
        <v>0</v>
      </c>
      <c r="AG79" s="239">
        <f t="shared" si="124"/>
        <v>9.75</v>
      </c>
      <c r="AH79" s="238">
        <f t="shared" si="125"/>
        <v>0</v>
      </c>
      <c r="AI79" s="213"/>
      <c r="AJ79" s="213">
        <f t="shared" si="126"/>
        <v>112.5</v>
      </c>
      <c r="AK79" s="216">
        <f t="shared" si="127"/>
        <v>0</v>
      </c>
      <c r="AL79" s="213"/>
      <c r="AM79" s="213">
        <f t="shared" si="128"/>
        <v>146.25</v>
      </c>
      <c r="AN79" s="216">
        <v>0</v>
      </c>
      <c r="AO79" s="213"/>
      <c r="AP79" s="213">
        <f t="shared" si="129"/>
        <v>11.25</v>
      </c>
      <c r="AQ79" s="216">
        <f t="shared" si="130"/>
        <v>0</v>
      </c>
      <c r="AR79" s="266">
        <f>IFERROR(VLOOKUP(C79,#REF!,7,0),0)</f>
        <v>0</v>
      </c>
      <c r="AS79" s="278">
        <f t="shared" si="131"/>
        <v>97.5</v>
      </c>
      <c r="AT79" s="277">
        <f t="shared" si="132"/>
        <v>0</v>
      </c>
      <c r="AU79" s="266"/>
      <c r="AV79" s="213"/>
      <c r="AW79" s="216"/>
      <c r="AX79" s="213">
        <f>IFERROR(VLOOKUP(C79,#REF!,8,0),0)</f>
        <v>0</v>
      </c>
      <c r="AY79" s="278">
        <f t="shared" si="133"/>
        <v>9.75</v>
      </c>
      <c r="AZ79" s="277">
        <f t="shared" si="134"/>
        <v>0</v>
      </c>
      <c r="BA79" s="266">
        <f>IFERROR(VLOOKUP(C79,#REF!,10,0),0)</f>
        <v>0</v>
      </c>
      <c r="BB79" s="268">
        <f t="shared" si="135"/>
        <v>150</v>
      </c>
      <c r="BC79" s="247">
        <f t="shared" si="136"/>
        <v>0</v>
      </c>
      <c r="BD79" s="216"/>
      <c r="BE79" s="213"/>
      <c r="BF79" s="213"/>
      <c r="BG79" s="216"/>
      <c r="BH79" s="213"/>
      <c r="BI79" s="213"/>
      <c r="BJ79" s="216">
        <f>IFERROR(VLOOKUP(C79,#REF!,9,0),0)</f>
        <v>0</v>
      </c>
      <c r="BK79" s="276">
        <f t="shared" si="137"/>
        <v>75</v>
      </c>
      <c r="BL79" s="213">
        <f t="shared" si="138"/>
        <v>0</v>
      </c>
      <c r="BM79" s="216"/>
      <c r="BN79" s="213"/>
      <c r="BO79" s="213"/>
      <c r="BP79" s="213"/>
      <c r="BQ79" s="213"/>
      <c r="BR79" s="213"/>
      <c r="BS79" s="213"/>
      <c r="BT79" s="213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3"/>
      <c r="CF79" s="215"/>
      <c r="CG79" s="215">
        <f t="shared" si="149"/>
        <v>7762.5</v>
      </c>
      <c r="CH79" s="256">
        <f>VLOOKUP(CX79,SSS_2025!A:N,8)</f>
        <v>1900</v>
      </c>
      <c r="CI79" s="217">
        <f>VLOOKUP(CX79,SSS_2025!A:N,13)</f>
        <v>950</v>
      </c>
      <c r="CJ79" s="217">
        <f>VLOOKUP(CX79,SSS_2025!A:N,9)</f>
        <v>30</v>
      </c>
      <c r="CK79" s="215">
        <v>391.25</v>
      </c>
      <c r="CL79" s="215">
        <v>391.25</v>
      </c>
      <c r="CM79" s="215">
        <v>200</v>
      </c>
      <c r="CN79" s="215">
        <v>200</v>
      </c>
      <c r="CO79" s="214">
        <f t="shared" si="150"/>
        <v>10283.75</v>
      </c>
      <c r="CP79" s="214">
        <f t="shared" si="151"/>
        <v>720</v>
      </c>
      <c r="CQ79" s="214">
        <f t="shared" si="152"/>
        <v>11003.75</v>
      </c>
      <c r="CR79" s="215"/>
      <c r="CS79" s="214">
        <f t="shared" si="153"/>
        <v>11003.75</v>
      </c>
      <c r="CT79" s="273">
        <f t="shared" si="154"/>
        <v>600</v>
      </c>
      <c r="CU79" s="244"/>
      <c r="CV79" s="269">
        <f>IFERROR(VLOOKUP(C79,'[2]BILLING COMPUTATION'!$C$8:$CI$224,85,0),0)</f>
        <v>11403.75</v>
      </c>
      <c r="CW79" s="243">
        <f t="shared" si="140"/>
        <v>7762.5</v>
      </c>
      <c r="CX79" s="245">
        <f t="shared" si="139"/>
        <v>19166.25</v>
      </c>
      <c r="CZ79" s="721">
        <f>IFERROR(VLOOKUP(C79,'[5]BILLING COMPUTATION'!$C$8:$CG$101,83,0),0)</f>
        <v>7912.5</v>
      </c>
      <c r="DA79" s="721">
        <f t="shared" si="141"/>
        <v>7762.5</v>
      </c>
      <c r="DB79" s="721">
        <f t="shared" si="142"/>
        <v>15675</v>
      </c>
      <c r="DC79" s="721">
        <f t="shared" si="143"/>
        <v>-3491.25</v>
      </c>
    </row>
    <row r="80" spans="1:107" s="2" customFormat="1" ht="16.899999999999999" customHeight="1">
      <c r="A80" s="235">
        <v>76</v>
      </c>
      <c r="B80" s="265"/>
      <c r="C80" s="266">
        <v>32460</v>
      </c>
      <c r="D80" s="266" t="s">
        <v>381</v>
      </c>
      <c r="E80" s="267" t="s">
        <v>365</v>
      </c>
      <c r="F80" s="266" t="str">
        <f>VLOOKUP(C80,'[1]ACTIVE GH'!$C:$I,7,0)</f>
        <v>METAL STAMPING</v>
      </c>
      <c r="G80" s="266" t="str">
        <f>VLOOKUP(C80,'[1]ACTIVE GH'!$C:$J,8,0)</f>
        <v>PRODUCTION</v>
      </c>
      <c r="H80" s="266" t="str">
        <f>VLOOKUP(C80,'[1]ACTIVE GH'!$C:$N,12,0)</f>
        <v>Operator 1</v>
      </c>
      <c r="I80" s="266" t="s">
        <v>180</v>
      </c>
      <c r="J80" s="266">
        <f>IFERROR(VLOOKUP(C80,PIVOT!A:B,2,0),0)</f>
        <v>96</v>
      </c>
      <c r="K80" s="237">
        <f t="shared" si="115"/>
        <v>12</v>
      </c>
      <c r="L80" s="237">
        <v>600</v>
      </c>
      <c r="M80" s="238">
        <f t="shared" si="144"/>
        <v>7200</v>
      </c>
      <c r="N80" s="266">
        <f>IFERROR(VLOOKUP(C80,PIVOT!A:F,6,0),0)</f>
        <v>0</v>
      </c>
      <c r="O80" s="239">
        <f t="shared" si="116"/>
        <v>1.25</v>
      </c>
      <c r="P80" s="238">
        <f t="shared" si="145"/>
        <v>0</v>
      </c>
      <c r="Q80" s="266">
        <f>IFERROR(VLOOKUP(C80,PIVOT!A:C,3,0),0)</f>
        <v>12</v>
      </c>
      <c r="R80" s="239">
        <f t="shared" si="117"/>
        <v>93.75</v>
      </c>
      <c r="S80" s="238">
        <f t="shared" si="118"/>
        <v>1125</v>
      </c>
      <c r="T80" s="266">
        <f>IFERROR(VLOOKUP(C80,PIVOT!A:D,4,0),0)</f>
        <v>0</v>
      </c>
      <c r="U80" s="239">
        <f t="shared" si="146"/>
        <v>7.5</v>
      </c>
      <c r="V80" s="238">
        <f t="shared" si="147"/>
        <v>0</v>
      </c>
      <c r="W80" s="266">
        <f>IFERROR(VLOOKUP(C80,PIVOT!A:E,5,0),0)</f>
        <v>0</v>
      </c>
      <c r="X80" s="238">
        <f t="shared" si="119"/>
        <v>9.375</v>
      </c>
      <c r="Y80" s="238">
        <f t="shared" si="148"/>
        <v>0</v>
      </c>
      <c r="Z80" s="266">
        <f>IFERROR(VLOOKUP(C80,#REF!,6,0),0)</f>
        <v>0</v>
      </c>
      <c r="AA80" s="239">
        <f t="shared" si="120"/>
        <v>97.5</v>
      </c>
      <c r="AB80" s="238">
        <f t="shared" si="121"/>
        <v>0</v>
      </c>
      <c r="AC80" s="266"/>
      <c r="AD80" s="215">
        <f t="shared" si="122"/>
        <v>126.75</v>
      </c>
      <c r="AE80" s="214">
        <f t="shared" si="123"/>
        <v>0</v>
      </c>
      <c r="AF80" s="266">
        <f>IFERROR(VLOOKUP(C80,#REF!,8,0),0)</f>
        <v>0</v>
      </c>
      <c r="AG80" s="239">
        <f t="shared" si="124"/>
        <v>9.75</v>
      </c>
      <c r="AH80" s="238">
        <f t="shared" si="125"/>
        <v>0</v>
      </c>
      <c r="AI80" s="213"/>
      <c r="AJ80" s="213">
        <f t="shared" si="126"/>
        <v>112.5</v>
      </c>
      <c r="AK80" s="216">
        <f t="shared" si="127"/>
        <v>0</v>
      </c>
      <c r="AL80" s="213"/>
      <c r="AM80" s="213">
        <f t="shared" si="128"/>
        <v>146.25</v>
      </c>
      <c r="AN80" s="216">
        <v>0</v>
      </c>
      <c r="AO80" s="213"/>
      <c r="AP80" s="213">
        <f t="shared" si="129"/>
        <v>11.25</v>
      </c>
      <c r="AQ80" s="216">
        <f t="shared" si="130"/>
        <v>0</v>
      </c>
      <c r="AR80" s="266">
        <f>IFERROR(VLOOKUP(C80,#REF!,7,0),0)</f>
        <v>0</v>
      </c>
      <c r="AS80" s="278">
        <f t="shared" si="131"/>
        <v>97.5</v>
      </c>
      <c r="AT80" s="277">
        <f t="shared" si="132"/>
        <v>0</v>
      </c>
      <c r="AU80" s="266"/>
      <c r="AV80" s="213"/>
      <c r="AW80" s="216"/>
      <c r="AX80" s="213">
        <f>IFERROR(VLOOKUP(C80,#REF!,8,0),0)</f>
        <v>0</v>
      </c>
      <c r="AY80" s="278">
        <f t="shared" si="133"/>
        <v>9.75</v>
      </c>
      <c r="AZ80" s="277">
        <f t="shared" si="134"/>
        <v>0</v>
      </c>
      <c r="BA80" s="266">
        <f>IFERROR(VLOOKUP(C80,#REF!,10,0),0)</f>
        <v>0</v>
      </c>
      <c r="BB80" s="268">
        <f t="shared" si="135"/>
        <v>150</v>
      </c>
      <c r="BC80" s="247">
        <f t="shared" si="136"/>
        <v>0</v>
      </c>
      <c r="BD80" s="216"/>
      <c r="BE80" s="213"/>
      <c r="BF80" s="213"/>
      <c r="BG80" s="216"/>
      <c r="BH80" s="213"/>
      <c r="BI80" s="213"/>
      <c r="BJ80" s="216">
        <f>IFERROR(VLOOKUP(C80,#REF!,9,0),0)</f>
        <v>0</v>
      </c>
      <c r="BK80" s="276">
        <f t="shared" si="137"/>
        <v>75</v>
      </c>
      <c r="BL80" s="213">
        <f t="shared" si="138"/>
        <v>0</v>
      </c>
      <c r="BM80" s="216"/>
      <c r="BN80" s="213"/>
      <c r="BO80" s="213"/>
      <c r="BP80" s="213"/>
      <c r="BQ80" s="213"/>
      <c r="BR80" s="213"/>
      <c r="BS80" s="213"/>
      <c r="BT80" s="213"/>
      <c r="BU80" s="215"/>
      <c r="BV80" s="215"/>
      <c r="BW80" s="215"/>
      <c r="BX80" s="215"/>
      <c r="BY80" s="215"/>
      <c r="BZ80" s="215"/>
      <c r="CA80" s="215"/>
      <c r="CB80" s="215"/>
      <c r="CC80" s="215"/>
      <c r="CD80" s="215"/>
      <c r="CE80" s="213"/>
      <c r="CF80" s="215"/>
      <c r="CG80" s="215">
        <f t="shared" si="149"/>
        <v>8325</v>
      </c>
      <c r="CH80" s="256">
        <f>VLOOKUP(CX80,SSS_2025!A:N,8)</f>
        <v>1850</v>
      </c>
      <c r="CI80" s="217">
        <f>VLOOKUP(CX80,SSS_2025!A:N,13)</f>
        <v>925</v>
      </c>
      <c r="CJ80" s="217">
        <f>VLOOKUP(CX80,SSS_2025!A:N,9)</f>
        <v>30</v>
      </c>
      <c r="CK80" s="215">
        <v>391.25</v>
      </c>
      <c r="CL80" s="215">
        <v>391.25</v>
      </c>
      <c r="CM80" s="215">
        <v>200</v>
      </c>
      <c r="CN80" s="215">
        <v>200</v>
      </c>
      <c r="CO80" s="214">
        <f t="shared" si="150"/>
        <v>10796.25</v>
      </c>
      <c r="CP80" s="214">
        <f t="shared" si="151"/>
        <v>720</v>
      </c>
      <c r="CQ80" s="214">
        <f t="shared" si="152"/>
        <v>11516.25</v>
      </c>
      <c r="CR80" s="215"/>
      <c r="CS80" s="214">
        <f t="shared" si="153"/>
        <v>11516.25</v>
      </c>
      <c r="CT80" s="273">
        <f t="shared" si="154"/>
        <v>600</v>
      </c>
      <c r="CU80" s="244"/>
      <c r="CV80" s="269">
        <f>IFERROR(VLOOKUP(C80,'[2]BILLING COMPUTATION'!$C$8:$CI$224,85,0),0)</f>
        <v>10117.5</v>
      </c>
      <c r="CW80" s="243">
        <f t="shared" si="140"/>
        <v>8325</v>
      </c>
      <c r="CX80" s="245">
        <f t="shared" si="139"/>
        <v>18442.5</v>
      </c>
      <c r="CZ80" s="721">
        <f>IFERROR(VLOOKUP(C80,'[5]BILLING COMPUTATION'!$C$8:$CG$101,83,0),0)</f>
        <v>8700</v>
      </c>
      <c r="DA80" s="721">
        <f t="shared" si="141"/>
        <v>8325</v>
      </c>
      <c r="DB80" s="721">
        <f t="shared" si="142"/>
        <v>17025</v>
      </c>
      <c r="DC80" s="721">
        <f t="shared" si="143"/>
        <v>-1417.5</v>
      </c>
    </row>
    <row r="81" spans="1:107" s="2" customFormat="1" ht="16.899999999999999" customHeight="1">
      <c r="A81" s="235">
        <v>77</v>
      </c>
      <c r="B81" s="265"/>
      <c r="C81" s="266">
        <v>32458</v>
      </c>
      <c r="D81" s="266" t="str">
        <f>VLOOKUP(E81,'F3 MS (2)'!E:F,2,0)</f>
        <v>GD260704</v>
      </c>
      <c r="E81" s="267" t="s">
        <v>366</v>
      </c>
      <c r="F81" s="266" t="str">
        <f>VLOOKUP(C81,'[1]ACTIVE GH'!$C:$I,7,0)</f>
        <v>METAL STAMPING</v>
      </c>
      <c r="G81" s="266" t="str">
        <f>VLOOKUP(C81,'[1]ACTIVE GH'!$C:$J,8,0)</f>
        <v>PRODUCTION</v>
      </c>
      <c r="H81" s="266" t="str">
        <f>VLOOKUP(C81,'[1]ACTIVE GH'!$C:$N,12,0)</f>
        <v>Operator 1</v>
      </c>
      <c r="I81" s="266" t="s">
        <v>180</v>
      </c>
      <c r="J81" s="266">
        <f>IFERROR(VLOOKUP(C81,PIVOT!A:B,2,0),0)</f>
        <v>96</v>
      </c>
      <c r="K81" s="237">
        <f t="shared" si="115"/>
        <v>12</v>
      </c>
      <c r="L81" s="237">
        <v>600</v>
      </c>
      <c r="M81" s="238">
        <f t="shared" si="144"/>
        <v>7200</v>
      </c>
      <c r="N81" s="266">
        <f>IFERROR(VLOOKUP(C81,PIVOT!A:F,6,0),0)</f>
        <v>0</v>
      </c>
      <c r="O81" s="239">
        <f t="shared" si="116"/>
        <v>1.25</v>
      </c>
      <c r="P81" s="238">
        <f t="shared" si="145"/>
        <v>0</v>
      </c>
      <c r="Q81" s="266">
        <f>IFERROR(VLOOKUP(C81,PIVOT!A:C,3,0),0)</f>
        <v>16</v>
      </c>
      <c r="R81" s="239">
        <f t="shared" si="117"/>
        <v>93.75</v>
      </c>
      <c r="S81" s="238">
        <f t="shared" si="118"/>
        <v>1500</v>
      </c>
      <c r="T81" s="266">
        <f>IFERROR(VLOOKUP(C81,PIVOT!A:D,4,0),0)</f>
        <v>0</v>
      </c>
      <c r="U81" s="239">
        <f t="shared" si="146"/>
        <v>7.5</v>
      </c>
      <c r="V81" s="238">
        <f t="shared" si="147"/>
        <v>0</v>
      </c>
      <c r="W81" s="266">
        <f>IFERROR(VLOOKUP(C81,PIVOT!A:E,5,0),0)</f>
        <v>0</v>
      </c>
      <c r="X81" s="238">
        <f t="shared" si="119"/>
        <v>9.375</v>
      </c>
      <c r="Y81" s="238">
        <f t="shared" si="148"/>
        <v>0</v>
      </c>
      <c r="Z81" s="266">
        <f>IFERROR(VLOOKUP(C81,#REF!,6,0),0)</f>
        <v>0</v>
      </c>
      <c r="AA81" s="239">
        <f t="shared" si="120"/>
        <v>97.5</v>
      </c>
      <c r="AB81" s="238">
        <f t="shared" si="121"/>
        <v>0</v>
      </c>
      <c r="AC81" s="266"/>
      <c r="AD81" s="215">
        <f t="shared" si="122"/>
        <v>126.75</v>
      </c>
      <c r="AE81" s="214">
        <f t="shared" si="123"/>
        <v>0</v>
      </c>
      <c r="AF81" s="266">
        <f>IFERROR(VLOOKUP(C81,#REF!,8,0),0)</f>
        <v>0</v>
      </c>
      <c r="AG81" s="239">
        <f t="shared" si="124"/>
        <v>9.75</v>
      </c>
      <c r="AH81" s="238">
        <f t="shared" si="125"/>
        <v>0</v>
      </c>
      <c r="AI81" s="213"/>
      <c r="AJ81" s="213">
        <f t="shared" si="126"/>
        <v>112.5</v>
      </c>
      <c r="AK81" s="216">
        <f t="shared" si="127"/>
        <v>0</v>
      </c>
      <c r="AL81" s="213"/>
      <c r="AM81" s="213">
        <f t="shared" si="128"/>
        <v>146.25</v>
      </c>
      <c r="AN81" s="216">
        <v>0</v>
      </c>
      <c r="AO81" s="213"/>
      <c r="AP81" s="213">
        <f t="shared" si="129"/>
        <v>11.25</v>
      </c>
      <c r="AQ81" s="216">
        <f t="shared" si="130"/>
        <v>0</v>
      </c>
      <c r="AR81" s="266">
        <f>IFERROR(VLOOKUP(C81,#REF!,7,0),0)</f>
        <v>0</v>
      </c>
      <c r="AS81" s="278">
        <f t="shared" si="131"/>
        <v>97.5</v>
      </c>
      <c r="AT81" s="277">
        <f t="shared" si="132"/>
        <v>0</v>
      </c>
      <c r="AU81" s="266"/>
      <c r="AV81" s="213"/>
      <c r="AW81" s="216"/>
      <c r="AX81" s="213">
        <f>IFERROR(VLOOKUP(C81,#REF!,8,0),0)</f>
        <v>0</v>
      </c>
      <c r="AY81" s="278">
        <f t="shared" si="133"/>
        <v>9.75</v>
      </c>
      <c r="AZ81" s="277">
        <f t="shared" si="134"/>
        <v>0</v>
      </c>
      <c r="BA81" s="266">
        <f>IFERROR(VLOOKUP(C81,#REF!,10,0),0)</f>
        <v>0</v>
      </c>
      <c r="BB81" s="268">
        <f t="shared" si="135"/>
        <v>150</v>
      </c>
      <c r="BC81" s="247">
        <f t="shared" si="136"/>
        <v>0</v>
      </c>
      <c r="BD81" s="216"/>
      <c r="BE81" s="213"/>
      <c r="BF81" s="213"/>
      <c r="BG81" s="216"/>
      <c r="BH81" s="213"/>
      <c r="BI81" s="213"/>
      <c r="BJ81" s="216">
        <f>IFERROR(VLOOKUP(C81,#REF!,9,0),0)</f>
        <v>0</v>
      </c>
      <c r="BK81" s="276">
        <f t="shared" si="137"/>
        <v>75</v>
      </c>
      <c r="BL81" s="213">
        <f t="shared" si="138"/>
        <v>0</v>
      </c>
      <c r="BM81" s="216"/>
      <c r="BN81" s="213"/>
      <c r="BO81" s="213"/>
      <c r="BP81" s="213"/>
      <c r="BQ81" s="213"/>
      <c r="BR81" s="213"/>
      <c r="BS81" s="213"/>
      <c r="BT81" s="213"/>
      <c r="BU81" s="215"/>
      <c r="BV81" s="215"/>
      <c r="BW81" s="215"/>
      <c r="BX81" s="215"/>
      <c r="BY81" s="215"/>
      <c r="BZ81" s="215"/>
      <c r="CA81" s="215"/>
      <c r="CB81" s="215"/>
      <c r="CC81" s="215"/>
      <c r="CD81" s="215"/>
      <c r="CE81" s="213"/>
      <c r="CF81" s="215"/>
      <c r="CG81" s="215">
        <f t="shared" si="149"/>
        <v>8700</v>
      </c>
      <c r="CH81" s="256">
        <f>VLOOKUP(CX81,SSS_2025!A:N,8)</f>
        <v>1900</v>
      </c>
      <c r="CI81" s="217">
        <f>VLOOKUP(CX81,SSS_2025!A:N,13)</f>
        <v>950</v>
      </c>
      <c r="CJ81" s="217">
        <f>VLOOKUP(CX81,SSS_2025!A:N,9)</f>
        <v>30</v>
      </c>
      <c r="CK81" s="215">
        <v>391.25</v>
      </c>
      <c r="CL81" s="215">
        <v>391.25</v>
      </c>
      <c r="CM81" s="215">
        <v>200</v>
      </c>
      <c r="CN81" s="215">
        <v>200</v>
      </c>
      <c r="CO81" s="214">
        <f t="shared" si="150"/>
        <v>11221.25</v>
      </c>
      <c r="CP81" s="214">
        <f t="shared" si="151"/>
        <v>720</v>
      </c>
      <c r="CQ81" s="214">
        <f t="shared" si="152"/>
        <v>11941.25</v>
      </c>
      <c r="CR81" s="215"/>
      <c r="CS81" s="214">
        <f t="shared" si="153"/>
        <v>11941.25</v>
      </c>
      <c r="CT81" s="273">
        <f t="shared" si="154"/>
        <v>600</v>
      </c>
      <c r="CU81" s="244"/>
      <c r="CV81" s="269">
        <f>IFERROR(VLOOKUP(C81,'[2]BILLING COMPUTATION'!$C$8:$CI$224,85,0),0)</f>
        <v>10305</v>
      </c>
      <c r="CW81" s="243">
        <f t="shared" si="140"/>
        <v>8700</v>
      </c>
      <c r="CX81" s="245">
        <f t="shared" si="139"/>
        <v>19005</v>
      </c>
      <c r="CZ81" s="721">
        <f>IFERROR(VLOOKUP(C81,'[5]BILLING COMPUTATION'!$C$8:$CG$101,83,0),0)</f>
        <v>11235</v>
      </c>
      <c r="DA81" s="721">
        <f t="shared" si="141"/>
        <v>8700</v>
      </c>
      <c r="DB81" s="721">
        <f t="shared" si="142"/>
        <v>19935</v>
      </c>
      <c r="DC81" s="721">
        <f t="shared" si="143"/>
        <v>930</v>
      </c>
    </row>
    <row r="82" spans="1:107" s="2" customFormat="1" ht="16.899999999999999" customHeight="1">
      <c r="A82" s="235">
        <v>78</v>
      </c>
      <c r="B82" s="265"/>
      <c r="C82" s="266">
        <v>7244</v>
      </c>
      <c r="D82" s="266" t="str">
        <f>VLOOKUP(E82,'F3 MS (2)'!E:F,2,0)</f>
        <v>GD250110</v>
      </c>
      <c r="E82" s="267" t="s">
        <v>293</v>
      </c>
      <c r="F82" s="266" t="str">
        <f>VLOOKUP(C82,'[1]ACTIVE GH'!$C:$I,7,0)</f>
        <v>METAL STAMPING</v>
      </c>
      <c r="G82" s="266" t="str">
        <f>VLOOKUP(C82,'[1]ACTIVE GH'!$C:$J,8,0)</f>
        <v>PRODUCTION</v>
      </c>
      <c r="H82" s="266" t="str">
        <f>VLOOKUP(C82,'[1]ACTIVE GH'!$C:$N,12,0)</f>
        <v>Operator 1</v>
      </c>
      <c r="I82" s="266" t="s">
        <v>180</v>
      </c>
      <c r="J82" s="266">
        <f>IFERROR(VLOOKUP(C82,PIVOT!A:B,2,0),0)</f>
        <v>84</v>
      </c>
      <c r="K82" s="237">
        <f t="shared" si="115"/>
        <v>10.5</v>
      </c>
      <c r="L82" s="237">
        <v>600</v>
      </c>
      <c r="M82" s="238">
        <f t="shared" si="144"/>
        <v>6300</v>
      </c>
      <c r="N82" s="266">
        <f>IFERROR(VLOOKUP(C82,PIVOT!A:F,6,0),0)</f>
        <v>0</v>
      </c>
      <c r="O82" s="239">
        <f t="shared" si="116"/>
        <v>1.25</v>
      </c>
      <c r="P82" s="238">
        <f t="shared" si="145"/>
        <v>0</v>
      </c>
      <c r="Q82" s="266">
        <f>IFERROR(VLOOKUP(C82,PIVOT!A:C,3,0),0)</f>
        <v>14</v>
      </c>
      <c r="R82" s="239">
        <f t="shared" si="117"/>
        <v>93.75</v>
      </c>
      <c r="S82" s="238">
        <f t="shared" si="118"/>
        <v>1312.5</v>
      </c>
      <c r="T82" s="266">
        <f>IFERROR(VLOOKUP(C82,PIVOT!A:D,4,0),0)</f>
        <v>0</v>
      </c>
      <c r="U82" s="239">
        <f t="shared" si="146"/>
        <v>7.5</v>
      </c>
      <c r="V82" s="238">
        <f t="shared" si="147"/>
        <v>0</v>
      </c>
      <c r="W82" s="266">
        <f>IFERROR(VLOOKUP(C82,PIVOT!A:E,5,0),0)</f>
        <v>0</v>
      </c>
      <c r="X82" s="238">
        <f t="shared" si="119"/>
        <v>9.375</v>
      </c>
      <c r="Y82" s="238">
        <f t="shared" si="148"/>
        <v>0</v>
      </c>
      <c r="Z82" s="266">
        <f>IFERROR(VLOOKUP(C82,#REF!,6,0),0)</f>
        <v>0</v>
      </c>
      <c r="AA82" s="239">
        <f t="shared" si="120"/>
        <v>97.5</v>
      </c>
      <c r="AB82" s="238">
        <f t="shared" si="121"/>
        <v>0</v>
      </c>
      <c r="AC82" s="266"/>
      <c r="AD82" s="215">
        <f t="shared" si="122"/>
        <v>126.75</v>
      </c>
      <c r="AE82" s="214">
        <f t="shared" si="123"/>
        <v>0</v>
      </c>
      <c r="AF82" s="266">
        <f>IFERROR(VLOOKUP(C82,#REF!,8,0),0)</f>
        <v>0</v>
      </c>
      <c r="AG82" s="239">
        <f t="shared" si="124"/>
        <v>9.75</v>
      </c>
      <c r="AH82" s="238">
        <f t="shared" si="125"/>
        <v>0</v>
      </c>
      <c r="AI82" s="213"/>
      <c r="AJ82" s="213">
        <f t="shared" si="126"/>
        <v>112.5</v>
      </c>
      <c r="AK82" s="216">
        <f t="shared" si="127"/>
        <v>0</v>
      </c>
      <c r="AL82" s="213"/>
      <c r="AM82" s="213">
        <f t="shared" si="128"/>
        <v>146.25</v>
      </c>
      <c r="AN82" s="216">
        <v>0</v>
      </c>
      <c r="AO82" s="213"/>
      <c r="AP82" s="213">
        <f t="shared" si="129"/>
        <v>11.25</v>
      </c>
      <c r="AQ82" s="216">
        <f t="shared" si="130"/>
        <v>0</v>
      </c>
      <c r="AR82" s="266">
        <f>IFERROR(VLOOKUP(C82,#REF!,7,0),0)</f>
        <v>0</v>
      </c>
      <c r="AS82" s="278">
        <f t="shared" si="131"/>
        <v>97.5</v>
      </c>
      <c r="AT82" s="277">
        <f t="shared" si="132"/>
        <v>0</v>
      </c>
      <c r="AU82" s="266"/>
      <c r="AV82" s="213"/>
      <c r="AW82" s="216"/>
      <c r="AX82" s="213">
        <f>IFERROR(VLOOKUP(C82,#REF!,8,0),0)</f>
        <v>0</v>
      </c>
      <c r="AY82" s="278">
        <f t="shared" si="133"/>
        <v>9.75</v>
      </c>
      <c r="AZ82" s="277">
        <f t="shared" si="134"/>
        <v>0</v>
      </c>
      <c r="BA82" s="266">
        <f>IFERROR(VLOOKUP(C82,#REF!,10,0),0)</f>
        <v>0</v>
      </c>
      <c r="BB82" s="268">
        <f t="shared" si="135"/>
        <v>150</v>
      </c>
      <c r="BC82" s="247">
        <f t="shared" si="136"/>
        <v>0</v>
      </c>
      <c r="BD82" s="216"/>
      <c r="BE82" s="213"/>
      <c r="BF82" s="213"/>
      <c r="BG82" s="216"/>
      <c r="BH82" s="213"/>
      <c r="BI82" s="213"/>
      <c r="BJ82" s="216">
        <f>IFERROR(VLOOKUP(C82,#REF!,9,0),0)</f>
        <v>0</v>
      </c>
      <c r="BK82" s="276">
        <f t="shared" si="137"/>
        <v>75</v>
      </c>
      <c r="BL82" s="213">
        <f t="shared" si="138"/>
        <v>0</v>
      </c>
      <c r="BM82" s="216"/>
      <c r="BN82" s="213"/>
      <c r="BO82" s="213"/>
      <c r="BP82" s="213"/>
      <c r="BQ82" s="213"/>
      <c r="BR82" s="213"/>
      <c r="BS82" s="213"/>
      <c r="BT82" s="213"/>
      <c r="BU82" s="215"/>
      <c r="BV82" s="215"/>
      <c r="BW82" s="215"/>
      <c r="BX82" s="215"/>
      <c r="BY82" s="215"/>
      <c r="BZ82" s="215"/>
      <c r="CA82" s="215"/>
      <c r="CB82" s="215"/>
      <c r="CC82" s="215"/>
      <c r="CD82" s="215"/>
      <c r="CE82" s="213"/>
      <c r="CF82" s="215"/>
      <c r="CG82" s="215">
        <f t="shared" si="149"/>
        <v>7612.5</v>
      </c>
      <c r="CH82" s="256">
        <f>VLOOKUP(CX82,SSS_2025!A:N,8)</f>
        <v>1750</v>
      </c>
      <c r="CI82" s="217">
        <f>VLOOKUP(CX82,SSS_2025!A:N,13)</f>
        <v>875</v>
      </c>
      <c r="CJ82" s="217">
        <f>VLOOKUP(CX82,SSS_2025!A:N,9)</f>
        <v>30</v>
      </c>
      <c r="CK82" s="215">
        <v>391.25</v>
      </c>
      <c r="CL82" s="215">
        <v>391.25</v>
      </c>
      <c r="CM82" s="215">
        <v>200</v>
      </c>
      <c r="CN82" s="215">
        <v>200</v>
      </c>
      <c r="CO82" s="214">
        <f t="shared" si="150"/>
        <v>9983.75</v>
      </c>
      <c r="CP82" s="214">
        <f t="shared" si="151"/>
        <v>630</v>
      </c>
      <c r="CQ82" s="214">
        <f t="shared" si="152"/>
        <v>10613.75</v>
      </c>
      <c r="CR82" s="215"/>
      <c r="CS82" s="214">
        <f t="shared" si="153"/>
        <v>10613.75</v>
      </c>
      <c r="CT82" s="273">
        <f t="shared" si="154"/>
        <v>525</v>
      </c>
      <c r="CU82" s="244"/>
      <c r="CV82" s="269">
        <f>IFERROR(VLOOKUP(C82,'[2]BILLING COMPUTATION'!$C$8:$CI$224,85,0),0)</f>
        <v>9900</v>
      </c>
      <c r="CW82" s="243">
        <f t="shared" si="140"/>
        <v>7612.5</v>
      </c>
      <c r="CX82" s="245">
        <f t="shared" si="139"/>
        <v>17512.5</v>
      </c>
      <c r="CZ82" s="721">
        <f>IFERROR(VLOOKUP(C82,'[5]BILLING COMPUTATION'!$C$8:$CG$101,83,0),0)</f>
        <v>11047.5</v>
      </c>
      <c r="DA82" s="721">
        <f t="shared" si="141"/>
        <v>7612.5</v>
      </c>
      <c r="DB82" s="721">
        <f t="shared" si="142"/>
        <v>18660</v>
      </c>
      <c r="DC82" s="721">
        <f t="shared" si="143"/>
        <v>1147.5</v>
      </c>
    </row>
    <row r="83" spans="1:107" s="2" customFormat="1" ht="16.899999999999999" customHeight="1">
      <c r="A83" s="235">
        <v>79</v>
      </c>
      <c r="B83" s="265"/>
      <c r="C83" s="266">
        <v>12110</v>
      </c>
      <c r="D83" s="266" t="str">
        <f>VLOOKUP(E83,'F3 MS (2)'!E:F,2,0)</f>
        <v>GD250143</v>
      </c>
      <c r="E83" s="267" t="s">
        <v>291</v>
      </c>
      <c r="F83" s="266" t="str">
        <f>VLOOKUP(C83,'[1]ACTIVE GH'!$C:$I,7,0)</f>
        <v>METAL STAMPING</v>
      </c>
      <c r="G83" s="266" t="str">
        <f>VLOOKUP(C83,'[1]ACTIVE GH'!$C:$J,8,0)</f>
        <v>PRODUCTION</v>
      </c>
      <c r="H83" s="266" t="str">
        <f>VLOOKUP(C83,'[1]ACTIVE GH'!$C:$N,12,0)</f>
        <v>Operator 1</v>
      </c>
      <c r="I83" s="266" t="s">
        <v>180</v>
      </c>
      <c r="J83" s="266">
        <f>IFERROR(VLOOKUP(C83,PIVOT!A:B,2,0),0)</f>
        <v>88</v>
      </c>
      <c r="K83" s="237">
        <f t="shared" si="115"/>
        <v>11</v>
      </c>
      <c r="L83" s="237">
        <v>600</v>
      </c>
      <c r="M83" s="238">
        <f t="shared" si="144"/>
        <v>6600</v>
      </c>
      <c r="N83" s="266">
        <f>IFERROR(VLOOKUP(C83,PIVOT!A:F,6,0),0)</f>
        <v>0</v>
      </c>
      <c r="O83" s="239">
        <f t="shared" si="116"/>
        <v>1.25</v>
      </c>
      <c r="P83" s="238">
        <f t="shared" si="145"/>
        <v>0</v>
      </c>
      <c r="Q83" s="266">
        <f>IFERROR(VLOOKUP(C83,PIVOT!A:C,3,0),0)</f>
        <v>18</v>
      </c>
      <c r="R83" s="239">
        <f t="shared" si="117"/>
        <v>93.75</v>
      </c>
      <c r="S83" s="238">
        <f t="shared" si="118"/>
        <v>1687.5</v>
      </c>
      <c r="T83" s="266">
        <f>IFERROR(VLOOKUP(C83,PIVOT!A:D,4,0),0)</f>
        <v>0</v>
      </c>
      <c r="U83" s="239">
        <f t="shared" si="146"/>
        <v>7.5</v>
      </c>
      <c r="V83" s="238">
        <f t="shared" si="147"/>
        <v>0</v>
      </c>
      <c r="W83" s="266">
        <f>IFERROR(VLOOKUP(C83,PIVOT!A:E,5,0),0)</f>
        <v>0</v>
      </c>
      <c r="X83" s="238">
        <f t="shared" si="119"/>
        <v>9.375</v>
      </c>
      <c r="Y83" s="238">
        <f t="shared" si="148"/>
        <v>0</v>
      </c>
      <c r="Z83" s="266">
        <f>IFERROR(VLOOKUP(C83,#REF!,6,0),0)</f>
        <v>0</v>
      </c>
      <c r="AA83" s="239">
        <f t="shared" si="120"/>
        <v>97.5</v>
      </c>
      <c r="AB83" s="238">
        <f t="shared" si="121"/>
        <v>0</v>
      </c>
      <c r="AC83" s="266"/>
      <c r="AD83" s="215">
        <f t="shared" si="122"/>
        <v>126.75</v>
      </c>
      <c r="AE83" s="214">
        <f t="shared" si="123"/>
        <v>0</v>
      </c>
      <c r="AF83" s="266">
        <f>IFERROR(VLOOKUP(C83,#REF!,8,0),0)</f>
        <v>0</v>
      </c>
      <c r="AG83" s="239">
        <f t="shared" si="124"/>
        <v>9.75</v>
      </c>
      <c r="AH83" s="238">
        <f t="shared" si="125"/>
        <v>0</v>
      </c>
      <c r="AI83" s="213"/>
      <c r="AJ83" s="213">
        <f t="shared" si="126"/>
        <v>112.5</v>
      </c>
      <c r="AK83" s="216">
        <f t="shared" si="127"/>
        <v>0</v>
      </c>
      <c r="AL83" s="213"/>
      <c r="AM83" s="213">
        <f t="shared" si="128"/>
        <v>146.25</v>
      </c>
      <c r="AN83" s="216">
        <v>0</v>
      </c>
      <c r="AO83" s="213"/>
      <c r="AP83" s="213">
        <f t="shared" si="129"/>
        <v>11.25</v>
      </c>
      <c r="AQ83" s="216">
        <f t="shared" si="130"/>
        <v>0</v>
      </c>
      <c r="AR83" s="266">
        <f>IFERROR(VLOOKUP(C83,#REF!,7,0),0)</f>
        <v>0</v>
      </c>
      <c r="AS83" s="278">
        <f t="shared" si="131"/>
        <v>97.5</v>
      </c>
      <c r="AT83" s="277">
        <f t="shared" si="132"/>
        <v>0</v>
      </c>
      <c r="AU83" s="266"/>
      <c r="AV83" s="213"/>
      <c r="AW83" s="216"/>
      <c r="AX83" s="213">
        <f>IFERROR(VLOOKUP(C83,#REF!,8,0),0)</f>
        <v>0</v>
      </c>
      <c r="AY83" s="278">
        <f t="shared" si="133"/>
        <v>9.75</v>
      </c>
      <c r="AZ83" s="277">
        <f t="shared" si="134"/>
        <v>0</v>
      </c>
      <c r="BA83" s="266">
        <f>IFERROR(VLOOKUP(C83,#REF!,10,0),0)</f>
        <v>0</v>
      </c>
      <c r="BB83" s="268">
        <f t="shared" si="135"/>
        <v>150</v>
      </c>
      <c r="BC83" s="247">
        <f t="shared" si="136"/>
        <v>0</v>
      </c>
      <c r="BD83" s="216"/>
      <c r="BE83" s="213"/>
      <c r="BF83" s="213"/>
      <c r="BG83" s="216"/>
      <c r="BH83" s="213"/>
      <c r="BI83" s="213"/>
      <c r="BJ83" s="216">
        <f>IFERROR(VLOOKUP(C83,#REF!,9,0),0)</f>
        <v>0</v>
      </c>
      <c r="BK83" s="276">
        <f t="shared" si="137"/>
        <v>75</v>
      </c>
      <c r="BL83" s="213">
        <f t="shared" si="138"/>
        <v>0</v>
      </c>
      <c r="BM83" s="216"/>
      <c r="BN83" s="213"/>
      <c r="BO83" s="213"/>
      <c r="BP83" s="213"/>
      <c r="BQ83" s="213"/>
      <c r="BR83" s="213"/>
      <c r="BS83" s="213"/>
      <c r="BT83" s="213"/>
      <c r="BU83" s="215"/>
      <c r="BV83" s="215"/>
      <c r="BW83" s="215"/>
      <c r="BX83" s="215"/>
      <c r="BY83" s="215"/>
      <c r="BZ83" s="215"/>
      <c r="CA83" s="215"/>
      <c r="CB83" s="215"/>
      <c r="CC83" s="215"/>
      <c r="CD83" s="215"/>
      <c r="CE83" s="213"/>
      <c r="CF83" s="215"/>
      <c r="CG83" s="215">
        <f t="shared" si="149"/>
        <v>8287.5</v>
      </c>
      <c r="CH83" s="256">
        <f>VLOOKUP(CX83,SSS_2025!A:N,8)</f>
        <v>1800</v>
      </c>
      <c r="CI83" s="217">
        <f>VLOOKUP(CX83,SSS_2025!A:N,13)</f>
        <v>900</v>
      </c>
      <c r="CJ83" s="217">
        <f>VLOOKUP(CX83,SSS_2025!A:N,9)</f>
        <v>30</v>
      </c>
      <c r="CK83" s="215">
        <v>391.25</v>
      </c>
      <c r="CL83" s="215">
        <v>391.25</v>
      </c>
      <c r="CM83" s="215">
        <v>200</v>
      </c>
      <c r="CN83" s="215">
        <v>200</v>
      </c>
      <c r="CO83" s="214">
        <f t="shared" si="150"/>
        <v>10708.75</v>
      </c>
      <c r="CP83" s="214">
        <f t="shared" si="151"/>
        <v>660</v>
      </c>
      <c r="CQ83" s="214">
        <f t="shared" si="152"/>
        <v>11368.75</v>
      </c>
      <c r="CR83" s="215"/>
      <c r="CS83" s="214">
        <f t="shared" si="153"/>
        <v>11368.75</v>
      </c>
      <c r="CT83" s="273">
        <f t="shared" si="154"/>
        <v>550</v>
      </c>
      <c r="CU83" s="244"/>
      <c r="CV83" s="269">
        <f>IFERROR(VLOOKUP(C83,'[2]BILLING COMPUTATION'!$C$8:$CI$224,85,0),0)</f>
        <v>9892.5</v>
      </c>
      <c r="CW83" s="243">
        <f t="shared" si="140"/>
        <v>8287.5</v>
      </c>
      <c r="CX83" s="245">
        <f t="shared" si="139"/>
        <v>18180</v>
      </c>
      <c r="CZ83" s="721">
        <f>IFERROR(VLOOKUP(C83,'[5]BILLING COMPUTATION'!$C$8:$CG$101,83,0),0)</f>
        <v>11235</v>
      </c>
      <c r="DA83" s="721">
        <f t="shared" si="141"/>
        <v>8287.5</v>
      </c>
      <c r="DB83" s="721">
        <f t="shared" si="142"/>
        <v>19522.5</v>
      </c>
      <c r="DC83" s="721">
        <f t="shared" si="143"/>
        <v>1342.5</v>
      </c>
    </row>
    <row r="84" spans="1:107" s="2" customFormat="1" ht="16.899999999999999" customHeight="1">
      <c r="A84" s="235">
        <v>80</v>
      </c>
      <c r="B84" s="265"/>
      <c r="C84" s="266">
        <v>14370</v>
      </c>
      <c r="D84" s="266" t="str">
        <f>VLOOKUP(E84,'F3 MS (2)'!E:F,2,0)</f>
        <v>GD250460</v>
      </c>
      <c r="E84" s="267" t="s">
        <v>289</v>
      </c>
      <c r="F84" s="266" t="str">
        <f>VLOOKUP(C84,'[1]ACTIVE GH'!$C:$I,7,0)</f>
        <v>METAL STAMPING</v>
      </c>
      <c r="G84" s="266" t="str">
        <f>VLOOKUP(C84,'[1]ACTIVE GH'!$C:$J,8,0)</f>
        <v>PRODUCTION</v>
      </c>
      <c r="H84" s="266" t="str">
        <f>VLOOKUP(C84,'[1]ACTIVE GH'!$C:$N,12,0)</f>
        <v>Operator 1</v>
      </c>
      <c r="I84" s="266" t="s">
        <v>180</v>
      </c>
      <c r="J84" s="266">
        <f>IFERROR(VLOOKUP(C84,PIVOT!A:B,2,0),0)</f>
        <v>88</v>
      </c>
      <c r="K84" s="237">
        <f t="shared" si="115"/>
        <v>11</v>
      </c>
      <c r="L84" s="237">
        <v>600</v>
      </c>
      <c r="M84" s="238">
        <f t="shared" si="144"/>
        <v>6600</v>
      </c>
      <c r="N84" s="266">
        <f>IFERROR(VLOOKUP(C84,PIVOT!A:F,6,0),0)</f>
        <v>0</v>
      </c>
      <c r="O84" s="239">
        <f t="shared" si="116"/>
        <v>1.25</v>
      </c>
      <c r="P84" s="238">
        <f t="shared" si="145"/>
        <v>0</v>
      </c>
      <c r="Q84" s="266">
        <f>IFERROR(VLOOKUP(C84,PIVOT!A:C,3,0),0)</f>
        <v>18</v>
      </c>
      <c r="R84" s="239">
        <f t="shared" si="117"/>
        <v>93.75</v>
      </c>
      <c r="S84" s="238">
        <f t="shared" si="118"/>
        <v>1687.5</v>
      </c>
      <c r="T84" s="266">
        <f>IFERROR(VLOOKUP(C84,PIVOT!A:D,4,0),0)</f>
        <v>0</v>
      </c>
      <c r="U84" s="239">
        <f t="shared" si="146"/>
        <v>7.5</v>
      </c>
      <c r="V84" s="238">
        <f t="shared" si="147"/>
        <v>0</v>
      </c>
      <c r="W84" s="266">
        <f>IFERROR(VLOOKUP(C84,PIVOT!A:E,5,0),0)</f>
        <v>0</v>
      </c>
      <c r="X84" s="238">
        <f t="shared" si="119"/>
        <v>9.375</v>
      </c>
      <c r="Y84" s="238">
        <f t="shared" si="148"/>
        <v>0</v>
      </c>
      <c r="Z84" s="266">
        <f>IFERROR(VLOOKUP(C84,#REF!,6,0),0)</f>
        <v>0</v>
      </c>
      <c r="AA84" s="239">
        <f t="shared" si="120"/>
        <v>97.5</v>
      </c>
      <c r="AB84" s="238">
        <f t="shared" si="121"/>
        <v>0</v>
      </c>
      <c r="AC84" s="266"/>
      <c r="AD84" s="215">
        <f t="shared" si="122"/>
        <v>126.75</v>
      </c>
      <c r="AE84" s="214">
        <f t="shared" si="123"/>
        <v>0</v>
      </c>
      <c r="AF84" s="266">
        <f>IFERROR(VLOOKUP(C84,#REF!,8,0),0)</f>
        <v>0</v>
      </c>
      <c r="AG84" s="239">
        <f t="shared" si="124"/>
        <v>9.75</v>
      </c>
      <c r="AH84" s="238">
        <f t="shared" si="125"/>
        <v>0</v>
      </c>
      <c r="AI84" s="213"/>
      <c r="AJ84" s="213">
        <f t="shared" si="126"/>
        <v>112.5</v>
      </c>
      <c r="AK84" s="216">
        <f t="shared" si="127"/>
        <v>0</v>
      </c>
      <c r="AL84" s="213"/>
      <c r="AM84" s="213">
        <f t="shared" si="128"/>
        <v>146.25</v>
      </c>
      <c r="AN84" s="216">
        <v>0</v>
      </c>
      <c r="AO84" s="213"/>
      <c r="AP84" s="213">
        <f t="shared" si="129"/>
        <v>11.25</v>
      </c>
      <c r="AQ84" s="216">
        <f t="shared" si="130"/>
        <v>0</v>
      </c>
      <c r="AR84" s="266">
        <f>IFERROR(VLOOKUP(C84,#REF!,7,0),0)</f>
        <v>0</v>
      </c>
      <c r="AS84" s="278">
        <f t="shared" si="131"/>
        <v>97.5</v>
      </c>
      <c r="AT84" s="277">
        <f t="shared" si="132"/>
        <v>0</v>
      </c>
      <c r="AU84" s="266"/>
      <c r="AV84" s="213"/>
      <c r="AW84" s="216"/>
      <c r="AX84" s="213">
        <f>IFERROR(VLOOKUP(C84,#REF!,8,0),0)</f>
        <v>0</v>
      </c>
      <c r="AY84" s="278">
        <f t="shared" si="133"/>
        <v>9.75</v>
      </c>
      <c r="AZ84" s="277">
        <f t="shared" si="134"/>
        <v>0</v>
      </c>
      <c r="BA84" s="266">
        <f>IFERROR(VLOOKUP(C84,#REF!,10,0),0)</f>
        <v>0</v>
      </c>
      <c r="BB84" s="268">
        <f t="shared" si="135"/>
        <v>150</v>
      </c>
      <c r="BC84" s="247">
        <f t="shared" si="136"/>
        <v>0</v>
      </c>
      <c r="BD84" s="216"/>
      <c r="BE84" s="213"/>
      <c r="BF84" s="213"/>
      <c r="BG84" s="216"/>
      <c r="BH84" s="213"/>
      <c r="BI84" s="213"/>
      <c r="BJ84" s="216">
        <f>IFERROR(VLOOKUP(C84,#REF!,9,0),0)</f>
        <v>0</v>
      </c>
      <c r="BK84" s="276">
        <f t="shared" si="137"/>
        <v>75</v>
      </c>
      <c r="BL84" s="213">
        <f t="shared" si="138"/>
        <v>0</v>
      </c>
      <c r="BM84" s="216"/>
      <c r="BN84" s="213"/>
      <c r="BO84" s="213"/>
      <c r="BP84" s="213"/>
      <c r="BQ84" s="213"/>
      <c r="BR84" s="213"/>
      <c r="BS84" s="213"/>
      <c r="BT84" s="213"/>
      <c r="BU84" s="215"/>
      <c r="BV84" s="215"/>
      <c r="BW84" s="215"/>
      <c r="BX84" s="215"/>
      <c r="BY84" s="215"/>
      <c r="BZ84" s="215"/>
      <c r="CA84" s="215"/>
      <c r="CB84" s="215"/>
      <c r="CC84" s="215"/>
      <c r="CD84" s="215"/>
      <c r="CE84" s="213"/>
      <c r="CF84" s="215"/>
      <c r="CG84" s="215">
        <f t="shared" si="149"/>
        <v>8287.5</v>
      </c>
      <c r="CH84" s="256">
        <f>VLOOKUP(CX84,SSS_2025!A:N,8)</f>
        <v>1900</v>
      </c>
      <c r="CI84" s="217">
        <f>VLOOKUP(CX84,SSS_2025!A:N,13)</f>
        <v>950</v>
      </c>
      <c r="CJ84" s="217">
        <f>VLOOKUP(CX84,SSS_2025!A:N,9)</f>
        <v>30</v>
      </c>
      <c r="CK84" s="215">
        <v>391.25</v>
      </c>
      <c r="CL84" s="215">
        <v>391.25</v>
      </c>
      <c r="CM84" s="215">
        <v>200</v>
      </c>
      <c r="CN84" s="215">
        <v>200</v>
      </c>
      <c r="CO84" s="214">
        <f t="shared" si="150"/>
        <v>10808.75</v>
      </c>
      <c r="CP84" s="214">
        <f t="shared" si="151"/>
        <v>660</v>
      </c>
      <c r="CQ84" s="214">
        <f t="shared" si="152"/>
        <v>11468.75</v>
      </c>
      <c r="CR84" s="215"/>
      <c r="CS84" s="214">
        <f t="shared" si="153"/>
        <v>11468.75</v>
      </c>
      <c r="CT84" s="273">
        <f t="shared" si="154"/>
        <v>550</v>
      </c>
      <c r="CU84" s="244"/>
      <c r="CV84" s="269">
        <f>IFERROR(VLOOKUP(C84,'[2]BILLING COMPUTATION'!$C$8:$CI$224,85,0),0)</f>
        <v>10820.625</v>
      </c>
      <c r="CW84" s="243">
        <f t="shared" si="140"/>
        <v>8287.5</v>
      </c>
      <c r="CX84" s="245">
        <f t="shared" si="139"/>
        <v>19108.125</v>
      </c>
      <c r="CZ84" s="721">
        <f>IFERROR(VLOOKUP(C84,'[5]BILLING COMPUTATION'!$C$8:$CG$101,83,0),0)</f>
        <v>11235</v>
      </c>
      <c r="DA84" s="721">
        <f t="shared" si="141"/>
        <v>8287.5</v>
      </c>
      <c r="DB84" s="721">
        <f t="shared" si="142"/>
        <v>19522.5</v>
      </c>
      <c r="DC84" s="721">
        <f t="shared" si="143"/>
        <v>414.375</v>
      </c>
    </row>
    <row r="85" spans="1:107" s="2" customFormat="1" ht="16.899999999999999" customHeight="1">
      <c r="A85" s="235">
        <v>81</v>
      </c>
      <c r="B85" s="265"/>
      <c r="C85" s="266">
        <v>10876</v>
      </c>
      <c r="D85" s="266" t="str">
        <f>VLOOKUP(E85,'F3 MS (2)'!E:F,2,0)</f>
        <v>GD250691</v>
      </c>
      <c r="E85" s="267" t="s">
        <v>314</v>
      </c>
      <c r="F85" s="266" t="str">
        <f>VLOOKUP(C85,'[1]ACTIVE GH'!$C:$I,7,0)</f>
        <v>METAL STAMPING</v>
      </c>
      <c r="G85" s="266" t="str">
        <f>VLOOKUP(C85,'[1]ACTIVE GH'!$C:$J,8,0)</f>
        <v>PRODUCTION</v>
      </c>
      <c r="H85" s="266" t="str">
        <f>VLOOKUP(C85,'[1]ACTIVE GH'!$C:$N,12,0)</f>
        <v>Operator 1</v>
      </c>
      <c r="I85" s="266" t="s">
        <v>180</v>
      </c>
      <c r="J85" s="266">
        <f>IFERROR(VLOOKUP(C85,PIVOT!A:B,2,0),0)</f>
        <v>96</v>
      </c>
      <c r="K85" s="237">
        <f t="shared" si="115"/>
        <v>12</v>
      </c>
      <c r="L85" s="237">
        <v>600</v>
      </c>
      <c r="M85" s="238">
        <f t="shared" si="144"/>
        <v>7200</v>
      </c>
      <c r="N85" s="266">
        <f>IFERROR(VLOOKUP(C85,PIVOT!A:F,6,0),0)</f>
        <v>0</v>
      </c>
      <c r="O85" s="239">
        <f t="shared" si="116"/>
        <v>1.25</v>
      </c>
      <c r="P85" s="238">
        <f t="shared" si="145"/>
        <v>0</v>
      </c>
      <c r="Q85" s="266">
        <f>IFERROR(VLOOKUP(C85,PIVOT!A:C,3,0),0)</f>
        <v>2</v>
      </c>
      <c r="R85" s="239">
        <f t="shared" ref="R85:R98" si="155">L85/8*1.25</f>
        <v>93.75</v>
      </c>
      <c r="S85" s="238">
        <f t="shared" ref="S85:S98" si="156">Q85*R85</f>
        <v>187.5</v>
      </c>
      <c r="T85" s="266">
        <f>IFERROR(VLOOKUP(C85,PIVOT!A:D,4,0),0)</f>
        <v>6</v>
      </c>
      <c r="U85" s="239">
        <f t="shared" si="146"/>
        <v>7.5</v>
      </c>
      <c r="V85" s="238">
        <f t="shared" si="147"/>
        <v>45</v>
      </c>
      <c r="W85" s="266">
        <f>IFERROR(VLOOKUP(C85,PIVOT!A:E,5,0),0)</f>
        <v>0</v>
      </c>
      <c r="X85" s="238">
        <f t="shared" si="119"/>
        <v>9.375</v>
      </c>
      <c r="Y85" s="238">
        <f t="shared" si="148"/>
        <v>0</v>
      </c>
      <c r="Z85" s="266">
        <f>IFERROR(VLOOKUP(C85,#REF!,6,0),0)</f>
        <v>0</v>
      </c>
      <c r="AA85" s="239">
        <f t="shared" si="120"/>
        <v>97.5</v>
      </c>
      <c r="AB85" s="238">
        <f t="shared" si="121"/>
        <v>0</v>
      </c>
      <c r="AC85" s="266"/>
      <c r="AD85" s="215">
        <f t="shared" si="122"/>
        <v>126.75</v>
      </c>
      <c r="AE85" s="214">
        <f t="shared" si="123"/>
        <v>0</v>
      </c>
      <c r="AF85" s="266">
        <f>IFERROR(VLOOKUP(C85,#REF!,8,0),0)</f>
        <v>0</v>
      </c>
      <c r="AG85" s="239">
        <f t="shared" si="124"/>
        <v>9.75</v>
      </c>
      <c r="AH85" s="238">
        <f t="shared" si="125"/>
        <v>0</v>
      </c>
      <c r="AI85" s="213"/>
      <c r="AJ85" s="213">
        <f t="shared" si="126"/>
        <v>112.5</v>
      </c>
      <c r="AK85" s="216">
        <f t="shared" si="127"/>
        <v>0</v>
      </c>
      <c r="AL85" s="213"/>
      <c r="AM85" s="213">
        <f t="shared" si="128"/>
        <v>146.25</v>
      </c>
      <c r="AN85" s="216">
        <v>0</v>
      </c>
      <c r="AO85" s="213"/>
      <c r="AP85" s="213">
        <f t="shared" si="129"/>
        <v>11.25</v>
      </c>
      <c r="AQ85" s="216">
        <f t="shared" si="130"/>
        <v>0</v>
      </c>
      <c r="AR85" s="266">
        <f>IFERROR(VLOOKUP(C85,#REF!,7,0),0)</f>
        <v>0</v>
      </c>
      <c r="AS85" s="278">
        <f t="shared" si="131"/>
        <v>97.5</v>
      </c>
      <c r="AT85" s="277">
        <f t="shared" si="132"/>
        <v>0</v>
      </c>
      <c r="AU85" s="266"/>
      <c r="AV85" s="213"/>
      <c r="AW85" s="216"/>
      <c r="AX85" s="213">
        <f>IFERROR(VLOOKUP(C85,#REF!,8,0),0)</f>
        <v>0</v>
      </c>
      <c r="AY85" s="278">
        <f t="shared" si="133"/>
        <v>9.75</v>
      </c>
      <c r="AZ85" s="277">
        <f t="shared" si="134"/>
        <v>0</v>
      </c>
      <c r="BA85" s="266">
        <f>IFERROR(VLOOKUP(C85,#REF!,10,0),0)</f>
        <v>0</v>
      </c>
      <c r="BB85" s="268">
        <f t="shared" si="135"/>
        <v>150</v>
      </c>
      <c r="BC85" s="247">
        <f t="shared" si="136"/>
        <v>0</v>
      </c>
      <c r="BD85" s="216"/>
      <c r="BE85" s="213"/>
      <c r="BF85" s="213"/>
      <c r="BG85" s="216"/>
      <c r="BH85" s="213"/>
      <c r="BI85" s="213"/>
      <c r="BJ85" s="216">
        <f>IFERROR(VLOOKUP(C85,#REF!,9,0),0)</f>
        <v>0</v>
      </c>
      <c r="BK85" s="276">
        <f t="shared" si="137"/>
        <v>75</v>
      </c>
      <c r="BL85" s="213">
        <f t="shared" si="138"/>
        <v>0</v>
      </c>
      <c r="BM85" s="216"/>
      <c r="BN85" s="213"/>
      <c r="BO85" s="213"/>
      <c r="BP85" s="213"/>
      <c r="BQ85" s="213"/>
      <c r="BR85" s="213"/>
      <c r="BS85" s="213"/>
      <c r="BT85" s="213"/>
      <c r="BU85" s="215"/>
      <c r="BV85" s="215"/>
      <c r="BW85" s="215"/>
      <c r="BX85" s="215"/>
      <c r="BY85" s="215"/>
      <c r="BZ85" s="215"/>
      <c r="CA85" s="215"/>
      <c r="CB85" s="215"/>
      <c r="CC85" s="215"/>
      <c r="CD85" s="215"/>
      <c r="CE85" s="213"/>
      <c r="CF85" s="215"/>
      <c r="CG85" s="215">
        <f t="shared" si="149"/>
        <v>7432.5</v>
      </c>
      <c r="CH85" s="256">
        <f>VLOOKUP(CX85,SSS_2025!A:N,8)</f>
        <v>1750</v>
      </c>
      <c r="CI85" s="217">
        <f>VLOOKUP(CX85,SSS_2025!A:N,13)</f>
        <v>875</v>
      </c>
      <c r="CJ85" s="217">
        <f>VLOOKUP(CX85,SSS_2025!A:N,9)</f>
        <v>30</v>
      </c>
      <c r="CK85" s="215">
        <v>391.25</v>
      </c>
      <c r="CL85" s="215">
        <v>391.25</v>
      </c>
      <c r="CM85" s="215">
        <v>200</v>
      </c>
      <c r="CN85" s="215">
        <v>200</v>
      </c>
      <c r="CO85" s="214">
        <f t="shared" si="150"/>
        <v>9803.75</v>
      </c>
      <c r="CP85" s="214">
        <f t="shared" si="151"/>
        <v>720</v>
      </c>
      <c r="CQ85" s="214">
        <f t="shared" si="152"/>
        <v>10523.75</v>
      </c>
      <c r="CR85" s="215"/>
      <c r="CS85" s="214">
        <f t="shared" si="153"/>
        <v>10523.75</v>
      </c>
      <c r="CT85" s="273">
        <f t="shared" si="154"/>
        <v>600</v>
      </c>
      <c r="CU85" s="244"/>
      <c r="CV85" s="269">
        <f>IFERROR(VLOOKUP(C85,'[2]BILLING COMPUTATION'!$C$8:$CI$224,85,0),0)</f>
        <v>10230</v>
      </c>
      <c r="CW85" s="243">
        <f t="shared" si="140"/>
        <v>7432.5</v>
      </c>
      <c r="CX85" s="245">
        <f t="shared" si="139"/>
        <v>17662.5</v>
      </c>
      <c r="CZ85" s="721">
        <f>IFERROR(VLOOKUP(C85,'[5]BILLING COMPUTATION'!$C$8:$CG$101,83,0),0)</f>
        <v>9926.25</v>
      </c>
      <c r="DA85" s="721">
        <f t="shared" si="141"/>
        <v>7432.5</v>
      </c>
      <c r="DB85" s="721">
        <f t="shared" si="142"/>
        <v>17358.75</v>
      </c>
      <c r="DC85" s="721">
        <f t="shared" si="143"/>
        <v>-303.75</v>
      </c>
    </row>
    <row r="86" spans="1:107" s="2" customFormat="1" ht="16.899999999999999" customHeight="1">
      <c r="A86" s="235">
        <v>82</v>
      </c>
      <c r="B86" s="265"/>
      <c r="C86" s="266">
        <v>14372</v>
      </c>
      <c r="D86" s="266" t="str">
        <f>VLOOKUP(E86,'F3 MS (2)'!E:F,2,0)</f>
        <v>GD250462</v>
      </c>
      <c r="E86" s="267" t="s">
        <v>359</v>
      </c>
      <c r="F86" s="266" t="str">
        <f>VLOOKUP(C86,'[1]ACTIVE GH'!$C:$I,7,0)</f>
        <v>METAL STAMPING</v>
      </c>
      <c r="G86" s="266" t="str">
        <f>VLOOKUP(C86,'[1]ACTIVE GH'!$C:$J,8,0)</f>
        <v>PRODUCTION</v>
      </c>
      <c r="H86" s="266" t="str">
        <f>VLOOKUP(C86,'[1]ACTIVE GH'!$C:$N,12,0)</f>
        <v>Operator 1</v>
      </c>
      <c r="I86" s="266" t="s">
        <v>180</v>
      </c>
      <c r="J86" s="266">
        <f>IFERROR(VLOOKUP(C86,PIVOT!A:B,2,0),0)</f>
        <v>96</v>
      </c>
      <c r="K86" s="237">
        <f t="shared" si="115"/>
        <v>12</v>
      </c>
      <c r="L86" s="237">
        <v>600</v>
      </c>
      <c r="M86" s="238">
        <f t="shared" si="144"/>
        <v>7200</v>
      </c>
      <c r="N86" s="266">
        <f>IFERROR(VLOOKUP(C86,PIVOT!A:F,6,0),0)</f>
        <v>0</v>
      </c>
      <c r="O86" s="239">
        <f t="shared" si="116"/>
        <v>1.25</v>
      </c>
      <c r="P86" s="238">
        <f t="shared" si="145"/>
        <v>0</v>
      </c>
      <c r="Q86" s="266">
        <f>IFERROR(VLOOKUP(C86,PIVOT!A:C,3,0),0)</f>
        <v>10</v>
      </c>
      <c r="R86" s="239">
        <f t="shared" si="155"/>
        <v>93.75</v>
      </c>
      <c r="S86" s="238">
        <f t="shared" si="156"/>
        <v>937.5</v>
      </c>
      <c r="T86" s="266">
        <f>IFERROR(VLOOKUP(C86,PIVOT!A:D,4,0),0)</f>
        <v>66</v>
      </c>
      <c r="U86" s="239">
        <f t="shared" si="146"/>
        <v>7.5</v>
      </c>
      <c r="V86" s="238">
        <f t="shared" si="147"/>
        <v>495</v>
      </c>
      <c r="W86" s="266">
        <f>IFERROR(VLOOKUP(C86,PIVOT!A:E,5,0),0)</f>
        <v>10</v>
      </c>
      <c r="X86" s="238">
        <f t="shared" si="119"/>
        <v>9.375</v>
      </c>
      <c r="Y86" s="238">
        <f t="shared" si="148"/>
        <v>93.75</v>
      </c>
      <c r="Z86" s="266">
        <f>IFERROR(VLOOKUP(C86,#REF!,6,0),0)</f>
        <v>0</v>
      </c>
      <c r="AA86" s="239">
        <f t="shared" si="120"/>
        <v>97.5</v>
      </c>
      <c r="AB86" s="238">
        <f t="shared" si="121"/>
        <v>0</v>
      </c>
      <c r="AC86" s="266"/>
      <c r="AD86" s="215">
        <f t="shared" si="122"/>
        <v>126.75</v>
      </c>
      <c r="AE86" s="214">
        <f t="shared" si="123"/>
        <v>0</v>
      </c>
      <c r="AF86" s="266">
        <f>IFERROR(VLOOKUP(C86,#REF!,8,0),0)</f>
        <v>0</v>
      </c>
      <c r="AG86" s="239">
        <f t="shared" si="124"/>
        <v>9.75</v>
      </c>
      <c r="AH86" s="238">
        <f t="shared" si="125"/>
        <v>0</v>
      </c>
      <c r="AI86" s="213"/>
      <c r="AJ86" s="213">
        <f t="shared" si="126"/>
        <v>112.5</v>
      </c>
      <c r="AK86" s="216">
        <f t="shared" si="127"/>
        <v>0</v>
      </c>
      <c r="AL86" s="213"/>
      <c r="AM86" s="213">
        <f t="shared" si="128"/>
        <v>146.25</v>
      </c>
      <c r="AN86" s="216">
        <v>0</v>
      </c>
      <c r="AO86" s="213"/>
      <c r="AP86" s="213">
        <f t="shared" si="129"/>
        <v>11.25</v>
      </c>
      <c r="AQ86" s="216">
        <f t="shared" si="130"/>
        <v>0</v>
      </c>
      <c r="AR86" s="266">
        <f>IFERROR(VLOOKUP(C86,#REF!,7,0),0)</f>
        <v>0</v>
      </c>
      <c r="AS86" s="278">
        <f t="shared" si="131"/>
        <v>97.5</v>
      </c>
      <c r="AT86" s="277">
        <f t="shared" si="132"/>
        <v>0</v>
      </c>
      <c r="AU86" s="266"/>
      <c r="AV86" s="213"/>
      <c r="AW86" s="216"/>
      <c r="AX86" s="213">
        <f>IFERROR(VLOOKUP(C86,#REF!,8,0),0)</f>
        <v>0</v>
      </c>
      <c r="AY86" s="278">
        <f t="shared" si="133"/>
        <v>9.75</v>
      </c>
      <c r="AZ86" s="277">
        <f t="shared" si="134"/>
        <v>0</v>
      </c>
      <c r="BA86" s="266">
        <f>IFERROR(VLOOKUP(C86,#REF!,10,0),0)</f>
        <v>0</v>
      </c>
      <c r="BB86" s="268">
        <f t="shared" si="135"/>
        <v>150</v>
      </c>
      <c r="BC86" s="247">
        <f t="shared" si="136"/>
        <v>0</v>
      </c>
      <c r="BD86" s="216"/>
      <c r="BE86" s="213"/>
      <c r="BF86" s="213"/>
      <c r="BG86" s="216"/>
      <c r="BH86" s="213"/>
      <c r="BI86" s="213"/>
      <c r="BJ86" s="216">
        <f>IFERROR(VLOOKUP(C86,#REF!,9,0),0)</f>
        <v>0</v>
      </c>
      <c r="BK86" s="276">
        <f t="shared" si="137"/>
        <v>75</v>
      </c>
      <c r="BL86" s="213">
        <f t="shared" si="138"/>
        <v>0</v>
      </c>
      <c r="BM86" s="216"/>
      <c r="BN86" s="213"/>
      <c r="BO86" s="213"/>
      <c r="BP86" s="213"/>
      <c r="BQ86" s="213"/>
      <c r="BR86" s="213"/>
      <c r="BS86" s="213"/>
      <c r="BT86" s="213"/>
      <c r="BU86" s="215"/>
      <c r="BV86" s="215"/>
      <c r="BW86" s="215"/>
      <c r="BX86" s="215"/>
      <c r="BY86" s="215"/>
      <c r="BZ86" s="215"/>
      <c r="CA86" s="215"/>
      <c r="CB86" s="215"/>
      <c r="CC86" s="215"/>
      <c r="CD86" s="215"/>
      <c r="CE86" s="213"/>
      <c r="CF86" s="215"/>
      <c r="CG86" s="215">
        <f t="shared" si="149"/>
        <v>8726.25</v>
      </c>
      <c r="CH86" s="256">
        <f>VLOOKUP(CX86,SSS_2025!A:N,8)</f>
        <v>1900</v>
      </c>
      <c r="CI86" s="217">
        <f>VLOOKUP(CX86,SSS_2025!A:N,13)</f>
        <v>950</v>
      </c>
      <c r="CJ86" s="217">
        <f>VLOOKUP(CX86,SSS_2025!A:N,9)</f>
        <v>30</v>
      </c>
      <c r="CK86" s="215">
        <v>391.25</v>
      </c>
      <c r="CL86" s="215">
        <v>391.25</v>
      </c>
      <c r="CM86" s="215">
        <v>200</v>
      </c>
      <c r="CN86" s="215">
        <v>200</v>
      </c>
      <c r="CO86" s="214">
        <f t="shared" si="150"/>
        <v>11247.5</v>
      </c>
      <c r="CP86" s="214">
        <f t="shared" si="151"/>
        <v>720</v>
      </c>
      <c r="CQ86" s="214">
        <f t="shared" si="152"/>
        <v>11967.5</v>
      </c>
      <c r="CR86" s="215"/>
      <c r="CS86" s="214">
        <f t="shared" si="153"/>
        <v>11967.5</v>
      </c>
      <c r="CT86" s="273">
        <f t="shared" si="154"/>
        <v>600</v>
      </c>
      <c r="CU86" s="244"/>
      <c r="CV86" s="269">
        <f>IFERROR(VLOOKUP(C86,'[2]BILLING COMPUTATION'!$C$8:$CI$224,85,0),0)</f>
        <v>10305</v>
      </c>
      <c r="CW86" s="243">
        <f t="shared" si="140"/>
        <v>8726.25</v>
      </c>
      <c r="CX86" s="245">
        <f t="shared" si="139"/>
        <v>19031.25</v>
      </c>
      <c r="CZ86" s="721">
        <f>IFERROR(VLOOKUP(C86,'[5]BILLING COMPUTATION'!$C$8:$CG$101,83,0),0)</f>
        <v>9783.75</v>
      </c>
      <c r="DA86" s="721">
        <f t="shared" si="141"/>
        <v>8726.25</v>
      </c>
      <c r="DB86" s="721">
        <f t="shared" si="142"/>
        <v>18510</v>
      </c>
      <c r="DC86" s="721">
        <f t="shared" si="143"/>
        <v>-521.25</v>
      </c>
    </row>
    <row r="87" spans="1:107" s="2" customFormat="1" ht="16.899999999999999" customHeight="1">
      <c r="A87" s="235">
        <v>83</v>
      </c>
      <c r="B87" s="265"/>
      <c r="C87" s="266">
        <v>3866</v>
      </c>
      <c r="D87" s="266" t="str">
        <f>VLOOKUP(E87,'F3 MS (2)'!E:F,2,0)</f>
        <v>GD250014</v>
      </c>
      <c r="E87" s="267" t="s">
        <v>340</v>
      </c>
      <c r="F87" s="266" t="str">
        <f>VLOOKUP(C87,'[1]ACTIVE GH'!$C:$I,7,0)</f>
        <v>METAL STAMPING</v>
      </c>
      <c r="G87" s="266" t="str">
        <f>VLOOKUP(C87,'[1]ACTIVE GH'!$C:$J,8,0)</f>
        <v>PRODUCTION</v>
      </c>
      <c r="H87" s="266" t="str">
        <f>VLOOKUP(C87,'[1]ACTIVE GH'!$C:$N,12,0)</f>
        <v>Operator 1</v>
      </c>
      <c r="I87" s="266" t="s">
        <v>180</v>
      </c>
      <c r="J87" s="266">
        <f>IFERROR(VLOOKUP(C87,PIVOT!A:B,2,0),0)</f>
        <v>96</v>
      </c>
      <c r="K87" s="237">
        <f t="shared" si="115"/>
        <v>12</v>
      </c>
      <c r="L87" s="237">
        <v>600</v>
      </c>
      <c r="M87" s="238">
        <f t="shared" si="144"/>
        <v>7200</v>
      </c>
      <c r="N87" s="266">
        <f>IFERROR(VLOOKUP(C87,PIVOT!A:F,6,0),0)</f>
        <v>0</v>
      </c>
      <c r="O87" s="239">
        <f t="shared" si="116"/>
        <v>1.25</v>
      </c>
      <c r="P87" s="238">
        <f t="shared" si="145"/>
        <v>0</v>
      </c>
      <c r="Q87" s="266">
        <f>IFERROR(VLOOKUP(C87,PIVOT!A:C,3,0),0)</f>
        <v>8</v>
      </c>
      <c r="R87" s="239">
        <f t="shared" si="155"/>
        <v>93.75</v>
      </c>
      <c r="S87" s="238">
        <f t="shared" si="156"/>
        <v>750</v>
      </c>
      <c r="T87" s="266">
        <f>IFERROR(VLOOKUP(C87,PIVOT!A:D,4,0),0)</f>
        <v>66</v>
      </c>
      <c r="U87" s="239">
        <f t="shared" si="146"/>
        <v>7.5</v>
      </c>
      <c r="V87" s="238">
        <f t="shared" si="147"/>
        <v>495</v>
      </c>
      <c r="W87" s="266">
        <f>IFERROR(VLOOKUP(C87,PIVOT!A:E,5,0),0)</f>
        <v>8</v>
      </c>
      <c r="X87" s="238">
        <f t="shared" si="119"/>
        <v>9.375</v>
      </c>
      <c r="Y87" s="238">
        <f t="shared" si="148"/>
        <v>75</v>
      </c>
      <c r="Z87" s="266">
        <f>IFERROR(VLOOKUP(C87,#REF!,6,0),0)</f>
        <v>0</v>
      </c>
      <c r="AA87" s="239">
        <f t="shared" si="120"/>
        <v>97.5</v>
      </c>
      <c r="AB87" s="238">
        <f t="shared" si="121"/>
        <v>0</v>
      </c>
      <c r="AC87" s="266"/>
      <c r="AD87" s="215">
        <f t="shared" si="122"/>
        <v>126.75</v>
      </c>
      <c r="AE87" s="214">
        <f t="shared" si="123"/>
        <v>0</v>
      </c>
      <c r="AF87" s="266">
        <f>IFERROR(VLOOKUP(C87,#REF!,8,0),0)</f>
        <v>0</v>
      </c>
      <c r="AG87" s="239">
        <f t="shared" si="124"/>
        <v>9.75</v>
      </c>
      <c r="AH87" s="238">
        <f t="shared" si="125"/>
        <v>0</v>
      </c>
      <c r="AI87" s="213"/>
      <c r="AJ87" s="213">
        <f t="shared" si="126"/>
        <v>112.5</v>
      </c>
      <c r="AK87" s="216">
        <f t="shared" si="127"/>
        <v>0</v>
      </c>
      <c r="AL87" s="213"/>
      <c r="AM87" s="213">
        <f t="shared" si="128"/>
        <v>146.25</v>
      </c>
      <c r="AN87" s="216">
        <v>0</v>
      </c>
      <c r="AO87" s="213"/>
      <c r="AP87" s="213">
        <f t="shared" si="129"/>
        <v>11.25</v>
      </c>
      <c r="AQ87" s="216">
        <f t="shared" si="130"/>
        <v>0</v>
      </c>
      <c r="AR87" s="266">
        <f>IFERROR(VLOOKUP(C87,#REF!,7,0),0)</f>
        <v>0</v>
      </c>
      <c r="AS87" s="278">
        <f t="shared" si="131"/>
        <v>97.5</v>
      </c>
      <c r="AT87" s="277">
        <f t="shared" si="132"/>
        <v>0</v>
      </c>
      <c r="AU87" s="266"/>
      <c r="AV87" s="213"/>
      <c r="AW87" s="216"/>
      <c r="AX87" s="213">
        <f>IFERROR(VLOOKUP(C87,#REF!,8,0),0)</f>
        <v>0</v>
      </c>
      <c r="AY87" s="278">
        <f t="shared" si="133"/>
        <v>9.75</v>
      </c>
      <c r="AZ87" s="277">
        <f t="shared" si="134"/>
        <v>0</v>
      </c>
      <c r="BA87" s="266">
        <f>IFERROR(VLOOKUP(C87,#REF!,10,0),0)</f>
        <v>0</v>
      </c>
      <c r="BB87" s="268">
        <f t="shared" si="135"/>
        <v>150</v>
      </c>
      <c r="BC87" s="247">
        <f t="shared" si="136"/>
        <v>0</v>
      </c>
      <c r="BD87" s="216"/>
      <c r="BE87" s="213"/>
      <c r="BF87" s="213"/>
      <c r="BG87" s="216"/>
      <c r="BH87" s="213"/>
      <c r="BI87" s="213"/>
      <c r="BJ87" s="216">
        <f>IFERROR(VLOOKUP(C87,#REF!,9,0),0)</f>
        <v>0</v>
      </c>
      <c r="BK87" s="276">
        <f t="shared" si="137"/>
        <v>75</v>
      </c>
      <c r="BL87" s="213">
        <f t="shared" si="138"/>
        <v>0</v>
      </c>
      <c r="BM87" s="216"/>
      <c r="BN87" s="213"/>
      <c r="BO87" s="213"/>
      <c r="BP87" s="213"/>
      <c r="BQ87" s="213"/>
      <c r="BR87" s="213"/>
      <c r="BS87" s="213"/>
      <c r="BT87" s="213"/>
      <c r="BU87" s="215"/>
      <c r="BV87" s="215"/>
      <c r="BW87" s="215"/>
      <c r="BX87" s="215"/>
      <c r="BY87" s="215"/>
      <c r="BZ87" s="215"/>
      <c r="CA87" s="215"/>
      <c r="CB87" s="215"/>
      <c r="CC87" s="215"/>
      <c r="CD87" s="215"/>
      <c r="CE87" s="213"/>
      <c r="CF87" s="215"/>
      <c r="CG87" s="215">
        <f t="shared" si="149"/>
        <v>8520</v>
      </c>
      <c r="CH87" s="256">
        <f>VLOOKUP(CX87,SSS_2025!A:N,8)</f>
        <v>1900</v>
      </c>
      <c r="CI87" s="217">
        <f>VLOOKUP(CX87,SSS_2025!A:N,13)</f>
        <v>950</v>
      </c>
      <c r="CJ87" s="217">
        <f>VLOOKUP(CX87,SSS_2025!A:N,9)</f>
        <v>30</v>
      </c>
      <c r="CK87" s="215">
        <v>391.25</v>
      </c>
      <c r="CL87" s="215">
        <v>391.25</v>
      </c>
      <c r="CM87" s="215">
        <v>200</v>
      </c>
      <c r="CN87" s="215">
        <v>200</v>
      </c>
      <c r="CO87" s="214">
        <f t="shared" si="150"/>
        <v>11041.25</v>
      </c>
      <c r="CP87" s="214">
        <f t="shared" si="151"/>
        <v>720</v>
      </c>
      <c r="CQ87" s="214">
        <f t="shared" si="152"/>
        <v>11761.25</v>
      </c>
      <c r="CR87" s="215"/>
      <c r="CS87" s="214">
        <f t="shared" si="153"/>
        <v>11761.25</v>
      </c>
      <c r="CT87" s="273">
        <f t="shared" si="154"/>
        <v>600</v>
      </c>
      <c r="CU87" s="244"/>
      <c r="CV87" s="269">
        <f>IFERROR(VLOOKUP(C87,'[2]BILLING COMPUTATION'!$C$8:$CI$224,85,0),0)</f>
        <v>10698.75</v>
      </c>
      <c r="CW87" s="243">
        <f t="shared" si="140"/>
        <v>8520</v>
      </c>
      <c r="CX87" s="245">
        <f t="shared" si="139"/>
        <v>19218.75</v>
      </c>
      <c r="CZ87" s="721">
        <f>IFERROR(VLOOKUP(C87,'[5]BILLING COMPUTATION'!$C$8:$CG$101,83,0),0)</f>
        <v>8808.75</v>
      </c>
      <c r="DA87" s="721">
        <f t="shared" si="141"/>
        <v>8520</v>
      </c>
      <c r="DB87" s="721">
        <f t="shared" si="142"/>
        <v>17328.75</v>
      </c>
      <c r="DC87" s="721">
        <f t="shared" si="143"/>
        <v>-1890</v>
      </c>
    </row>
    <row r="88" spans="1:107" s="2" customFormat="1" ht="16.899999999999999" customHeight="1">
      <c r="A88" s="235">
        <v>84</v>
      </c>
      <c r="B88" s="265"/>
      <c r="C88" s="266">
        <v>13312</v>
      </c>
      <c r="D88" s="266" t="str">
        <f>VLOOKUP(E88,'F3 MS (2)'!E:F,2,0)</f>
        <v>GD250216</v>
      </c>
      <c r="E88" s="267" t="s">
        <v>240</v>
      </c>
      <c r="F88" s="266" t="str">
        <f>VLOOKUP(C88,'[1]ACTIVE GH'!$C:$I,7,0)</f>
        <v>METAL STAMPING</v>
      </c>
      <c r="G88" s="266" t="str">
        <f>VLOOKUP(C88,'[1]ACTIVE GH'!$C:$J,8,0)</f>
        <v>PRODUCTION</v>
      </c>
      <c r="H88" s="266" t="str">
        <f>VLOOKUP(C88,'[1]ACTIVE GH'!$C:$N,12,0)</f>
        <v>Operator 1</v>
      </c>
      <c r="I88" s="266" t="s">
        <v>180</v>
      </c>
      <c r="J88" s="266">
        <f>IFERROR(VLOOKUP(C88,PIVOT!A:B,2,0),0)</f>
        <v>88</v>
      </c>
      <c r="K88" s="237">
        <f t="shared" si="115"/>
        <v>11</v>
      </c>
      <c r="L88" s="237">
        <v>600</v>
      </c>
      <c r="M88" s="238">
        <f t="shared" si="144"/>
        <v>6600</v>
      </c>
      <c r="N88" s="266">
        <f>IFERROR(VLOOKUP(C88,PIVOT!A:F,6,0),0)</f>
        <v>0</v>
      </c>
      <c r="O88" s="239">
        <f t="shared" si="116"/>
        <v>1.25</v>
      </c>
      <c r="P88" s="238">
        <f t="shared" si="145"/>
        <v>0</v>
      </c>
      <c r="Q88" s="266">
        <f>IFERROR(VLOOKUP(C88,PIVOT!A:C,3,0),0)</f>
        <v>6</v>
      </c>
      <c r="R88" s="239">
        <f t="shared" si="155"/>
        <v>93.75</v>
      </c>
      <c r="S88" s="238">
        <f t="shared" si="156"/>
        <v>562.5</v>
      </c>
      <c r="T88" s="266">
        <f>IFERROR(VLOOKUP(C88,PIVOT!A:D,4,0),0)</f>
        <v>6</v>
      </c>
      <c r="U88" s="239">
        <f t="shared" si="146"/>
        <v>7.5</v>
      </c>
      <c r="V88" s="238">
        <f t="shared" si="147"/>
        <v>45</v>
      </c>
      <c r="W88" s="266">
        <f>IFERROR(VLOOKUP(C88,PIVOT!A:E,5,0),0)</f>
        <v>0</v>
      </c>
      <c r="X88" s="238">
        <f t="shared" si="119"/>
        <v>9.375</v>
      </c>
      <c r="Y88" s="238">
        <f t="shared" si="148"/>
        <v>0</v>
      </c>
      <c r="Z88" s="266">
        <f>IFERROR(VLOOKUP(C88,#REF!,6,0),0)</f>
        <v>0</v>
      </c>
      <c r="AA88" s="239">
        <f t="shared" si="120"/>
        <v>97.5</v>
      </c>
      <c r="AB88" s="238">
        <f t="shared" si="121"/>
        <v>0</v>
      </c>
      <c r="AC88" s="266"/>
      <c r="AD88" s="215">
        <f t="shared" si="122"/>
        <v>126.75</v>
      </c>
      <c r="AE88" s="214">
        <f t="shared" si="123"/>
        <v>0</v>
      </c>
      <c r="AF88" s="266">
        <f>IFERROR(VLOOKUP(C88,#REF!,8,0),0)</f>
        <v>0</v>
      </c>
      <c r="AG88" s="239">
        <f t="shared" si="124"/>
        <v>9.75</v>
      </c>
      <c r="AH88" s="238">
        <f t="shared" si="125"/>
        <v>0</v>
      </c>
      <c r="AI88" s="213"/>
      <c r="AJ88" s="213">
        <f t="shared" si="126"/>
        <v>112.5</v>
      </c>
      <c r="AK88" s="216">
        <f t="shared" si="127"/>
        <v>0</v>
      </c>
      <c r="AL88" s="213"/>
      <c r="AM88" s="213">
        <f t="shared" si="128"/>
        <v>146.25</v>
      </c>
      <c r="AN88" s="216">
        <v>0</v>
      </c>
      <c r="AO88" s="213"/>
      <c r="AP88" s="213">
        <f t="shared" si="129"/>
        <v>11.25</v>
      </c>
      <c r="AQ88" s="216">
        <f t="shared" si="130"/>
        <v>0</v>
      </c>
      <c r="AR88" s="266">
        <f>IFERROR(VLOOKUP(C88,#REF!,7,0),0)</f>
        <v>0</v>
      </c>
      <c r="AS88" s="278">
        <f t="shared" si="131"/>
        <v>97.5</v>
      </c>
      <c r="AT88" s="277">
        <f t="shared" si="132"/>
        <v>0</v>
      </c>
      <c r="AU88" s="266"/>
      <c r="AV88" s="213"/>
      <c r="AW88" s="216"/>
      <c r="AX88" s="213">
        <f>IFERROR(VLOOKUP(C88,#REF!,8,0),0)</f>
        <v>0</v>
      </c>
      <c r="AY88" s="278">
        <f t="shared" si="133"/>
        <v>9.75</v>
      </c>
      <c r="AZ88" s="277">
        <f t="shared" si="134"/>
        <v>0</v>
      </c>
      <c r="BA88" s="266">
        <f>IFERROR(VLOOKUP(C88,#REF!,10,0),0)</f>
        <v>0</v>
      </c>
      <c r="BB88" s="268">
        <f t="shared" si="135"/>
        <v>150</v>
      </c>
      <c r="BC88" s="247">
        <f t="shared" si="136"/>
        <v>0</v>
      </c>
      <c r="BD88" s="216"/>
      <c r="BE88" s="213"/>
      <c r="BF88" s="213"/>
      <c r="BG88" s="216"/>
      <c r="BH88" s="213"/>
      <c r="BI88" s="213"/>
      <c r="BJ88" s="216">
        <f>IFERROR(VLOOKUP(C88,#REF!,9,0),0)</f>
        <v>0</v>
      </c>
      <c r="BK88" s="276">
        <f t="shared" si="137"/>
        <v>75</v>
      </c>
      <c r="BL88" s="213">
        <f t="shared" si="138"/>
        <v>0</v>
      </c>
      <c r="BM88" s="216"/>
      <c r="BN88" s="213"/>
      <c r="BO88" s="213"/>
      <c r="BP88" s="213"/>
      <c r="BQ88" s="213"/>
      <c r="BR88" s="213"/>
      <c r="BS88" s="213"/>
      <c r="BT88" s="213"/>
      <c r="BU88" s="215"/>
      <c r="BV88" s="215"/>
      <c r="BW88" s="215"/>
      <c r="BX88" s="215"/>
      <c r="BY88" s="215"/>
      <c r="BZ88" s="215"/>
      <c r="CA88" s="215"/>
      <c r="CB88" s="215"/>
      <c r="CC88" s="215"/>
      <c r="CD88" s="215"/>
      <c r="CE88" s="213"/>
      <c r="CF88" s="215"/>
      <c r="CG88" s="215">
        <f t="shared" si="149"/>
        <v>7207.5</v>
      </c>
      <c r="CH88" s="256">
        <f>VLOOKUP(CX88,SSS_2025!A:N,8)</f>
        <v>1700</v>
      </c>
      <c r="CI88" s="217">
        <f>VLOOKUP(CX88,SSS_2025!A:N,13)</f>
        <v>850</v>
      </c>
      <c r="CJ88" s="217">
        <f>VLOOKUP(CX88,SSS_2025!A:N,9)</f>
        <v>30</v>
      </c>
      <c r="CK88" s="215">
        <v>391.25</v>
      </c>
      <c r="CL88" s="215">
        <v>391.25</v>
      </c>
      <c r="CM88" s="215">
        <v>200</v>
      </c>
      <c r="CN88" s="215">
        <v>200</v>
      </c>
      <c r="CO88" s="214">
        <f t="shared" si="150"/>
        <v>9528.75</v>
      </c>
      <c r="CP88" s="214">
        <f t="shared" si="151"/>
        <v>660</v>
      </c>
      <c r="CQ88" s="214">
        <f t="shared" si="152"/>
        <v>10188.75</v>
      </c>
      <c r="CR88" s="215"/>
      <c r="CS88" s="214">
        <f t="shared" si="153"/>
        <v>10188.75</v>
      </c>
      <c r="CT88" s="273">
        <f t="shared" si="154"/>
        <v>550</v>
      </c>
      <c r="CU88" s="244"/>
      <c r="CV88" s="269">
        <f>IFERROR(VLOOKUP(C88,'[2]BILLING COMPUTATION'!$C$8:$CI$224,85,0),0)</f>
        <v>9971.25</v>
      </c>
      <c r="CW88" s="243">
        <f t="shared" si="140"/>
        <v>7207.5</v>
      </c>
      <c r="CX88" s="245">
        <f t="shared" si="139"/>
        <v>17178.75</v>
      </c>
      <c r="CZ88" s="721">
        <f>IFERROR(VLOOKUP(C88,'[5]BILLING COMPUTATION'!$C$8:$CG$101,83,0),0)</f>
        <v>7567.1875</v>
      </c>
      <c r="DA88" s="721">
        <f t="shared" si="141"/>
        <v>7207.5</v>
      </c>
      <c r="DB88" s="721">
        <f t="shared" si="142"/>
        <v>14774.6875</v>
      </c>
      <c r="DC88" s="721">
        <f t="shared" si="143"/>
        <v>-2404.0625</v>
      </c>
    </row>
    <row r="89" spans="1:107" s="2" customFormat="1" ht="16.899999999999999" customHeight="1">
      <c r="A89" s="235">
        <v>85</v>
      </c>
      <c r="B89" s="265"/>
      <c r="C89" s="266">
        <v>14555</v>
      </c>
      <c r="D89" s="266" t="str">
        <f>VLOOKUP(E89,'F3 MS (2)'!E:F,2,0)</f>
        <v>GD250270</v>
      </c>
      <c r="E89" s="267" t="s">
        <v>238</v>
      </c>
      <c r="F89" s="266" t="str">
        <f>VLOOKUP(C89,'[1]ACTIVE GH'!$C:$I,7,0)</f>
        <v>METAL STAMPING</v>
      </c>
      <c r="G89" s="266" t="str">
        <f>VLOOKUP(C89,'[1]ACTIVE GH'!$C:$J,8,0)</f>
        <v>PRODUCTION</v>
      </c>
      <c r="H89" s="266" t="str">
        <f>VLOOKUP(C89,'[1]ACTIVE GH'!$C:$N,12,0)</f>
        <v>Operator 1</v>
      </c>
      <c r="I89" s="266" t="s">
        <v>180</v>
      </c>
      <c r="J89" s="266">
        <f>IFERROR(VLOOKUP(C89,PIVOT!A:B,2,0),0)</f>
        <v>88</v>
      </c>
      <c r="K89" s="237">
        <f t="shared" si="115"/>
        <v>11</v>
      </c>
      <c r="L89" s="237">
        <v>600</v>
      </c>
      <c r="M89" s="238">
        <f t="shared" si="144"/>
        <v>6600</v>
      </c>
      <c r="N89" s="266">
        <f>IFERROR(VLOOKUP(C89,PIVOT!A:F,6,0),0)</f>
        <v>0</v>
      </c>
      <c r="O89" s="239">
        <f t="shared" si="116"/>
        <v>1.25</v>
      </c>
      <c r="P89" s="238">
        <f t="shared" si="145"/>
        <v>0</v>
      </c>
      <c r="Q89" s="266">
        <f>IFERROR(VLOOKUP(C89,PIVOT!A:C,3,0),0)</f>
        <v>0</v>
      </c>
      <c r="R89" s="239">
        <f t="shared" si="155"/>
        <v>93.75</v>
      </c>
      <c r="S89" s="238">
        <f t="shared" si="156"/>
        <v>0</v>
      </c>
      <c r="T89" s="266">
        <f>IFERROR(VLOOKUP(C89,PIVOT!A:D,4,0),0)</f>
        <v>0</v>
      </c>
      <c r="U89" s="239">
        <f t="shared" si="146"/>
        <v>7.5</v>
      </c>
      <c r="V89" s="238">
        <f t="shared" si="147"/>
        <v>0</v>
      </c>
      <c r="W89" s="266">
        <f>IFERROR(VLOOKUP(C89,PIVOT!A:E,5,0),0)</f>
        <v>0</v>
      </c>
      <c r="X89" s="238">
        <f t="shared" si="119"/>
        <v>9.375</v>
      </c>
      <c r="Y89" s="238">
        <f t="shared" si="148"/>
        <v>0</v>
      </c>
      <c r="Z89" s="266">
        <f>IFERROR(VLOOKUP(C89,#REF!,6,0),0)</f>
        <v>0</v>
      </c>
      <c r="AA89" s="239">
        <f t="shared" si="120"/>
        <v>97.5</v>
      </c>
      <c r="AB89" s="238">
        <f t="shared" si="121"/>
        <v>0</v>
      </c>
      <c r="AC89" s="266"/>
      <c r="AD89" s="215">
        <f t="shared" si="122"/>
        <v>126.75</v>
      </c>
      <c r="AE89" s="214">
        <f t="shared" si="123"/>
        <v>0</v>
      </c>
      <c r="AF89" s="266">
        <f>IFERROR(VLOOKUP(C89,#REF!,8,0),0)</f>
        <v>0</v>
      </c>
      <c r="AG89" s="239">
        <f t="shared" si="124"/>
        <v>9.75</v>
      </c>
      <c r="AH89" s="238">
        <f t="shared" si="125"/>
        <v>0</v>
      </c>
      <c r="AI89" s="213"/>
      <c r="AJ89" s="213">
        <f t="shared" si="126"/>
        <v>112.5</v>
      </c>
      <c r="AK89" s="216">
        <f t="shared" si="127"/>
        <v>0</v>
      </c>
      <c r="AL89" s="213"/>
      <c r="AM89" s="213">
        <f t="shared" si="128"/>
        <v>146.25</v>
      </c>
      <c r="AN89" s="216">
        <v>0</v>
      </c>
      <c r="AO89" s="213"/>
      <c r="AP89" s="213">
        <f t="shared" si="129"/>
        <v>11.25</v>
      </c>
      <c r="AQ89" s="216">
        <f t="shared" si="130"/>
        <v>0</v>
      </c>
      <c r="AR89" s="266">
        <f>IFERROR(VLOOKUP(C89,#REF!,7,0),0)</f>
        <v>0</v>
      </c>
      <c r="AS89" s="278">
        <f t="shared" si="131"/>
        <v>97.5</v>
      </c>
      <c r="AT89" s="277">
        <f t="shared" si="132"/>
        <v>0</v>
      </c>
      <c r="AU89" s="266"/>
      <c r="AV89" s="213"/>
      <c r="AW89" s="216"/>
      <c r="AX89" s="213">
        <f>IFERROR(VLOOKUP(C89,#REF!,8,0),0)</f>
        <v>0</v>
      </c>
      <c r="AY89" s="278">
        <f t="shared" si="133"/>
        <v>9.75</v>
      </c>
      <c r="AZ89" s="277">
        <f t="shared" si="134"/>
        <v>0</v>
      </c>
      <c r="BA89" s="266">
        <f>IFERROR(VLOOKUP(C89,#REF!,10,0),0)</f>
        <v>0</v>
      </c>
      <c r="BB89" s="268">
        <f t="shared" si="135"/>
        <v>150</v>
      </c>
      <c r="BC89" s="247">
        <f t="shared" si="136"/>
        <v>0</v>
      </c>
      <c r="BD89" s="216"/>
      <c r="BE89" s="213"/>
      <c r="BF89" s="213"/>
      <c r="BG89" s="216"/>
      <c r="BH89" s="213"/>
      <c r="BI89" s="213"/>
      <c r="BJ89" s="216">
        <f>IFERROR(VLOOKUP(C89,#REF!,9,0),0)</f>
        <v>0</v>
      </c>
      <c r="BK89" s="276">
        <f t="shared" si="137"/>
        <v>75</v>
      </c>
      <c r="BL89" s="213">
        <f t="shared" si="138"/>
        <v>0</v>
      </c>
      <c r="BM89" s="216"/>
      <c r="BN89" s="213"/>
      <c r="BO89" s="213"/>
      <c r="BP89" s="213"/>
      <c r="BQ89" s="213"/>
      <c r="BR89" s="213"/>
      <c r="BS89" s="213"/>
      <c r="BT89" s="213"/>
      <c r="BU89" s="215"/>
      <c r="BV89" s="215"/>
      <c r="BW89" s="215"/>
      <c r="BX89" s="215"/>
      <c r="BY89" s="215"/>
      <c r="BZ89" s="215"/>
      <c r="CA89" s="215"/>
      <c r="CB89" s="215"/>
      <c r="CC89" s="215"/>
      <c r="CD89" s="215"/>
      <c r="CE89" s="213"/>
      <c r="CF89" s="215"/>
      <c r="CG89" s="215">
        <f t="shared" si="149"/>
        <v>6600</v>
      </c>
      <c r="CH89" s="256">
        <f>VLOOKUP(CX89,SSS_2025!A:N,8)</f>
        <v>1700</v>
      </c>
      <c r="CI89" s="217">
        <f>VLOOKUP(CX89,SSS_2025!A:N,13)</f>
        <v>850</v>
      </c>
      <c r="CJ89" s="217">
        <f>VLOOKUP(CX89,SSS_2025!A:N,9)</f>
        <v>30</v>
      </c>
      <c r="CK89" s="215">
        <v>391.25</v>
      </c>
      <c r="CL89" s="215">
        <v>391.25</v>
      </c>
      <c r="CM89" s="215">
        <v>200</v>
      </c>
      <c r="CN89" s="215">
        <v>200</v>
      </c>
      <c r="CO89" s="214">
        <f t="shared" si="150"/>
        <v>8921.25</v>
      </c>
      <c r="CP89" s="214">
        <f t="shared" si="151"/>
        <v>660</v>
      </c>
      <c r="CQ89" s="214">
        <f t="shared" si="152"/>
        <v>9581.25</v>
      </c>
      <c r="CR89" s="215"/>
      <c r="CS89" s="214">
        <f t="shared" si="153"/>
        <v>9581.25</v>
      </c>
      <c r="CT89" s="273">
        <f t="shared" si="154"/>
        <v>550</v>
      </c>
      <c r="CU89" s="244"/>
      <c r="CV89" s="269">
        <f>IFERROR(VLOOKUP(C89,'[2]BILLING COMPUTATION'!$C$8:$CI$224,85,0),0)</f>
        <v>10305</v>
      </c>
      <c r="CW89" s="243">
        <f t="shared" si="140"/>
        <v>6600</v>
      </c>
      <c r="CX89" s="245">
        <f t="shared" si="139"/>
        <v>16905</v>
      </c>
      <c r="CZ89" s="721">
        <f>IFERROR(VLOOKUP(C89,'[5]BILLING COMPUTATION'!$C$8:$CG$101,83,0),0)</f>
        <v>9596.25</v>
      </c>
      <c r="DA89" s="721">
        <f t="shared" si="141"/>
        <v>6600</v>
      </c>
      <c r="DB89" s="721">
        <f t="shared" si="142"/>
        <v>16196.25</v>
      </c>
      <c r="DC89" s="721">
        <f t="shared" si="143"/>
        <v>-708.75</v>
      </c>
    </row>
    <row r="90" spans="1:107" s="2" customFormat="1" ht="16.899999999999999" customHeight="1">
      <c r="A90" s="235">
        <v>86</v>
      </c>
      <c r="B90" s="265"/>
      <c r="C90" s="266">
        <v>14396</v>
      </c>
      <c r="D90" s="266" t="str">
        <f>VLOOKUP(E90,'F3 MS (2)'!E:F,2,0)</f>
        <v>GD250474</v>
      </c>
      <c r="E90" s="267" t="s">
        <v>287</v>
      </c>
      <c r="F90" s="266" t="str">
        <f>VLOOKUP(C90,'[1]ACTIVE GH'!$C:$I,7,0)</f>
        <v>METAL STAMPING</v>
      </c>
      <c r="G90" s="266" t="str">
        <f>VLOOKUP(C90,'[1]ACTIVE GH'!$C:$J,8,0)</f>
        <v>PRODUCTION</v>
      </c>
      <c r="H90" s="266" t="str">
        <f>VLOOKUP(C90,'[1]ACTIVE GH'!$C:$N,12,0)</f>
        <v>Operator 1</v>
      </c>
      <c r="I90" s="266" t="s">
        <v>180</v>
      </c>
      <c r="J90" s="266">
        <f>IFERROR(VLOOKUP(C90,PIVOT!A:B,2,0),0)</f>
        <v>56</v>
      </c>
      <c r="K90" s="237">
        <f t="shared" si="115"/>
        <v>7</v>
      </c>
      <c r="L90" s="237">
        <v>600</v>
      </c>
      <c r="M90" s="238">
        <f t="shared" si="144"/>
        <v>4200</v>
      </c>
      <c r="N90" s="266">
        <f>IFERROR(VLOOKUP(C90,PIVOT!A:F,6,0),0)</f>
        <v>0</v>
      </c>
      <c r="O90" s="239">
        <f t="shared" si="116"/>
        <v>1.25</v>
      </c>
      <c r="P90" s="238">
        <f t="shared" si="145"/>
        <v>0</v>
      </c>
      <c r="Q90" s="266">
        <f>IFERROR(VLOOKUP(C90,PIVOT!A:C,3,0),0)</f>
        <v>12</v>
      </c>
      <c r="R90" s="239">
        <f t="shared" si="155"/>
        <v>93.75</v>
      </c>
      <c r="S90" s="238">
        <f t="shared" si="156"/>
        <v>1125</v>
      </c>
      <c r="T90" s="266">
        <f>IFERROR(VLOOKUP(C90,PIVOT!A:D,4,0),0)</f>
        <v>0</v>
      </c>
      <c r="U90" s="239">
        <f t="shared" si="146"/>
        <v>7.5</v>
      </c>
      <c r="V90" s="238">
        <f t="shared" si="147"/>
        <v>0</v>
      </c>
      <c r="W90" s="266">
        <f>IFERROR(VLOOKUP(C90,PIVOT!A:E,5,0),0)</f>
        <v>0</v>
      </c>
      <c r="X90" s="238">
        <f t="shared" si="119"/>
        <v>9.375</v>
      </c>
      <c r="Y90" s="238">
        <f t="shared" si="148"/>
        <v>0</v>
      </c>
      <c r="Z90" s="266">
        <f>IFERROR(VLOOKUP(C90,#REF!,6,0),0)</f>
        <v>0</v>
      </c>
      <c r="AA90" s="239">
        <f t="shared" si="120"/>
        <v>97.5</v>
      </c>
      <c r="AB90" s="238">
        <f t="shared" si="121"/>
        <v>0</v>
      </c>
      <c r="AC90" s="266"/>
      <c r="AD90" s="215">
        <f t="shared" si="122"/>
        <v>126.75</v>
      </c>
      <c r="AE90" s="214">
        <f t="shared" si="123"/>
        <v>0</v>
      </c>
      <c r="AF90" s="266">
        <f>IFERROR(VLOOKUP(C90,#REF!,8,0),0)</f>
        <v>0</v>
      </c>
      <c r="AG90" s="239">
        <f t="shared" si="124"/>
        <v>9.75</v>
      </c>
      <c r="AH90" s="238">
        <f t="shared" si="125"/>
        <v>0</v>
      </c>
      <c r="AI90" s="213"/>
      <c r="AJ90" s="213">
        <f t="shared" si="126"/>
        <v>112.5</v>
      </c>
      <c r="AK90" s="216">
        <f t="shared" si="127"/>
        <v>0</v>
      </c>
      <c r="AL90" s="213"/>
      <c r="AM90" s="213">
        <f t="shared" si="128"/>
        <v>146.25</v>
      </c>
      <c r="AN90" s="216">
        <v>0</v>
      </c>
      <c r="AO90" s="213"/>
      <c r="AP90" s="213">
        <f t="shared" si="129"/>
        <v>11.25</v>
      </c>
      <c r="AQ90" s="216">
        <f t="shared" si="130"/>
        <v>0</v>
      </c>
      <c r="AR90" s="266">
        <f>IFERROR(VLOOKUP(C90,#REF!,7,0),0)</f>
        <v>0</v>
      </c>
      <c r="AS90" s="278">
        <f t="shared" si="131"/>
        <v>97.5</v>
      </c>
      <c r="AT90" s="277">
        <f t="shared" si="132"/>
        <v>0</v>
      </c>
      <c r="AU90" s="266"/>
      <c r="AV90" s="213"/>
      <c r="AW90" s="216"/>
      <c r="AX90" s="213">
        <f>IFERROR(VLOOKUP(C90,#REF!,8,0),0)</f>
        <v>0</v>
      </c>
      <c r="AY90" s="278">
        <f t="shared" si="133"/>
        <v>9.75</v>
      </c>
      <c r="AZ90" s="277">
        <f t="shared" si="134"/>
        <v>0</v>
      </c>
      <c r="BA90" s="266">
        <f>IFERROR(VLOOKUP(C90,#REF!,10,0),0)</f>
        <v>0</v>
      </c>
      <c r="BB90" s="268">
        <f t="shared" si="135"/>
        <v>150</v>
      </c>
      <c r="BC90" s="247">
        <f t="shared" si="136"/>
        <v>0</v>
      </c>
      <c r="BD90" s="216"/>
      <c r="BE90" s="213"/>
      <c r="BF90" s="213"/>
      <c r="BG90" s="216"/>
      <c r="BH90" s="213"/>
      <c r="BI90" s="213"/>
      <c r="BJ90" s="216">
        <f>IFERROR(VLOOKUP(C90,#REF!,9,0),0)</f>
        <v>0</v>
      </c>
      <c r="BK90" s="276">
        <f t="shared" si="137"/>
        <v>75</v>
      </c>
      <c r="BL90" s="213">
        <f t="shared" si="138"/>
        <v>0</v>
      </c>
      <c r="BM90" s="216"/>
      <c r="BN90" s="213"/>
      <c r="BO90" s="213"/>
      <c r="BP90" s="213"/>
      <c r="BQ90" s="213"/>
      <c r="BR90" s="213"/>
      <c r="BS90" s="213"/>
      <c r="BT90" s="213"/>
      <c r="BU90" s="215"/>
      <c r="BV90" s="215"/>
      <c r="BW90" s="215"/>
      <c r="BX90" s="215"/>
      <c r="BY90" s="215"/>
      <c r="BZ90" s="215"/>
      <c r="CA90" s="215"/>
      <c r="CB90" s="215"/>
      <c r="CC90" s="215"/>
      <c r="CD90" s="215"/>
      <c r="CE90" s="213"/>
      <c r="CF90" s="215"/>
      <c r="CG90" s="215">
        <f t="shared" si="149"/>
        <v>5325</v>
      </c>
      <c r="CH90" s="256">
        <f>VLOOKUP(CX90,SSS_2025!A:N,8)</f>
        <v>1600</v>
      </c>
      <c r="CI90" s="217">
        <f>VLOOKUP(CX90,SSS_2025!A:N,13)</f>
        <v>800</v>
      </c>
      <c r="CJ90" s="217">
        <f>VLOOKUP(CX90,SSS_2025!A:N,9)</f>
        <v>30</v>
      </c>
      <c r="CK90" s="215">
        <v>391.25</v>
      </c>
      <c r="CL90" s="215">
        <v>391.25</v>
      </c>
      <c r="CM90" s="215">
        <v>200</v>
      </c>
      <c r="CN90" s="215">
        <v>200</v>
      </c>
      <c r="CO90" s="214">
        <f t="shared" si="150"/>
        <v>7546.25</v>
      </c>
      <c r="CP90" s="214">
        <f t="shared" si="151"/>
        <v>420</v>
      </c>
      <c r="CQ90" s="214">
        <f t="shared" si="152"/>
        <v>7966.25</v>
      </c>
      <c r="CR90" s="215"/>
      <c r="CS90" s="214">
        <f t="shared" si="153"/>
        <v>7966.25</v>
      </c>
      <c r="CT90" s="273">
        <f t="shared" si="154"/>
        <v>350</v>
      </c>
      <c r="CU90" s="244"/>
      <c r="CV90" s="269">
        <f>IFERROR(VLOOKUP(C90,'[2]BILLING COMPUTATION'!$C$8:$CI$224,85,0),0)</f>
        <v>10680</v>
      </c>
      <c r="CW90" s="243">
        <f t="shared" si="140"/>
        <v>5325</v>
      </c>
      <c r="CX90" s="245">
        <f t="shared" si="139"/>
        <v>16005</v>
      </c>
      <c r="CZ90" s="721">
        <f>IFERROR(VLOOKUP(C90,'[5]BILLING COMPUTATION'!$C$8:$CG$101,83,0),0)</f>
        <v>11047.5</v>
      </c>
      <c r="DA90" s="721">
        <f t="shared" si="141"/>
        <v>5325</v>
      </c>
      <c r="DB90" s="721">
        <f t="shared" si="142"/>
        <v>16372.5</v>
      </c>
      <c r="DC90" s="721">
        <f t="shared" si="143"/>
        <v>367.5</v>
      </c>
    </row>
    <row r="91" spans="1:107" s="2" customFormat="1" ht="16.899999999999999" customHeight="1">
      <c r="A91" s="235">
        <v>87</v>
      </c>
      <c r="B91" s="265"/>
      <c r="C91" s="266">
        <v>8571</v>
      </c>
      <c r="D91" s="266" t="str">
        <f>VLOOKUP(E91,'F3 MS (2)'!E:F,2,0)</f>
        <v>GD250049</v>
      </c>
      <c r="E91" s="267" t="s">
        <v>221</v>
      </c>
      <c r="F91" s="266" t="str">
        <f>VLOOKUP(C91,'[1]ACTIVE GH'!$C:$I,7,0)</f>
        <v>METAL STAMPING</v>
      </c>
      <c r="G91" s="266" t="str">
        <f>VLOOKUP(C91,'[1]ACTIVE GH'!$C:$J,8,0)</f>
        <v>PRODUCTION</v>
      </c>
      <c r="H91" s="266" t="str">
        <f>VLOOKUP(C91,'[1]ACTIVE GH'!$C:$N,12,0)</f>
        <v>Operator 1</v>
      </c>
      <c r="I91" s="266" t="s">
        <v>180</v>
      </c>
      <c r="J91" s="266">
        <f>IFERROR(VLOOKUP(C91,PIVOT!A:B,2,0),0)</f>
        <v>72</v>
      </c>
      <c r="K91" s="237">
        <f t="shared" si="115"/>
        <v>9</v>
      </c>
      <c r="L91" s="237">
        <v>600</v>
      </c>
      <c r="M91" s="238">
        <f t="shared" si="144"/>
        <v>5400</v>
      </c>
      <c r="N91" s="266">
        <f>IFERROR(VLOOKUP(C91,PIVOT!A:F,6,0),0)</f>
        <v>1</v>
      </c>
      <c r="O91" s="239">
        <f t="shared" si="116"/>
        <v>1.25</v>
      </c>
      <c r="P91" s="238">
        <f t="shared" si="145"/>
        <v>-1.25</v>
      </c>
      <c r="Q91" s="266">
        <f>IFERROR(VLOOKUP(C91,PIVOT!A:C,3,0),0)</f>
        <v>4</v>
      </c>
      <c r="R91" s="239">
        <f t="shared" si="155"/>
        <v>93.75</v>
      </c>
      <c r="S91" s="238">
        <f t="shared" si="156"/>
        <v>375</v>
      </c>
      <c r="T91" s="266">
        <f>IFERROR(VLOOKUP(C91,PIVOT!A:D,4,0),0)</f>
        <v>47.5</v>
      </c>
      <c r="U91" s="239">
        <f t="shared" si="146"/>
        <v>7.5</v>
      </c>
      <c r="V91" s="238">
        <f t="shared" si="147"/>
        <v>356.25</v>
      </c>
      <c r="W91" s="266">
        <f>IFERROR(VLOOKUP(C91,PIVOT!A:E,5,0),0)</f>
        <v>4</v>
      </c>
      <c r="X91" s="238">
        <f t="shared" si="119"/>
        <v>9.375</v>
      </c>
      <c r="Y91" s="238">
        <f t="shared" si="148"/>
        <v>37.5</v>
      </c>
      <c r="Z91" s="266">
        <f>IFERROR(VLOOKUP(C91,#REF!,6,0),0)</f>
        <v>0</v>
      </c>
      <c r="AA91" s="239">
        <f t="shared" si="120"/>
        <v>97.5</v>
      </c>
      <c r="AB91" s="238">
        <f t="shared" si="121"/>
        <v>0</v>
      </c>
      <c r="AC91" s="266"/>
      <c r="AD91" s="215">
        <f t="shared" si="122"/>
        <v>126.75</v>
      </c>
      <c r="AE91" s="214">
        <f t="shared" si="123"/>
        <v>0</v>
      </c>
      <c r="AF91" s="266">
        <f>IFERROR(VLOOKUP(C91,#REF!,8,0),0)</f>
        <v>0</v>
      </c>
      <c r="AG91" s="239">
        <f t="shared" si="124"/>
        <v>9.75</v>
      </c>
      <c r="AH91" s="238">
        <f t="shared" si="125"/>
        <v>0</v>
      </c>
      <c r="AI91" s="213"/>
      <c r="AJ91" s="213">
        <f t="shared" si="126"/>
        <v>112.5</v>
      </c>
      <c r="AK91" s="216">
        <f t="shared" si="127"/>
        <v>0</v>
      </c>
      <c r="AL91" s="213"/>
      <c r="AM91" s="213">
        <f t="shared" si="128"/>
        <v>146.25</v>
      </c>
      <c r="AN91" s="216">
        <v>0</v>
      </c>
      <c r="AO91" s="213"/>
      <c r="AP91" s="213">
        <f t="shared" si="129"/>
        <v>11.25</v>
      </c>
      <c r="AQ91" s="216">
        <f t="shared" si="130"/>
        <v>0</v>
      </c>
      <c r="AR91" s="266">
        <f>IFERROR(VLOOKUP(C91,#REF!,7,0),0)</f>
        <v>0</v>
      </c>
      <c r="AS91" s="278">
        <f t="shared" si="131"/>
        <v>97.5</v>
      </c>
      <c r="AT91" s="277">
        <f t="shared" si="132"/>
        <v>0</v>
      </c>
      <c r="AU91" s="266"/>
      <c r="AV91" s="213"/>
      <c r="AW91" s="216"/>
      <c r="AX91" s="213">
        <f>IFERROR(VLOOKUP(C91,#REF!,8,0),0)</f>
        <v>0</v>
      </c>
      <c r="AY91" s="278">
        <f t="shared" si="133"/>
        <v>9.75</v>
      </c>
      <c r="AZ91" s="277">
        <f t="shared" si="134"/>
        <v>0</v>
      </c>
      <c r="BA91" s="266">
        <f>IFERROR(VLOOKUP(C91,#REF!,10,0),0)</f>
        <v>0</v>
      </c>
      <c r="BB91" s="268">
        <f t="shared" si="135"/>
        <v>150</v>
      </c>
      <c r="BC91" s="247">
        <f t="shared" si="136"/>
        <v>0</v>
      </c>
      <c r="BD91" s="216"/>
      <c r="BE91" s="213"/>
      <c r="BF91" s="213"/>
      <c r="BG91" s="216"/>
      <c r="BH91" s="213"/>
      <c r="BI91" s="213"/>
      <c r="BJ91" s="216">
        <f>IFERROR(VLOOKUP(C91,#REF!,9,0),0)</f>
        <v>0</v>
      </c>
      <c r="BK91" s="276">
        <f t="shared" si="137"/>
        <v>75</v>
      </c>
      <c r="BL91" s="213">
        <f t="shared" si="138"/>
        <v>0</v>
      </c>
      <c r="BM91" s="216"/>
      <c r="BN91" s="213"/>
      <c r="BO91" s="213"/>
      <c r="BP91" s="213"/>
      <c r="BQ91" s="213"/>
      <c r="BR91" s="213"/>
      <c r="BS91" s="213"/>
      <c r="BT91" s="213"/>
      <c r="BU91" s="215"/>
      <c r="BV91" s="215"/>
      <c r="BW91" s="215"/>
      <c r="BX91" s="215"/>
      <c r="BY91" s="215"/>
      <c r="BZ91" s="215"/>
      <c r="CA91" s="215"/>
      <c r="CB91" s="215"/>
      <c r="CC91" s="215"/>
      <c r="CD91" s="215"/>
      <c r="CE91" s="213"/>
      <c r="CF91" s="215"/>
      <c r="CG91" s="215">
        <f t="shared" si="149"/>
        <v>6167.5</v>
      </c>
      <c r="CH91" s="256">
        <f>VLOOKUP(CX91,SSS_2025!A:N,8)</f>
        <v>1550</v>
      </c>
      <c r="CI91" s="217">
        <f>VLOOKUP(CX91,SSS_2025!A:N,13)</f>
        <v>775</v>
      </c>
      <c r="CJ91" s="217">
        <f>VLOOKUP(CX91,SSS_2025!A:N,9)</f>
        <v>30</v>
      </c>
      <c r="CK91" s="215">
        <v>391.25</v>
      </c>
      <c r="CL91" s="215">
        <v>391.25</v>
      </c>
      <c r="CM91" s="215">
        <v>200</v>
      </c>
      <c r="CN91" s="215">
        <v>200</v>
      </c>
      <c r="CO91" s="214">
        <f t="shared" si="150"/>
        <v>8338.75</v>
      </c>
      <c r="CP91" s="214">
        <f t="shared" si="151"/>
        <v>539.875</v>
      </c>
      <c r="CQ91" s="214">
        <f t="shared" si="152"/>
        <v>8878.625</v>
      </c>
      <c r="CR91" s="215"/>
      <c r="CS91" s="214">
        <f t="shared" si="153"/>
        <v>8878.625</v>
      </c>
      <c r="CT91" s="273">
        <f t="shared" si="154"/>
        <v>449.89583333333331</v>
      </c>
      <c r="CU91" s="244"/>
      <c r="CV91" s="269">
        <f>IFERROR(VLOOKUP(C91,'[2]BILLING COMPUTATION'!$C$8:$CI$224,85,0),0)</f>
        <v>9517.5</v>
      </c>
      <c r="CW91" s="243">
        <f t="shared" si="140"/>
        <v>6167.5</v>
      </c>
      <c r="CX91" s="245">
        <f t="shared" si="139"/>
        <v>15685</v>
      </c>
      <c r="CZ91" s="721">
        <f>IFERROR(VLOOKUP(C91,'[5]BILLING COMPUTATION'!$C$8:$CG$101,83,0),0)</f>
        <v>9401.25</v>
      </c>
      <c r="DA91" s="721">
        <f t="shared" si="141"/>
        <v>6167.5</v>
      </c>
      <c r="DB91" s="721">
        <f t="shared" si="142"/>
        <v>15568.75</v>
      </c>
      <c r="DC91" s="721">
        <f t="shared" si="143"/>
        <v>-116.25</v>
      </c>
    </row>
    <row r="92" spans="1:107" s="2" customFormat="1" ht="16.899999999999999" customHeight="1">
      <c r="A92" s="235">
        <v>88</v>
      </c>
      <c r="B92" s="265"/>
      <c r="C92" s="266">
        <v>12471</v>
      </c>
      <c r="D92" s="266" t="str">
        <f>VLOOKUP(E92,'F3 MS (2)'!E:F,2,0)</f>
        <v>GD250125</v>
      </c>
      <c r="E92" s="267" t="s">
        <v>219</v>
      </c>
      <c r="F92" s="266" t="str">
        <f>VLOOKUP(C92,'[1]ACTIVE GH'!$C:$I,7,0)</f>
        <v>METAL STAMPING</v>
      </c>
      <c r="G92" s="266" t="str">
        <f>VLOOKUP(C92,'[1]ACTIVE GH'!$C:$J,8,0)</f>
        <v>PRODUCTION</v>
      </c>
      <c r="H92" s="266" t="str">
        <f>VLOOKUP(C92,'[1]ACTIVE GH'!$C:$N,12,0)</f>
        <v>Operator 1</v>
      </c>
      <c r="I92" s="266" t="s">
        <v>180</v>
      </c>
      <c r="J92" s="266">
        <f>IFERROR(VLOOKUP(C92,PIVOT!A:B,2,0),0)</f>
        <v>88</v>
      </c>
      <c r="K92" s="237">
        <f t="shared" si="115"/>
        <v>11</v>
      </c>
      <c r="L92" s="237">
        <v>600</v>
      </c>
      <c r="M92" s="238">
        <f t="shared" si="144"/>
        <v>6600</v>
      </c>
      <c r="N92" s="266">
        <f>IFERROR(VLOOKUP(C92,PIVOT!A:F,6,0),0)</f>
        <v>0</v>
      </c>
      <c r="O92" s="239">
        <f t="shared" si="116"/>
        <v>1.25</v>
      </c>
      <c r="P92" s="238">
        <f t="shared" si="145"/>
        <v>0</v>
      </c>
      <c r="Q92" s="266">
        <f>IFERROR(VLOOKUP(C92,PIVOT!A:C,3,0),0)</f>
        <v>8</v>
      </c>
      <c r="R92" s="239">
        <f t="shared" si="155"/>
        <v>93.75</v>
      </c>
      <c r="S92" s="238">
        <f t="shared" si="156"/>
        <v>750</v>
      </c>
      <c r="T92" s="266">
        <f>IFERROR(VLOOKUP(C92,PIVOT!A:D,4,0),0)</f>
        <v>66</v>
      </c>
      <c r="U92" s="239">
        <f t="shared" si="146"/>
        <v>7.5</v>
      </c>
      <c r="V92" s="238">
        <f t="shared" si="147"/>
        <v>495</v>
      </c>
      <c r="W92" s="266">
        <f>IFERROR(VLOOKUP(C92,PIVOT!A:E,5,0),0)</f>
        <v>8</v>
      </c>
      <c r="X92" s="238">
        <f t="shared" si="119"/>
        <v>9.375</v>
      </c>
      <c r="Y92" s="238">
        <f t="shared" si="148"/>
        <v>75</v>
      </c>
      <c r="Z92" s="266">
        <f>IFERROR(VLOOKUP(C92,#REF!,6,0),0)</f>
        <v>0</v>
      </c>
      <c r="AA92" s="239">
        <f t="shared" si="120"/>
        <v>97.5</v>
      </c>
      <c r="AB92" s="238">
        <f t="shared" si="121"/>
        <v>0</v>
      </c>
      <c r="AC92" s="266"/>
      <c r="AD92" s="215">
        <f t="shared" si="122"/>
        <v>126.75</v>
      </c>
      <c r="AE92" s="214">
        <f t="shared" si="123"/>
        <v>0</v>
      </c>
      <c r="AF92" s="266">
        <f>IFERROR(VLOOKUP(C92,#REF!,8,0),0)</f>
        <v>0</v>
      </c>
      <c r="AG92" s="239">
        <f t="shared" si="124"/>
        <v>9.75</v>
      </c>
      <c r="AH92" s="238">
        <f t="shared" si="125"/>
        <v>0</v>
      </c>
      <c r="AI92" s="213"/>
      <c r="AJ92" s="213">
        <f t="shared" si="126"/>
        <v>112.5</v>
      </c>
      <c r="AK92" s="216">
        <f t="shared" si="127"/>
        <v>0</v>
      </c>
      <c r="AL92" s="213"/>
      <c r="AM92" s="213">
        <f t="shared" si="128"/>
        <v>146.25</v>
      </c>
      <c r="AN92" s="216">
        <v>0</v>
      </c>
      <c r="AO92" s="213"/>
      <c r="AP92" s="213">
        <f t="shared" si="129"/>
        <v>11.25</v>
      </c>
      <c r="AQ92" s="216">
        <f t="shared" si="130"/>
        <v>0</v>
      </c>
      <c r="AR92" s="266">
        <f>IFERROR(VLOOKUP(C92,#REF!,7,0),0)</f>
        <v>0</v>
      </c>
      <c r="AS92" s="278">
        <f t="shared" si="131"/>
        <v>97.5</v>
      </c>
      <c r="AT92" s="277">
        <f t="shared" si="132"/>
        <v>0</v>
      </c>
      <c r="AU92" s="266"/>
      <c r="AV92" s="213"/>
      <c r="AW92" s="216"/>
      <c r="AX92" s="213">
        <f>IFERROR(VLOOKUP(C92,#REF!,8,0),0)</f>
        <v>0</v>
      </c>
      <c r="AY92" s="278">
        <f t="shared" si="133"/>
        <v>9.75</v>
      </c>
      <c r="AZ92" s="277">
        <f t="shared" si="134"/>
        <v>0</v>
      </c>
      <c r="BA92" s="266">
        <f>IFERROR(VLOOKUP(C92,#REF!,10,0),0)</f>
        <v>0</v>
      </c>
      <c r="BB92" s="268">
        <f t="shared" si="135"/>
        <v>150</v>
      </c>
      <c r="BC92" s="247">
        <f t="shared" si="136"/>
        <v>0</v>
      </c>
      <c r="BD92" s="216"/>
      <c r="BE92" s="213"/>
      <c r="BF92" s="213"/>
      <c r="BG92" s="216"/>
      <c r="BH92" s="213"/>
      <c r="BI92" s="213"/>
      <c r="BJ92" s="216">
        <f>IFERROR(VLOOKUP(C92,#REF!,9,0),0)</f>
        <v>0</v>
      </c>
      <c r="BK92" s="276">
        <f t="shared" si="137"/>
        <v>75</v>
      </c>
      <c r="BL92" s="213">
        <f t="shared" si="138"/>
        <v>0</v>
      </c>
      <c r="BM92" s="216"/>
      <c r="BN92" s="213"/>
      <c r="BO92" s="213"/>
      <c r="BP92" s="213"/>
      <c r="BQ92" s="213"/>
      <c r="BR92" s="213"/>
      <c r="BS92" s="213"/>
      <c r="BT92" s="213"/>
      <c r="BU92" s="215"/>
      <c r="BV92" s="215"/>
      <c r="BW92" s="215"/>
      <c r="BX92" s="215"/>
      <c r="BY92" s="215"/>
      <c r="BZ92" s="215"/>
      <c r="CA92" s="215"/>
      <c r="CB92" s="215"/>
      <c r="CC92" s="215"/>
      <c r="CD92" s="215"/>
      <c r="CE92" s="213"/>
      <c r="CF92" s="215"/>
      <c r="CG92" s="215">
        <f t="shared" si="149"/>
        <v>7920</v>
      </c>
      <c r="CH92" s="256">
        <f>VLOOKUP(CX92,SSS_2025!A:N,8)</f>
        <v>1850</v>
      </c>
      <c r="CI92" s="217">
        <f>VLOOKUP(CX92,SSS_2025!A:N,13)</f>
        <v>925</v>
      </c>
      <c r="CJ92" s="217">
        <f>VLOOKUP(CX92,SSS_2025!A:N,9)</f>
        <v>30</v>
      </c>
      <c r="CK92" s="215">
        <v>391.25</v>
      </c>
      <c r="CL92" s="215">
        <v>391.25</v>
      </c>
      <c r="CM92" s="215">
        <v>200</v>
      </c>
      <c r="CN92" s="215">
        <v>200</v>
      </c>
      <c r="CO92" s="214">
        <f t="shared" si="150"/>
        <v>10391.25</v>
      </c>
      <c r="CP92" s="214">
        <f t="shared" si="151"/>
        <v>660</v>
      </c>
      <c r="CQ92" s="214">
        <f t="shared" si="152"/>
        <v>11051.25</v>
      </c>
      <c r="CR92" s="215"/>
      <c r="CS92" s="214">
        <f t="shared" si="153"/>
        <v>11051.25</v>
      </c>
      <c r="CT92" s="273">
        <f t="shared" si="154"/>
        <v>550</v>
      </c>
      <c r="CU92" s="244"/>
      <c r="CV92" s="269">
        <f>IFERROR(VLOOKUP(C92,'[2]BILLING COMPUTATION'!$C$8:$CI$224,85,0),0)</f>
        <v>10698.75</v>
      </c>
      <c r="CW92" s="243">
        <f t="shared" si="140"/>
        <v>7920</v>
      </c>
      <c r="CX92" s="245">
        <f t="shared" si="139"/>
        <v>18618.75</v>
      </c>
      <c r="CZ92" s="721">
        <f>IFERROR(VLOOKUP(C92,'[5]BILLING COMPUTATION'!$C$8:$CG$101,83,0),0)</f>
        <v>7871.25</v>
      </c>
      <c r="DA92" s="721">
        <f t="shared" si="141"/>
        <v>7920</v>
      </c>
      <c r="DB92" s="721">
        <f t="shared" si="142"/>
        <v>15791.25</v>
      </c>
      <c r="DC92" s="721">
        <f t="shared" si="143"/>
        <v>-2827.5</v>
      </c>
    </row>
    <row r="93" spans="1:107" s="2" customFormat="1" ht="16.899999999999999" customHeight="1">
      <c r="A93" s="235">
        <v>89</v>
      </c>
      <c r="B93" s="265"/>
      <c r="C93" s="266">
        <v>13236</v>
      </c>
      <c r="D93" s="266" t="str">
        <f>VLOOKUP(E93,'F3 MS (2)'!E:F,2,0)</f>
        <v>GD250217</v>
      </c>
      <c r="E93" s="267" t="s">
        <v>277</v>
      </c>
      <c r="F93" s="266" t="str">
        <f>VLOOKUP(C93,'[1]ACTIVE GH'!$C:$I,7,0)</f>
        <v>METAL STAMPING</v>
      </c>
      <c r="G93" s="266" t="str">
        <f>VLOOKUP(C93,'[1]ACTIVE GH'!$C:$J,8,0)</f>
        <v>PRODUCTION</v>
      </c>
      <c r="H93" s="266" t="str">
        <f>VLOOKUP(C93,'[1]ACTIVE GH'!$C:$N,12,0)</f>
        <v>Operator 1</v>
      </c>
      <c r="I93" s="266" t="s">
        <v>180</v>
      </c>
      <c r="J93" s="266">
        <f>IFERROR(VLOOKUP(C93,PIVOT!A:B,2,0),0)</f>
        <v>96</v>
      </c>
      <c r="K93" s="237">
        <f t="shared" si="115"/>
        <v>12</v>
      </c>
      <c r="L93" s="237">
        <v>600</v>
      </c>
      <c r="M93" s="238">
        <f t="shared" si="144"/>
        <v>7200</v>
      </c>
      <c r="N93" s="266">
        <f>IFERROR(VLOOKUP(C93,PIVOT!A:F,6,0),0)</f>
        <v>0</v>
      </c>
      <c r="O93" s="239">
        <f t="shared" si="116"/>
        <v>1.25</v>
      </c>
      <c r="P93" s="238">
        <f t="shared" si="145"/>
        <v>0</v>
      </c>
      <c r="Q93" s="266">
        <f>IFERROR(VLOOKUP(C93,PIVOT!A:C,3,0),0)</f>
        <v>20</v>
      </c>
      <c r="R93" s="239">
        <f t="shared" si="155"/>
        <v>93.75</v>
      </c>
      <c r="S93" s="238">
        <f t="shared" si="156"/>
        <v>1875</v>
      </c>
      <c r="T93" s="266">
        <f>IFERROR(VLOOKUP(C93,PIVOT!A:D,4,0),0)</f>
        <v>66</v>
      </c>
      <c r="U93" s="239">
        <f t="shared" si="146"/>
        <v>7.5</v>
      </c>
      <c r="V93" s="238">
        <f t="shared" si="147"/>
        <v>495</v>
      </c>
      <c r="W93" s="266">
        <f>IFERROR(VLOOKUP(C93,PIVOT!A:E,5,0),0)</f>
        <v>20</v>
      </c>
      <c r="X93" s="238">
        <f t="shared" si="119"/>
        <v>9.375</v>
      </c>
      <c r="Y93" s="238">
        <f t="shared" si="148"/>
        <v>187.5</v>
      </c>
      <c r="Z93" s="266">
        <f>IFERROR(VLOOKUP(C93,#REF!,6,0),0)</f>
        <v>0</v>
      </c>
      <c r="AA93" s="239">
        <f t="shared" si="120"/>
        <v>97.5</v>
      </c>
      <c r="AB93" s="238">
        <f t="shared" si="121"/>
        <v>0</v>
      </c>
      <c r="AC93" s="266"/>
      <c r="AD93" s="215">
        <f t="shared" si="122"/>
        <v>126.75</v>
      </c>
      <c r="AE93" s="214">
        <f t="shared" si="123"/>
        <v>0</v>
      </c>
      <c r="AF93" s="266">
        <f>IFERROR(VLOOKUP(C93,#REF!,8,0),0)</f>
        <v>0</v>
      </c>
      <c r="AG93" s="239">
        <f t="shared" si="124"/>
        <v>9.75</v>
      </c>
      <c r="AH93" s="238">
        <f t="shared" si="125"/>
        <v>0</v>
      </c>
      <c r="AI93" s="213"/>
      <c r="AJ93" s="213">
        <f t="shared" si="126"/>
        <v>112.5</v>
      </c>
      <c r="AK93" s="216">
        <f t="shared" si="127"/>
        <v>0</v>
      </c>
      <c r="AL93" s="213"/>
      <c r="AM93" s="213">
        <f t="shared" si="128"/>
        <v>146.25</v>
      </c>
      <c r="AN93" s="216">
        <v>0</v>
      </c>
      <c r="AO93" s="213"/>
      <c r="AP93" s="213">
        <f t="shared" si="129"/>
        <v>11.25</v>
      </c>
      <c r="AQ93" s="216">
        <f t="shared" si="130"/>
        <v>0</v>
      </c>
      <c r="AR93" s="266">
        <f>IFERROR(VLOOKUP(C93,#REF!,7,0),0)</f>
        <v>0</v>
      </c>
      <c r="AS93" s="278">
        <f t="shared" si="131"/>
        <v>97.5</v>
      </c>
      <c r="AT93" s="277">
        <f t="shared" si="132"/>
        <v>0</v>
      </c>
      <c r="AU93" s="266"/>
      <c r="AV93" s="213"/>
      <c r="AW93" s="216"/>
      <c r="AX93" s="213">
        <f>IFERROR(VLOOKUP(C93,#REF!,8,0),0)</f>
        <v>0</v>
      </c>
      <c r="AY93" s="278">
        <f t="shared" si="133"/>
        <v>9.75</v>
      </c>
      <c r="AZ93" s="277">
        <f t="shared" si="134"/>
        <v>0</v>
      </c>
      <c r="BA93" s="266">
        <f>IFERROR(VLOOKUP(C93,#REF!,10,0),0)</f>
        <v>0</v>
      </c>
      <c r="BB93" s="268">
        <f t="shared" si="135"/>
        <v>150</v>
      </c>
      <c r="BC93" s="247">
        <f t="shared" si="136"/>
        <v>0</v>
      </c>
      <c r="BD93" s="216"/>
      <c r="BE93" s="213"/>
      <c r="BF93" s="213"/>
      <c r="BG93" s="216"/>
      <c r="BH93" s="213"/>
      <c r="BI93" s="213"/>
      <c r="BJ93" s="216">
        <f>IFERROR(VLOOKUP(C93,#REF!,9,0),0)</f>
        <v>0</v>
      </c>
      <c r="BK93" s="276">
        <f t="shared" si="137"/>
        <v>75</v>
      </c>
      <c r="BL93" s="213">
        <f t="shared" si="138"/>
        <v>0</v>
      </c>
      <c r="BM93" s="216"/>
      <c r="BN93" s="213"/>
      <c r="BO93" s="213"/>
      <c r="BP93" s="213"/>
      <c r="BQ93" s="213"/>
      <c r="BR93" s="213"/>
      <c r="BS93" s="213"/>
      <c r="BT93" s="213"/>
      <c r="BU93" s="215"/>
      <c r="BV93" s="215"/>
      <c r="BW93" s="215"/>
      <c r="BX93" s="215"/>
      <c r="BY93" s="215"/>
      <c r="BZ93" s="215"/>
      <c r="CA93" s="215"/>
      <c r="CB93" s="215"/>
      <c r="CC93" s="215"/>
      <c r="CD93" s="215"/>
      <c r="CE93" s="213"/>
      <c r="CF93" s="215"/>
      <c r="CG93" s="215">
        <f t="shared" si="149"/>
        <v>9757.5</v>
      </c>
      <c r="CH93" s="256">
        <f>VLOOKUP(CX93,SSS_2025!A:N,8)</f>
        <v>2000</v>
      </c>
      <c r="CI93" s="217">
        <f>VLOOKUP(CX93,SSS_2025!A:N,13)</f>
        <v>1000</v>
      </c>
      <c r="CJ93" s="217">
        <f>VLOOKUP(CX93,SSS_2025!A:N,9)</f>
        <v>30</v>
      </c>
      <c r="CK93" s="215">
        <v>391.25</v>
      </c>
      <c r="CL93" s="215">
        <v>391.25</v>
      </c>
      <c r="CM93" s="215">
        <v>200</v>
      </c>
      <c r="CN93" s="215">
        <v>200</v>
      </c>
      <c r="CO93" s="214">
        <f t="shared" si="150"/>
        <v>12378.75</v>
      </c>
      <c r="CP93" s="214">
        <f t="shared" si="151"/>
        <v>720</v>
      </c>
      <c r="CQ93" s="214">
        <f t="shared" si="152"/>
        <v>13098.75</v>
      </c>
      <c r="CR93" s="215"/>
      <c r="CS93" s="214">
        <f t="shared" si="153"/>
        <v>13098.75</v>
      </c>
      <c r="CT93" s="273">
        <f t="shared" si="154"/>
        <v>600</v>
      </c>
      <c r="CU93" s="244"/>
      <c r="CV93" s="269">
        <f>IFERROR(VLOOKUP(C93,'[2]BILLING COMPUTATION'!$C$8:$CI$224,85,0),0)</f>
        <v>10136.25</v>
      </c>
      <c r="CW93" s="243">
        <f t="shared" si="140"/>
        <v>9757.5</v>
      </c>
      <c r="CX93" s="245">
        <f t="shared" si="139"/>
        <v>19893.75</v>
      </c>
      <c r="CZ93" s="721">
        <f>IFERROR(VLOOKUP(C93,'[5]BILLING COMPUTATION'!$C$8:$CG$101,83,0),0)</f>
        <v>10751.25</v>
      </c>
      <c r="DA93" s="721">
        <f t="shared" si="141"/>
        <v>9757.5</v>
      </c>
      <c r="DB93" s="721">
        <f t="shared" si="142"/>
        <v>20508.75</v>
      </c>
      <c r="DC93" s="721">
        <f t="shared" si="143"/>
        <v>615</v>
      </c>
    </row>
    <row r="94" spans="1:107" s="2" customFormat="1" ht="16.899999999999999" customHeight="1">
      <c r="A94" s="235">
        <v>90</v>
      </c>
      <c r="B94" s="265"/>
      <c r="C94" s="266">
        <v>14753</v>
      </c>
      <c r="D94" s="266" t="str">
        <f>VLOOKUP(E94,'F3 MS (2)'!E:F,2,0)</f>
        <v>GD250198</v>
      </c>
      <c r="E94" s="267" t="s">
        <v>356</v>
      </c>
      <c r="F94" s="266" t="str">
        <f>VLOOKUP(C94,'[1]ACTIVE GH'!$C:$I,7,0)</f>
        <v>METAL STAMPING</v>
      </c>
      <c r="G94" s="266" t="str">
        <f>VLOOKUP(C94,'[1]ACTIVE GH'!$C:$J,8,0)</f>
        <v>PRODUCTION</v>
      </c>
      <c r="H94" s="266" t="str">
        <f>VLOOKUP(C94,'[1]ACTIVE GH'!$C:$N,12,0)</f>
        <v>Operator 1</v>
      </c>
      <c r="I94" s="266" t="s">
        <v>180</v>
      </c>
      <c r="J94" s="266">
        <f>IFERROR(VLOOKUP(C94,PIVOT!A:B,2,0),0)</f>
        <v>96</v>
      </c>
      <c r="K94" s="237">
        <f t="shared" si="115"/>
        <v>12</v>
      </c>
      <c r="L94" s="237">
        <v>600</v>
      </c>
      <c r="M94" s="238">
        <f t="shared" si="144"/>
        <v>7200</v>
      </c>
      <c r="N94" s="266">
        <f>IFERROR(VLOOKUP(C94,PIVOT!A:F,6,0),0)</f>
        <v>0</v>
      </c>
      <c r="O94" s="239">
        <f t="shared" si="116"/>
        <v>1.25</v>
      </c>
      <c r="P94" s="238">
        <f t="shared" si="145"/>
        <v>0</v>
      </c>
      <c r="Q94" s="266">
        <f>IFERROR(VLOOKUP(C94,PIVOT!A:C,3,0),0)</f>
        <v>2</v>
      </c>
      <c r="R94" s="239">
        <f t="shared" si="155"/>
        <v>93.75</v>
      </c>
      <c r="S94" s="238">
        <f t="shared" si="156"/>
        <v>187.5</v>
      </c>
      <c r="T94" s="266">
        <f>IFERROR(VLOOKUP(C94,PIVOT!A:D,4,0),0)</f>
        <v>66</v>
      </c>
      <c r="U94" s="239">
        <f t="shared" si="146"/>
        <v>7.5</v>
      </c>
      <c r="V94" s="238">
        <f t="shared" si="147"/>
        <v>495</v>
      </c>
      <c r="W94" s="266">
        <f>IFERROR(VLOOKUP(C94,PIVOT!A:E,5,0),0)</f>
        <v>2</v>
      </c>
      <c r="X94" s="238">
        <f t="shared" si="119"/>
        <v>9.375</v>
      </c>
      <c r="Y94" s="238">
        <f t="shared" si="148"/>
        <v>18.75</v>
      </c>
      <c r="Z94" s="266">
        <f>IFERROR(VLOOKUP(C94,#REF!,6,0),0)</f>
        <v>0</v>
      </c>
      <c r="AA94" s="239">
        <f t="shared" si="120"/>
        <v>97.5</v>
      </c>
      <c r="AB94" s="238">
        <f t="shared" si="121"/>
        <v>0</v>
      </c>
      <c r="AC94" s="266"/>
      <c r="AD94" s="215">
        <f t="shared" si="122"/>
        <v>126.75</v>
      </c>
      <c r="AE94" s="214">
        <f t="shared" si="123"/>
        <v>0</v>
      </c>
      <c r="AF94" s="266">
        <f>IFERROR(VLOOKUP(C94,#REF!,8,0),0)</f>
        <v>0</v>
      </c>
      <c r="AG94" s="239">
        <f t="shared" si="124"/>
        <v>9.75</v>
      </c>
      <c r="AH94" s="238">
        <f t="shared" si="125"/>
        <v>0</v>
      </c>
      <c r="AI94" s="213"/>
      <c r="AJ94" s="213">
        <f t="shared" si="126"/>
        <v>112.5</v>
      </c>
      <c r="AK94" s="216">
        <f t="shared" si="127"/>
        <v>0</v>
      </c>
      <c r="AL94" s="213"/>
      <c r="AM94" s="213">
        <f t="shared" si="128"/>
        <v>146.25</v>
      </c>
      <c r="AN94" s="216">
        <v>0</v>
      </c>
      <c r="AO94" s="213"/>
      <c r="AP94" s="213">
        <f t="shared" si="129"/>
        <v>11.25</v>
      </c>
      <c r="AQ94" s="216">
        <f t="shared" si="130"/>
        <v>0</v>
      </c>
      <c r="AR94" s="266">
        <f>IFERROR(VLOOKUP(C94,#REF!,7,0),0)</f>
        <v>0</v>
      </c>
      <c r="AS94" s="278">
        <f t="shared" si="131"/>
        <v>97.5</v>
      </c>
      <c r="AT94" s="277">
        <f t="shared" si="132"/>
        <v>0</v>
      </c>
      <c r="AU94" s="266"/>
      <c r="AV94" s="213"/>
      <c r="AW94" s="216"/>
      <c r="AX94" s="213">
        <f>IFERROR(VLOOKUP(C94,#REF!,8,0),0)</f>
        <v>0</v>
      </c>
      <c r="AY94" s="278">
        <f t="shared" si="133"/>
        <v>9.75</v>
      </c>
      <c r="AZ94" s="277">
        <f t="shared" si="134"/>
        <v>0</v>
      </c>
      <c r="BA94" s="266">
        <f>IFERROR(VLOOKUP(C94,#REF!,10,0),0)</f>
        <v>0</v>
      </c>
      <c r="BB94" s="268">
        <f t="shared" si="135"/>
        <v>150</v>
      </c>
      <c r="BC94" s="247">
        <f t="shared" si="136"/>
        <v>0</v>
      </c>
      <c r="BD94" s="216"/>
      <c r="BE94" s="213"/>
      <c r="BF94" s="213"/>
      <c r="BG94" s="216"/>
      <c r="BH94" s="213"/>
      <c r="BI94" s="213"/>
      <c r="BJ94" s="216">
        <f>IFERROR(VLOOKUP(C94,#REF!,9,0),0)</f>
        <v>0</v>
      </c>
      <c r="BK94" s="276">
        <f t="shared" si="137"/>
        <v>75</v>
      </c>
      <c r="BL94" s="213">
        <f t="shared" si="138"/>
        <v>0</v>
      </c>
      <c r="BM94" s="216"/>
      <c r="BN94" s="213"/>
      <c r="BO94" s="213"/>
      <c r="BP94" s="213"/>
      <c r="BQ94" s="213"/>
      <c r="BR94" s="213"/>
      <c r="BS94" s="213"/>
      <c r="BT94" s="213"/>
      <c r="BU94" s="215"/>
      <c r="BV94" s="215"/>
      <c r="BW94" s="215"/>
      <c r="BX94" s="215"/>
      <c r="BY94" s="215"/>
      <c r="BZ94" s="215"/>
      <c r="CA94" s="215"/>
      <c r="CB94" s="215"/>
      <c r="CC94" s="215"/>
      <c r="CD94" s="215"/>
      <c r="CE94" s="213"/>
      <c r="CF94" s="215"/>
      <c r="CG94" s="215">
        <f t="shared" si="149"/>
        <v>7901.25</v>
      </c>
      <c r="CH94" s="256">
        <f>VLOOKUP(CX94,SSS_2025!A:N,8)</f>
        <v>1850</v>
      </c>
      <c r="CI94" s="217">
        <f>VLOOKUP(CX94,SSS_2025!A:N,13)</f>
        <v>925</v>
      </c>
      <c r="CJ94" s="217">
        <f>VLOOKUP(CX94,SSS_2025!A:N,9)</f>
        <v>30</v>
      </c>
      <c r="CK94" s="215">
        <v>391.25</v>
      </c>
      <c r="CL94" s="215">
        <v>391.25</v>
      </c>
      <c r="CM94" s="215">
        <v>200</v>
      </c>
      <c r="CN94" s="215">
        <v>200</v>
      </c>
      <c r="CO94" s="214">
        <f t="shared" si="150"/>
        <v>10372.5</v>
      </c>
      <c r="CP94" s="214">
        <f t="shared" si="151"/>
        <v>720</v>
      </c>
      <c r="CQ94" s="214">
        <f t="shared" si="152"/>
        <v>11092.5</v>
      </c>
      <c r="CR94" s="215"/>
      <c r="CS94" s="214">
        <f t="shared" si="153"/>
        <v>11092.5</v>
      </c>
      <c r="CT94" s="273">
        <f t="shared" si="154"/>
        <v>600</v>
      </c>
      <c r="CU94" s="244"/>
      <c r="CV94" s="269">
        <f>IFERROR(VLOOKUP(C94,'[2]BILLING COMPUTATION'!$C$8:$CI$224,85,0),0)</f>
        <v>10680</v>
      </c>
      <c r="CW94" s="243">
        <f t="shared" si="140"/>
        <v>7901.25</v>
      </c>
      <c r="CX94" s="245">
        <f t="shared" si="139"/>
        <v>18581.25</v>
      </c>
      <c r="CZ94" s="721">
        <f>IFERROR(VLOOKUP(C94,'[5]BILLING COMPUTATION'!$C$8:$CG$101,83,0),0)</f>
        <v>9221.25</v>
      </c>
      <c r="DA94" s="721">
        <f t="shared" si="141"/>
        <v>7901.25</v>
      </c>
      <c r="DB94" s="721">
        <f t="shared" si="142"/>
        <v>17122.5</v>
      </c>
      <c r="DC94" s="721">
        <f t="shared" si="143"/>
        <v>-1458.75</v>
      </c>
    </row>
    <row r="95" spans="1:107" s="2" customFormat="1" ht="16.899999999999999" customHeight="1">
      <c r="A95" s="235">
        <v>91</v>
      </c>
      <c r="B95" s="265"/>
      <c r="C95" s="266">
        <v>7502</v>
      </c>
      <c r="D95" s="266" t="str">
        <f>VLOOKUP(E95,'F3 MS (2)'!E:F,2,0)</f>
        <v>GD250489</v>
      </c>
      <c r="E95" s="267" t="s">
        <v>336</v>
      </c>
      <c r="F95" s="266" t="str">
        <f>VLOOKUP(C95,'[1]ACTIVE GH'!$C:$I,7,0)</f>
        <v>METAL STAMPING</v>
      </c>
      <c r="G95" s="266" t="str">
        <f>VLOOKUP(C95,'[1]ACTIVE GH'!$C:$J,8,0)</f>
        <v>PRODUCTION</v>
      </c>
      <c r="H95" s="266" t="str">
        <f>VLOOKUP(C95,'[1]ACTIVE GH'!$C:$N,12,0)</f>
        <v>Operator 1</v>
      </c>
      <c r="I95" s="266" t="s">
        <v>180</v>
      </c>
      <c r="J95" s="266">
        <f>IFERROR(VLOOKUP(C95,PIVOT!A:B,2,0),0)</f>
        <v>96</v>
      </c>
      <c r="K95" s="237">
        <f t="shared" si="115"/>
        <v>12</v>
      </c>
      <c r="L95" s="237">
        <v>600</v>
      </c>
      <c r="M95" s="238">
        <f t="shared" si="144"/>
        <v>7200</v>
      </c>
      <c r="N95" s="266">
        <f>IFERROR(VLOOKUP(C95,PIVOT!A:F,6,0),0)</f>
        <v>108</v>
      </c>
      <c r="O95" s="239">
        <f t="shared" si="116"/>
        <v>1.25</v>
      </c>
      <c r="P95" s="238">
        <f t="shared" si="145"/>
        <v>-135</v>
      </c>
      <c r="Q95" s="266">
        <f>IFERROR(VLOOKUP(C95,PIVOT!A:C,3,0),0)</f>
        <v>12</v>
      </c>
      <c r="R95" s="239">
        <f t="shared" si="155"/>
        <v>93.75</v>
      </c>
      <c r="S95" s="238">
        <f t="shared" si="156"/>
        <v>1125</v>
      </c>
      <c r="T95" s="266">
        <f>IFERROR(VLOOKUP(C95,PIVOT!A:D,4,0),0)</f>
        <v>66</v>
      </c>
      <c r="U95" s="239">
        <f t="shared" si="146"/>
        <v>7.5</v>
      </c>
      <c r="V95" s="238">
        <f t="shared" si="147"/>
        <v>495</v>
      </c>
      <c r="W95" s="266">
        <f>IFERROR(VLOOKUP(C95,PIVOT!A:E,5,0),0)</f>
        <v>12</v>
      </c>
      <c r="X95" s="238">
        <f t="shared" si="119"/>
        <v>9.375</v>
      </c>
      <c r="Y95" s="238">
        <f t="shared" si="148"/>
        <v>112.5</v>
      </c>
      <c r="Z95" s="266">
        <f>IFERROR(VLOOKUP(C95,#REF!,6,0),0)</f>
        <v>0</v>
      </c>
      <c r="AA95" s="239">
        <f t="shared" si="120"/>
        <v>97.5</v>
      </c>
      <c r="AB95" s="238">
        <f t="shared" si="121"/>
        <v>0</v>
      </c>
      <c r="AC95" s="266"/>
      <c r="AD95" s="215">
        <f t="shared" si="122"/>
        <v>126.75</v>
      </c>
      <c r="AE95" s="214">
        <f t="shared" si="123"/>
        <v>0</v>
      </c>
      <c r="AF95" s="266">
        <f>IFERROR(VLOOKUP(C95,#REF!,8,0),0)</f>
        <v>0</v>
      </c>
      <c r="AG95" s="239">
        <f t="shared" si="124"/>
        <v>9.75</v>
      </c>
      <c r="AH95" s="238">
        <f t="shared" si="125"/>
        <v>0</v>
      </c>
      <c r="AI95" s="213"/>
      <c r="AJ95" s="213">
        <f t="shared" si="126"/>
        <v>112.5</v>
      </c>
      <c r="AK95" s="216">
        <f t="shared" si="127"/>
        <v>0</v>
      </c>
      <c r="AL95" s="213"/>
      <c r="AM95" s="213">
        <f t="shared" si="128"/>
        <v>146.25</v>
      </c>
      <c r="AN95" s="216">
        <v>0</v>
      </c>
      <c r="AO95" s="213"/>
      <c r="AP95" s="213">
        <f t="shared" si="129"/>
        <v>11.25</v>
      </c>
      <c r="AQ95" s="216">
        <f t="shared" si="130"/>
        <v>0</v>
      </c>
      <c r="AR95" s="266">
        <f>IFERROR(VLOOKUP(C95,#REF!,7,0),0)</f>
        <v>0</v>
      </c>
      <c r="AS95" s="278">
        <f t="shared" si="131"/>
        <v>97.5</v>
      </c>
      <c r="AT95" s="277">
        <f t="shared" si="132"/>
        <v>0</v>
      </c>
      <c r="AU95" s="266"/>
      <c r="AV95" s="213"/>
      <c r="AW95" s="216"/>
      <c r="AX95" s="213">
        <f>IFERROR(VLOOKUP(C95,#REF!,8,0),0)</f>
        <v>0</v>
      </c>
      <c r="AY95" s="278">
        <f t="shared" si="133"/>
        <v>9.75</v>
      </c>
      <c r="AZ95" s="277">
        <f t="shared" si="134"/>
        <v>0</v>
      </c>
      <c r="BA95" s="266">
        <f>IFERROR(VLOOKUP(C95,#REF!,10,0),0)</f>
        <v>0</v>
      </c>
      <c r="BB95" s="268">
        <f t="shared" si="135"/>
        <v>150</v>
      </c>
      <c r="BC95" s="247">
        <f t="shared" si="136"/>
        <v>0</v>
      </c>
      <c r="BD95" s="216"/>
      <c r="BE95" s="213"/>
      <c r="BF95" s="213"/>
      <c r="BG95" s="216"/>
      <c r="BH95" s="213"/>
      <c r="BI95" s="213"/>
      <c r="BJ95" s="216">
        <f>IFERROR(VLOOKUP(C95,#REF!,9,0),0)</f>
        <v>0</v>
      </c>
      <c r="BK95" s="276">
        <f t="shared" si="137"/>
        <v>75</v>
      </c>
      <c r="BL95" s="213">
        <f t="shared" si="138"/>
        <v>0</v>
      </c>
      <c r="BM95" s="216"/>
      <c r="BN95" s="213"/>
      <c r="BO95" s="213"/>
      <c r="BP95" s="213"/>
      <c r="BQ95" s="213"/>
      <c r="BR95" s="213"/>
      <c r="BS95" s="213"/>
      <c r="BT95" s="213"/>
      <c r="BU95" s="215"/>
      <c r="BV95" s="215"/>
      <c r="BW95" s="215"/>
      <c r="BX95" s="215"/>
      <c r="BY95" s="215"/>
      <c r="BZ95" s="215"/>
      <c r="CA95" s="215"/>
      <c r="CB95" s="215"/>
      <c r="CC95" s="215"/>
      <c r="CD95" s="215"/>
      <c r="CE95" s="213"/>
      <c r="CF95" s="215"/>
      <c r="CG95" s="215">
        <f t="shared" si="149"/>
        <v>8797.5</v>
      </c>
      <c r="CH95" s="256">
        <f>VLOOKUP(CX95,SSS_2025!A:N,8)</f>
        <v>1750</v>
      </c>
      <c r="CI95" s="217">
        <f>VLOOKUP(CX95,SSS_2025!A:N,13)</f>
        <v>875</v>
      </c>
      <c r="CJ95" s="217">
        <f>VLOOKUP(CX95,SSS_2025!A:N,9)</f>
        <v>30</v>
      </c>
      <c r="CK95" s="215">
        <v>391.25</v>
      </c>
      <c r="CL95" s="215">
        <v>391.25</v>
      </c>
      <c r="CM95" s="215">
        <v>200</v>
      </c>
      <c r="CN95" s="215">
        <v>200</v>
      </c>
      <c r="CO95" s="214">
        <f t="shared" si="150"/>
        <v>11168.75</v>
      </c>
      <c r="CP95" s="214">
        <f t="shared" si="151"/>
        <v>706.5</v>
      </c>
      <c r="CQ95" s="214">
        <f t="shared" si="152"/>
        <v>11875.25</v>
      </c>
      <c r="CR95" s="215"/>
      <c r="CS95" s="214">
        <f t="shared" si="153"/>
        <v>11875.25</v>
      </c>
      <c r="CT95" s="273">
        <f t="shared" si="154"/>
        <v>588.75</v>
      </c>
      <c r="CU95" s="244"/>
      <c r="CV95" s="269">
        <f>IFERROR(VLOOKUP(C95,'[2]BILLING COMPUTATION'!$C$8:$CI$224,85,0),0)</f>
        <v>8917.5</v>
      </c>
      <c r="CW95" s="243">
        <f t="shared" si="140"/>
        <v>8797.5</v>
      </c>
      <c r="CX95" s="245">
        <f t="shared" si="139"/>
        <v>17715</v>
      </c>
      <c r="CZ95" s="721">
        <f>IFERROR(VLOOKUP(C95,'[5]BILLING COMPUTATION'!$C$8:$CG$101,83,0),0)</f>
        <v>9783.75</v>
      </c>
      <c r="DA95" s="721">
        <f t="shared" si="141"/>
        <v>8797.5</v>
      </c>
      <c r="DB95" s="721">
        <f t="shared" si="142"/>
        <v>18581.25</v>
      </c>
      <c r="DC95" s="721">
        <f t="shared" si="143"/>
        <v>866.25</v>
      </c>
    </row>
    <row r="96" spans="1:107" s="2" customFormat="1" ht="16.899999999999999" customHeight="1">
      <c r="A96" s="235">
        <v>92</v>
      </c>
      <c r="B96" s="265"/>
      <c r="C96" s="266">
        <v>32240</v>
      </c>
      <c r="D96" s="266" t="str">
        <f>VLOOKUP(E96,'F3 MS (2)'!E:F,2,0)</f>
        <v>GD260739</v>
      </c>
      <c r="E96" s="267" t="s">
        <v>367</v>
      </c>
      <c r="F96" s="266" t="str">
        <f>VLOOKUP(C96,'[1]ACTIVE GH'!$C:$I,7,0)</f>
        <v>METAL STAMPING</v>
      </c>
      <c r="G96" s="266" t="str">
        <f>VLOOKUP(C96,'[1]ACTIVE GH'!$C:$J,8,0)</f>
        <v>PRODUCTION</v>
      </c>
      <c r="H96" s="266" t="str">
        <f>VLOOKUP(C96,'[1]ACTIVE GH'!$C:$N,12,0)</f>
        <v>Operator 1</v>
      </c>
      <c r="I96" s="266" t="s">
        <v>180</v>
      </c>
      <c r="J96" s="266">
        <f>IFERROR(VLOOKUP(C96,PIVOT!A:B,2,0),0)</f>
        <v>48</v>
      </c>
      <c r="K96" s="237">
        <f t="shared" si="115"/>
        <v>6</v>
      </c>
      <c r="L96" s="237">
        <v>600</v>
      </c>
      <c r="M96" s="238">
        <f t="shared" si="144"/>
        <v>3600</v>
      </c>
      <c r="N96" s="266">
        <f>IFERROR(VLOOKUP(C96,PIVOT!A:F,6,0),0)</f>
        <v>0</v>
      </c>
      <c r="O96" s="239">
        <f t="shared" si="116"/>
        <v>1.25</v>
      </c>
      <c r="P96" s="238">
        <f t="shared" si="145"/>
        <v>0</v>
      </c>
      <c r="Q96" s="266">
        <f>IFERROR(VLOOKUP(C96,PIVOT!A:C,3,0),0)</f>
        <v>0</v>
      </c>
      <c r="R96" s="239">
        <f t="shared" si="155"/>
        <v>93.75</v>
      </c>
      <c r="S96" s="238">
        <f t="shared" si="156"/>
        <v>0</v>
      </c>
      <c r="T96" s="266">
        <f>IFERROR(VLOOKUP(C96,PIVOT!A:D,4,0),0)</f>
        <v>0</v>
      </c>
      <c r="U96" s="239">
        <f t="shared" si="146"/>
        <v>7.5</v>
      </c>
      <c r="V96" s="238">
        <f t="shared" si="147"/>
        <v>0</v>
      </c>
      <c r="W96" s="266">
        <f>IFERROR(VLOOKUP(C96,PIVOT!A:E,5,0),0)</f>
        <v>0</v>
      </c>
      <c r="X96" s="238">
        <f t="shared" si="119"/>
        <v>9.375</v>
      </c>
      <c r="Y96" s="238">
        <f t="shared" si="148"/>
        <v>0</v>
      </c>
      <c r="Z96" s="266">
        <f>IFERROR(VLOOKUP(C96,#REF!,6,0),0)</f>
        <v>0</v>
      </c>
      <c r="AA96" s="239">
        <f t="shared" si="120"/>
        <v>97.5</v>
      </c>
      <c r="AB96" s="238">
        <f t="shared" si="121"/>
        <v>0</v>
      </c>
      <c r="AC96" s="266"/>
      <c r="AD96" s="215">
        <f t="shared" si="122"/>
        <v>126.75</v>
      </c>
      <c r="AE96" s="214">
        <f t="shared" si="123"/>
        <v>0</v>
      </c>
      <c r="AF96" s="266">
        <f>IFERROR(VLOOKUP(C96,#REF!,8,0),0)</f>
        <v>0</v>
      </c>
      <c r="AG96" s="239">
        <f t="shared" si="124"/>
        <v>9.75</v>
      </c>
      <c r="AH96" s="238">
        <f t="shared" si="125"/>
        <v>0</v>
      </c>
      <c r="AI96" s="213"/>
      <c r="AJ96" s="213">
        <f t="shared" si="126"/>
        <v>112.5</v>
      </c>
      <c r="AK96" s="216">
        <f t="shared" si="127"/>
        <v>0</v>
      </c>
      <c r="AL96" s="213"/>
      <c r="AM96" s="213">
        <f t="shared" si="128"/>
        <v>146.25</v>
      </c>
      <c r="AN96" s="216">
        <v>0</v>
      </c>
      <c r="AO96" s="213"/>
      <c r="AP96" s="213">
        <f t="shared" si="129"/>
        <v>11.25</v>
      </c>
      <c r="AQ96" s="216">
        <f t="shared" si="130"/>
        <v>0</v>
      </c>
      <c r="AR96" s="266">
        <f>IFERROR(VLOOKUP(C96,#REF!,7,0),0)</f>
        <v>0</v>
      </c>
      <c r="AS96" s="278">
        <f t="shared" si="131"/>
        <v>97.5</v>
      </c>
      <c r="AT96" s="277">
        <f t="shared" si="132"/>
        <v>0</v>
      </c>
      <c r="AU96" s="266"/>
      <c r="AV96" s="213"/>
      <c r="AW96" s="216"/>
      <c r="AX96" s="213">
        <f>IFERROR(VLOOKUP(C96,#REF!,8,0),0)</f>
        <v>0</v>
      </c>
      <c r="AY96" s="278">
        <f t="shared" si="133"/>
        <v>9.75</v>
      </c>
      <c r="AZ96" s="277">
        <f t="shared" si="134"/>
        <v>0</v>
      </c>
      <c r="BA96" s="266">
        <f>IFERROR(VLOOKUP(C96,#REF!,10,0),0)</f>
        <v>0</v>
      </c>
      <c r="BB96" s="268">
        <f t="shared" si="135"/>
        <v>150</v>
      </c>
      <c r="BC96" s="247">
        <f t="shared" si="136"/>
        <v>0</v>
      </c>
      <c r="BD96" s="216"/>
      <c r="BE96" s="213"/>
      <c r="BF96" s="213"/>
      <c r="BG96" s="216"/>
      <c r="BH96" s="213"/>
      <c r="BI96" s="213"/>
      <c r="BJ96" s="216">
        <f>IFERROR(VLOOKUP(C96,#REF!,9,0),0)</f>
        <v>0</v>
      </c>
      <c r="BK96" s="276">
        <f t="shared" si="137"/>
        <v>75</v>
      </c>
      <c r="BL96" s="213">
        <f t="shared" si="138"/>
        <v>0</v>
      </c>
      <c r="BM96" s="216"/>
      <c r="BN96" s="213"/>
      <c r="BO96" s="213"/>
      <c r="BP96" s="213"/>
      <c r="BQ96" s="213"/>
      <c r="BR96" s="213"/>
      <c r="BS96" s="213"/>
      <c r="BT96" s="213"/>
      <c r="BU96" s="215"/>
      <c r="BV96" s="215"/>
      <c r="BW96" s="215"/>
      <c r="BX96" s="215"/>
      <c r="BY96" s="215"/>
      <c r="BZ96" s="215"/>
      <c r="CA96" s="215"/>
      <c r="CB96" s="215"/>
      <c r="CC96" s="215"/>
      <c r="CD96" s="215"/>
      <c r="CE96" s="213"/>
      <c r="CF96" s="215"/>
      <c r="CG96" s="215">
        <f t="shared" si="149"/>
        <v>3600</v>
      </c>
      <c r="CH96" s="256">
        <f>VLOOKUP(CX96,SSS_2025!A:N,8)</f>
        <v>1400</v>
      </c>
      <c r="CI96" s="217">
        <f>VLOOKUP(CX96,SSS_2025!A:N,13)</f>
        <v>700</v>
      </c>
      <c r="CJ96" s="217">
        <f>VLOOKUP(CX96,SSS_2025!A:N,9)</f>
        <v>10</v>
      </c>
      <c r="CK96" s="215">
        <v>391.25</v>
      </c>
      <c r="CL96" s="215">
        <v>391.25</v>
      </c>
      <c r="CM96" s="215">
        <v>200</v>
      </c>
      <c r="CN96" s="215">
        <v>200</v>
      </c>
      <c r="CO96" s="214">
        <f t="shared" si="150"/>
        <v>5601.25</v>
      </c>
      <c r="CP96" s="214">
        <f t="shared" si="151"/>
        <v>360</v>
      </c>
      <c r="CQ96" s="214">
        <f t="shared" si="152"/>
        <v>5961.25</v>
      </c>
      <c r="CR96" s="215"/>
      <c r="CS96" s="214">
        <f t="shared" si="153"/>
        <v>5961.25</v>
      </c>
      <c r="CT96" s="273">
        <f t="shared" si="154"/>
        <v>300</v>
      </c>
      <c r="CU96" s="244"/>
      <c r="CV96" s="269">
        <f>IFERROR(VLOOKUP(C96,'[2]BILLING COMPUTATION'!$C$8:$CI$224,85,0),0)</f>
        <v>10263.75</v>
      </c>
      <c r="CW96" s="243">
        <f t="shared" si="140"/>
        <v>3600</v>
      </c>
      <c r="CX96" s="245">
        <f t="shared" si="139"/>
        <v>13863.75</v>
      </c>
      <c r="CZ96" s="721">
        <f>IFERROR(VLOOKUP(C96,'[5]BILLING COMPUTATION'!$C$8:$CG$101,83,0),0)</f>
        <v>7725</v>
      </c>
      <c r="DA96" s="721">
        <f t="shared" si="141"/>
        <v>3600</v>
      </c>
      <c r="DB96" s="721">
        <f t="shared" si="142"/>
        <v>11325</v>
      </c>
      <c r="DC96" s="721">
        <f t="shared" si="143"/>
        <v>-2538.75</v>
      </c>
    </row>
    <row r="97" spans="1:210" s="2" customFormat="1" ht="16.899999999999999" customHeight="1">
      <c r="A97" s="235">
        <v>93</v>
      </c>
      <c r="B97" s="265"/>
      <c r="C97" s="266">
        <v>11741</v>
      </c>
      <c r="D97" s="266" t="s">
        <v>395</v>
      </c>
      <c r="E97" s="267" t="s">
        <v>394</v>
      </c>
      <c r="F97" s="266" t="str">
        <f>VLOOKUP(C97,'[1]ACTIVE GH'!$C:$I,7,0)</f>
        <v>METAL STAMPING</v>
      </c>
      <c r="G97" s="266" t="str">
        <f>VLOOKUP(C97,'[1]ACTIVE GH'!$C:$J,8,0)</f>
        <v>PRODUCTION</v>
      </c>
      <c r="H97" s="266" t="str">
        <f>VLOOKUP(C97,'[1]ACTIVE GH'!$C:$N,12,0)</f>
        <v>Operator 1</v>
      </c>
      <c r="I97" s="266" t="s">
        <v>180</v>
      </c>
      <c r="J97" s="266">
        <f>IFERROR(VLOOKUP(C97,PIVOT!A:B,2,0),0)</f>
        <v>96</v>
      </c>
      <c r="K97" s="237">
        <f t="shared" ref="K97" si="157">J97/8</f>
        <v>12</v>
      </c>
      <c r="L97" s="237">
        <v>600</v>
      </c>
      <c r="M97" s="238">
        <f t="shared" si="144"/>
        <v>7200</v>
      </c>
      <c r="N97" s="266">
        <f>IFERROR(VLOOKUP(C97,PIVOT!A:F,6,0),0)</f>
        <v>0</v>
      </c>
      <c r="O97" s="239">
        <f t="shared" ref="O97" si="158">L97/8/60</f>
        <v>1.25</v>
      </c>
      <c r="P97" s="238">
        <f t="shared" si="145"/>
        <v>0</v>
      </c>
      <c r="Q97" s="266">
        <f>IFERROR(VLOOKUP(C97,PIVOT!A:C,3,0),0)</f>
        <v>18</v>
      </c>
      <c r="R97" s="239">
        <f t="shared" si="155"/>
        <v>93.75</v>
      </c>
      <c r="S97" s="238">
        <f t="shared" si="156"/>
        <v>1687.5</v>
      </c>
      <c r="T97" s="266">
        <f>IFERROR(VLOOKUP(C97,PIVOT!A:D,4,0),0)</f>
        <v>0</v>
      </c>
      <c r="U97" s="239">
        <f t="shared" si="146"/>
        <v>7.5</v>
      </c>
      <c r="V97" s="238">
        <f t="shared" si="147"/>
        <v>0</v>
      </c>
      <c r="W97" s="266">
        <f>IFERROR(VLOOKUP(C97,PIVOT!A:E,5,0),0)</f>
        <v>0</v>
      </c>
      <c r="X97" s="238">
        <f t="shared" ref="X97" si="159">L97/8*1.25*0.1</f>
        <v>9.375</v>
      </c>
      <c r="Y97" s="238">
        <f t="shared" si="148"/>
        <v>0</v>
      </c>
      <c r="Z97" s="266">
        <f>IFERROR(VLOOKUP(C97,#REF!,6,0),0)</f>
        <v>0</v>
      </c>
      <c r="AA97" s="239">
        <f t="shared" ref="AA97" si="160">L97/8*1.3</f>
        <v>97.5</v>
      </c>
      <c r="AB97" s="238">
        <f t="shared" ref="AB97" si="161">Z97*AA97</f>
        <v>0</v>
      </c>
      <c r="AC97" s="266"/>
      <c r="AD97" s="215">
        <f t="shared" ref="AD97" si="162">L97/8*1.69</f>
        <v>126.75</v>
      </c>
      <c r="AE97" s="214">
        <f t="shared" ref="AE97" si="163">AD97*AC97</f>
        <v>0</v>
      </c>
      <c r="AF97" s="266">
        <f>IFERROR(VLOOKUP(C97,#REF!,8,0),0)</f>
        <v>0</v>
      </c>
      <c r="AG97" s="239">
        <f t="shared" ref="AG97" si="164">L97/8*1.3*0.1</f>
        <v>9.75</v>
      </c>
      <c r="AH97" s="238">
        <f t="shared" ref="AH97" si="165">AF97*AG97</f>
        <v>0</v>
      </c>
      <c r="AI97" s="213"/>
      <c r="AJ97" s="213">
        <f t="shared" ref="AJ97" si="166">L97/8*1.5</f>
        <v>112.5</v>
      </c>
      <c r="AK97" s="216">
        <f t="shared" ref="AK97" si="167">AI97*AJ97</f>
        <v>0</v>
      </c>
      <c r="AL97" s="213"/>
      <c r="AM97" s="213">
        <f t="shared" ref="AM97" si="168">L97/8*1.5*1.3</f>
        <v>146.25</v>
      </c>
      <c r="AN97" s="216">
        <v>0</v>
      </c>
      <c r="AO97" s="213"/>
      <c r="AP97" s="213">
        <f t="shared" ref="AP97" si="169">L97/8*1.5*0.1</f>
        <v>11.25</v>
      </c>
      <c r="AQ97" s="216">
        <f t="shared" ref="AQ97" si="170">AO97*AP97</f>
        <v>0</v>
      </c>
      <c r="AR97" s="266">
        <f>IFERROR(VLOOKUP(C97,#REF!,7,0),0)</f>
        <v>0</v>
      </c>
      <c r="AS97" s="278">
        <f t="shared" ref="AS97" si="171">L97/8*1.3</f>
        <v>97.5</v>
      </c>
      <c r="AT97" s="277">
        <f t="shared" ref="AT97" si="172">AR97*AS97</f>
        <v>0</v>
      </c>
      <c r="AU97" s="266"/>
      <c r="AV97" s="213"/>
      <c r="AW97" s="216"/>
      <c r="AX97" s="213">
        <f>IFERROR(VLOOKUP(C97,#REF!,8,0),0)</f>
        <v>0</v>
      </c>
      <c r="AY97" s="278">
        <f t="shared" ref="AY97" si="173">L97/8*1.3*0.1</f>
        <v>9.75</v>
      </c>
      <c r="AZ97" s="277">
        <f t="shared" ref="AZ97" si="174">AX97*AY97</f>
        <v>0</v>
      </c>
      <c r="BA97" s="266">
        <f>IFERROR(VLOOKUP(C97,#REF!,10,0),0)</f>
        <v>0</v>
      </c>
      <c r="BB97" s="268">
        <f t="shared" si="135"/>
        <v>150</v>
      </c>
      <c r="BC97" s="247">
        <f t="shared" ref="BC97" si="175">BA97*BB97</f>
        <v>0</v>
      </c>
      <c r="BD97" s="216"/>
      <c r="BE97" s="213"/>
      <c r="BF97" s="213"/>
      <c r="BG97" s="216"/>
      <c r="BH97" s="213"/>
      <c r="BI97" s="213"/>
      <c r="BJ97" s="216">
        <f>IFERROR(VLOOKUP(C97,#REF!,9,0),0)</f>
        <v>0</v>
      </c>
      <c r="BK97" s="276">
        <f t="shared" ref="BK97" si="176">L97/8</f>
        <v>75</v>
      </c>
      <c r="BL97" s="213">
        <f t="shared" ref="BL97" si="177">BJ97*BK97</f>
        <v>0</v>
      </c>
      <c r="BM97" s="216"/>
      <c r="BN97" s="213"/>
      <c r="BO97" s="213"/>
      <c r="BP97" s="213"/>
      <c r="BQ97" s="213"/>
      <c r="BR97" s="213"/>
      <c r="BS97" s="213"/>
      <c r="BT97" s="213"/>
      <c r="BU97" s="215"/>
      <c r="BV97" s="215"/>
      <c r="BW97" s="215"/>
      <c r="BX97" s="215"/>
      <c r="BY97" s="215"/>
      <c r="BZ97" s="215"/>
      <c r="CA97" s="215"/>
      <c r="CB97" s="215"/>
      <c r="CC97" s="215"/>
      <c r="CD97" s="215"/>
      <c r="CE97" s="213"/>
      <c r="CF97" s="215"/>
      <c r="CG97" s="215">
        <f t="shared" si="149"/>
        <v>8887.5</v>
      </c>
      <c r="CH97" s="256">
        <f>VLOOKUP(CX97,SSS_2025!A:N,8)</f>
        <v>900</v>
      </c>
      <c r="CI97" s="217">
        <f>VLOOKUP(CX97,SSS_2025!A:N,13)</f>
        <v>450</v>
      </c>
      <c r="CJ97" s="217">
        <f>VLOOKUP(CX97,SSS_2025!A:N,9)</f>
        <v>10</v>
      </c>
      <c r="CK97" s="215">
        <v>391.25</v>
      </c>
      <c r="CL97" s="215">
        <v>391.25</v>
      </c>
      <c r="CM97" s="215">
        <v>200</v>
      </c>
      <c r="CN97" s="215">
        <v>200</v>
      </c>
      <c r="CO97" s="214">
        <f t="shared" si="150"/>
        <v>10388.75</v>
      </c>
      <c r="CP97" s="214">
        <f t="shared" si="151"/>
        <v>720</v>
      </c>
      <c r="CQ97" s="214">
        <f t="shared" si="152"/>
        <v>11108.75</v>
      </c>
      <c r="CR97" s="215"/>
      <c r="CS97" s="214">
        <f t="shared" si="153"/>
        <v>11108.75</v>
      </c>
      <c r="CT97" s="273">
        <f t="shared" si="154"/>
        <v>600</v>
      </c>
      <c r="CU97" s="244"/>
      <c r="CV97" s="269">
        <f>IFERROR(VLOOKUP(C97,'[2]BILLING COMPUTATION'!$C$8:$CI$224,85,0),0)</f>
        <v>0</v>
      </c>
      <c r="CW97" s="243">
        <f t="shared" ref="CW97" si="178">CG97</f>
        <v>8887.5</v>
      </c>
      <c r="CX97" s="245">
        <f t="shared" ref="CX97" si="179">CV97+CW97</f>
        <v>8887.5</v>
      </c>
      <c r="CZ97" s="721">
        <f>IFERROR(VLOOKUP(C97,'[5]BILLING COMPUTATION'!$C$8:$CG$101,83,0),0)</f>
        <v>8271.25</v>
      </c>
      <c r="DA97" s="721">
        <f t="shared" si="141"/>
        <v>8887.5</v>
      </c>
      <c r="DB97" s="721">
        <f t="shared" si="142"/>
        <v>17158.75</v>
      </c>
      <c r="DC97" s="721">
        <f t="shared" si="143"/>
        <v>8271.25</v>
      </c>
    </row>
    <row r="98" spans="1:210" s="2" customFormat="1" ht="16.899999999999999" customHeight="1">
      <c r="A98" s="235">
        <v>94</v>
      </c>
      <c r="B98" s="265"/>
      <c r="C98" s="266">
        <v>7505</v>
      </c>
      <c r="D98" s="266" t="str">
        <f>VLOOKUP(E98,'F3 MS (2)'!E:F,2,0)</f>
        <v>GD250491</v>
      </c>
      <c r="E98" s="267" t="s">
        <v>338</v>
      </c>
      <c r="F98" s="266" t="str">
        <f>VLOOKUP(C98,'[1]ACTIVE GH'!$C:$I,7,0)</f>
        <v>METAL STAMPING</v>
      </c>
      <c r="G98" s="266" t="str">
        <f>VLOOKUP(C98,'[1]ACTIVE GH'!$C:$J,8,0)</f>
        <v>PRODUCTION</v>
      </c>
      <c r="H98" s="266" t="str">
        <f>VLOOKUP(C98,'[1]ACTIVE GH'!$C:$N,12,0)</f>
        <v>Operator 1</v>
      </c>
      <c r="I98" s="266" t="s">
        <v>180</v>
      </c>
      <c r="J98" s="266">
        <f>IFERROR(VLOOKUP(C98,PIVOT!A:B,2,0),0)</f>
        <v>96</v>
      </c>
      <c r="K98" s="237">
        <f t="shared" si="115"/>
        <v>12</v>
      </c>
      <c r="L98" s="237">
        <v>600</v>
      </c>
      <c r="M98" s="238">
        <f t="shared" si="144"/>
        <v>7200</v>
      </c>
      <c r="N98" s="266">
        <f>IFERROR(VLOOKUP(C98,PIVOT!A:F,6,0),0)</f>
        <v>0</v>
      </c>
      <c r="O98" s="239">
        <f t="shared" si="116"/>
        <v>1.25</v>
      </c>
      <c r="P98" s="238">
        <f t="shared" si="145"/>
        <v>0</v>
      </c>
      <c r="Q98" s="266">
        <f>IFERROR(VLOOKUP(C98,PIVOT!A:C,3,0),0)</f>
        <v>0</v>
      </c>
      <c r="R98" s="239">
        <f t="shared" si="155"/>
        <v>93.75</v>
      </c>
      <c r="S98" s="238">
        <f t="shared" si="156"/>
        <v>0</v>
      </c>
      <c r="T98" s="266">
        <f>IFERROR(VLOOKUP(C98,PIVOT!A:D,4,0),0)</f>
        <v>66</v>
      </c>
      <c r="U98" s="239">
        <f t="shared" si="146"/>
        <v>7.5</v>
      </c>
      <c r="V98" s="238">
        <f t="shared" si="147"/>
        <v>495</v>
      </c>
      <c r="W98" s="266">
        <f>IFERROR(VLOOKUP(C98,PIVOT!A:E,5,0),0)</f>
        <v>0</v>
      </c>
      <c r="X98" s="238">
        <f t="shared" si="119"/>
        <v>9.375</v>
      </c>
      <c r="Y98" s="238">
        <f t="shared" si="148"/>
        <v>0</v>
      </c>
      <c r="Z98" s="266">
        <f>IFERROR(VLOOKUP(C98,#REF!,6,0),0)</f>
        <v>0</v>
      </c>
      <c r="AA98" s="239">
        <f t="shared" si="120"/>
        <v>97.5</v>
      </c>
      <c r="AB98" s="238">
        <f t="shared" si="121"/>
        <v>0</v>
      </c>
      <c r="AC98" s="266"/>
      <c r="AD98" s="215">
        <f t="shared" si="122"/>
        <v>126.75</v>
      </c>
      <c r="AE98" s="214">
        <f t="shared" si="123"/>
        <v>0</v>
      </c>
      <c r="AF98" s="266">
        <f>IFERROR(VLOOKUP(C98,#REF!,8,0),0)</f>
        <v>0</v>
      </c>
      <c r="AG98" s="239">
        <f t="shared" si="124"/>
        <v>9.75</v>
      </c>
      <c r="AH98" s="238">
        <f t="shared" si="125"/>
        <v>0</v>
      </c>
      <c r="AI98" s="213"/>
      <c r="AJ98" s="213">
        <f t="shared" si="126"/>
        <v>112.5</v>
      </c>
      <c r="AK98" s="216">
        <f t="shared" si="127"/>
        <v>0</v>
      </c>
      <c r="AL98" s="213"/>
      <c r="AM98" s="213">
        <f t="shared" si="128"/>
        <v>146.25</v>
      </c>
      <c r="AN98" s="216">
        <v>0</v>
      </c>
      <c r="AO98" s="213"/>
      <c r="AP98" s="213">
        <f t="shared" si="129"/>
        <v>11.25</v>
      </c>
      <c r="AQ98" s="216">
        <f t="shared" si="130"/>
        <v>0</v>
      </c>
      <c r="AR98" s="266">
        <f>IFERROR(VLOOKUP(C98,#REF!,7,0),0)</f>
        <v>0</v>
      </c>
      <c r="AS98" s="278">
        <f t="shared" si="131"/>
        <v>97.5</v>
      </c>
      <c r="AT98" s="277">
        <f t="shared" si="132"/>
        <v>0</v>
      </c>
      <c r="AU98" s="266"/>
      <c r="AV98" s="213"/>
      <c r="AW98" s="216"/>
      <c r="AX98" s="213">
        <f>IFERROR(VLOOKUP(C98,#REF!,8,0),0)</f>
        <v>0</v>
      </c>
      <c r="AY98" s="278">
        <f t="shared" si="133"/>
        <v>9.75</v>
      </c>
      <c r="AZ98" s="277">
        <f t="shared" si="134"/>
        <v>0</v>
      </c>
      <c r="BA98" s="266">
        <f>IFERROR(VLOOKUP(C98,#REF!,10,0),0)</f>
        <v>0</v>
      </c>
      <c r="BB98" s="268">
        <f t="shared" si="135"/>
        <v>150</v>
      </c>
      <c r="BC98" s="247">
        <f t="shared" si="136"/>
        <v>0</v>
      </c>
      <c r="BD98" s="216"/>
      <c r="BE98" s="213"/>
      <c r="BF98" s="213"/>
      <c r="BG98" s="216"/>
      <c r="BH98" s="213"/>
      <c r="BI98" s="213"/>
      <c r="BJ98" s="216">
        <f>IFERROR(VLOOKUP(C98,#REF!,9,0),0)</f>
        <v>0</v>
      </c>
      <c r="BK98" s="276">
        <f t="shared" si="137"/>
        <v>75</v>
      </c>
      <c r="BL98" s="213">
        <f t="shared" si="138"/>
        <v>0</v>
      </c>
      <c r="BM98" s="216"/>
      <c r="BN98" s="213"/>
      <c r="BO98" s="213"/>
      <c r="BP98" s="213"/>
      <c r="BQ98" s="213"/>
      <c r="BR98" s="213"/>
      <c r="BS98" s="213"/>
      <c r="BT98" s="213"/>
      <c r="BU98" s="215"/>
      <c r="BV98" s="215"/>
      <c r="BW98" s="215"/>
      <c r="BX98" s="215"/>
      <c r="BY98" s="215"/>
      <c r="BZ98" s="215"/>
      <c r="CA98" s="215"/>
      <c r="CB98" s="215"/>
      <c r="CC98" s="215"/>
      <c r="CD98" s="215"/>
      <c r="CE98" s="213"/>
      <c r="CF98" s="215"/>
      <c r="CG98" s="215">
        <f t="shared" si="149"/>
        <v>7695</v>
      </c>
      <c r="CH98" s="256">
        <f>VLOOKUP(CX98,SSS_2025!A:N,8)</f>
        <v>1650</v>
      </c>
      <c r="CI98" s="217">
        <f>VLOOKUP(CX98,SSS_2025!A:N,13)</f>
        <v>825</v>
      </c>
      <c r="CJ98" s="217">
        <f>VLOOKUP(CX98,SSS_2025!A:N,9)</f>
        <v>30</v>
      </c>
      <c r="CK98" s="215">
        <v>391.25</v>
      </c>
      <c r="CL98" s="215">
        <v>391.25</v>
      </c>
      <c r="CM98" s="215">
        <v>200</v>
      </c>
      <c r="CN98" s="215">
        <v>200</v>
      </c>
      <c r="CO98" s="214">
        <f t="shared" si="150"/>
        <v>9966.25</v>
      </c>
      <c r="CP98" s="214">
        <f t="shared" si="151"/>
        <v>720</v>
      </c>
      <c r="CQ98" s="214">
        <f t="shared" si="152"/>
        <v>10686.25</v>
      </c>
      <c r="CR98" s="215"/>
      <c r="CS98" s="214">
        <f t="shared" si="153"/>
        <v>10686.25</v>
      </c>
      <c r="CT98" s="273">
        <f t="shared" si="154"/>
        <v>600</v>
      </c>
      <c r="CU98" s="244"/>
      <c r="CV98" s="269">
        <f>IFERROR(VLOOKUP(C98,'[2]BILLING COMPUTATION'!$C$8:$CI$224,85,0),0)</f>
        <v>8872.5</v>
      </c>
      <c r="CW98" s="243">
        <f t="shared" si="140"/>
        <v>7695</v>
      </c>
      <c r="CX98" s="245">
        <f t="shared" si="139"/>
        <v>16567.5</v>
      </c>
      <c r="CZ98" s="721">
        <f>IFERROR(VLOOKUP(C98,'[5]BILLING COMPUTATION'!$C$8:$CG$101,83,0),0)</f>
        <v>8227.5</v>
      </c>
      <c r="DA98" s="721">
        <f>CG98</f>
        <v>7695</v>
      </c>
      <c r="DB98" s="721">
        <f>SUM(CZ98:DA98)</f>
        <v>15922.5</v>
      </c>
      <c r="DC98" s="721">
        <f>DB98-CX98</f>
        <v>-645</v>
      </c>
    </row>
    <row r="99" spans="1:210" s="2" customFormat="1" ht="16.899999999999999" customHeight="1">
      <c r="A99" s="235"/>
      <c r="B99" s="265"/>
      <c r="C99" s="266"/>
      <c r="D99" s="266"/>
      <c r="E99" s="267"/>
      <c r="F99" s="266"/>
      <c r="G99" s="266"/>
      <c r="H99" s="266"/>
      <c r="I99" s="266"/>
      <c r="J99" s="266"/>
      <c r="K99" s="237"/>
      <c r="L99" s="237"/>
      <c r="M99" s="238"/>
      <c r="N99" s="266"/>
      <c r="O99" s="239"/>
      <c r="P99" s="238"/>
      <c r="Q99" s="266"/>
      <c r="R99" s="239"/>
      <c r="S99" s="238"/>
      <c r="T99" s="266"/>
      <c r="U99" s="239"/>
      <c r="V99" s="238"/>
      <c r="W99" s="266"/>
      <c r="X99" s="238"/>
      <c r="Y99" s="238"/>
      <c r="Z99" s="266"/>
      <c r="AA99" s="239"/>
      <c r="AB99" s="238"/>
      <c r="AC99" s="266"/>
      <c r="AD99" s="215"/>
      <c r="AE99" s="214"/>
      <c r="AF99" s="266"/>
      <c r="AG99" s="239"/>
      <c r="AH99" s="238"/>
      <c r="AI99" s="213"/>
      <c r="AJ99" s="213"/>
      <c r="AK99" s="216"/>
      <c r="AL99" s="213"/>
      <c r="AM99" s="213"/>
      <c r="AN99" s="216"/>
      <c r="AO99" s="213"/>
      <c r="AP99" s="213"/>
      <c r="AQ99" s="216"/>
      <c r="AR99" s="266"/>
      <c r="AS99" s="213"/>
      <c r="AT99" s="216"/>
      <c r="AU99" s="266"/>
      <c r="AV99" s="213"/>
      <c r="AW99" s="216"/>
      <c r="AX99" s="213"/>
      <c r="AY99" s="213"/>
      <c r="AZ99" s="216"/>
      <c r="BA99" s="266"/>
      <c r="BB99" s="268"/>
      <c r="BC99" s="247"/>
      <c r="BD99" s="216"/>
      <c r="BE99" s="213"/>
      <c r="BF99" s="213"/>
      <c r="BG99" s="216"/>
      <c r="BH99" s="213"/>
      <c r="BI99" s="213"/>
      <c r="BJ99" s="216"/>
      <c r="BK99" s="276"/>
      <c r="BL99" s="213"/>
      <c r="BM99" s="216"/>
      <c r="BN99" s="213"/>
      <c r="BO99" s="213"/>
      <c r="BP99" s="213"/>
      <c r="BQ99" s="213"/>
      <c r="BR99" s="213"/>
      <c r="BS99" s="213"/>
      <c r="BT99" s="213"/>
      <c r="BU99" s="215"/>
      <c r="BV99" s="215"/>
      <c r="BW99" s="215"/>
      <c r="BX99" s="215"/>
      <c r="BY99" s="215"/>
      <c r="BZ99" s="215"/>
      <c r="CA99" s="215"/>
      <c r="CB99" s="215"/>
      <c r="CC99" s="215"/>
      <c r="CD99" s="215"/>
      <c r="CE99" s="213"/>
      <c r="CF99" s="215"/>
      <c r="CG99" s="215"/>
      <c r="CH99" s="256"/>
      <c r="CI99" s="217"/>
      <c r="CJ99" s="217"/>
      <c r="CK99" s="215"/>
      <c r="CL99" s="215"/>
      <c r="CM99" s="215"/>
      <c r="CN99" s="215"/>
      <c r="CO99" s="214"/>
      <c r="CP99" s="214"/>
      <c r="CQ99" s="214"/>
      <c r="CR99" s="215"/>
      <c r="CS99" s="214"/>
      <c r="CT99" s="273"/>
      <c r="CU99" s="244"/>
      <c r="CV99" s="269"/>
      <c r="CW99" s="243"/>
      <c r="CX99" s="245"/>
      <c r="CZ99" s="721"/>
      <c r="DA99" s="721"/>
      <c r="DB99" s="721"/>
      <c r="DC99" s="721"/>
    </row>
    <row r="100" spans="1:210" s="246" customFormat="1" ht="14">
      <c r="A100" s="236"/>
      <c r="B100" s="234" t="e">
        <v>#REF!</v>
      </c>
      <c r="C100" s="236"/>
      <c r="D100" s="236"/>
      <c r="E100" s="241"/>
      <c r="F100" s="241"/>
      <c r="G100" s="241"/>
      <c r="H100" s="241"/>
      <c r="I100" s="241"/>
      <c r="J100" s="242">
        <v>7832</v>
      </c>
      <c r="K100" s="242">
        <v>979</v>
      </c>
      <c r="L100" s="242">
        <v>54600</v>
      </c>
      <c r="M100" s="242">
        <v>587400</v>
      </c>
      <c r="N100" s="242">
        <v>122</v>
      </c>
      <c r="O100" s="242">
        <v>113.75</v>
      </c>
      <c r="P100" s="242">
        <v>-152.5</v>
      </c>
      <c r="Q100" s="242">
        <v>694</v>
      </c>
      <c r="R100" s="242">
        <v>8531.25</v>
      </c>
      <c r="S100" s="242">
        <v>65062.5</v>
      </c>
      <c r="T100" s="242">
        <v>2086.5</v>
      </c>
      <c r="U100" s="242">
        <v>682.5</v>
      </c>
      <c r="V100" s="242">
        <v>15648.75</v>
      </c>
      <c r="W100" s="242">
        <v>211</v>
      </c>
      <c r="X100" s="242">
        <v>853.125</v>
      </c>
      <c r="Y100" s="242">
        <v>1978.125</v>
      </c>
      <c r="Z100" s="242">
        <v>0</v>
      </c>
      <c r="AA100" s="242">
        <v>8872.5</v>
      </c>
      <c r="AB100" s="242">
        <v>0</v>
      </c>
      <c r="AC100" s="232">
        <v>0</v>
      </c>
      <c r="AD100" s="232">
        <v>11534.25</v>
      </c>
      <c r="AE100" s="232">
        <v>0</v>
      </c>
      <c r="AF100" s="242">
        <v>0</v>
      </c>
      <c r="AG100" s="242">
        <v>887.25</v>
      </c>
      <c r="AH100" s="242">
        <v>0</v>
      </c>
      <c r="AI100" s="232">
        <v>0</v>
      </c>
      <c r="AJ100" s="232">
        <v>10237.5</v>
      </c>
      <c r="AK100" s="232">
        <v>0</v>
      </c>
      <c r="AL100" s="232">
        <v>0</v>
      </c>
      <c r="AM100" s="232">
        <v>13308.75</v>
      </c>
      <c r="AN100" s="232">
        <v>0</v>
      </c>
      <c r="AO100" s="232">
        <v>0</v>
      </c>
      <c r="AP100" s="232">
        <v>1023.75</v>
      </c>
      <c r="AQ100" s="232">
        <v>0</v>
      </c>
      <c r="AR100" s="232">
        <v>0</v>
      </c>
      <c r="AS100" s="232">
        <v>8872.5</v>
      </c>
      <c r="AT100" s="232">
        <v>0</v>
      </c>
      <c r="AU100" s="232">
        <v>0</v>
      </c>
      <c r="AV100" s="232">
        <v>0</v>
      </c>
      <c r="AW100" s="232">
        <v>0</v>
      </c>
      <c r="AX100" s="232">
        <v>0</v>
      </c>
      <c r="AY100" s="232">
        <v>887.25</v>
      </c>
      <c r="AZ100" s="232">
        <v>0</v>
      </c>
      <c r="BA100" s="232">
        <v>0</v>
      </c>
      <c r="BB100" s="232">
        <v>13650</v>
      </c>
      <c r="BC100" s="232">
        <v>0</v>
      </c>
      <c r="BD100" s="232">
        <v>0</v>
      </c>
      <c r="BE100" s="232">
        <v>0</v>
      </c>
      <c r="BF100" s="232">
        <v>0</v>
      </c>
      <c r="BG100" s="232">
        <v>0</v>
      </c>
      <c r="BH100" s="232">
        <v>0</v>
      </c>
      <c r="BI100" s="232">
        <v>0</v>
      </c>
      <c r="BJ100" s="232">
        <v>0</v>
      </c>
      <c r="BK100" s="232">
        <v>6825</v>
      </c>
      <c r="BL100" s="232">
        <v>0</v>
      </c>
      <c r="BM100" s="232">
        <v>0</v>
      </c>
      <c r="BN100" s="232">
        <v>0</v>
      </c>
      <c r="BO100" s="232">
        <v>0</v>
      </c>
      <c r="BP100" s="232">
        <v>0</v>
      </c>
      <c r="BQ100" s="232">
        <v>0</v>
      </c>
      <c r="BR100" s="232">
        <v>0</v>
      </c>
      <c r="BS100" s="232">
        <v>0</v>
      </c>
      <c r="BT100" s="232">
        <v>0</v>
      </c>
      <c r="BU100" s="232">
        <v>0</v>
      </c>
      <c r="BV100" s="232">
        <v>0</v>
      </c>
      <c r="BW100" s="232">
        <v>0</v>
      </c>
      <c r="BX100" s="232">
        <v>0</v>
      </c>
      <c r="BY100" s="232">
        <v>0</v>
      </c>
      <c r="BZ100" s="232">
        <v>0</v>
      </c>
      <c r="CA100" s="232">
        <v>0</v>
      </c>
      <c r="CB100" s="232">
        <v>0</v>
      </c>
      <c r="CC100" s="232">
        <v>0</v>
      </c>
      <c r="CD100" s="232">
        <v>0</v>
      </c>
      <c r="CE100" s="232">
        <v>0</v>
      </c>
      <c r="CF100" s="232">
        <v>0</v>
      </c>
      <c r="CG100" s="232">
        <v>669936.875</v>
      </c>
      <c r="CH100" s="242">
        <v>156600</v>
      </c>
      <c r="CI100" s="232">
        <v>78300</v>
      </c>
      <c r="CJ100" s="232">
        <v>2510</v>
      </c>
      <c r="CK100" s="232">
        <v>34821.25</v>
      </c>
      <c r="CL100" s="232">
        <v>34821.25</v>
      </c>
      <c r="CM100" s="232">
        <v>17800</v>
      </c>
      <c r="CN100" s="232">
        <v>17800</v>
      </c>
      <c r="CO100" s="232">
        <v>881668.125</v>
      </c>
      <c r="CP100" s="242">
        <v>58724.75</v>
      </c>
      <c r="CQ100" s="242">
        <v>940392.875</v>
      </c>
      <c r="CR100" s="242">
        <v>0</v>
      </c>
      <c r="CS100" s="242">
        <v>940392.875</v>
      </c>
      <c r="CT100" s="242">
        <v>48937.291666666664</v>
      </c>
      <c r="CU100" s="242">
        <v>0</v>
      </c>
      <c r="CV100" s="242">
        <v>916917.375</v>
      </c>
      <c r="CW100" s="242">
        <v>669936.875</v>
      </c>
      <c r="CX100" s="242">
        <v>1586854.25</v>
      </c>
      <c r="CY100" s="242"/>
      <c r="CZ100" s="722"/>
      <c r="DA100" s="722"/>
      <c r="DB100" s="722"/>
      <c r="DC100" s="722"/>
    </row>
    <row r="101" spans="1:210" s="2" customFormat="1" ht="16.899999999999999" customHeight="1">
      <c r="A101" s="270"/>
      <c r="B101" s="271">
        <f>COUNTIF(E8:E98,"*")</f>
        <v>91</v>
      </c>
      <c r="C101" s="240"/>
      <c r="D101" s="240"/>
      <c r="E101" s="272"/>
      <c r="F101" s="272"/>
      <c r="G101" s="272"/>
      <c r="H101" s="272"/>
      <c r="I101" s="272"/>
      <c r="J101" s="270">
        <f t="shared" ref="J101:BU101" si="180">SUM(J8:J98)</f>
        <v>7832</v>
      </c>
      <c r="K101" s="270">
        <f t="shared" si="180"/>
        <v>979</v>
      </c>
      <c r="L101" s="270">
        <f t="shared" si="180"/>
        <v>54600</v>
      </c>
      <c r="M101" s="270">
        <f t="shared" si="180"/>
        <v>587400</v>
      </c>
      <c r="N101" s="270">
        <f t="shared" si="180"/>
        <v>122</v>
      </c>
      <c r="O101" s="270">
        <f t="shared" si="180"/>
        <v>113.75</v>
      </c>
      <c r="P101" s="270">
        <f t="shared" si="180"/>
        <v>-152.5</v>
      </c>
      <c r="Q101" s="270">
        <f t="shared" si="180"/>
        <v>694</v>
      </c>
      <c r="R101" s="270">
        <f t="shared" si="180"/>
        <v>8531.25</v>
      </c>
      <c r="S101" s="270">
        <f t="shared" si="180"/>
        <v>65062.5</v>
      </c>
      <c r="T101" s="270">
        <f t="shared" si="180"/>
        <v>2086.5</v>
      </c>
      <c r="U101" s="270">
        <f t="shared" si="180"/>
        <v>682.5</v>
      </c>
      <c r="V101" s="270">
        <f t="shared" si="180"/>
        <v>15648.75</v>
      </c>
      <c r="W101" s="270">
        <f t="shared" si="180"/>
        <v>211</v>
      </c>
      <c r="X101" s="270">
        <f t="shared" si="180"/>
        <v>853.125</v>
      </c>
      <c r="Y101" s="270">
        <f t="shared" si="180"/>
        <v>1978.125</v>
      </c>
      <c r="Z101" s="270">
        <f t="shared" si="180"/>
        <v>0</v>
      </c>
      <c r="AA101" s="270">
        <f t="shared" si="180"/>
        <v>8872.5</v>
      </c>
      <c r="AB101" s="270">
        <f t="shared" si="180"/>
        <v>0</v>
      </c>
      <c r="AC101" s="270">
        <f t="shared" si="180"/>
        <v>0</v>
      </c>
      <c r="AD101" s="270">
        <f t="shared" si="180"/>
        <v>11534.25</v>
      </c>
      <c r="AE101" s="270">
        <f t="shared" si="180"/>
        <v>0</v>
      </c>
      <c r="AF101" s="270">
        <f t="shared" si="180"/>
        <v>0</v>
      </c>
      <c r="AG101" s="270">
        <f t="shared" si="180"/>
        <v>887.25</v>
      </c>
      <c r="AH101" s="270">
        <f t="shared" si="180"/>
        <v>0</v>
      </c>
      <c r="AI101" s="270">
        <f t="shared" si="180"/>
        <v>0</v>
      </c>
      <c r="AJ101" s="270">
        <f t="shared" si="180"/>
        <v>10237.5</v>
      </c>
      <c r="AK101" s="270">
        <f t="shared" si="180"/>
        <v>0</v>
      </c>
      <c r="AL101" s="270">
        <f t="shared" si="180"/>
        <v>0</v>
      </c>
      <c r="AM101" s="270">
        <f t="shared" si="180"/>
        <v>13308.75</v>
      </c>
      <c r="AN101" s="270">
        <f t="shared" si="180"/>
        <v>0</v>
      </c>
      <c r="AO101" s="270">
        <f t="shared" si="180"/>
        <v>0</v>
      </c>
      <c r="AP101" s="270">
        <f t="shared" si="180"/>
        <v>1023.75</v>
      </c>
      <c r="AQ101" s="270">
        <f t="shared" si="180"/>
        <v>0</v>
      </c>
      <c r="AR101" s="270">
        <f t="shared" si="180"/>
        <v>0</v>
      </c>
      <c r="AS101" s="270">
        <f t="shared" si="180"/>
        <v>8872.5</v>
      </c>
      <c r="AT101" s="270">
        <f t="shared" si="180"/>
        <v>0</v>
      </c>
      <c r="AU101" s="270">
        <f t="shared" si="180"/>
        <v>0</v>
      </c>
      <c r="AV101" s="270">
        <f t="shared" si="180"/>
        <v>0</v>
      </c>
      <c r="AW101" s="270">
        <f t="shared" si="180"/>
        <v>0</v>
      </c>
      <c r="AX101" s="270">
        <f t="shared" si="180"/>
        <v>0</v>
      </c>
      <c r="AY101" s="270">
        <f t="shared" si="180"/>
        <v>887.25</v>
      </c>
      <c r="AZ101" s="270">
        <f t="shared" si="180"/>
        <v>0</v>
      </c>
      <c r="BA101" s="270">
        <f t="shared" si="180"/>
        <v>0</v>
      </c>
      <c r="BB101" s="270">
        <f t="shared" si="180"/>
        <v>13650</v>
      </c>
      <c r="BC101" s="270">
        <f t="shared" si="180"/>
        <v>0</v>
      </c>
      <c r="BD101" s="270">
        <f t="shared" si="180"/>
        <v>0</v>
      </c>
      <c r="BE101" s="270">
        <f t="shared" si="180"/>
        <v>0</v>
      </c>
      <c r="BF101" s="270">
        <f t="shared" si="180"/>
        <v>0</v>
      </c>
      <c r="BG101" s="270">
        <f t="shared" si="180"/>
        <v>0</v>
      </c>
      <c r="BH101" s="270">
        <f t="shared" si="180"/>
        <v>0</v>
      </c>
      <c r="BI101" s="270">
        <f t="shared" si="180"/>
        <v>0</v>
      </c>
      <c r="BJ101" s="270">
        <f t="shared" si="180"/>
        <v>0</v>
      </c>
      <c r="BK101" s="270">
        <f t="shared" si="180"/>
        <v>6825</v>
      </c>
      <c r="BL101" s="270">
        <f t="shared" si="180"/>
        <v>0</v>
      </c>
      <c r="BM101" s="270">
        <f t="shared" si="180"/>
        <v>0</v>
      </c>
      <c r="BN101" s="270">
        <f t="shared" si="180"/>
        <v>0</v>
      </c>
      <c r="BO101" s="270">
        <f t="shared" si="180"/>
        <v>0</v>
      </c>
      <c r="BP101" s="270">
        <f t="shared" si="180"/>
        <v>0</v>
      </c>
      <c r="BQ101" s="270">
        <f t="shared" si="180"/>
        <v>0</v>
      </c>
      <c r="BR101" s="270">
        <f t="shared" si="180"/>
        <v>0</v>
      </c>
      <c r="BS101" s="270">
        <f t="shared" si="180"/>
        <v>0</v>
      </c>
      <c r="BT101" s="270">
        <f t="shared" si="180"/>
        <v>0</v>
      </c>
      <c r="BU101" s="270">
        <f t="shared" si="180"/>
        <v>0</v>
      </c>
      <c r="BV101" s="270">
        <f t="shared" ref="BV101:CT101" si="181">SUM(BV8:BV98)</f>
        <v>0</v>
      </c>
      <c r="BW101" s="270">
        <f t="shared" si="181"/>
        <v>0</v>
      </c>
      <c r="BX101" s="270">
        <f t="shared" si="181"/>
        <v>0</v>
      </c>
      <c r="BY101" s="270">
        <f t="shared" si="181"/>
        <v>0</v>
      </c>
      <c r="BZ101" s="270">
        <f t="shared" si="181"/>
        <v>0</v>
      </c>
      <c r="CA101" s="270">
        <f t="shared" si="181"/>
        <v>0</v>
      </c>
      <c r="CB101" s="270">
        <f t="shared" si="181"/>
        <v>0</v>
      </c>
      <c r="CC101" s="270">
        <f t="shared" si="181"/>
        <v>0</v>
      </c>
      <c r="CD101" s="270">
        <f t="shared" si="181"/>
        <v>0</v>
      </c>
      <c r="CE101" s="270">
        <f t="shared" si="181"/>
        <v>0</v>
      </c>
      <c r="CF101" s="270">
        <f t="shared" si="181"/>
        <v>0</v>
      </c>
      <c r="CG101" s="270">
        <f t="shared" si="181"/>
        <v>669936.875</v>
      </c>
      <c r="CH101" s="270">
        <f t="shared" si="181"/>
        <v>156600</v>
      </c>
      <c r="CI101" s="270">
        <f t="shared" si="181"/>
        <v>78300</v>
      </c>
      <c r="CJ101" s="270">
        <f t="shared" si="181"/>
        <v>2510</v>
      </c>
      <c r="CK101" s="270">
        <f t="shared" si="181"/>
        <v>34821.25</v>
      </c>
      <c r="CL101" s="270">
        <f t="shared" si="181"/>
        <v>34821.25</v>
      </c>
      <c r="CM101" s="270">
        <f t="shared" si="181"/>
        <v>17800</v>
      </c>
      <c r="CN101" s="270">
        <f t="shared" si="181"/>
        <v>17800</v>
      </c>
      <c r="CO101" s="270">
        <f t="shared" si="181"/>
        <v>881668.125</v>
      </c>
      <c r="CP101" s="270">
        <f t="shared" si="181"/>
        <v>58724.75</v>
      </c>
      <c r="CQ101" s="270">
        <f t="shared" si="181"/>
        <v>940392.875</v>
      </c>
      <c r="CR101" s="270">
        <f t="shared" si="181"/>
        <v>0</v>
      </c>
      <c r="CS101" s="270">
        <f t="shared" si="181"/>
        <v>940392.875</v>
      </c>
      <c r="CT101" s="270">
        <f>SUM(CT8:CT98)</f>
        <v>48937.291666666664</v>
      </c>
      <c r="CU101" s="244"/>
      <c r="CV101" s="269">
        <f>IFERROR(VLOOKUP(C101,'[4]BILLING COMPUTATION'!$C$8:$BY$685,75,FALSE),0)</f>
        <v>1825390.375</v>
      </c>
      <c r="CW101" s="243"/>
      <c r="CX101" s="245"/>
      <c r="CZ101" s="721"/>
      <c r="DA101" s="721"/>
      <c r="DB101" s="721"/>
      <c r="DC101" s="721"/>
    </row>
    <row r="102" spans="1:210" s="2" customFormat="1" ht="27" customHeight="1">
      <c r="A102" s="248" t="s">
        <v>116</v>
      </c>
      <c r="B102" s="249"/>
      <c r="C102" s="249"/>
      <c r="D102" s="249"/>
      <c r="E102" s="249"/>
      <c r="F102" s="249"/>
      <c r="G102" s="249"/>
      <c r="H102" s="249"/>
      <c r="I102" s="250"/>
      <c r="J102" s="233">
        <f t="shared" ref="J102:AO102" si="182">J100</f>
        <v>7832</v>
      </c>
      <c r="K102" s="233">
        <f t="shared" si="182"/>
        <v>979</v>
      </c>
      <c r="L102" s="233">
        <f t="shared" si="182"/>
        <v>54600</v>
      </c>
      <c r="M102" s="233">
        <f t="shared" si="182"/>
        <v>587400</v>
      </c>
      <c r="N102" s="233">
        <f t="shared" si="182"/>
        <v>122</v>
      </c>
      <c r="O102" s="233">
        <f t="shared" si="182"/>
        <v>113.75</v>
      </c>
      <c r="P102" s="233">
        <f t="shared" si="182"/>
        <v>-152.5</v>
      </c>
      <c r="Q102" s="233">
        <f t="shared" si="182"/>
        <v>694</v>
      </c>
      <c r="R102" s="233">
        <f t="shared" si="182"/>
        <v>8531.25</v>
      </c>
      <c r="S102" s="233">
        <f t="shared" si="182"/>
        <v>65062.5</v>
      </c>
      <c r="T102" s="233">
        <f t="shared" si="182"/>
        <v>2086.5</v>
      </c>
      <c r="U102" s="233">
        <f t="shared" si="182"/>
        <v>682.5</v>
      </c>
      <c r="V102" s="233">
        <f t="shared" si="182"/>
        <v>15648.75</v>
      </c>
      <c r="W102" s="233">
        <f t="shared" si="182"/>
        <v>211</v>
      </c>
      <c r="X102" s="233">
        <f t="shared" si="182"/>
        <v>853.125</v>
      </c>
      <c r="Y102" s="233">
        <f t="shared" si="182"/>
        <v>1978.125</v>
      </c>
      <c r="Z102" s="233">
        <f t="shared" si="182"/>
        <v>0</v>
      </c>
      <c r="AA102" s="233">
        <f t="shared" si="182"/>
        <v>8872.5</v>
      </c>
      <c r="AB102" s="233">
        <f t="shared" si="182"/>
        <v>0</v>
      </c>
      <c r="AC102" s="233">
        <f t="shared" si="182"/>
        <v>0</v>
      </c>
      <c r="AD102" s="233">
        <f t="shared" si="182"/>
        <v>11534.25</v>
      </c>
      <c r="AE102" s="233">
        <f t="shared" si="182"/>
        <v>0</v>
      </c>
      <c r="AF102" s="233">
        <f t="shared" si="182"/>
        <v>0</v>
      </c>
      <c r="AG102" s="233">
        <f t="shared" si="182"/>
        <v>887.25</v>
      </c>
      <c r="AH102" s="233">
        <f t="shared" si="182"/>
        <v>0</v>
      </c>
      <c r="AI102" s="233">
        <f t="shared" si="182"/>
        <v>0</v>
      </c>
      <c r="AJ102" s="233">
        <f t="shared" si="182"/>
        <v>10237.5</v>
      </c>
      <c r="AK102" s="233">
        <f t="shared" si="182"/>
        <v>0</v>
      </c>
      <c r="AL102" s="233">
        <f t="shared" si="182"/>
        <v>0</v>
      </c>
      <c r="AM102" s="233">
        <f t="shared" si="182"/>
        <v>13308.75</v>
      </c>
      <c r="AN102" s="233">
        <f t="shared" si="182"/>
        <v>0</v>
      </c>
      <c r="AO102" s="233">
        <f t="shared" si="182"/>
        <v>0</v>
      </c>
      <c r="AP102" s="233">
        <f t="shared" ref="AP102:BU102" si="183">AP100</f>
        <v>1023.75</v>
      </c>
      <c r="AQ102" s="233">
        <f t="shared" si="183"/>
        <v>0</v>
      </c>
      <c r="AR102" s="233">
        <f t="shared" si="183"/>
        <v>0</v>
      </c>
      <c r="AS102" s="233">
        <f t="shared" si="183"/>
        <v>8872.5</v>
      </c>
      <c r="AT102" s="233">
        <f t="shared" si="183"/>
        <v>0</v>
      </c>
      <c r="AU102" s="233">
        <f t="shared" si="183"/>
        <v>0</v>
      </c>
      <c r="AV102" s="233">
        <f t="shared" si="183"/>
        <v>0</v>
      </c>
      <c r="AW102" s="233">
        <f t="shared" si="183"/>
        <v>0</v>
      </c>
      <c r="AX102" s="233">
        <f t="shared" si="183"/>
        <v>0</v>
      </c>
      <c r="AY102" s="233">
        <f t="shared" si="183"/>
        <v>887.25</v>
      </c>
      <c r="AZ102" s="233">
        <f t="shared" si="183"/>
        <v>0</v>
      </c>
      <c r="BA102" s="233">
        <f t="shared" si="183"/>
        <v>0</v>
      </c>
      <c r="BB102" s="233">
        <f t="shared" si="183"/>
        <v>13650</v>
      </c>
      <c r="BC102" s="233">
        <f t="shared" si="183"/>
        <v>0</v>
      </c>
      <c r="BD102" s="233">
        <f t="shared" si="183"/>
        <v>0</v>
      </c>
      <c r="BE102" s="233">
        <f t="shared" si="183"/>
        <v>0</v>
      </c>
      <c r="BF102" s="233">
        <f t="shared" si="183"/>
        <v>0</v>
      </c>
      <c r="BG102" s="233">
        <f t="shared" si="183"/>
        <v>0</v>
      </c>
      <c r="BH102" s="233">
        <f t="shared" si="183"/>
        <v>0</v>
      </c>
      <c r="BI102" s="233">
        <f t="shared" si="183"/>
        <v>0</v>
      </c>
      <c r="BJ102" s="233">
        <f t="shared" si="183"/>
        <v>0</v>
      </c>
      <c r="BK102" s="233">
        <f t="shared" si="183"/>
        <v>6825</v>
      </c>
      <c r="BL102" s="233">
        <f t="shared" si="183"/>
        <v>0</v>
      </c>
      <c r="BM102" s="233">
        <f t="shared" si="183"/>
        <v>0</v>
      </c>
      <c r="BN102" s="233">
        <f t="shared" si="183"/>
        <v>0</v>
      </c>
      <c r="BO102" s="233">
        <f t="shared" si="183"/>
        <v>0</v>
      </c>
      <c r="BP102" s="233">
        <f t="shared" si="183"/>
        <v>0</v>
      </c>
      <c r="BQ102" s="233">
        <f t="shared" si="183"/>
        <v>0</v>
      </c>
      <c r="BR102" s="233">
        <f t="shared" si="183"/>
        <v>0</v>
      </c>
      <c r="BS102" s="233">
        <f t="shared" si="183"/>
        <v>0</v>
      </c>
      <c r="BT102" s="233">
        <f t="shared" si="183"/>
        <v>0</v>
      </c>
      <c r="BU102" s="233">
        <f t="shared" si="183"/>
        <v>0</v>
      </c>
      <c r="BV102" s="233">
        <f t="shared" ref="BV102:CX102" si="184">BV100</f>
        <v>0</v>
      </c>
      <c r="BW102" s="233">
        <f t="shared" si="184"/>
        <v>0</v>
      </c>
      <c r="BX102" s="233">
        <f t="shared" si="184"/>
        <v>0</v>
      </c>
      <c r="BY102" s="233">
        <f t="shared" si="184"/>
        <v>0</v>
      </c>
      <c r="BZ102" s="233">
        <f t="shared" si="184"/>
        <v>0</v>
      </c>
      <c r="CA102" s="233">
        <f t="shared" si="184"/>
        <v>0</v>
      </c>
      <c r="CB102" s="233">
        <f t="shared" si="184"/>
        <v>0</v>
      </c>
      <c r="CC102" s="233">
        <f t="shared" si="184"/>
        <v>0</v>
      </c>
      <c r="CD102" s="233">
        <f t="shared" si="184"/>
        <v>0</v>
      </c>
      <c r="CE102" s="233">
        <f t="shared" si="184"/>
        <v>0</v>
      </c>
      <c r="CF102" s="233">
        <f t="shared" si="184"/>
        <v>0</v>
      </c>
      <c r="CG102" s="233">
        <f t="shared" si="184"/>
        <v>669936.875</v>
      </c>
      <c r="CH102" s="233">
        <f t="shared" si="184"/>
        <v>156600</v>
      </c>
      <c r="CI102" s="233">
        <f t="shared" si="184"/>
        <v>78300</v>
      </c>
      <c r="CJ102" s="233">
        <f t="shared" si="184"/>
        <v>2510</v>
      </c>
      <c r="CK102" s="233">
        <f t="shared" si="184"/>
        <v>34821.25</v>
      </c>
      <c r="CL102" s="233">
        <f t="shared" si="184"/>
        <v>34821.25</v>
      </c>
      <c r="CM102" s="233">
        <f t="shared" si="184"/>
        <v>17800</v>
      </c>
      <c r="CN102" s="233">
        <f t="shared" si="184"/>
        <v>17800</v>
      </c>
      <c r="CO102" s="233">
        <f t="shared" si="184"/>
        <v>881668.125</v>
      </c>
      <c r="CP102" s="233">
        <f t="shared" si="184"/>
        <v>58724.75</v>
      </c>
      <c r="CQ102" s="233">
        <f t="shared" si="184"/>
        <v>940392.875</v>
      </c>
      <c r="CR102" s="233">
        <f t="shared" si="184"/>
        <v>0</v>
      </c>
      <c r="CS102" s="233">
        <f t="shared" si="184"/>
        <v>940392.875</v>
      </c>
      <c r="CT102" s="233">
        <f t="shared" si="184"/>
        <v>48937.291666666664</v>
      </c>
      <c r="CU102" s="233">
        <f t="shared" si="184"/>
        <v>0</v>
      </c>
      <c r="CV102" s="233">
        <f t="shared" si="184"/>
        <v>916917.375</v>
      </c>
      <c r="CW102" s="233">
        <f t="shared" si="184"/>
        <v>669936.875</v>
      </c>
      <c r="CX102" s="233">
        <f t="shared" si="184"/>
        <v>1586854.25</v>
      </c>
      <c r="CY102" s="1"/>
      <c r="CZ102" s="721"/>
      <c r="DA102" s="721"/>
      <c r="DB102" s="721"/>
      <c r="DC102" s="721"/>
    </row>
    <row r="103" spans="1:210" s="2" customFormat="1">
      <c r="A103" s="22"/>
      <c r="B103" s="22"/>
      <c r="C103" s="22"/>
      <c r="D103" s="22"/>
      <c r="E103" s="23"/>
      <c r="F103" s="23"/>
      <c r="G103" s="23"/>
      <c r="H103" s="23"/>
      <c r="I103" s="23"/>
      <c r="J103" s="220">
        <f t="shared" ref="J103" si="185">J102-J101</f>
        <v>0</v>
      </c>
      <c r="K103" s="220">
        <f t="shared" ref="K103" si="186">K102-K101</f>
        <v>0</v>
      </c>
      <c r="L103" s="220">
        <f t="shared" ref="L103" si="187">L102-L101</f>
        <v>0</v>
      </c>
      <c r="M103" s="220">
        <f t="shared" ref="M103" si="188">M102-M101</f>
        <v>0</v>
      </c>
      <c r="N103" s="220">
        <f t="shared" ref="N103" si="189">N102-N101</f>
        <v>0</v>
      </c>
      <c r="O103" s="220">
        <f t="shared" ref="O103" si="190">O102-O101</f>
        <v>0</v>
      </c>
      <c r="P103" s="220">
        <f t="shared" ref="P103" si="191">P102-P101</f>
        <v>0</v>
      </c>
      <c r="Q103" s="220">
        <f t="shared" ref="Q103" si="192">Q102-Q101</f>
        <v>0</v>
      </c>
      <c r="R103" s="220">
        <f t="shared" ref="R103" si="193">R102-R101</f>
        <v>0</v>
      </c>
      <c r="S103" s="220">
        <f t="shared" ref="S103" si="194">S102-S101</f>
        <v>0</v>
      </c>
      <c r="T103" s="220">
        <f t="shared" ref="T103" si="195">T102-T101</f>
        <v>0</v>
      </c>
      <c r="U103" s="220">
        <f t="shared" ref="U103" si="196">U102-U101</f>
        <v>0</v>
      </c>
      <c r="V103" s="220">
        <f t="shared" ref="V103" si="197">V102-V101</f>
        <v>0</v>
      </c>
      <c r="W103" s="220">
        <f t="shared" ref="W103" si="198">W102-W101</f>
        <v>0</v>
      </c>
      <c r="X103" s="220">
        <f t="shared" ref="X103" si="199">X102-X101</f>
        <v>0</v>
      </c>
      <c r="Y103" s="220">
        <f t="shared" ref="Y103" si="200">Y102-Y101</f>
        <v>0</v>
      </c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20">
        <f t="shared" ref="CG103:CS103" si="201">CG102-CG101</f>
        <v>0</v>
      </c>
      <c r="CH103" s="220">
        <f t="shared" si="201"/>
        <v>0</v>
      </c>
      <c r="CI103" s="220">
        <f t="shared" si="201"/>
        <v>0</v>
      </c>
      <c r="CJ103" s="220">
        <f t="shared" si="201"/>
        <v>0</v>
      </c>
      <c r="CK103" s="220">
        <f t="shared" si="201"/>
        <v>0</v>
      </c>
      <c r="CL103" s="220">
        <f t="shared" si="201"/>
        <v>0</v>
      </c>
      <c r="CM103" s="220">
        <f t="shared" si="201"/>
        <v>0</v>
      </c>
      <c r="CN103" s="220">
        <f t="shared" si="201"/>
        <v>0</v>
      </c>
      <c r="CO103" s="220">
        <f t="shared" si="201"/>
        <v>0</v>
      </c>
      <c r="CP103" s="220">
        <f t="shared" si="201"/>
        <v>0</v>
      </c>
      <c r="CQ103" s="220">
        <f t="shared" si="201"/>
        <v>0</v>
      </c>
      <c r="CR103" s="220">
        <f t="shared" si="201"/>
        <v>0</v>
      </c>
      <c r="CS103" s="220">
        <f t="shared" si="201"/>
        <v>0</v>
      </c>
      <c r="CT103" s="220">
        <f>CT102-CT101</f>
        <v>0</v>
      </c>
      <c r="CU103" s="24"/>
      <c r="CV103" s="45"/>
      <c r="CW103" s="59"/>
      <c r="CX103" s="58"/>
      <c r="CZ103" s="721"/>
      <c r="DA103" s="721"/>
      <c r="DB103" s="721"/>
      <c r="DC103" s="721"/>
    </row>
    <row r="104" spans="1:210" s="2" customFormat="1">
      <c r="A104" s="22"/>
      <c r="B104" s="22"/>
      <c r="C104" s="22"/>
      <c r="D104" s="22"/>
      <c r="E104" s="23"/>
      <c r="F104" s="23"/>
      <c r="G104" s="23"/>
      <c r="H104" s="23"/>
      <c r="I104" s="23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20"/>
      <c r="CH104" s="220"/>
      <c r="CI104" s="220"/>
      <c r="CJ104" s="220"/>
      <c r="CK104" s="220"/>
      <c r="CL104" s="220"/>
      <c r="CM104" s="220"/>
      <c r="CN104" s="220"/>
      <c r="CO104" s="220"/>
      <c r="CP104" s="220"/>
      <c r="CQ104" s="220"/>
      <c r="CR104" s="220"/>
      <c r="CS104" s="220"/>
      <c r="CT104" s="220"/>
      <c r="CU104" s="24"/>
      <c r="CV104" s="45"/>
      <c r="CW104" s="59"/>
      <c r="CX104" s="58"/>
      <c r="CZ104" s="721"/>
      <c r="DA104" s="721"/>
      <c r="DB104" s="721"/>
      <c r="DC104" s="721"/>
    </row>
    <row r="105" spans="1:210" s="2" customFormat="1" ht="22.5">
      <c r="A105" s="22"/>
      <c r="B105" s="22"/>
      <c r="C105" s="22"/>
      <c r="D105" s="22"/>
      <c r="E105" s="23"/>
      <c r="F105" s="23"/>
      <c r="G105" s="23"/>
      <c r="H105" s="23"/>
      <c r="I105" s="23"/>
      <c r="J105" s="220"/>
      <c r="K105" s="24"/>
      <c r="L105" s="25"/>
      <c r="M105" s="26"/>
      <c r="N105" s="26"/>
      <c r="O105" s="26"/>
      <c r="P105" s="26"/>
      <c r="Q105" s="24"/>
      <c r="R105" s="24"/>
      <c r="S105" s="26"/>
      <c r="T105" s="24"/>
      <c r="U105" s="24"/>
      <c r="V105" s="26"/>
      <c r="W105" s="26"/>
      <c r="X105" s="26"/>
      <c r="Y105" s="26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>
        <f>CG102-CG103</f>
        <v>669936.875</v>
      </c>
      <c r="CH105" s="54"/>
      <c r="CI105" s="54"/>
      <c r="CJ105" s="54"/>
      <c r="CK105" s="54"/>
      <c r="CL105" s="54"/>
      <c r="CM105" s="54"/>
      <c r="CN105" s="54"/>
      <c r="CO105" s="54"/>
      <c r="CP105" s="55"/>
      <c r="CQ105" s="55"/>
      <c r="CR105" s="56" t="s">
        <v>95</v>
      </c>
      <c r="CS105" s="55"/>
      <c r="CT105" s="28">
        <f>CO102</f>
        <v>881668.125</v>
      </c>
      <c r="CU105" s="24"/>
      <c r="CV105" s="24"/>
      <c r="CW105" s="59"/>
      <c r="CX105" s="58"/>
      <c r="CZ105" s="721"/>
      <c r="DA105" s="721"/>
      <c r="DB105" s="721"/>
      <c r="DC105" s="721"/>
    </row>
    <row r="106" spans="1:210" s="2" customFormat="1" ht="22.5">
      <c r="A106" s="22"/>
      <c r="B106" s="22"/>
      <c r="C106" s="22"/>
      <c r="D106" s="22"/>
      <c r="E106" s="23"/>
      <c r="F106" s="23"/>
      <c r="G106" s="23"/>
      <c r="H106" s="23"/>
      <c r="I106" s="23"/>
      <c r="J106" s="220"/>
      <c r="L106" s="25"/>
      <c r="M106" s="24"/>
      <c r="N106" s="24"/>
      <c r="O106" s="24"/>
      <c r="P106" s="24"/>
      <c r="Q106" s="24"/>
      <c r="S106" s="26"/>
      <c r="T106" s="24"/>
      <c r="U106" s="24"/>
      <c r="V106" s="26"/>
      <c r="W106" s="26"/>
      <c r="X106" s="26"/>
      <c r="Y106" s="26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54"/>
      <c r="CI106" s="54"/>
      <c r="CK106" s="54"/>
      <c r="CL106" s="54"/>
      <c r="CM106" s="54"/>
      <c r="CN106" s="54"/>
      <c r="CO106" s="54"/>
      <c r="CP106" s="55"/>
      <c r="CQ106" s="55"/>
      <c r="CR106" s="56" t="s">
        <v>117</v>
      </c>
      <c r="CS106" s="55"/>
      <c r="CT106" s="28">
        <f>CP102</f>
        <v>58724.75</v>
      </c>
      <c r="CU106" s="24"/>
      <c r="CV106" s="24"/>
      <c r="CW106" s="59"/>
      <c r="CX106" s="58"/>
      <c r="CZ106" s="721"/>
      <c r="DA106" s="721"/>
      <c r="DB106" s="721"/>
      <c r="DC106" s="721"/>
    </row>
    <row r="107" spans="1:210" s="2" customFormat="1" ht="22.5">
      <c r="A107" s="22"/>
      <c r="B107" s="22"/>
      <c r="C107" s="22"/>
      <c r="D107" s="22"/>
      <c r="E107" s="27"/>
      <c r="F107" s="27"/>
      <c r="G107" s="27"/>
      <c r="H107" s="27"/>
      <c r="I107" s="27"/>
      <c r="J107" s="221"/>
      <c r="K107" s="29"/>
      <c r="L107" s="27"/>
      <c r="M107" s="28"/>
      <c r="N107" s="28"/>
      <c r="O107" s="27"/>
      <c r="P107" s="28"/>
      <c r="Q107" s="24"/>
      <c r="S107" s="26"/>
      <c r="T107" s="24"/>
      <c r="U107" s="24"/>
      <c r="V107" s="26"/>
      <c r="W107" s="26"/>
      <c r="X107" s="26"/>
      <c r="Y107" s="26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54"/>
      <c r="CI107" s="54"/>
      <c r="CJ107" s="54"/>
      <c r="CK107" s="54"/>
      <c r="CL107" s="54"/>
      <c r="CM107" s="54"/>
      <c r="CN107" s="54"/>
      <c r="CO107" s="54"/>
      <c r="CP107" s="55"/>
      <c r="CQ107" s="55"/>
      <c r="CR107" s="57" t="s">
        <v>118</v>
      </c>
      <c r="CS107" s="55"/>
      <c r="CT107" s="279">
        <f>CQ102</f>
        <v>940392.875</v>
      </c>
      <c r="CU107" s="24"/>
      <c r="CV107" s="24"/>
      <c r="CW107" s="59"/>
      <c r="CX107" s="58"/>
      <c r="CZ107" s="721"/>
      <c r="DA107" s="721"/>
      <c r="DB107" s="721"/>
      <c r="DC107" s="721"/>
    </row>
    <row r="108" spans="1:210" s="2" customFormat="1" ht="22.5">
      <c r="A108" s="22"/>
      <c r="B108" s="22"/>
      <c r="C108" s="22"/>
      <c r="D108" s="22"/>
      <c r="E108" s="27"/>
      <c r="F108" s="27"/>
      <c r="G108" s="27"/>
      <c r="H108" s="27"/>
      <c r="I108" s="27"/>
      <c r="J108" s="221"/>
      <c r="K108" s="28"/>
      <c r="L108" s="27"/>
      <c r="M108" s="30"/>
      <c r="N108" s="30"/>
      <c r="O108" s="27"/>
      <c r="P108" s="30"/>
      <c r="Q108" s="24"/>
      <c r="R108" s="24"/>
      <c r="S108" s="26"/>
      <c r="T108" s="24"/>
      <c r="U108" s="24"/>
      <c r="V108" s="26"/>
      <c r="W108" s="26"/>
      <c r="X108" s="26"/>
      <c r="Y108" s="26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45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59"/>
      <c r="CX108" s="58"/>
      <c r="CZ108" s="721"/>
      <c r="DA108" s="721"/>
      <c r="DB108" s="721"/>
      <c r="DC108" s="721"/>
    </row>
    <row r="109" spans="1:210" s="2" customFormat="1" ht="22.5">
      <c r="A109" s="31"/>
      <c r="B109" s="31"/>
      <c r="C109" s="31"/>
      <c r="D109" s="31"/>
      <c r="E109" s="32"/>
      <c r="F109" s="32"/>
      <c r="G109" s="32"/>
      <c r="H109" s="32"/>
      <c r="I109" s="32"/>
      <c r="J109" s="222"/>
      <c r="K109" s="27"/>
      <c r="L109" s="27"/>
      <c r="M109" s="27"/>
      <c r="N109" s="27"/>
      <c r="O109" s="32"/>
      <c r="P109" s="27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59"/>
      <c r="CX109" s="58"/>
      <c r="CZ109" s="721"/>
      <c r="DA109" s="721"/>
      <c r="DB109" s="721"/>
      <c r="DC109" s="721"/>
    </row>
    <row r="110" spans="1:210" s="2" customFormat="1" ht="22.5">
      <c r="A110" s="31"/>
      <c r="B110" s="31"/>
      <c r="C110" s="31"/>
      <c r="D110" s="31"/>
      <c r="E110" s="27"/>
      <c r="F110" s="27"/>
      <c r="G110" s="27"/>
      <c r="H110" s="27"/>
      <c r="I110" s="27"/>
      <c r="J110" s="222"/>
      <c r="K110" s="27"/>
      <c r="L110" s="27"/>
      <c r="M110" s="27"/>
      <c r="N110" s="27"/>
      <c r="O110" s="27"/>
      <c r="P110" s="27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59"/>
      <c r="CX110" s="58"/>
      <c r="CZ110" s="721"/>
      <c r="DA110" s="721"/>
      <c r="DB110" s="721"/>
      <c r="DC110" s="721"/>
    </row>
    <row r="111" spans="1:210" s="2" customFormat="1" ht="22.5">
      <c r="A111" s="22"/>
      <c r="B111" s="22"/>
      <c r="C111" s="22"/>
      <c r="D111" s="22"/>
      <c r="E111" s="27" t="s">
        <v>144</v>
      </c>
      <c r="F111" s="27"/>
      <c r="G111" s="27"/>
      <c r="H111" s="27"/>
      <c r="I111" s="27"/>
      <c r="J111" s="221"/>
      <c r="K111" s="28"/>
      <c r="L111" s="27"/>
      <c r="M111" s="30"/>
      <c r="N111" s="30"/>
      <c r="O111" s="27" t="s">
        <v>145</v>
      </c>
      <c r="P111" s="30"/>
      <c r="Q111" s="24"/>
      <c r="R111" s="24"/>
      <c r="S111" s="26"/>
      <c r="T111" s="24"/>
      <c r="U111" s="24"/>
      <c r="V111" s="26"/>
      <c r="W111" s="26"/>
      <c r="X111" s="26"/>
      <c r="Y111" s="26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59"/>
      <c r="CX111" s="58"/>
      <c r="CZ111" s="721"/>
      <c r="DA111" s="721"/>
      <c r="DB111" s="721"/>
      <c r="DC111" s="721"/>
    </row>
    <row r="112" spans="1:210" ht="22.5">
      <c r="A112" s="13"/>
      <c r="B112" s="13"/>
      <c r="C112" s="33"/>
      <c r="D112" s="33"/>
      <c r="E112" s="34"/>
      <c r="F112" s="34"/>
      <c r="G112" s="34"/>
      <c r="H112" s="34"/>
      <c r="I112" s="34"/>
      <c r="J112" s="223"/>
      <c r="K112" s="35"/>
      <c r="L112" s="27"/>
      <c r="M112" s="36"/>
      <c r="N112" s="36"/>
      <c r="O112" s="34"/>
      <c r="P112" s="36"/>
      <c r="Q112" s="46"/>
      <c r="R112" s="47"/>
      <c r="S112" s="48"/>
      <c r="T112" s="46"/>
      <c r="U112" s="47"/>
      <c r="V112" s="48"/>
      <c r="W112" s="48"/>
      <c r="X112" s="48"/>
      <c r="Y112" s="48"/>
      <c r="Z112" s="46"/>
      <c r="AA112" s="47"/>
      <c r="AB112" s="48"/>
      <c r="AC112" s="46"/>
      <c r="AD112" s="47"/>
      <c r="AE112" s="48"/>
      <c r="AF112" s="46"/>
      <c r="AG112" s="47"/>
      <c r="AH112" s="48"/>
      <c r="AI112" s="46"/>
      <c r="AJ112" s="46"/>
      <c r="AK112" s="48"/>
      <c r="AL112" s="46"/>
      <c r="AM112" s="46"/>
      <c r="AN112" s="48"/>
      <c r="AO112" s="46"/>
      <c r="AP112" s="46"/>
      <c r="AQ112" s="48"/>
      <c r="AR112" s="46"/>
      <c r="AS112" s="46"/>
      <c r="AT112" s="48"/>
      <c r="AU112" s="46"/>
      <c r="AV112" s="46"/>
      <c r="AW112" s="48"/>
      <c r="AX112" s="46"/>
      <c r="AY112" s="46"/>
      <c r="AZ112" s="48"/>
      <c r="BA112" s="46"/>
      <c r="BB112" s="46"/>
      <c r="BC112" s="46"/>
      <c r="BD112" s="48"/>
      <c r="BE112" s="46"/>
      <c r="BF112" s="46"/>
      <c r="BG112" s="48"/>
      <c r="BH112" s="46"/>
      <c r="BI112" s="46"/>
      <c r="BJ112" s="48"/>
      <c r="BK112" s="46"/>
      <c r="BL112" s="46"/>
      <c r="BM112" s="48"/>
      <c r="BN112" s="46"/>
      <c r="BO112" s="46"/>
      <c r="BP112" s="46"/>
      <c r="BQ112" s="46"/>
      <c r="BR112" s="46"/>
      <c r="BS112" s="46"/>
      <c r="BT112" s="46"/>
      <c r="BU112" s="47"/>
      <c r="BV112" s="46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X112" s="58"/>
      <c r="CY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</row>
    <row r="113" spans="1:107" ht="22.5">
      <c r="E113" s="37" t="s">
        <v>369</v>
      </c>
      <c r="F113" s="37"/>
      <c r="G113" s="37"/>
      <c r="H113" s="37"/>
      <c r="I113" s="37"/>
      <c r="J113" s="223"/>
      <c r="K113" s="35"/>
      <c r="L113" s="38"/>
      <c r="M113" s="36"/>
      <c r="N113" s="36"/>
      <c r="O113" s="37"/>
      <c r="P113" s="36"/>
      <c r="Q113" s="49"/>
      <c r="R113" s="50"/>
      <c r="S113" s="51"/>
      <c r="T113" s="49"/>
      <c r="U113" s="50"/>
      <c r="V113" s="51"/>
      <c r="W113" s="51"/>
      <c r="X113" s="51"/>
      <c r="Y113" s="51"/>
      <c r="Z113" s="49"/>
      <c r="AA113" s="50"/>
      <c r="AB113" s="51"/>
      <c r="AC113" s="49"/>
      <c r="AD113" s="50"/>
      <c r="AE113" s="51"/>
      <c r="AF113" s="49"/>
      <c r="AG113" s="50"/>
      <c r="AH113" s="51"/>
      <c r="AI113" s="50"/>
      <c r="AJ113" s="50"/>
      <c r="AK113" s="51"/>
      <c r="AL113" s="50"/>
      <c r="AM113" s="50"/>
      <c r="AN113" s="51"/>
      <c r="AO113" s="50"/>
      <c r="AP113" s="50"/>
      <c r="AQ113" s="51"/>
      <c r="AR113" s="50"/>
      <c r="AS113" s="50"/>
      <c r="AT113" s="51"/>
      <c r="AU113" s="50"/>
      <c r="AV113" s="50"/>
      <c r="AW113" s="51"/>
      <c r="AX113" s="50"/>
      <c r="AY113" s="50"/>
      <c r="AZ113" s="51"/>
      <c r="BA113" s="50"/>
      <c r="BB113" s="50"/>
      <c r="BC113" s="50"/>
      <c r="BD113" s="51"/>
      <c r="BE113" s="50"/>
      <c r="BF113" s="50"/>
      <c r="BG113" s="51"/>
      <c r="BH113" s="50"/>
      <c r="BI113" s="50"/>
      <c r="BJ113" s="51"/>
      <c r="BK113" s="50"/>
      <c r="BL113" s="50"/>
      <c r="BM113" s="51"/>
      <c r="BN113" s="49"/>
      <c r="BO113" s="50"/>
      <c r="BP113" s="49"/>
      <c r="BQ113" s="50"/>
      <c r="BR113" s="49"/>
      <c r="BS113" s="50"/>
      <c r="BT113" s="49"/>
      <c r="BU113" s="50"/>
      <c r="BV113" s="49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 t="s">
        <v>119</v>
      </c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</row>
    <row r="114" spans="1:107" ht="22.5">
      <c r="E114" s="34" t="s">
        <v>370</v>
      </c>
      <c r="F114" s="34"/>
      <c r="G114" s="34"/>
      <c r="H114" s="34"/>
      <c r="I114" s="34"/>
      <c r="J114" s="224"/>
      <c r="K114" s="39"/>
      <c r="L114" s="34"/>
      <c r="M114" s="40"/>
      <c r="N114" s="40"/>
      <c r="O114" s="34" t="s">
        <v>142</v>
      </c>
      <c r="P114" s="40"/>
      <c r="AI114" s="50"/>
      <c r="AJ114" s="50"/>
      <c r="AK114" s="51"/>
      <c r="AL114" s="50"/>
      <c r="AM114" s="50"/>
      <c r="AN114" s="51"/>
      <c r="AO114" s="50"/>
      <c r="AP114" s="50"/>
      <c r="AQ114" s="51"/>
      <c r="AR114" s="50"/>
      <c r="AS114" s="50"/>
      <c r="AT114" s="51"/>
      <c r="AU114" s="50"/>
      <c r="AV114" s="50"/>
      <c r="AW114" s="51"/>
      <c r="AX114" s="50"/>
      <c r="AY114" s="50"/>
      <c r="AZ114" s="51"/>
      <c r="BA114" s="50"/>
      <c r="BB114" s="50"/>
      <c r="BC114" s="50"/>
      <c r="BD114" s="51"/>
      <c r="BE114" s="50"/>
      <c r="BF114" s="50"/>
      <c r="BG114" s="51"/>
      <c r="BH114" s="50"/>
      <c r="BI114" s="50"/>
      <c r="BJ114" s="51"/>
      <c r="BK114" s="50"/>
      <c r="BL114" s="50"/>
      <c r="BM114" s="51"/>
      <c r="BN114" s="49"/>
      <c r="BO114" s="50"/>
      <c r="BP114" s="49"/>
      <c r="BQ114" s="50"/>
      <c r="BR114" s="49"/>
      <c r="BS114" s="50"/>
      <c r="BT114" s="49"/>
      <c r="BU114" s="50"/>
      <c r="BV114" s="49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</row>
    <row r="115" spans="1:107" ht="9.75" customHeight="1">
      <c r="E115" s="34"/>
      <c r="F115" s="34"/>
      <c r="G115" s="34"/>
      <c r="H115" s="34"/>
      <c r="I115" s="34"/>
      <c r="J115" s="224"/>
      <c r="K115" s="39"/>
      <c r="L115" s="34"/>
      <c r="M115" s="40"/>
      <c r="N115" s="40"/>
      <c r="O115" s="40"/>
      <c r="P115" s="4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60"/>
      <c r="CV115" s="60"/>
      <c r="CZ115" s="723"/>
    </row>
    <row r="116" spans="1:107" ht="22.5">
      <c r="E116" s="34"/>
      <c r="F116" s="34"/>
      <c r="G116" s="34"/>
      <c r="H116" s="34"/>
      <c r="I116" s="34"/>
      <c r="J116" s="224"/>
      <c r="K116" s="39"/>
      <c r="L116" s="34"/>
      <c r="M116" s="40"/>
      <c r="N116" s="40"/>
      <c r="O116" s="40"/>
      <c r="P116" s="40"/>
      <c r="R116" s="52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60"/>
      <c r="CV116" s="60"/>
      <c r="CZ116" s="723"/>
    </row>
    <row r="117" spans="1:107">
      <c r="R117" s="6"/>
      <c r="CW117" s="61"/>
      <c r="CX117" s="60"/>
      <c r="CY117" s="60"/>
    </row>
    <row r="118" spans="1:107" s="3" customFormat="1">
      <c r="A118" s="4"/>
      <c r="B118" s="4"/>
      <c r="C118" s="5"/>
      <c r="D118" s="5"/>
      <c r="E118" s="6"/>
      <c r="F118" s="6"/>
      <c r="G118" s="6"/>
      <c r="H118" s="6"/>
      <c r="I118" s="6"/>
      <c r="J118" s="218"/>
      <c r="K118" s="7"/>
      <c r="M118" s="8"/>
      <c r="N118" s="8"/>
      <c r="O118" s="8"/>
      <c r="P118" s="8"/>
      <c r="Q118" s="9"/>
      <c r="R118" s="10"/>
      <c r="S118" s="8"/>
      <c r="T118" s="9"/>
      <c r="U118" s="10"/>
      <c r="V118" s="8"/>
      <c r="W118" s="8"/>
      <c r="X118" s="8"/>
      <c r="Y118" s="8"/>
      <c r="Z118" s="9"/>
      <c r="AA118" s="10"/>
      <c r="AB118" s="8"/>
      <c r="AC118" s="53"/>
      <c r="AD118" s="12"/>
      <c r="AE118" s="8"/>
      <c r="AF118" s="9"/>
      <c r="AG118" s="10"/>
      <c r="AH118" s="8"/>
      <c r="AI118" s="10"/>
      <c r="AJ118" s="10"/>
      <c r="AK118" s="8"/>
      <c r="AL118" s="10"/>
      <c r="AM118" s="10"/>
      <c r="AN118" s="8"/>
      <c r="AO118" s="10"/>
      <c r="AP118" s="10"/>
      <c r="AQ118" s="8"/>
      <c r="AR118" s="10"/>
      <c r="AS118" s="10"/>
      <c r="AT118" s="8"/>
      <c r="AU118" s="10"/>
      <c r="AV118" s="10"/>
      <c r="AW118" s="8"/>
      <c r="AX118" s="10"/>
      <c r="AY118" s="10"/>
      <c r="AZ118" s="8"/>
      <c r="BA118" s="10"/>
      <c r="BB118" s="10"/>
      <c r="BC118" s="10"/>
      <c r="BD118" s="8"/>
      <c r="BE118" s="10"/>
      <c r="BF118" s="10"/>
      <c r="BG118" s="8"/>
      <c r="BH118" s="10"/>
      <c r="BI118" s="10"/>
      <c r="BJ118" s="8"/>
      <c r="BK118" s="10"/>
      <c r="BL118" s="10"/>
      <c r="BM118" s="8"/>
      <c r="BN118" s="9"/>
      <c r="BO118" s="10"/>
      <c r="BP118" s="9"/>
      <c r="BQ118" s="10"/>
      <c r="BR118" s="9"/>
      <c r="BS118" s="10"/>
      <c r="BT118" s="9"/>
      <c r="BU118" s="10"/>
      <c r="BV118" s="9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60"/>
      <c r="CV118" s="60"/>
      <c r="CW118" s="61"/>
      <c r="CX118" s="60"/>
      <c r="CY118" s="60"/>
      <c r="CZ118" s="718"/>
      <c r="DA118" s="718"/>
      <c r="DB118" s="718"/>
      <c r="DC118" s="718"/>
    </row>
    <row r="119" spans="1:107" s="3" customFormat="1">
      <c r="A119" s="4"/>
      <c r="B119" s="4"/>
      <c r="C119" s="5"/>
      <c r="D119" s="5"/>
      <c r="E119" s="6"/>
      <c r="F119" s="6"/>
      <c r="G119" s="6"/>
      <c r="H119" s="6"/>
      <c r="I119" s="6"/>
      <c r="J119" s="218"/>
      <c r="K119" s="7"/>
      <c r="M119" s="8"/>
      <c r="N119" s="8"/>
      <c r="O119" s="8"/>
      <c r="P119" s="8"/>
      <c r="Q119" s="9"/>
      <c r="R119" s="10"/>
      <c r="S119" s="8"/>
      <c r="T119" s="9"/>
      <c r="U119" s="10"/>
      <c r="V119" s="8"/>
      <c r="W119" s="8"/>
      <c r="X119" s="8"/>
      <c r="Y119" s="8"/>
      <c r="Z119" s="9"/>
      <c r="AA119" s="10"/>
      <c r="AB119" s="8"/>
      <c r="AC119" s="9"/>
      <c r="AD119" s="10"/>
      <c r="AE119" s="8"/>
      <c r="AF119" s="9"/>
      <c r="AG119" s="10"/>
      <c r="AH119" s="8"/>
      <c r="AI119" s="10"/>
      <c r="AJ119" s="10"/>
      <c r="AK119" s="8"/>
      <c r="AL119" s="10"/>
      <c r="AM119" s="10"/>
      <c r="AN119" s="8"/>
      <c r="AO119" s="10"/>
      <c r="AP119" s="10"/>
      <c r="AQ119" s="8"/>
      <c r="AR119" s="10"/>
      <c r="AS119" s="10"/>
      <c r="AT119" s="8"/>
      <c r="AU119" s="10"/>
      <c r="AV119" s="10"/>
      <c r="AW119" s="8"/>
      <c r="AX119" s="10"/>
      <c r="AY119" s="10"/>
      <c r="AZ119" s="8"/>
      <c r="BA119" s="10"/>
      <c r="BB119" s="10"/>
      <c r="BC119" s="10"/>
      <c r="BD119" s="8"/>
      <c r="BE119" s="10"/>
      <c r="BF119" s="10"/>
      <c r="BG119" s="8"/>
      <c r="BH119" s="10"/>
      <c r="BI119" s="10"/>
      <c r="BJ119" s="8"/>
      <c r="BK119" s="10"/>
      <c r="BL119" s="10"/>
      <c r="BM119" s="8"/>
      <c r="BN119" s="9"/>
      <c r="BO119" s="10"/>
      <c r="BP119" s="9"/>
      <c r="BQ119" s="10"/>
      <c r="BR119" s="9"/>
      <c r="BS119" s="10"/>
      <c r="BT119" s="9"/>
      <c r="BU119" s="10"/>
      <c r="BV119" s="9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60"/>
      <c r="CV119" s="60"/>
      <c r="CW119" s="61"/>
      <c r="CX119" s="60"/>
      <c r="CY119" s="60"/>
      <c r="CZ119" s="718"/>
      <c r="DA119" s="718"/>
      <c r="DB119" s="718"/>
      <c r="DC119" s="718"/>
    </row>
    <row r="120" spans="1:107" s="3" customFormat="1">
      <c r="A120" s="4"/>
      <c r="B120" s="4"/>
      <c r="C120" s="5"/>
      <c r="D120" s="5"/>
      <c r="E120" s="6"/>
      <c r="F120" s="6"/>
      <c r="G120" s="6"/>
      <c r="H120" s="6"/>
      <c r="I120" s="6"/>
      <c r="J120" s="218"/>
      <c r="K120" s="7"/>
      <c r="M120" s="8"/>
      <c r="N120" s="8"/>
      <c r="O120" s="8"/>
      <c r="P120" s="8"/>
      <c r="Q120" s="9"/>
      <c r="R120" s="10"/>
      <c r="S120" s="8"/>
      <c r="T120" s="9"/>
      <c r="U120" s="10"/>
      <c r="V120" s="8"/>
      <c r="W120" s="8"/>
      <c r="X120" s="8"/>
      <c r="Y120" s="8"/>
      <c r="Z120" s="9"/>
      <c r="AA120" s="10"/>
      <c r="AB120" s="8"/>
      <c r="AC120" s="9"/>
      <c r="AD120" s="10"/>
      <c r="AE120" s="8"/>
      <c r="AF120" s="9"/>
      <c r="AG120" s="10"/>
      <c r="AH120" s="8"/>
      <c r="AI120" s="10"/>
      <c r="AJ120" s="10"/>
      <c r="AK120" s="8"/>
      <c r="AL120" s="10"/>
      <c r="AM120" s="10"/>
      <c r="AN120" s="8"/>
      <c r="AO120" s="10"/>
      <c r="AP120" s="10"/>
      <c r="AQ120" s="8"/>
      <c r="AR120" s="10"/>
      <c r="AS120" s="10"/>
      <c r="AT120" s="8"/>
      <c r="AU120" s="10"/>
      <c r="AV120" s="10"/>
      <c r="AW120" s="8"/>
      <c r="AX120" s="10"/>
      <c r="AY120" s="10"/>
      <c r="AZ120" s="8"/>
      <c r="BA120" s="10"/>
      <c r="BB120" s="10"/>
      <c r="BC120" s="10"/>
      <c r="BD120" s="8"/>
      <c r="BE120" s="10"/>
      <c r="BF120" s="10"/>
      <c r="BG120" s="8"/>
      <c r="BH120" s="10"/>
      <c r="BI120" s="10"/>
      <c r="BJ120" s="8"/>
      <c r="BK120" s="10"/>
      <c r="BL120" s="10"/>
      <c r="BM120" s="8"/>
      <c r="BN120" s="9"/>
      <c r="BO120" s="10"/>
      <c r="BP120" s="9"/>
      <c r="BQ120" s="10"/>
      <c r="BR120" s="9"/>
      <c r="BS120" s="10"/>
      <c r="BT120" s="9"/>
      <c r="BU120" s="10"/>
      <c r="BV120" s="9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60"/>
      <c r="CV120" s="60"/>
      <c r="CW120" s="11"/>
      <c r="CZ120" s="718"/>
      <c r="DA120" s="718"/>
      <c r="DB120" s="718"/>
      <c r="DC120" s="718"/>
    </row>
    <row r="121" spans="1:107" s="3" customFormat="1">
      <c r="A121" s="4"/>
      <c r="B121" s="4"/>
      <c r="C121" s="5"/>
      <c r="D121" s="5"/>
      <c r="E121" s="6"/>
      <c r="F121" s="6"/>
      <c r="G121" s="6"/>
      <c r="H121" s="6"/>
      <c r="I121" s="6"/>
      <c r="J121" s="218"/>
      <c r="K121" s="7"/>
      <c r="M121" s="8"/>
      <c r="N121" s="8"/>
      <c r="O121" s="8"/>
      <c r="P121" s="8"/>
      <c r="Q121" s="9"/>
      <c r="R121" s="10"/>
      <c r="S121" s="8"/>
      <c r="T121" s="9"/>
      <c r="U121" s="10"/>
      <c r="V121" s="8"/>
      <c r="W121" s="8"/>
      <c r="X121" s="8"/>
      <c r="Y121" s="8"/>
      <c r="Z121" s="9"/>
      <c r="AA121" s="10"/>
      <c r="AB121" s="8"/>
      <c r="AC121" s="9"/>
      <c r="AD121" s="10"/>
      <c r="AE121" s="8"/>
      <c r="AF121" s="9"/>
      <c r="AG121" s="10"/>
      <c r="AH121" s="8"/>
      <c r="AI121" s="10"/>
      <c r="AJ121" s="10"/>
      <c r="AK121" s="8"/>
      <c r="AL121" s="10"/>
      <c r="AM121" s="10"/>
      <c r="AN121" s="8"/>
      <c r="AO121" s="10"/>
      <c r="AP121" s="10"/>
      <c r="AQ121" s="8"/>
      <c r="AR121" s="10"/>
      <c r="AS121" s="10"/>
      <c r="AT121" s="8"/>
      <c r="AU121" s="10"/>
      <c r="AV121" s="10"/>
      <c r="AW121" s="8"/>
      <c r="AX121" s="10"/>
      <c r="AY121" s="10"/>
      <c r="AZ121" s="8"/>
      <c r="BA121" s="10"/>
      <c r="BB121" s="10"/>
      <c r="BC121" s="10"/>
      <c r="BD121" s="8"/>
      <c r="BE121" s="10"/>
      <c r="BF121" s="10"/>
      <c r="BG121" s="8"/>
      <c r="BH121" s="10"/>
      <c r="BI121" s="10"/>
      <c r="BJ121" s="8"/>
      <c r="BK121" s="10"/>
      <c r="BL121" s="10"/>
      <c r="BM121" s="8"/>
      <c r="BN121" s="9"/>
      <c r="BO121" s="10"/>
      <c r="BP121" s="9"/>
      <c r="BQ121" s="10"/>
      <c r="BR121" s="9"/>
      <c r="BS121" s="10"/>
      <c r="BT121" s="9"/>
      <c r="BU121" s="10"/>
      <c r="BV121" s="9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T121" s="10"/>
      <c r="CU121" s="10"/>
      <c r="CV121" s="10"/>
      <c r="CW121" s="62"/>
      <c r="CX121" s="10"/>
      <c r="CY121" s="10"/>
      <c r="CZ121" s="718"/>
      <c r="DA121" s="718"/>
      <c r="DB121" s="718"/>
      <c r="DC121" s="718"/>
    </row>
    <row r="122" spans="1:107" s="3" customFormat="1">
      <c r="A122" s="4"/>
      <c r="B122" s="4"/>
      <c r="C122" s="5"/>
      <c r="D122" s="5"/>
      <c r="E122" s="6"/>
      <c r="F122" s="6"/>
      <c r="G122" s="6"/>
      <c r="H122" s="6"/>
      <c r="I122" s="6"/>
      <c r="J122" s="218"/>
      <c r="K122" s="7"/>
      <c r="M122" s="41"/>
      <c r="N122" s="41"/>
      <c r="O122" s="41"/>
      <c r="P122" s="41"/>
      <c r="Q122" s="7"/>
      <c r="S122" s="41"/>
      <c r="T122" s="7"/>
      <c r="V122" s="41"/>
      <c r="W122" s="41"/>
      <c r="X122" s="41"/>
      <c r="Y122" s="41"/>
      <c r="Z122" s="7"/>
      <c r="AB122" s="41"/>
      <c r="AC122" s="7"/>
      <c r="AE122" s="41"/>
      <c r="AF122" s="7"/>
      <c r="AH122" s="41"/>
      <c r="AI122" s="10"/>
      <c r="AJ122" s="10"/>
      <c r="AK122" s="8"/>
      <c r="AL122" s="10"/>
      <c r="AM122" s="10"/>
      <c r="AN122" s="8"/>
      <c r="AO122" s="10"/>
      <c r="AP122" s="10"/>
      <c r="AQ122" s="8"/>
      <c r="AR122" s="10"/>
      <c r="AS122" s="10"/>
      <c r="AT122" s="8"/>
      <c r="AU122" s="10"/>
      <c r="AV122" s="10"/>
      <c r="AW122" s="8"/>
      <c r="AX122" s="10"/>
      <c r="AY122" s="10"/>
      <c r="AZ122" s="8"/>
      <c r="BA122" s="10"/>
      <c r="BB122" s="10"/>
      <c r="BC122" s="10"/>
      <c r="BD122" s="8"/>
      <c r="BE122" s="10"/>
      <c r="BF122" s="10"/>
      <c r="BG122" s="8"/>
      <c r="BH122" s="10"/>
      <c r="BI122" s="10"/>
      <c r="BJ122" s="8"/>
      <c r="BK122" s="10"/>
      <c r="BL122" s="10"/>
      <c r="BM122" s="8"/>
      <c r="BN122" s="9"/>
      <c r="BO122" s="10"/>
      <c r="BP122" s="9"/>
      <c r="BQ122" s="10"/>
      <c r="BR122" s="9"/>
      <c r="BS122" s="10"/>
      <c r="BT122" s="9"/>
      <c r="BU122" s="10"/>
      <c r="BV122" s="9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T122" s="10"/>
      <c r="CU122" s="10"/>
      <c r="CV122" s="10"/>
      <c r="CW122" s="62"/>
      <c r="CX122" s="10"/>
      <c r="CY122" s="10"/>
      <c r="CZ122" s="718"/>
      <c r="DA122" s="718"/>
      <c r="DB122" s="718"/>
      <c r="DC122" s="718"/>
    </row>
    <row r="123" spans="1:107" s="3" customFormat="1">
      <c r="A123" s="42"/>
      <c r="B123" s="42"/>
      <c r="C123" s="43"/>
      <c r="D123" s="43"/>
      <c r="E123" s="44"/>
      <c r="F123" s="44"/>
      <c r="G123" s="44"/>
      <c r="H123" s="44"/>
      <c r="I123" s="44"/>
      <c r="J123" s="225"/>
      <c r="K123" s="9"/>
      <c r="L123" s="10"/>
      <c r="M123" s="8"/>
      <c r="N123" s="8"/>
      <c r="O123" s="8"/>
      <c r="P123" s="8"/>
      <c r="Q123" s="9"/>
      <c r="R123" s="10"/>
      <c r="S123" s="8"/>
      <c r="T123" s="9"/>
      <c r="U123" s="10"/>
      <c r="V123" s="8"/>
      <c r="W123" s="8"/>
      <c r="X123" s="8"/>
      <c r="Y123" s="8"/>
      <c r="Z123" s="9"/>
      <c r="AA123" s="10"/>
      <c r="AB123" s="8"/>
      <c r="AC123" s="9"/>
      <c r="AD123" s="10"/>
      <c r="AE123" s="8"/>
      <c r="AF123" s="9"/>
      <c r="AG123" s="10"/>
      <c r="AH123" s="8"/>
      <c r="AI123" s="10"/>
      <c r="AJ123" s="10"/>
      <c r="AK123" s="8"/>
      <c r="AL123" s="10"/>
      <c r="AM123" s="10"/>
      <c r="AN123" s="8"/>
      <c r="AO123" s="10"/>
      <c r="AP123" s="10"/>
      <c r="AQ123" s="8"/>
      <c r="AR123" s="10"/>
      <c r="AS123" s="10"/>
      <c r="AT123" s="8"/>
      <c r="AU123" s="10"/>
      <c r="AV123" s="10"/>
      <c r="AW123" s="8"/>
      <c r="AX123" s="10"/>
      <c r="AY123" s="10"/>
      <c r="AZ123" s="8"/>
      <c r="BA123" s="10"/>
      <c r="BB123" s="10"/>
      <c r="BC123" s="10"/>
      <c r="BD123" s="8"/>
      <c r="BE123" s="10"/>
      <c r="BF123" s="10"/>
      <c r="BG123" s="8"/>
      <c r="BH123" s="10"/>
      <c r="BI123" s="10"/>
      <c r="BJ123" s="8"/>
      <c r="BK123" s="10"/>
      <c r="BL123" s="10"/>
      <c r="BM123" s="8"/>
      <c r="BN123" s="9"/>
      <c r="BO123" s="10"/>
      <c r="BP123" s="9"/>
      <c r="BQ123" s="10"/>
      <c r="BR123" s="9"/>
      <c r="BS123" s="10"/>
      <c r="BT123" s="9"/>
      <c r="BU123" s="10"/>
      <c r="BV123" s="9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T123" s="10"/>
      <c r="CU123" s="10"/>
      <c r="CV123" s="10"/>
      <c r="CW123" s="62"/>
      <c r="CX123" s="10"/>
      <c r="CY123" s="10"/>
      <c r="CZ123" s="718"/>
      <c r="DA123" s="718"/>
      <c r="DB123" s="718"/>
      <c r="DC123" s="718"/>
    </row>
    <row r="124" spans="1:107" s="3" customFormat="1">
      <c r="A124" s="42"/>
      <c r="B124" s="42"/>
      <c r="C124" s="43"/>
      <c r="D124" s="43"/>
      <c r="E124" s="44"/>
      <c r="F124" s="44"/>
      <c r="G124" s="44"/>
      <c r="H124" s="44"/>
      <c r="I124" s="44"/>
      <c r="J124" s="225"/>
      <c r="K124" s="9"/>
      <c r="L124" s="10"/>
      <c r="M124" s="8"/>
      <c r="N124" s="8"/>
      <c r="O124" s="8"/>
      <c r="P124" s="8"/>
      <c r="Q124" s="9"/>
      <c r="R124" s="10"/>
      <c r="S124" s="8"/>
      <c r="T124" s="9"/>
      <c r="U124" s="10"/>
      <c r="V124" s="8"/>
      <c r="W124" s="8"/>
      <c r="X124" s="8"/>
      <c r="Y124" s="8"/>
      <c r="Z124" s="9"/>
      <c r="AA124" s="10"/>
      <c r="AB124" s="8"/>
      <c r="AC124" s="9"/>
      <c r="AD124" s="10"/>
      <c r="AE124" s="8"/>
      <c r="AF124" s="9"/>
      <c r="AG124" s="10"/>
      <c r="AH124" s="8"/>
      <c r="AI124" s="10"/>
      <c r="AJ124" s="10"/>
      <c r="AK124" s="8"/>
      <c r="AL124" s="10"/>
      <c r="AM124" s="10"/>
      <c r="AN124" s="8"/>
      <c r="AO124" s="10"/>
      <c r="AP124" s="10"/>
      <c r="AQ124" s="8"/>
      <c r="AR124" s="10"/>
      <c r="AS124" s="10"/>
      <c r="AT124" s="8"/>
      <c r="AU124" s="10"/>
      <c r="AV124" s="10"/>
      <c r="AW124" s="8"/>
      <c r="AX124" s="10"/>
      <c r="AY124" s="10"/>
      <c r="AZ124" s="8"/>
      <c r="BA124" s="10"/>
      <c r="BB124" s="10"/>
      <c r="BC124" s="10"/>
      <c r="BD124" s="8"/>
      <c r="BE124" s="10"/>
      <c r="BF124" s="10"/>
      <c r="BG124" s="8"/>
      <c r="BH124" s="10"/>
      <c r="BI124" s="10"/>
      <c r="BJ124" s="8"/>
      <c r="BK124" s="10"/>
      <c r="BL124" s="10"/>
      <c r="BM124" s="8"/>
      <c r="BN124" s="9"/>
      <c r="BO124" s="10"/>
      <c r="BP124" s="9"/>
      <c r="BQ124" s="10"/>
      <c r="BR124" s="9"/>
      <c r="BS124" s="10"/>
      <c r="BT124" s="9"/>
      <c r="BU124" s="10"/>
      <c r="BV124" s="9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W124" s="11"/>
      <c r="CZ124" s="718"/>
      <c r="DA124" s="718"/>
      <c r="DB124" s="718"/>
      <c r="DC124" s="718"/>
    </row>
    <row r="125" spans="1:107" s="3" customFormat="1">
      <c r="A125" s="42"/>
      <c r="B125" s="42"/>
      <c r="C125" s="43"/>
      <c r="D125" s="43"/>
      <c r="E125" s="44"/>
      <c r="F125" s="44"/>
      <c r="G125" s="44"/>
      <c r="H125" s="44"/>
      <c r="I125" s="44"/>
      <c r="J125" s="225"/>
      <c r="K125" s="9"/>
      <c r="L125" s="10"/>
      <c r="M125" s="8"/>
      <c r="N125" s="8"/>
      <c r="O125" s="8"/>
      <c r="P125" s="8"/>
      <c r="Q125" s="9"/>
      <c r="R125" s="10"/>
      <c r="S125" s="8"/>
      <c r="T125" s="9"/>
      <c r="U125" s="10"/>
      <c r="V125" s="8"/>
      <c r="W125" s="8"/>
      <c r="X125" s="8"/>
      <c r="Y125" s="8"/>
      <c r="Z125" s="9"/>
      <c r="AA125" s="10"/>
      <c r="AB125" s="8"/>
      <c r="AC125" s="9"/>
      <c r="AD125" s="10"/>
      <c r="AE125" s="8"/>
      <c r="AF125" s="9"/>
      <c r="AG125" s="10"/>
      <c r="AH125" s="8"/>
      <c r="AI125" s="10"/>
      <c r="AJ125" s="10"/>
      <c r="AK125" s="8"/>
      <c r="AL125" s="10"/>
      <c r="AM125" s="10"/>
      <c r="AN125" s="8"/>
      <c r="AO125" s="10"/>
      <c r="AP125" s="10"/>
      <c r="AQ125" s="8"/>
      <c r="AR125" s="10"/>
      <c r="AS125" s="10"/>
      <c r="AT125" s="8"/>
      <c r="AU125" s="10"/>
      <c r="AV125" s="10"/>
      <c r="AW125" s="8"/>
      <c r="AX125" s="10"/>
      <c r="AY125" s="10"/>
      <c r="AZ125" s="8"/>
      <c r="BA125" s="10"/>
      <c r="BB125" s="10"/>
      <c r="BC125" s="10"/>
      <c r="BD125" s="8"/>
      <c r="BE125" s="10"/>
      <c r="BF125" s="10"/>
      <c r="BG125" s="8"/>
      <c r="BH125" s="10"/>
      <c r="BI125" s="10"/>
      <c r="BJ125" s="8"/>
      <c r="BK125" s="10"/>
      <c r="BL125" s="10"/>
      <c r="BM125" s="8"/>
      <c r="BN125" s="9"/>
      <c r="BO125" s="10"/>
      <c r="BP125" s="9"/>
      <c r="BQ125" s="10"/>
      <c r="BR125" s="9"/>
      <c r="BS125" s="10"/>
      <c r="BT125" s="9"/>
      <c r="BU125" s="10"/>
      <c r="BV125" s="9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W125" s="11"/>
      <c r="CZ125" s="718"/>
      <c r="DA125" s="718"/>
      <c r="DB125" s="718"/>
      <c r="DC125" s="718"/>
    </row>
  </sheetData>
  <autoFilter ref="A7:HB98" xr:uid="{00000000-0001-0000-0300-000000000000}"/>
  <mergeCells count="36">
    <mergeCell ref="CS6:CS7"/>
    <mergeCell ref="BD6:BF6"/>
    <mergeCell ref="BG6:BI6"/>
    <mergeCell ref="BJ6:BL6"/>
    <mergeCell ref="BM6:BX6"/>
    <mergeCell ref="CE6:CE7"/>
    <mergeCell ref="CP6:CP7"/>
    <mergeCell ref="CQ6:CQ7"/>
    <mergeCell ref="CR6:CR7"/>
    <mergeCell ref="AO6:AQ6"/>
    <mergeCell ref="AX6:AZ6"/>
    <mergeCell ref="CG6:CG7"/>
    <mergeCell ref="CH6:CN6"/>
    <mergeCell ref="CO6:CO7"/>
    <mergeCell ref="CT6:CT7"/>
    <mergeCell ref="AF6:AH6"/>
    <mergeCell ref="W6:Y6"/>
    <mergeCell ref="F6:F7"/>
    <mergeCell ref="G6:G7"/>
    <mergeCell ref="H6:H7"/>
    <mergeCell ref="I6:I7"/>
    <mergeCell ref="BA6:BC6"/>
    <mergeCell ref="AR6:AT6"/>
    <mergeCell ref="AU6:AW6"/>
    <mergeCell ref="Z6:AB6"/>
    <mergeCell ref="AC6:AE6"/>
    <mergeCell ref="Q6:S6"/>
    <mergeCell ref="T6:V6"/>
    <mergeCell ref="AI6:AK6"/>
    <mergeCell ref="AL6:AN6"/>
    <mergeCell ref="A6:A7"/>
    <mergeCell ref="C6:C7"/>
    <mergeCell ref="E6:E7"/>
    <mergeCell ref="J6:M6"/>
    <mergeCell ref="N6:P6"/>
    <mergeCell ref="B6:B7"/>
  </mergeCells>
  <phoneticPr fontId="91" type="noConversion"/>
  <conditionalFormatting sqref="C6:D7">
    <cfRule type="duplicateValues" dxfId="4" priority="4"/>
  </conditionalFormatting>
  <conditionalFormatting sqref="D1:D1048576">
    <cfRule type="duplicateValues" dxfId="3" priority="3"/>
  </conditionalFormatting>
  <conditionalFormatting sqref="E6:I6 F7:I7">
    <cfRule type="duplicateValues" dxfId="2" priority="5"/>
  </conditionalFormatting>
  <pageMargins left="0.23622047244094491" right="0.23622047244094491" top="0" bottom="0.74803149606299213" header="0.31496062992125984" footer="0.31496062992125984"/>
  <pageSetup paperSize="9" scale="26" fitToHeight="0" orientation="landscape" r:id="rId1"/>
  <colBreaks count="2" manualBreakCount="2">
    <brk id="22" max="1048575" man="1"/>
    <brk id="9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"/>
  <sheetViews>
    <sheetView workbookViewId="0">
      <selection activeCell="J73" sqref="J73"/>
    </sheetView>
  </sheetViews>
  <sheetFormatPr defaultColWidth="9.1796875" defaultRowHeight="14.5"/>
  <cols>
    <col min="1" max="2" width="11.1796875" style="162" customWidth="1"/>
    <col min="3" max="3" width="12.7265625" style="162" bestFit="1" customWidth="1"/>
    <col min="4" max="4" width="10.54296875" style="162" customWidth="1"/>
    <col min="5" max="5" width="9.1796875" style="162"/>
    <col min="6" max="6" width="11.7265625" style="162" bestFit="1" customWidth="1"/>
    <col min="7" max="7" width="10.54296875" style="162" bestFit="1" customWidth="1"/>
    <col min="8" max="8" width="9.453125" style="162" customWidth="1"/>
    <col min="9" max="9" width="4.7265625" style="162" customWidth="1"/>
    <col min="10" max="10" width="9.453125" style="162" customWidth="1"/>
    <col min="11" max="11" width="11.7265625" style="162" bestFit="1" customWidth="1"/>
    <col min="12" max="12" width="5.7265625" style="162" bestFit="1" customWidth="1"/>
    <col min="13" max="13" width="8.1796875" style="162" bestFit="1" customWidth="1"/>
    <col min="14" max="14" width="14.54296875" style="162" customWidth="1"/>
    <col min="15" max="16384" width="9.1796875" style="162"/>
  </cols>
  <sheetData>
    <row r="1" spans="1:14">
      <c r="A1" s="676" t="s">
        <v>123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</row>
    <row r="2" spans="1:14">
      <c r="A2" s="676" t="s">
        <v>124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</row>
    <row r="3" spans="1:14" ht="15" thickBot="1">
      <c r="A3" s="677" t="s">
        <v>125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</row>
    <row r="4" spans="1:14" ht="30.75" customHeight="1" thickBot="1">
      <c r="A4" s="678" t="s">
        <v>126</v>
      </c>
      <c r="B4" s="679"/>
      <c r="C4" s="684" t="s">
        <v>127</v>
      </c>
      <c r="D4" s="685"/>
      <c r="E4" s="686"/>
      <c r="F4" s="684" t="s">
        <v>128</v>
      </c>
      <c r="G4" s="685"/>
      <c r="H4" s="685"/>
      <c r="I4" s="685"/>
      <c r="J4" s="685"/>
      <c r="K4" s="685"/>
      <c r="L4" s="685"/>
      <c r="M4" s="685"/>
      <c r="N4" s="686"/>
    </row>
    <row r="5" spans="1:14">
      <c r="A5" s="680"/>
      <c r="B5" s="681"/>
      <c r="C5" s="687" t="s">
        <v>129</v>
      </c>
      <c r="D5" s="689" t="s">
        <v>130</v>
      </c>
      <c r="E5" s="691" t="s">
        <v>115</v>
      </c>
      <c r="F5" s="693" t="s">
        <v>131</v>
      </c>
      <c r="G5" s="694"/>
      <c r="H5" s="694"/>
      <c r="I5" s="694"/>
      <c r="J5" s="695"/>
      <c r="K5" s="671" t="s">
        <v>132</v>
      </c>
      <c r="L5" s="672"/>
      <c r="M5" s="673"/>
      <c r="N5" s="674" t="s">
        <v>133</v>
      </c>
    </row>
    <row r="6" spans="1:14" ht="15" thickBot="1">
      <c r="A6" s="682"/>
      <c r="B6" s="683"/>
      <c r="C6" s="688"/>
      <c r="D6" s="690"/>
      <c r="E6" s="692"/>
      <c r="F6" s="163" t="s">
        <v>134</v>
      </c>
      <c r="G6" s="164" t="s">
        <v>130</v>
      </c>
      <c r="H6" s="164" t="s">
        <v>135</v>
      </c>
      <c r="I6" s="164" t="s">
        <v>31</v>
      </c>
      <c r="J6" s="165" t="s">
        <v>136</v>
      </c>
      <c r="K6" s="166" t="s">
        <v>134</v>
      </c>
      <c r="L6" s="167" t="s">
        <v>122</v>
      </c>
      <c r="M6" s="168" t="s">
        <v>115</v>
      </c>
      <c r="N6" s="675"/>
    </row>
    <row r="7" spans="1:14" s="161" customFormat="1" ht="15" thickBot="1">
      <c r="A7" s="169">
        <v>1</v>
      </c>
      <c r="B7" s="170">
        <v>2</v>
      </c>
      <c r="C7" s="169">
        <v>3</v>
      </c>
      <c r="D7" s="171">
        <v>4</v>
      </c>
      <c r="E7" s="170">
        <v>5</v>
      </c>
      <c r="F7" s="169">
        <v>6</v>
      </c>
      <c r="G7" s="171">
        <v>7</v>
      </c>
      <c r="H7" s="226">
        <v>8</v>
      </c>
      <c r="I7" s="171">
        <v>9</v>
      </c>
      <c r="J7" s="170">
        <v>10</v>
      </c>
      <c r="K7" s="227">
        <v>11</v>
      </c>
      <c r="L7" s="171">
        <v>12</v>
      </c>
      <c r="M7" s="170">
        <v>13</v>
      </c>
      <c r="N7" s="172">
        <v>14</v>
      </c>
    </row>
    <row r="8" spans="1:14">
      <c r="A8" s="173">
        <v>0</v>
      </c>
      <c r="B8" s="174">
        <v>0</v>
      </c>
      <c r="C8" s="175">
        <v>0</v>
      </c>
      <c r="D8" s="176">
        <v>0</v>
      </c>
      <c r="E8" s="177">
        <v>0</v>
      </c>
      <c r="F8" s="175">
        <v>0</v>
      </c>
      <c r="G8" s="178">
        <v>0</v>
      </c>
      <c r="H8" s="179">
        <v>0</v>
      </c>
      <c r="I8" s="180">
        <v>0</v>
      </c>
      <c r="J8" s="181">
        <v>0</v>
      </c>
      <c r="K8" s="182">
        <v>0</v>
      </c>
      <c r="L8" s="183">
        <v>0</v>
      </c>
      <c r="M8" s="184">
        <v>0</v>
      </c>
      <c r="N8" s="185">
        <v>0</v>
      </c>
    </row>
    <row r="9" spans="1:14" ht="15.75" customHeight="1">
      <c r="A9" s="186">
        <v>1</v>
      </c>
      <c r="B9" s="187">
        <v>5250</v>
      </c>
      <c r="C9" s="188">
        <v>5000</v>
      </c>
      <c r="D9" s="189">
        <v>0</v>
      </c>
      <c r="E9" s="190">
        <v>5000</v>
      </c>
      <c r="F9" s="188">
        <v>500</v>
      </c>
      <c r="G9" s="191">
        <v>0</v>
      </c>
      <c r="H9" s="192">
        <f>SUM(F9:G9)</f>
        <v>500</v>
      </c>
      <c r="I9" s="193">
        <v>10</v>
      </c>
      <c r="J9" s="194">
        <f>SUM(H9:I9)</f>
        <v>510</v>
      </c>
      <c r="K9" s="195">
        <v>250</v>
      </c>
      <c r="L9" s="196">
        <v>0</v>
      </c>
      <c r="M9" s="197">
        <f>SUM(K9:L9)</f>
        <v>250</v>
      </c>
      <c r="N9" s="198">
        <f>J9+M9</f>
        <v>760</v>
      </c>
    </row>
    <row r="10" spans="1:14">
      <c r="A10" s="186">
        <v>5250</v>
      </c>
      <c r="B10" s="187">
        <v>5749.99</v>
      </c>
      <c r="C10" s="188">
        <v>5500</v>
      </c>
      <c r="D10" s="189">
        <v>0</v>
      </c>
      <c r="E10" s="190">
        <v>5500</v>
      </c>
      <c r="F10" s="188">
        <v>550</v>
      </c>
      <c r="G10" s="191">
        <v>0</v>
      </c>
      <c r="H10" s="192">
        <f t="shared" ref="H10:H69" si="0">SUM(F10:G10)</f>
        <v>550</v>
      </c>
      <c r="I10" s="193">
        <v>10</v>
      </c>
      <c r="J10" s="194">
        <f t="shared" ref="J10:J69" si="1">SUM(H10:I10)</f>
        <v>560</v>
      </c>
      <c r="K10" s="195">
        <v>275</v>
      </c>
      <c r="L10" s="196">
        <v>0</v>
      </c>
      <c r="M10" s="197">
        <f t="shared" ref="M10:M69" si="2">SUM(K10:L10)</f>
        <v>275</v>
      </c>
      <c r="N10" s="198">
        <f t="shared" ref="N10:N69" si="3">J10+M10</f>
        <v>835</v>
      </c>
    </row>
    <row r="11" spans="1:14">
      <c r="A11" s="186">
        <v>5750</v>
      </c>
      <c r="B11" s="187">
        <v>6249.99</v>
      </c>
      <c r="C11" s="188">
        <v>6000</v>
      </c>
      <c r="D11" s="189">
        <v>0</v>
      </c>
      <c r="E11" s="190">
        <v>6000</v>
      </c>
      <c r="F11" s="188">
        <v>600</v>
      </c>
      <c r="G11" s="191">
        <v>0</v>
      </c>
      <c r="H11" s="192">
        <f t="shared" si="0"/>
        <v>600</v>
      </c>
      <c r="I11" s="193">
        <v>10</v>
      </c>
      <c r="J11" s="194">
        <f t="shared" si="1"/>
        <v>610</v>
      </c>
      <c r="K11" s="195">
        <v>300</v>
      </c>
      <c r="L11" s="196">
        <v>0</v>
      </c>
      <c r="M11" s="197">
        <f t="shared" si="2"/>
        <v>300</v>
      </c>
      <c r="N11" s="198">
        <f t="shared" si="3"/>
        <v>910</v>
      </c>
    </row>
    <row r="12" spans="1:14">
      <c r="A12" s="186">
        <v>6250</v>
      </c>
      <c r="B12" s="187">
        <v>6749.99</v>
      </c>
      <c r="C12" s="188">
        <v>6500</v>
      </c>
      <c r="D12" s="189">
        <v>0</v>
      </c>
      <c r="E12" s="190">
        <v>6500</v>
      </c>
      <c r="F12" s="188">
        <v>650</v>
      </c>
      <c r="G12" s="191">
        <v>0</v>
      </c>
      <c r="H12" s="192">
        <f t="shared" si="0"/>
        <v>650</v>
      </c>
      <c r="I12" s="193">
        <v>10</v>
      </c>
      <c r="J12" s="194">
        <f t="shared" si="1"/>
        <v>660</v>
      </c>
      <c r="K12" s="195">
        <v>325</v>
      </c>
      <c r="L12" s="196">
        <v>0</v>
      </c>
      <c r="M12" s="197">
        <f t="shared" si="2"/>
        <v>325</v>
      </c>
      <c r="N12" s="198">
        <f t="shared" si="3"/>
        <v>985</v>
      </c>
    </row>
    <row r="13" spans="1:14">
      <c r="A13" s="186">
        <v>6750</v>
      </c>
      <c r="B13" s="187">
        <v>7249.99</v>
      </c>
      <c r="C13" s="188">
        <v>7000</v>
      </c>
      <c r="D13" s="189">
        <v>0</v>
      </c>
      <c r="E13" s="190">
        <v>7000</v>
      </c>
      <c r="F13" s="188">
        <v>700</v>
      </c>
      <c r="G13" s="191">
        <v>0</v>
      </c>
      <c r="H13" s="192">
        <f t="shared" si="0"/>
        <v>700</v>
      </c>
      <c r="I13" s="193">
        <v>10</v>
      </c>
      <c r="J13" s="194">
        <f t="shared" si="1"/>
        <v>710</v>
      </c>
      <c r="K13" s="195">
        <v>350</v>
      </c>
      <c r="L13" s="196">
        <v>0</v>
      </c>
      <c r="M13" s="197">
        <f t="shared" si="2"/>
        <v>350</v>
      </c>
      <c r="N13" s="198">
        <f t="shared" si="3"/>
        <v>1060</v>
      </c>
    </row>
    <row r="14" spans="1:14">
      <c r="A14" s="186">
        <v>7250</v>
      </c>
      <c r="B14" s="187">
        <v>7749.99</v>
      </c>
      <c r="C14" s="188">
        <v>7500</v>
      </c>
      <c r="D14" s="189">
        <v>0</v>
      </c>
      <c r="E14" s="190">
        <v>7500</v>
      </c>
      <c r="F14" s="188">
        <v>750</v>
      </c>
      <c r="G14" s="191">
        <v>0</v>
      </c>
      <c r="H14" s="192">
        <f t="shared" si="0"/>
        <v>750</v>
      </c>
      <c r="I14" s="193">
        <v>10</v>
      </c>
      <c r="J14" s="194">
        <f t="shared" si="1"/>
        <v>760</v>
      </c>
      <c r="K14" s="195">
        <v>375</v>
      </c>
      <c r="L14" s="196">
        <v>0</v>
      </c>
      <c r="M14" s="197">
        <f t="shared" si="2"/>
        <v>375</v>
      </c>
      <c r="N14" s="198">
        <f t="shared" si="3"/>
        <v>1135</v>
      </c>
    </row>
    <row r="15" spans="1:14">
      <c r="A15" s="186">
        <v>7750</v>
      </c>
      <c r="B15" s="187">
        <v>8249.99</v>
      </c>
      <c r="C15" s="188">
        <v>8000</v>
      </c>
      <c r="D15" s="189">
        <v>0</v>
      </c>
      <c r="E15" s="190">
        <v>8000</v>
      </c>
      <c r="F15" s="188">
        <v>800</v>
      </c>
      <c r="G15" s="191">
        <v>0</v>
      </c>
      <c r="H15" s="192">
        <f t="shared" si="0"/>
        <v>800</v>
      </c>
      <c r="I15" s="193">
        <v>10</v>
      </c>
      <c r="J15" s="194">
        <f t="shared" si="1"/>
        <v>810</v>
      </c>
      <c r="K15" s="195">
        <v>400</v>
      </c>
      <c r="L15" s="196">
        <v>0</v>
      </c>
      <c r="M15" s="197">
        <f t="shared" si="2"/>
        <v>400</v>
      </c>
      <c r="N15" s="198">
        <f t="shared" si="3"/>
        <v>1210</v>
      </c>
    </row>
    <row r="16" spans="1:14">
      <c r="A16" s="186">
        <v>8250</v>
      </c>
      <c r="B16" s="187">
        <v>8749.99</v>
      </c>
      <c r="C16" s="188">
        <v>8500</v>
      </c>
      <c r="D16" s="189">
        <v>0</v>
      </c>
      <c r="E16" s="190">
        <v>8500</v>
      </c>
      <c r="F16" s="188">
        <v>850</v>
      </c>
      <c r="G16" s="191">
        <v>0</v>
      </c>
      <c r="H16" s="192">
        <f t="shared" si="0"/>
        <v>850</v>
      </c>
      <c r="I16" s="193">
        <v>10</v>
      </c>
      <c r="J16" s="194">
        <f t="shared" si="1"/>
        <v>860</v>
      </c>
      <c r="K16" s="195">
        <v>425</v>
      </c>
      <c r="L16" s="196">
        <v>0</v>
      </c>
      <c r="M16" s="197">
        <f t="shared" si="2"/>
        <v>425</v>
      </c>
      <c r="N16" s="198">
        <f t="shared" si="3"/>
        <v>1285</v>
      </c>
    </row>
    <row r="17" spans="1:14">
      <c r="A17" s="186">
        <v>8750</v>
      </c>
      <c r="B17" s="187">
        <v>9249.99</v>
      </c>
      <c r="C17" s="188">
        <v>9000</v>
      </c>
      <c r="D17" s="189">
        <v>0</v>
      </c>
      <c r="E17" s="190">
        <v>9000</v>
      </c>
      <c r="F17" s="188">
        <v>900</v>
      </c>
      <c r="G17" s="191">
        <v>0</v>
      </c>
      <c r="H17" s="192">
        <f t="shared" si="0"/>
        <v>900</v>
      </c>
      <c r="I17" s="193">
        <v>10</v>
      </c>
      <c r="J17" s="194">
        <f t="shared" si="1"/>
        <v>910</v>
      </c>
      <c r="K17" s="195">
        <v>450</v>
      </c>
      <c r="L17" s="196">
        <v>0</v>
      </c>
      <c r="M17" s="197">
        <f t="shared" si="2"/>
        <v>450</v>
      </c>
      <c r="N17" s="198">
        <f t="shared" si="3"/>
        <v>1360</v>
      </c>
    </row>
    <row r="18" spans="1:14">
      <c r="A18" s="186">
        <v>9250</v>
      </c>
      <c r="B18" s="187">
        <v>9749.99</v>
      </c>
      <c r="C18" s="188">
        <v>9500</v>
      </c>
      <c r="D18" s="189">
        <v>0</v>
      </c>
      <c r="E18" s="190">
        <v>9500</v>
      </c>
      <c r="F18" s="188">
        <v>950</v>
      </c>
      <c r="G18" s="191">
        <v>0</v>
      </c>
      <c r="H18" s="192">
        <f t="shared" si="0"/>
        <v>950</v>
      </c>
      <c r="I18" s="193">
        <v>10</v>
      </c>
      <c r="J18" s="194">
        <f t="shared" si="1"/>
        <v>960</v>
      </c>
      <c r="K18" s="195">
        <v>475</v>
      </c>
      <c r="L18" s="196">
        <v>0</v>
      </c>
      <c r="M18" s="197">
        <f t="shared" si="2"/>
        <v>475</v>
      </c>
      <c r="N18" s="198">
        <f t="shared" si="3"/>
        <v>1435</v>
      </c>
    </row>
    <row r="19" spans="1:14">
      <c r="A19" s="186">
        <v>9750</v>
      </c>
      <c r="B19" s="187">
        <v>10249.99</v>
      </c>
      <c r="C19" s="188">
        <v>10000</v>
      </c>
      <c r="D19" s="189">
        <v>0</v>
      </c>
      <c r="E19" s="190">
        <v>10000</v>
      </c>
      <c r="F19" s="188">
        <v>1000</v>
      </c>
      <c r="G19" s="191">
        <v>0</v>
      </c>
      <c r="H19" s="192">
        <f t="shared" si="0"/>
        <v>1000</v>
      </c>
      <c r="I19" s="193">
        <v>10</v>
      </c>
      <c r="J19" s="194">
        <f t="shared" si="1"/>
        <v>1010</v>
      </c>
      <c r="K19" s="195">
        <v>500</v>
      </c>
      <c r="L19" s="196">
        <v>0</v>
      </c>
      <c r="M19" s="197">
        <f t="shared" si="2"/>
        <v>500</v>
      </c>
      <c r="N19" s="198">
        <f t="shared" si="3"/>
        <v>1510</v>
      </c>
    </row>
    <row r="20" spans="1:14">
      <c r="A20" s="186">
        <v>10250</v>
      </c>
      <c r="B20" s="187">
        <v>10749.99</v>
      </c>
      <c r="C20" s="188">
        <v>10500</v>
      </c>
      <c r="D20" s="189">
        <v>0</v>
      </c>
      <c r="E20" s="190">
        <v>10500</v>
      </c>
      <c r="F20" s="188">
        <v>1050</v>
      </c>
      <c r="G20" s="191">
        <v>0</v>
      </c>
      <c r="H20" s="192">
        <f t="shared" si="0"/>
        <v>1050</v>
      </c>
      <c r="I20" s="193">
        <v>10</v>
      </c>
      <c r="J20" s="194">
        <f t="shared" si="1"/>
        <v>1060</v>
      </c>
      <c r="K20" s="195">
        <v>525</v>
      </c>
      <c r="L20" s="196">
        <v>0</v>
      </c>
      <c r="M20" s="197">
        <f t="shared" si="2"/>
        <v>525</v>
      </c>
      <c r="N20" s="198">
        <f t="shared" si="3"/>
        <v>1585</v>
      </c>
    </row>
    <row r="21" spans="1:14">
      <c r="A21" s="186">
        <v>10750</v>
      </c>
      <c r="B21" s="187">
        <v>11249.99</v>
      </c>
      <c r="C21" s="188">
        <v>11000</v>
      </c>
      <c r="D21" s="189">
        <v>0</v>
      </c>
      <c r="E21" s="190">
        <v>11000</v>
      </c>
      <c r="F21" s="188">
        <v>1100</v>
      </c>
      <c r="G21" s="191">
        <v>0</v>
      </c>
      <c r="H21" s="192">
        <f t="shared" si="0"/>
        <v>1100</v>
      </c>
      <c r="I21" s="193">
        <v>10</v>
      </c>
      <c r="J21" s="194">
        <f t="shared" si="1"/>
        <v>1110</v>
      </c>
      <c r="K21" s="195">
        <v>550</v>
      </c>
      <c r="L21" s="196">
        <v>0</v>
      </c>
      <c r="M21" s="197">
        <f t="shared" si="2"/>
        <v>550</v>
      </c>
      <c r="N21" s="198">
        <f t="shared" si="3"/>
        <v>1660</v>
      </c>
    </row>
    <row r="22" spans="1:14">
      <c r="A22" s="186">
        <v>11250</v>
      </c>
      <c r="B22" s="187">
        <v>11749.99</v>
      </c>
      <c r="C22" s="188">
        <v>11500</v>
      </c>
      <c r="D22" s="189">
        <v>0</v>
      </c>
      <c r="E22" s="190">
        <v>11500</v>
      </c>
      <c r="F22" s="188">
        <v>1150</v>
      </c>
      <c r="G22" s="191">
        <v>0</v>
      </c>
      <c r="H22" s="192">
        <f t="shared" si="0"/>
        <v>1150</v>
      </c>
      <c r="I22" s="193">
        <v>10</v>
      </c>
      <c r="J22" s="194">
        <f t="shared" si="1"/>
        <v>1160</v>
      </c>
      <c r="K22" s="195">
        <v>575</v>
      </c>
      <c r="L22" s="196">
        <v>0</v>
      </c>
      <c r="M22" s="197">
        <f t="shared" si="2"/>
        <v>575</v>
      </c>
      <c r="N22" s="198">
        <f t="shared" si="3"/>
        <v>1735</v>
      </c>
    </row>
    <row r="23" spans="1:14">
      <c r="A23" s="186">
        <v>11750</v>
      </c>
      <c r="B23" s="187">
        <v>12249.99</v>
      </c>
      <c r="C23" s="188">
        <v>12000</v>
      </c>
      <c r="D23" s="189">
        <v>0</v>
      </c>
      <c r="E23" s="190">
        <v>12000</v>
      </c>
      <c r="F23" s="188">
        <v>1200</v>
      </c>
      <c r="G23" s="191">
        <v>0</v>
      </c>
      <c r="H23" s="192">
        <f t="shared" si="0"/>
        <v>1200</v>
      </c>
      <c r="I23" s="193">
        <v>10</v>
      </c>
      <c r="J23" s="194">
        <f t="shared" si="1"/>
        <v>1210</v>
      </c>
      <c r="K23" s="195">
        <v>600</v>
      </c>
      <c r="L23" s="196">
        <v>0</v>
      </c>
      <c r="M23" s="197">
        <f t="shared" si="2"/>
        <v>600</v>
      </c>
      <c r="N23" s="198">
        <f t="shared" si="3"/>
        <v>1810</v>
      </c>
    </row>
    <row r="24" spans="1:14">
      <c r="A24" s="186">
        <v>12250</v>
      </c>
      <c r="B24" s="187">
        <v>12749.99</v>
      </c>
      <c r="C24" s="188">
        <v>12500</v>
      </c>
      <c r="D24" s="189">
        <v>0</v>
      </c>
      <c r="E24" s="190">
        <v>12500</v>
      </c>
      <c r="F24" s="188">
        <v>1250</v>
      </c>
      <c r="G24" s="191">
        <v>0</v>
      </c>
      <c r="H24" s="192">
        <f t="shared" si="0"/>
        <v>1250</v>
      </c>
      <c r="I24" s="193">
        <v>10</v>
      </c>
      <c r="J24" s="194">
        <f t="shared" si="1"/>
        <v>1260</v>
      </c>
      <c r="K24" s="195">
        <v>625</v>
      </c>
      <c r="L24" s="196">
        <v>0</v>
      </c>
      <c r="M24" s="197">
        <f t="shared" si="2"/>
        <v>625</v>
      </c>
      <c r="N24" s="198">
        <f t="shared" si="3"/>
        <v>1885</v>
      </c>
    </row>
    <row r="25" spans="1:14">
      <c r="A25" s="186">
        <v>12750</v>
      </c>
      <c r="B25" s="187">
        <v>13249.99</v>
      </c>
      <c r="C25" s="188">
        <v>13000</v>
      </c>
      <c r="D25" s="189">
        <v>0</v>
      </c>
      <c r="E25" s="190">
        <v>13000</v>
      </c>
      <c r="F25" s="188">
        <v>1300</v>
      </c>
      <c r="G25" s="191">
        <v>0</v>
      </c>
      <c r="H25" s="192">
        <f t="shared" si="0"/>
        <v>1300</v>
      </c>
      <c r="I25" s="193">
        <v>10</v>
      </c>
      <c r="J25" s="194">
        <f t="shared" si="1"/>
        <v>1310</v>
      </c>
      <c r="K25" s="195">
        <v>650</v>
      </c>
      <c r="L25" s="196">
        <v>0</v>
      </c>
      <c r="M25" s="197">
        <f t="shared" si="2"/>
        <v>650</v>
      </c>
      <c r="N25" s="198">
        <f t="shared" si="3"/>
        <v>1960</v>
      </c>
    </row>
    <row r="26" spans="1:14">
      <c r="A26" s="186">
        <v>13250</v>
      </c>
      <c r="B26" s="187">
        <v>13749.99</v>
      </c>
      <c r="C26" s="188">
        <v>13500</v>
      </c>
      <c r="D26" s="189">
        <v>0</v>
      </c>
      <c r="E26" s="190">
        <v>13500</v>
      </c>
      <c r="F26" s="188">
        <v>1350</v>
      </c>
      <c r="G26" s="191">
        <v>0</v>
      </c>
      <c r="H26" s="192">
        <f t="shared" si="0"/>
        <v>1350</v>
      </c>
      <c r="I26" s="193">
        <v>10</v>
      </c>
      <c r="J26" s="194">
        <f t="shared" si="1"/>
        <v>1360</v>
      </c>
      <c r="K26" s="195">
        <v>675</v>
      </c>
      <c r="L26" s="196">
        <v>0</v>
      </c>
      <c r="M26" s="197">
        <f t="shared" si="2"/>
        <v>675</v>
      </c>
      <c r="N26" s="198">
        <f t="shared" si="3"/>
        <v>2035</v>
      </c>
    </row>
    <row r="27" spans="1:14">
      <c r="A27" s="186">
        <v>13750</v>
      </c>
      <c r="B27" s="187">
        <v>14249.99</v>
      </c>
      <c r="C27" s="188">
        <v>14000</v>
      </c>
      <c r="D27" s="189">
        <v>0</v>
      </c>
      <c r="E27" s="190">
        <v>14000</v>
      </c>
      <c r="F27" s="188">
        <v>1400</v>
      </c>
      <c r="G27" s="191">
        <v>0</v>
      </c>
      <c r="H27" s="192">
        <f t="shared" si="0"/>
        <v>1400</v>
      </c>
      <c r="I27" s="193">
        <v>10</v>
      </c>
      <c r="J27" s="194">
        <f t="shared" si="1"/>
        <v>1410</v>
      </c>
      <c r="K27" s="195">
        <v>700</v>
      </c>
      <c r="L27" s="196">
        <v>0</v>
      </c>
      <c r="M27" s="197">
        <f t="shared" si="2"/>
        <v>700</v>
      </c>
      <c r="N27" s="198">
        <f t="shared" si="3"/>
        <v>2110</v>
      </c>
    </row>
    <row r="28" spans="1:14">
      <c r="A28" s="186">
        <v>14250</v>
      </c>
      <c r="B28" s="187">
        <v>14749.99</v>
      </c>
      <c r="C28" s="188">
        <v>14500</v>
      </c>
      <c r="D28" s="189">
        <v>0</v>
      </c>
      <c r="E28" s="190">
        <v>14500</v>
      </c>
      <c r="F28" s="188">
        <v>1450</v>
      </c>
      <c r="G28" s="191">
        <v>0</v>
      </c>
      <c r="H28" s="192">
        <f t="shared" si="0"/>
        <v>1450</v>
      </c>
      <c r="I28" s="193">
        <v>10</v>
      </c>
      <c r="J28" s="194">
        <f t="shared" si="1"/>
        <v>1460</v>
      </c>
      <c r="K28" s="195">
        <v>725</v>
      </c>
      <c r="L28" s="196">
        <v>0</v>
      </c>
      <c r="M28" s="197">
        <f t="shared" si="2"/>
        <v>725</v>
      </c>
      <c r="N28" s="198">
        <f t="shared" si="3"/>
        <v>2185</v>
      </c>
    </row>
    <row r="29" spans="1:14">
      <c r="A29" s="186">
        <v>14750</v>
      </c>
      <c r="B29" s="187">
        <v>15249.99</v>
      </c>
      <c r="C29" s="188">
        <v>15000</v>
      </c>
      <c r="D29" s="189">
        <v>0</v>
      </c>
      <c r="E29" s="190">
        <v>15000</v>
      </c>
      <c r="F29" s="188">
        <v>1500</v>
      </c>
      <c r="G29" s="191">
        <v>0</v>
      </c>
      <c r="H29" s="192">
        <f t="shared" si="0"/>
        <v>1500</v>
      </c>
      <c r="I29" s="193">
        <v>30</v>
      </c>
      <c r="J29" s="194">
        <f t="shared" si="1"/>
        <v>1530</v>
      </c>
      <c r="K29" s="195">
        <v>750</v>
      </c>
      <c r="L29" s="196">
        <v>0</v>
      </c>
      <c r="M29" s="197">
        <f t="shared" si="2"/>
        <v>750</v>
      </c>
      <c r="N29" s="198">
        <f t="shared" si="3"/>
        <v>2280</v>
      </c>
    </row>
    <row r="30" spans="1:14">
      <c r="A30" s="186">
        <v>15250</v>
      </c>
      <c r="B30" s="187">
        <v>15749.99</v>
      </c>
      <c r="C30" s="188">
        <v>15500</v>
      </c>
      <c r="D30" s="189">
        <v>0</v>
      </c>
      <c r="E30" s="190">
        <v>15500</v>
      </c>
      <c r="F30" s="188">
        <v>1550</v>
      </c>
      <c r="G30" s="191">
        <v>0</v>
      </c>
      <c r="H30" s="192">
        <f t="shared" si="0"/>
        <v>1550</v>
      </c>
      <c r="I30" s="193">
        <v>30</v>
      </c>
      <c r="J30" s="194">
        <f t="shared" si="1"/>
        <v>1580</v>
      </c>
      <c r="K30" s="195">
        <v>775</v>
      </c>
      <c r="L30" s="196">
        <v>0</v>
      </c>
      <c r="M30" s="197">
        <f t="shared" si="2"/>
        <v>775</v>
      </c>
      <c r="N30" s="198">
        <f t="shared" si="3"/>
        <v>2355</v>
      </c>
    </row>
    <row r="31" spans="1:14">
      <c r="A31" s="186">
        <v>15750</v>
      </c>
      <c r="B31" s="187">
        <v>16249.99</v>
      </c>
      <c r="C31" s="188">
        <v>16000</v>
      </c>
      <c r="D31" s="189">
        <v>0</v>
      </c>
      <c r="E31" s="190">
        <v>16000</v>
      </c>
      <c r="F31" s="188">
        <v>1600</v>
      </c>
      <c r="G31" s="191">
        <v>0</v>
      </c>
      <c r="H31" s="192">
        <f t="shared" si="0"/>
        <v>1600</v>
      </c>
      <c r="I31" s="193">
        <v>30</v>
      </c>
      <c r="J31" s="194">
        <f t="shared" si="1"/>
        <v>1630</v>
      </c>
      <c r="K31" s="195">
        <v>800</v>
      </c>
      <c r="L31" s="196">
        <v>0</v>
      </c>
      <c r="M31" s="197">
        <f t="shared" si="2"/>
        <v>800</v>
      </c>
      <c r="N31" s="198">
        <f t="shared" si="3"/>
        <v>2430</v>
      </c>
    </row>
    <row r="32" spans="1:14">
      <c r="A32" s="186">
        <v>16250</v>
      </c>
      <c r="B32" s="187">
        <v>16749.990000000002</v>
      </c>
      <c r="C32" s="188">
        <v>16500</v>
      </c>
      <c r="D32" s="189">
        <v>0</v>
      </c>
      <c r="E32" s="190">
        <v>16500</v>
      </c>
      <c r="F32" s="188">
        <v>1650</v>
      </c>
      <c r="G32" s="191">
        <v>0</v>
      </c>
      <c r="H32" s="192">
        <f t="shared" si="0"/>
        <v>1650</v>
      </c>
      <c r="I32" s="193">
        <v>30</v>
      </c>
      <c r="J32" s="194">
        <f t="shared" si="1"/>
        <v>1680</v>
      </c>
      <c r="K32" s="195">
        <v>825</v>
      </c>
      <c r="L32" s="196">
        <v>0</v>
      </c>
      <c r="M32" s="197">
        <f t="shared" si="2"/>
        <v>825</v>
      </c>
      <c r="N32" s="198">
        <f t="shared" si="3"/>
        <v>2505</v>
      </c>
    </row>
    <row r="33" spans="1:14">
      <c r="A33" s="186">
        <v>16750</v>
      </c>
      <c r="B33" s="187">
        <v>17249.990000000002</v>
      </c>
      <c r="C33" s="188">
        <v>17000</v>
      </c>
      <c r="D33" s="189">
        <v>0</v>
      </c>
      <c r="E33" s="190">
        <v>17000</v>
      </c>
      <c r="F33" s="188">
        <v>1700</v>
      </c>
      <c r="G33" s="191">
        <v>0</v>
      </c>
      <c r="H33" s="192">
        <f t="shared" si="0"/>
        <v>1700</v>
      </c>
      <c r="I33" s="193">
        <v>30</v>
      </c>
      <c r="J33" s="194">
        <f t="shared" si="1"/>
        <v>1730</v>
      </c>
      <c r="K33" s="195">
        <v>850</v>
      </c>
      <c r="L33" s="196">
        <v>0</v>
      </c>
      <c r="M33" s="197">
        <f t="shared" si="2"/>
        <v>850</v>
      </c>
      <c r="N33" s="198">
        <f t="shared" si="3"/>
        <v>2580</v>
      </c>
    </row>
    <row r="34" spans="1:14">
      <c r="A34" s="186">
        <v>17250</v>
      </c>
      <c r="B34" s="187">
        <v>17749.990000000002</v>
      </c>
      <c r="C34" s="188">
        <v>17500</v>
      </c>
      <c r="D34" s="189">
        <v>0</v>
      </c>
      <c r="E34" s="190">
        <v>17500</v>
      </c>
      <c r="F34" s="188">
        <v>1750</v>
      </c>
      <c r="G34" s="191">
        <v>0</v>
      </c>
      <c r="H34" s="192">
        <f t="shared" si="0"/>
        <v>1750</v>
      </c>
      <c r="I34" s="193">
        <v>30</v>
      </c>
      <c r="J34" s="194">
        <f t="shared" si="1"/>
        <v>1780</v>
      </c>
      <c r="K34" s="195">
        <v>875</v>
      </c>
      <c r="L34" s="196">
        <v>0</v>
      </c>
      <c r="M34" s="197">
        <f t="shared" si="2"/>
        <v>875</v>
      </c>
      <c r="N34" s="198">
        <f t="shared" si="3"/>
        <v>2655</v>
      </c>
    </row>
    <row r="35" spans="1:14">
      <c r="A35" s="186">
        <v>17750</v>
      </c>
      <c r="B35" s="187">
        <v>18249.990000000002</v>
      </c>
      <c r="C35" s="188">
        <v>18000</v>
      </c>
      <c r="D35" s="189">
        <v>0</v>
      </c>
      <c r="E35" s="190">
        <v>18000</v>
      </c>
      <c r="F35" s="188">
        <v>1800</v>
      </c>
      <c r="G35" s="191">
        <v>0</v>
      </c>
      <c r="H35" s="192">
        <f t="shared" si="0"/>
        <v>1800</v>
      </c>
      <c r="I35" s="193">
        <v>30</v>
      </c>
      <c r="J35" s="194">
        <f t="shared" si="1"/>
        <v>1830</v>
      </c>
      <c r="K35" s="195">
        <v>900</v>
      </c>
      <c r="L35" s="196">
        <v>0</v>
      </c>
      <c r="M35" s="197">
        <f t="shared" si="2"/>
        <v>900</v>
      </c>
      <c r="N35" s="198">
        <f t="shared" si="3"/>
        <v>2730</v>
      </c>
    </row>
    <row r="36" spans="1:14">
      <c r="A36" s="186">
        <v>18250</v>
      </c>
      <c r="B36" s="187">
        <v>18749.990000000002</v>
      </c>
      <c r="C36" s="188">
        <v>18500</v>
      </c>
      <c r="D36" s="189">
        <v>0</v>
      </c>
      <c r="E36" s="190">
        <v>18500</v>
      </c>
      <c r="F36" s="188">
        <v>1850</v>
      </c>
      <c r="G36" s="191">
        <v>0</v>
      </c>
      <c r="H36" s="192">
        <f t="shared" si="0"/>
        <v>1850</v>
      </c>
      <c r="I36" s="193">
        <v>30</v>
      </c>
      <c r="J36" s="194">
        <f t="shared" si="1"/>
        <v>1880</v>
      </c>
      <c r="K36" s="195">
        <v>925</v>
      </c>
      <c r="L36" s="196">
        <v>0</v>
      </c>
      <c r="M36" s="197">
        <f t="shared" si="2"/>
        <v>925</v>
      </c>
      <c r="N36" s="198">
        <f t="shared" si="3"/>
        <v>2805</v>
      </c>
    </row>
    <row r="37" spans="1:14">
      <c r="A37" s="186">
        <v>18750</v>
      </c>
      <c r="B37" s="187">
        <v>19249.990000000002</v>
      </c>
      <c r="C37" s="188">
        <v>19000</v>
      </c>
      <c r="D37" s="189">
        <v>0</v>
      </c>
      <c r="E37" s="190">
        <v>19000</v>
      </c>
      <c r="F37" s="188">
        <v>1900</v>
      </c>
      <c r="G37" s="191">
        <v>0</v>
      </c>
      <c r="H37" s="192">
        <f t="shared" si="0"/>
        <v>1900</v>
      </c>
      <c r="I37" s="193">
        <v>30</v>
      </c>
      <c r="J37" s="194">
        <f t="shared" si="1"/>
        <v>1930</v>
      </c>
      <c r="K37" s="195">
        <v>950</v>
      </c>
      <c r="L37" s="196">
        <v>0</v>
      </c>
      <c r="M37" s="197">
        <f t="shared" si="2"/>
        <v>950</v>
      </c>
      <c r="N37" s="198">
        <f t="shared" si="3"/>
        <v>2880</v>
      </c>
    </row>
    <row r="38" spans="1:14">
      <c r="A38" s="186">
        <v>19250</v>
      </c>
      <c r="B38" s="187">
        <v>19749.990000000002</v>
      </c>
      <c r="C38" s="188">
        <v>19500</v>
      </c>
      <c r="D38" s="189">
        <v>0</v>
      </c>
      <c r="E38" s="190">
        <v>19500</v>
      </c>
      <c r="F38" s="188">
        <v>1950</v>
      </c>
      <c r="G38" s="191">
        <v>0</v>
      </c>
      <c r="H38" s="192">
        <f t="shared" si="0"/>
        <v>1950</v>
      </c>
      <c r="I38" s="193">
        <v>30</v>
      </c>
      <c r="J38" s="194">
        <f t="shared" si="1"/>
        <v>1980</v>
      </c>
      <c r="K38" s="195">
        <v>975</v>
      </c>
      <c r="L38" s="196">
        <v>0</v>
      </c>
      <c r="M38" s="197">
        <f t="shared" si="2"/>
        <v>975</v>
      </c>
      <c r="N38" s="198">
        <f t="shared" si="3"/>
        <v>2955</v>
      </c>
    </row>
    <row r="39" spans="1:14">
      <c r="A39" s="186">
        <v>19750</v>
      </c>
      <c r="B39" s="187">
        <v>20249.990000000002</v>
      </c>
      <c r="C39" s="188">
        <v>20000</v>
      </c>
      <c r="D39" s="189">
        <v>0</v>
      </c>
      <c r="E39" s="190">
        <v>20000</v>
      </c>
      <c r="F39" s="188">
        <v>2000</v>
      </c>
      <c r="G39" s="191">
        <v>0</v>
      </c>
      <c r="H39" s="192">
        <f t="shared" si="0"/>
        <v>2000</v>
      </c>
      <c r="I39" s="193">
        <v>30</v>
      </c>
      <c r="J39" s="194">
        <f t="shared" si="1"/>
        <v>2030</v>
      </c>
      <c r="K39" s="199">
        <v>1000</v>
      </c>
      <c r="L39" s="196">
        <v>0</v>
      </c>
      <c r="M39" s="197">
        <f t="shared" si="2"/>
        <v>1000</v>
      </c>
      <c r="N39" s="198">
        <f t="shared" si="3"/>
        <v>3030</v>
      </c>
    </row>
    <row r="40" spans="1:14">
      <c r="A40" s="186">
        <v>20250</v>
      </c>
      <c r="B40" s="187">
        <v>20749.990000000002</v>
      </c>
      <c r="C40" s="188">
        <v>20000</v>
      </c>
      <c r="D40" s="189">
        <v>500</v>
      </c>
      <c r="E40" s="190">
        <v>20500</v>
      </c>
      <c r="F40" s="188">
        <v>2000</v>
      </c>
      <c r="G40" s="191">
        <v>50</v>
      </c>
      <c r="H40" s="192">
        <f t="shared" si="0"/>
        <v>2050</v>
      </c>
      <c r="I40" s="193">
        <v>30</v>
      </c>
      <c r="J40" s="194">
        <f t="shared" si="1"/>
        <v>2080</v>
      </c>
      <c r="K40" s="199">
        <v>1000</v>
      </c>
      <c r="L40" s="196">
        <v>25</v>
      </c>
      <c r="M40" s="197">
        <f t="shared" si="2"/>
        <v>1025</v>
      </c>
      <c r="N40" s="198">
        <f t="shared" si="3"/>
        <v>3105</v>
      </c>
    </row>
    <row r="41" spans="1:14">
      <c r="A41" s="186">
        <v>20750</v>
      </c>
      <c r="B41" s="187">
        <v>21249.99</v>
      </c>
      <c r="C41" s="188">
        <v>20000</v>
      </c>
      <c r="D41" s="189">
        <v>1000</v>
      </c>
      <c r="E41" s="190">
        <v>21000</v>
      </c>
      <c r="F41" s="188">
        <v>2000</v>
      </c>
      <c r="G41" s="191">
        <v>100</v>
      </c>
      <c r="H41" s="192">
        <f t="shared" si="0"/>
        <v>2100</v>
      </c>
      <c r="I41" s="193">
        <v>30</v>
      </c>
      <c r="J41" s="194">
        <f t="shared" si="1"/>
        <v>2130</v>
      </c>
      <c r="K41" s="199">
        <v>1000</v>
      </c>
      <c r="L41" s="196">
        <v>50</v>
      </c>
      <c r="M41" s="197">
        <f t="shared" si="2"/>
        <v>1050</v>
      </c>
      <c r="N41" s="198">
        <f t="shared" si="3"/>
        <v>3180</v>
      </c>
    </row>
    <row r="42" spans="1:14">
      <c r="A42" s="186">
        <v>21250</v>
      </c>
      <c r="B42" s="187">
        <v>21749.99</v>
      </c>
      <c r="C42" s="188">
        <v>20000</v>
      </c>
      <c r="D42" s="189">
        <v>1500</v>
      </c>
      <c r="E42" s="190">
        <v>21500</v>
      </c>
      <c r="F42" s="188">
        <v>2000</v>
      </c>
      <c r="G42" s="191">
        <v>150</v>
      </c>
      <c r="H42" s="192">
        <f t="shared" si="0"/>
        <v>2150</v>
      </c>
      <c r="I42" s="193">
        <v>30</v>
      </c>
      <c r="J42" s="194">
        <f t="shared" si="1"/>
        <v>2180</v>
      </c>
      <c r="K42" s="199">
        <v>1000</v>
      </c>
      <c r="L42" s="196">
        <v>75</v>
      </c>
      <c r="M42" s="197">
        <f t="shared" si="2"/>
        <v>1075</v>
      </c>
      <c r="N42" s="198">
        <f t="shared" si="3"/>
        <v>3255</v>
      </c>
    </row>
    <row r="43" spans="1:14">
      <c r="A43" s="186">
        <v>21750</v>
      </c>
      <c r="B43" s="187">
        <v>22249.99</v>
      </c>
      <c r="C43" s="188">
        <v>20000</v>
      </c>
      <c r="D43" s="189">
        <v>2000</v>
      </c>
      <c r="E43" s="190">
        <v>22000</v>
      </c>
      <c r="F43" s="188">
        <v>2000</v>
      </c>
      <c r="G43" s="191">
        <v>200</v>
      </c>
      <c r="H43" s="192">
        <f t="shared" si="0"/>
        <v>2200</v>
      </c>
      <c r="I43" s="193">
        <v>30</v>
      </c>
      <c r="J43" s="194">
        <f t="shared" si="1"/>
        <v>2230</v>
      </c>
      <c r="K43" s="199">
        <v>1000</v>
      </c>
      <c r="L43" s="196">
        <v>100</v>
      </c>
      <c r="M43" s="197">
        <f t="shared" si="2"/>
        <v>1100</v>
      </c>
      <c r="N43" s="198">
        <f t="shared" si="3"/>
        <v>3330</v>
      </c>
    </row>
    <row r="44" spans="1:14">
      <c r="A44" s="186">
        <v>22250</v>
      </c>
      <c r="B44" s="187">
        <v>22749.99</v>
      </c>
      <c r="C44" s="188">
        <v>20000</v>
      </c>
      <c r="D44" s="189">
        <v>2500</v>
      </c>
      <c r="E44" s="190">
        <v>22500</v>
      </c>
      <c r="F44" s="188">
        <v>2000</v>
      </c>
      <c r="G44" s="191">
        <v>250</v>
      </c>
      <c r="H44" s="192">
        <f t="shared" si="0"/>
        <v>2250</v>
      </c>
      <c r="I44" s="193">
        <v>30</v>
      </c>
      <c r="J44" s="194">
        <f t="shared" si="1"/>
        <v>2280</v>
      </c>
      <c r="K44" s="199">
        <v>1000</v>
      </c>
      <c r="L44" s="196">
        <v>125</v>
      </c>
      <c r="M44" s="197">
        <f t="shared" si="2"/>
        <v>1125</v>
      </c>
      <c r="N44" s="198">
        <f t="shared" si="3"/>
        <v>3405</v>
      </c>
    </row>
    <row r="45" spans="1:14">
      <c r="A45" s="186">
        <v>22750</v>
      </c>
      <c r="B45" s="187">
        <v>23249.99</v>
      </c>
      <c r="C45" s="188">
        <v>20000</v>
      </c>
      <c r="D45" s="189">
        <v>3000</v>
      </c>
      <c r="E45" s="190">
        <v>23000</v>
      </c>
      <c r="F45" s="188">
        <v>2000</v>
      </c>
      <c r="G45" s="191">
        <v>300</v>
      </c>
      <c r="H45" s="192">
        <f t="shared" si="0"/>
        <v>2300</v>
      </c>
      <c r="I45" s="193">
        <v>30</v>
      </c>
      <c r="J45" s="194">
        <f t="shared" si="1"/>
        <v>2330</v>
      </c>
      <c r="K45" s="199">
        <v>1000</v>
      </c>
      <c r="L45" s="196">
        <v>150</v>
      </c>
      <c r="M45" s="197">
        <f t="shared" si="2"/>
        <v>1150</v>
      </c>
      <c r="N45" s="198">
        <f t="shared" si="3"/>
        <v>3480</v>
      </c>
    </row>
    <row r="46" spans="1:14">
      <c r="A46" s="186">
        <v>23250</v>
      </c>
      <c r="B46" s="187">
        <v>23749.99</v>
      </c>
      <c r="C46" s="188">
        <v>20000</v>
      </c>
      <c r="D46" s="189">
        <v>3500</v>
      </c>
      <c r="E46" s="190">
        <v>23500</v>
      </c>
      <c r="F46" s="188">
        <v>2000</v>
      </c>
      <c r="G46" s="191">
        <v>350</v>
      </c>
      <c r="H46" s="192">
        <f t="shared" si="0"/>
        <v>2350</v>
      </c>
      <c r="I46" s="193">
        <v>30</v>
      </c>
      <c r="J46" s="194">
        <f t="shared" si="1"/>
        <v>2380</v>
      </c>
      <c r="K46" s="199">
        <v>1000</v>
      </c>
      <c r="L46" s="196">
        <v>175</v>
      </c>
      <c r="M46" s="197">
        <f t="shared" si="2"/>
        <v>1175</v>
      </c>
      <c r="N46" s="198">
        <f t="shared" si="3"/>
        <v>3555</v>
      </c>
    </row>
    <row r="47" spans="1:14">
      <c r="A47" s="186">
        <v>23750</v>
      </c>
      <c r="B47" s="187">
        <v>24249.99</v>
      </c>
      <c r="C47" s="188">
        <v>20000</v>
      </c>
      <c r="D47" s="189">
        <v>4000</v>
      </c>
      <c r="E47" s="190">
        <v>24000</v>
      </c>
      <c r="F47" s="188">
        <v>2000</v>
      </c>
      <c r="G47" s="191">
        <v>400</v>
      </c>
      <c r="H47" s="192">
        <f t="shared" si="0"/>
        <v>2400</v>
      </c>
      <c r="I47" s="193">
        <v>30</v>
      </c>
      <c r="J47" s="194">
        <f t="shared" si="1"/>
        <v>2430</v>
      </c>
      <c r="K47" s="199">
        <v>1000</v>
      </c>
      <c r="L47" s="196">
        <v>200</v>
      </c>
      <c r="M47" s="197">
        <f t="shared" si="2"/>
        <v>1200</v>
      </c>
      <c r="N47" s="198">
        <f t="shared" si="3"/>
        <v>3630</v>
      </c>
    </row>
    <row r="48" spans="1:14">
      <c r="A48" s="186">
        <v>24250</v>
      </c>
      <c r="B48" s="187">
        <v>24749.99</v>
      </c>
      <c r="C48" s="188">
        <v>20000</v>
      </c>
      <c r="D48" s="189">
        <v>4500</v>
      </c>
      <c r="E48" s="190">
        <v>24500</v>
      </c>
      <c r="F48" s="188">
        <v>2000</v>
      </c>
      <c r="G48" s="191">
        <v>450</v>
      </c>
      <c r="H48" s="192">
        <f t="shared" si="0"/>
        <v>2450</v>
      </c>
      <c r="I48" s="193">
        <v>30</v>
      </c>
      <c r="J48" s="194">
        <f t="shared" si="1"/>
        <v>2480</v>
      </c>
      <c r="K48" s="199">
        <v>1000</v>
      </c>
      <c r="L48" s="196">
        <v>225</v>
      </c>
      <c r="M48" s="197">
        <f t="shared" si="2"/>
        <v>1225</v>
      </c>
      <c r="N48" s="198">
        <f t="shared" si="3"/>
        <v>3705</v>
      </c>
    </row>
    <row r="49" spans="1:14">
      <c r="A49" s="186">
        <v>24750</v>
      </c>
      <c r="B49" s="187">
        <v>25249.99</v>
      </c>
      <c r="C49" s="188">
        <v>20000</v>
      </c>
      <c r="D49" s="189">
        <v>5000</v>
      </c>
      <c r="E49" s="190">
        <v>25000</v>
      </c>
      <c r="F49" s="188">
        <v>2000</v>
      </c>
      <c r="G49" s="191">
        <v>500</v>
      </c>
      <c r="H49" s="192">
        <f t="shared" si="0"/>
        <v>2500</v>
      </c>
      <c r="I49" s="193">
        <v>30</v>
      </c>
      <c r="J49" s="194">
        <f t="shared" si="1"/>
        <v>2530</v>
      </c>
      <c r="K49" s="199">
        <v>1000</v>
      </c>
      <c r="L49" s="196">
        <v>250</v>
      </c>
      <c r="M49" s="197">
        <f t="shared" si="2"/>
        <v>1250</v>
      </c>
      <c r="N49" s="198">
        <f t="shared" si="3"/>
        <v>3780</v>
      </c>
    </row>
    <row r="50" spans="1:14">
      <c r="A50" s="186">
        <v>25250</v>
      </c>
      <c r="B50" s="187">
        <v>25749.99</v>
      </c>
      <c r="C50" s="188">
        <v>20000</v>
      </c>
      <c r="D50" s="189">
        <v>5500</v>
      </c>
      <c r="E50" s="190">
        <v>25500</v>
      </c>
      <c r="F50" s="188">
        <v>2000</v>
      </c>
      <c r="G50" s="191">
        <v>550</v>
      </c>
      <c r="H50" s="192">
        <f t="shared" si="0"/>
        <v>2550</v>
      </c>
      <c r="I50" s="193">
        <v>30</v>
      </c>
      <c r="J50" s="194">
        <f t="shared" si="1"/>
        <v>2580</v>
      </c>
      <c r="K50" s="199">
        <v>1000</v>
      </c>
      <c r="L50" s="196">
        <v>275</v>
      </c>
      <c r="M50" s="197">
        <f t="shared" si="2"/>
        <v>1275</v>
      </c>
      <c r="N50" s="198">
        <f t="shared" si="3"/>
        <v>3855</v>
      </c>
    </row>
    <row r="51" spans="1:14">
      <c r="A51" s="186">
        <v>25750</v>
      </c>
      <c r="B51" s="187">
        <v>26249.99</v>
      </c>
      <c r="C51" s="188">
        <v>20000</v>
      </c>
      <c r="D51" s="189">
        <v>6000</v>
      </c>
      <c r="E51" s="190">
        <v>26000</v>
      </c>
      <c r="F51" s="188">
        <v>2000</v>
      </c>
      <c r="G51" s="191">
        <v>600</v>
      </c>
      <c r="H51" s="192">
        <f t="shared" si="0"/>
        <v>2600</v>
      </c>
      <c r="I51" s="193">
        <v>30</v>
      </c>
      <c r="J51" s="194">
        <f t="shared" si="1"/>
        <v>2630</v>
      </c>
      <c r="K51" s="199">
        <v>1000</v>
      </c>
      <c r="L51" s="196">
        <v>300</v>
      </c>
      <c r="M51" s="197">
        <f t="shared" si="2"/>
        <v>1300</v>
      </c>
      <c r="N51" s="198">
        <f t="shared" si="3"/>
        <v>3930</v>
      </c>
    </row>
    <row r="52" spans="1:14">
      <c r="A52" s="186">
        <v>26250</v>
      </c>
      <c r="B52" s="187">
        <v>26749.99</v>
      </c>
      <c r="C52" s="188">
        <v>20000</v>
      </c>
      <c r="D52" s="189">
        <v>6500</v>
      </c>
      <c r="E52" s="190">
        <v>26500</v>
      </c>
      <c r="F52" s="188">
        <v>2000</v>
      </c>
      <c r="G52" s="191">
        <v>650</v>
      </c>
      <c r="H52" s="192">
        <f t="shared" si="0"/>
        <v>2650</v>
      </c>
      <c r="I52" s="193">
        <v>30</v>
      </c>
      <c r="J52" s="194">
        <f t="shared" si="1"/>
        <v>2680</v>
      </c>
      <c r="K52" s="199">
        <v>1000</v>
      </c>
      <c r="L52" s="196">
        <v>325</v>
      </c>
      <c r="M52" s="197">
        <f t="shared" si="2"/>
        <v>1325</v>
      </c>
      <c r="N52" s="198">
        <f t="shared" si="3"/>
        <v>4005</v>
      </c>
    </row>
    <row r="53" spans="1:14">
      <c r="A53" s="186">
        <v>26750</v>
      </c>
      <c r="B53" s="187">
        <v>27249.99</v>
      </c>
      <c r="C53" s="188">
        <v>20000</v>
      </c>
      <c r="D53" s="189">
        <v>7000</v>
      </c>
      <c r="E53" s="190">
        <v>27000</v>
      </c>
      <c r="F53" s="188">
        <v>2000</v>
      </c>
      <c r="G53" s="191">
        <v>700</v>
      </c>
      <c r="H53" s="192">
        <f t="shared" si="0"/>
        <v>2700</v>
      </c>
      <c r="I53" s="193">
        <v>30</v>
      </c>
      <c r="J53" s="194">
        <f t="shared" si="1"/>
        <v>2730</v>
      </c>
      <c r="K53" s="199">
        <v>1000</v>
      </c>
      <c r="L53" s="196">
        <v>350</v>
      </c>
      <c r="M53" s="197">
        <f t="shared" si="2"/>
        <v>1350</v>
      </c>
      <c r="N53" s="198">
        <f t="shared" si="3"/>
        <v>4080</v>
      </c>
    </row>
    <row r="54" spans="1:14">
      <c r="A54" s="186">
        <v>27250</v>
      </c>
      <c r="B54" s="187">
        <v>27749.99</v>
      </c>
      <c r="C54" s="188">
        <v>20000</v>
      </c>
      <c r="D54" s="189">
        <v>7500</v>
      </c>
      <c r="E54" s="190">
        <v>27500</v>
      </c>
      <c r="F54" s="188">
        <v>2000</v>
      </c>
      <c r="G54" s="191">
        <v>750</v>
      </c>
      <c r="H54" s="192">
        <f t="shared" si="0"/>
        <v>2750</v>
      </c>
      <c r="I54" s="193">
        <v>30</v>
      </c>
      <c r="J54" s="194">
        <f t="shared" si="1"/>
        <v>2780</v>
      </c>
      <c r="K54" s="199">
        <v>1000</v>
      </c>
      <c r="L54" s="196">
        <v>375</v>
      </c>
      <c r="M54" s="197">
        <f t="shared" si="2"/>
        <v>1375</v>
      </c>
      <c r="N54" s="198">
        <f t="shared" si="3"/>
        <v>4155</v>
      </c>
    </row>
    <row r="55" spans="1:14">
      <c r="A55" s="186">
        <v>27750</v>
      </c>
      <c r="B55" s="187">
        <v>28249.99</v>
      </c>
      <c r="C55" s="188">
        <v>20000</v>
      </c>
      <c r="D55" s="189">
        <v>8000</v>
      </c>
      <c r="E55" s="190">
        <v>28000</v>
      </c>
      <c r="F55" s="188">
        <v>2000</v>
      </c>
      <c r="G55" s="191">
        <v>800</v>
      </c>
      <c r="H55" s="192">
        <f t="shared" si="0"/>
        <v>2800</v>
      </c>
      <c r="I55" s="193">
        <v>30</v>
      </c>
      <c r="J55" s="194">
        <f t="shared" si="1"/>
        <v>2830</v>
      </c>
      <c r="K55" s="199">
        <v>1000</v>
      </c>
      <c r="L55" s="196">
        <v>400</v>
      </c>
      <c r="M55" s="197">
        <f t="shared" si="2"/>
        <v>1400</v>
      </c>
      <c r="N55" s="198">
        <f t="shared" si="3"/>
        <v>4230</v>
      </c>
    </row>
    <row r="56" spans="1:14">
      <c r="A56" s="186">
        <v>28250</v>
      </c>
      <c r="B56" s="187">
        <v>28749.99</v>
      </c>
      <c r="C56" s="188">
        <v>20000</v>
      </c>
      <c r="D56" s="189">
        <v>8500</v>
      </c>
      <c r="E56" s="190">
        <v>28500</v>
      </c>
      <c r="F56" s="188">
        <v>2000</v>
      </c>
      <c r="G56" s="191">
        <v>850</v>
      </c>
      <c r="H56" s="192">
        <f t="shared" si="0"/>
        <v>2850</v>
      </c>
      <c r="I56" s="193">
        <v>30</v>
      </c>
      <c r="J56" s="194">
        <f t="shared" si="1"/>
        <v>2880</v>
      </c>
      <c r="K56" s="199">
        <v>1000</v>
      </c>
      <c r="L56" s="196">
        <v>425</v>
      </c>
      <c r="M56" s="197">
        <f t="shared" si="2"/>
        <v>1425</v>
      </c>
      <c r="N56" s="198">
        <f t="shared" si="3"/>
        <v>4305</v>
      </c>
    </row>
    <row r="57" spans="1:14">
      <c r="A57" s="186">
        <v>28750</v>
      </c>
      <c r="B57" s="187">
        <v>29249.99</v>
      </c>
      <c r="C57" s="188">
        <v>20000</v>
      </c>
      <c r="D57" s="189">
        <v>9000</v>
      </c>
      <c r="E57" s="190">
        <v>29000</v>
      </c>
      <c r="F57" s="188">
        <v>2000</v>
      </c>
      <c r="G57" s="191">
        <v>900</v>
      </c>
      <c r="H57" s="192">
        <f t="shared" si="0"/>
        <v>2900</v>
      </c>
      <c r="I57" s="193">
        <v>30</v>
      </c>
      <c r="J57" s="194">
        <f t="shared" si="1"/>
        <v>2930</v>
      </c>
      <c r="K57" s="199">
        <v>1000</v>
      </c>
      <c r="L57" s="196">
        <v>450</v>
      </c>
      <c r="M57" s="197">
        <f t="shared" si="2"/>
        <v>1450</v>
      </c>
      <c r="N57" s="198">
        <f t="shared" si="3"/>
        <v>4380</v>
      </c>
    </row>
    <row r="58" spans="1:14">
      <c r="A58" s="186">
        <v>29250</v>
      </c>
      <c r="B58" s="187">
        <v>29749.99</v>
      </c>
      <c r="C58" s="188">
        <v>20000</v>
      </c>
      <c r="D58" s="189">
        <v>9500</v>
      </c>
      <c r="E58" s="190">
        <v>29500</v>
      </c>
      <c r="F58" s="188">
        <v>2000</v>
      </c>
      <c r="G58" s="191">
        <v>950</v>
      </c>
      <c r="H58" s="192">
        <f t="shared" si="0"/>
        <v>2950</v>
      </c>
      <c r="I58" s="193">
        <v>30</v>
      </c>
      <c r="J58" s="194">
        <f t="shared" si="1"/>
        <v>2980</v>
      </c>
      <c r="K58" s="199">
        <v>1000</v>
      </c>
      <c r="L58" s="196">
        <v>475</v>
      </c>
      <c r="M58" s="197">
        <f t="shared" si="2"/>
        <v>1475</v>
      </c>
      <c r="N58" s="198">
        <f t="shared" si="3"/>
        <v>4455</v>
      </c>
    </row>
    <row r="59" spans="1:14">
      <c r="A59" s="186">
        <v>29750</v>
      </c>
      <c r="B59" s="187">
        <v>30249.99</v>
      </c>
      <c r="C59" s="188">
        <v>20000</v>
      </c>
      <c r="D59" s="189">
        <v>10000</v>
      </c>
      <c r="E59" s="190">
        <v>30000</v>
      </c>
      <c r="F59" s="188">
        <v>2000</v>
      </c>
      <c r="G59" s="191">
        <v>1000</v>
      </c>
      <c r="H59" s="192">
        <f t="shared" si="0"/>
        <v>3000</v>
      </c>
      <c r="I59" s="193">
        <v>30</v>
      </c>
      <c r="J59" s="194">
        <f t="shared" si="1"/>
        <v>3030</v>
      </c>
      <c r="K59" s="199">
        <v>1000</v>
      </c>
      <c r="L59" s="196">
        <v>500</v>
      </c>
      <c r="M59" s="197">
        <f t="shared" si="2"/>
        <v>1500</v>
      </c>
      <c r="N59" s="198">
        <f t="shared" si="3"/>
        <v>4530</v>
      </c>
    </row>
    <row r="60" spans="1:14">
      <c r="A60" s="186">
        <v>30250</v>
      </c>
      <c r="B60" s="187">
        <v>30749.99</v>
      </c>
      <c r="C60" s="188">
        <v>20000</v>
      </c>
      <c r="D60" s="189">
        <v>10500</v>
      </c>
      <c r="E60" s="190">
        <v>30500</v>
      </c>
      <c r="F60" s="188">
        <v>2000</v>
      </c>
      <c r="G60" s="191">
        <v>1050</v>
      </c>
      <c r="H60" s="192">
        <f t="shared" si="0"/>
        <v>3050</v>
      </c>
      <c r="I60" s="193">
        <v>30</v>
      </c>
      <c r="J60" s="194">
        <f t="shared" si="1"/>
        <v>3080</v>
      </c>
      <c r="K60" s="199">
        <v>1000</v>
      </c>
      <c r="L60" s="196">
        <v>525</v>
      </c>
      <c r="M60" s="197">
        <f t="shared" si="2"/>
        <v>1525</v>
      </c>
      <c r="N60" s="198">
        <f t="shared" si="3"/>
        <v>4605</v>
      </c>
    </row>
    <row r="61" spans="1:14">
      <c r="A61" s="186">
        <v>30750</v>
      </c>
      <c r="B61" s="187">
        <v>31249.99</v>
      </c>
      <c r="C61" s="188">
        <v>20000</v>
      </c>
      <c r="D61" s="189">
        <v>11000</v>
      </c>
      <c r="E61" s="190">
        <v>31000</v>
      </c>
      <c r="F61" s="188">
        <v>2000</v>
      </c>
      <c r="G61" s="191">
        <v>1100</v>
      </c>
      <c r="H61" s="192">
        <f t="shared" si="0"/>
        <v>3100</v>
      </c>
      <c r="I61" s="193">
        <v>30</v>
      </c>
      <c r="J61" s="194">
        <f t="shared" si="1"/>
        <v>3130</v>
      </c>
      <c r="K61" s="199">
        <v>1000</v>
      </c>
      <c r="L61" s="196">
        <v>550</v>
      </c>
      <c r="M61" s="197">
        <f t="shared" si="2"/>
        <v>1550</v>
      </c>
      <c r="N61" s="198">
        <f t="shared" si="3"/>
        <v>4680</v>
      </c>
    </row>
    <row r="62" spans="1:14">
      <c r="A62" s="186">
        <v>31250</v>
      </c>
      <c r="B62" s="187">
        <v>31749.99</v>
      </c>
      <c r="C62" s="188">
        <v>20000</v>
      </c>
      <c r="D62" s="189">
        <v>11500</v>
      </c>
      <c r="E62" s="190">
        <v>31500</v>
      </c>
      <c r="F62" s="188">
        <v>2000</v>
      </c>
      <c r="G62" s="191">
        <v>1150</v>
      </c>
      <c r="H62" s="192">
        <f t="shared" si="0"/>
        <v>3150</v>
      </c>
      <c r="I62" s="193">
        <v>30</v>
      </c>
      <c r="J62" s="194">
        <f t="shared" si="1"/>
        <v>3180</v>
      </c>
      <c r="K62" s="199">
        <v>1000</v>
      </c>
      <c r="L62" s="196">
        <v>575</v>
      </c>
      <c r="M62" s="197">
        <f t="shared" si="2"/>
        <v>1575</v>
      </c>
      <c r="N62" s="198">
        <f t="shared" si="3"/>
        <v>4755</v>
      </c>
    </row>
    <row r="63" spans="1:14">
      <c r="A63" s="186">
        <v>31750</v>
      </c>
      <c r="B63" s="187">
        <v>32249.99</v>
      </c>
      <c r="C63" s="188">
        <v>20000</v>
      </c>
      <c r="D63" s="189">
        <v>12000</v>
      </c>
      <c r="E63" s="190">
        <v>32000</v>
      </c>
      <c r="F63" s="188">
        <v>2000</v>
      </c>
      <c r="G63" s="191">
        <v>1200</v>
      </c>
      <c r="H63" s="192">
        <f t="shared" si="0"/>
        <v>3200</v>
      </c>
      <c r="I63" s="193">
        <v>30</v>
      </c>
      <c r="J63" s="194">
        <f t="shared" si="1"/>
        <v>3230</v>
      </c>
      <c r="K63" s="199">
        <v>1000</v>
      </c>
      <c r="L63" s="196">
        <v>600</v>
      </c>
      <c r="M63" s="197">
        <f t="shared" si="2"/>
        <v>1600</v>
      </c>
      <c r="N63" s="198">
        <f t="shared" si="3"/>
        <v>4830</v>
      </c>
    </row>
    <row r="64" spans="1:14">
      <c r="A64" s="186">
        <v>32250</v>
      </c>
      <c r="B64" s="187">
        <v>32749.99</v>
      </c>
      <c r="C64" s="188">
        <v>20000</v>
      </c>
      <c r="D64" s="189">
        <v>12500</v>
      </c>
      <c r="E64" s="190">
        <v>32500</v>
      </c>
      <c r="F64" s="188">
        <v>2000</v>
      </c>
      <c r="G64" s="191">
        <v>1250</v>
      </c>
      <c r="H64" s="192">
        <f t="shared" si="0"/>
        <v>3250</v>
      </c>
      <c r="I64" s="193">
        <v>30</v>
      </c>
      <c r="J64" s="194">
        <f t="shared" si="1"/>
        <v>3280</v>
      </c>
      <c r="K64" s="199">
        <v>1000</v>
      </c>
      <c r="L64" s="196">
        <v>625</v>
      </c>
      <c r="M64" s="197">
        <f t="shared" si="2"/>
        <v>1625</v>
      </c>
      <c r="N64" s="198">
        <f t="shared" si="3"/>
        <v>4905</v>
      </c>
    </row>
    <row r="65" spans="1:14">
      <c r="A65" s="186">
        <v>32750</v>
      </c>
      <c r="B65" s="187">
        <v>33249.99</v>
      </c>
      <c r="C65" s="188">
        <v>20000</v>
      </c>
      <c r="D65" s="189">
        <v>13000</v>
      </c>
      <c r="E65" s="190">
        <v>33000</v>
      </c>
      <c r="F65" s="188">
        <v>2000</v>
      </c>
      <c r="G65" s="191">
        <v>1300</v>
      </c>
      <c r="H65" s="192">
        <f t="shared" si="0"/>
        <v>3300</v>
      </c>
      <c r="I65" s="193">
        <v>30</v>
      </c>
      <c r="J65" s="194">
        <f t="shared" si="1"/>
        <v>3330</v>
      </c>
      <c r="K65" s="199">
        <v>1000</v>
      </c>
      <c r="L65" s="196">
        <v>650</v>
      </c>
      <c r="M65" s="197">
        <f t="shared" si="2"/>
        <v>1650</v>
      </c>
      <c r="N65" s="198">
        <f t="shared" si="3"/>
        <v>4980</v>
      </c>
    </row>
    <row r="66" spans="1:14">
      <c r="A66" s="186">
        <v>33250</v>
      </c>
      <c r="B66" s="187">
        <v>33749.99</v>
      </c>
      <c r="C66" s="188">
        <v>20000</v>
      </c>
      <c r="D66" s="189">
        <v>13500</v>
      </c>
      <c r="E66" s="190">
        <v>33500</v>
      </c>
      <c r="F66" s="188">
        <v>2000</v>
      </c>
      <c r="G66" s="191">
        <v>1350</v>
      </c>
      <c r="H66" s="192">
        <f t="shared" si="0"/>
        <v>3350</v>
      </c>
      <c r="I66" s="193">
        <v>30</v>
      </c>
      <c r="J66" s="194">
        <f t="shared" si="1"/>
        <v>3380</v>
      </c>
      <c r="K66" s="199">
        <v>1000</v>
      </c>
      <c r="L66" s="196">
        <v>675</v>
      </c>
      <c r="M66" s="197">
        <f t="shared" si="2"/>
        <v>1675</v>
      </c>
      <c r="N66" s="198">
        <f t="shared" si="3"/>
        <v>5055</v>
      </c>
    </row>
    <row r="67" spans="1:14">
      <c r="A67" s="186">
        <v>33750</v>
      </c>
      <c r="B67" s="187">
        <v>34249.99</v>
      </c>
      <c r="C67" s="188">
        <v>20000</v>
      </c>
      <c r="D67" s="189">
        <v>14000</v>
      </c>
      <c r="E67" s="190">
        <v>34000</v>
      </c>
      <c r="F67" s="188">
        <v>2000</v>
      </c>
      <c r="G67" s="191">
        <v>1400</v>
      </c>
      <c r="H67" s="192">
        <f t="shared" si="0"/>
        <v>3400</v>
      </c>
      <c r="I67" s="193">
        <v>30</v>
      </c>
      <c r="J67" s="194">
        <f t="shared" si="1"/>
        <v>3430</v>
      </c>
      <c r="K67" s="199">
        <v>1000</v>
      </c>
      <c r="L67" s="196">
        <v>700</v>
      </c>
      <c r="M67" s="197">
        <f t="shared" si="2"/>
        <v>1700</v>
      </c>
      <c r="N67" s="198">
        <f t="shared" si="3"/>
        <v>5130</v>
      </c>
    </row>
    <row r="68" spans="1:14">
      <c r="A68" s="186">
        <v>34250</v>
      </c>
      <c r="B68" s="187">
        <v>34749.99</v>
      </c>
      <c r="C68" s="188">
        <v>20000</v>
      </c>
      <c r="D68" s="189">
        <v>14500</v>
      </c>
      <c r="E68" s="190">
        <v>34500</v>
      </c>
      <c r="F68" s="188">
        <v>2000</v>
      </c>
      <c r="G68" s="191">
        <v>1450</v>
      </c>
      <c r="H68" s="192">
        <f t="shared" si="0"/>
        <v>3450</v>
      </c>
      <c r="I68" s="193">
        <v>30</v>
      </c>
      <c r="J68" s="194">
        <f t="shared" si="1"/>
        <v>3480</v>
      </c>
      <c r="K68" s="199">
        <v>1000</v>
      </c>
      <c r="L68" s="196">
        <v>725</v>
      </c>
      <c r="M68" s="197">
        <f t="shared" si="2"/>
        <v>1725</v>
      </c>
      <c r="N68" s="198">
        <f t="shared" si="3"/>
        <v>5205</v>
      </c>
    </row>
    <row r="69" spans="1:14" ht="15" thickBot="1">
      <c r="A69" s="200">
        <v>34750</v>
      </c>
      <c r="B69" s="201"/>
      <c r="C69" s="202">
        <v>20000</v>
      </c>
      <c r="D69" s="203">
        <v>15000</v>
      </c>
      <c r="E69" s="204">
        <v>35000</v>
      </c>
      <c r="F69" s="202">
        <v>2000</v>
      </c>
      <c r="G69" s="205">
        <v>1500</v>
      </c>
      <c r="H69" s="206">
        <f t="shared" si="0"/>
        <v>3500</v>
      </c>
      <c r="I69" s="207">
        <v>30</v>
      </c>
      <c r="J69" s="208">
        <f t="shared" si="1"/>
        <v>3530</v>
      </c>
      <c r="K69" s="209">
        <v>1000</v>
      </c>
      <c r="L69" s="210">
        <v>750</v>
      </c>
      <c r="M69" s="211">
        <f t="shared" si="2"/>
        <v>1750</v>
      </c>
      <c r="N69" s="212">
        <f t="shared" si="3"/>
        <v>5280</v>
      </c>
    </row>
  </sheetData>
  <mergeCells count="12">
    <mergeCell ref="K5:M5"/>
    <mergeCell ref="N5:N6"/>
    <mergeCell ref="A1:N1"/>
    <mergeCell ref="A2:N2"/>
    <mergeCell ref="A3:N3"/>
    <mergeCell ref="A4:B6"/>
    <mergeCell ref="C4:E4"/>
    <mergeCell ref="F4:N4"/>
    <mergeCell ref="C5:C6"/>
    <mergeCell ref="D5:D6"/>
    <mergeCell ref="E5:E6"/>
    <mergeCell ref="F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F6F9-309C-41D9-ADFF-3AF7BDF8CD2C}">
  <dimension ref="A3:F98"/>
  <sheetViews>
    <sheetView topLeftCell="A83" workbookViewId="0">
      <selection activeCell="C99" sqref="C99"/>
    </sheetView>
  </sheetViews>
  <sheetFormatPr defaultRowHeight="14.5"/>
  <cols>
    <col min="1" max="1" width="13.1796875" bestFit="1" customWidth="1"/>
    <col min="2" max="2" width="15.81640625" bestFit="1" customWidth="1"/>
    <col min="3" max="3" width="14.7265625" bestFit="1" customWidth="1"/>
    <col min="4" max="4" width="10.26953125" bestFit="1" customWidth="1"/>
    <col min="5" max="5" width="13.26953125" bestFit="1" customWidth="1"/>
    <col min="6" max="6" width="15.1796875" bestFit="1" customWidth="1"/>
  </cols>
  <sheetData>
    <row r="3" spans="1:6">
      <c r="A3" s="274" t="s">
        <v>188</v>
      </c>
      <c r="B3" t="s">
        <v>191</v>
      </c>
      <c r="C3" t="s">
        <v>192</v>
      </c>
      <c r="D3" t="s">
        <v>193</v>
      </c>
      <c r="E3" t="s">
        <v>194</v>
      </c>
      <c r="F3" t="s">
        <v>195</v>
      </c>
    </row>
    <row r="4" spans="1:6">
      <c r="A4" s="275">
        <v>3866</v>
      </c>
      <c r="B4">
        <v>96</v>
      </c>
      <c r="C4">
        <v>8</v>
      </c>
      <c r="D4">
        <v>66</v>
      </c>
      <c r="E4">
        <v>8</v>
      </c>
    </row>
    <row r="5" spans="1:6">
      <c r="A5" s="275">
        <v>4327</v>
      </c>
      <c r="B5">
        <v>80</v>
      </c>
      <c r="C5">
        <v>2</v>
      </c>
    </row>
    <row r="6" spans="1:6">
      <c r="A6" s="275">
        <v>5076</v>
      </c>
      <c r="B6">
        <v>88</v>
      </c>
    </row>
    <row r="7" spans="1:6">
      <c r="A7" s="275">
        <v>5585</v>
      </c>
      <c r="B7">
        <v>96</v>
      </c>
      <c r="C7">
        <v>10</v>
      </c>
      <c r="D7">
        <v>66</v>
      </c>
      <c r="E7">
        <v>10</v>
      </c>
    </row>
    <row r="8" spans="1:6">
      <c r="A8" s="275">
        <v>5983</v>
      </c>
      <c r="B8">
        <v>80</v>
      </c>
      <c r="C8">
        <v>2</v>
      </c>
      <c r="D8">
        <v>6</v>
      </c>
    </row>
    <row r="9" spans="1:6">
      <c r="A9" s="275">
        <v>6244</v>
      </c>
      <c r="B9">
        <v>80</v>
      </c>
      <c r="D9">
        <v>54</v>
      </c>
    </row>
    <row r="10" spans="1:6">
      <c r="A10" s="275">
        <v>6317</v>
      </c>
      <c r="B10">
        <v>88</v>
      </c>
      <c r="C10">
        <v>6</v>
      </c>
      <c r="D10">
        <v>66</v>
      </c>
      <c r="E10">
        <v>6</v>
      </c>
    </row>
    <row r="11" spans="1:6">
      <c r="A11" s="275">
        <v>6354</v>
      </c>
      <c r="B11">
        <v>96</v>
      </c>
      <c r="D11">
        <v>66</v>
      </c>
    </row>
    <row r="12" spans="1:6">
      <c r="A12" s="275">
        <v>7244</v>
      </c>
      <c r="B12">
        <v>84</v>
      </c>
      <c r="C12">
        <v>14</v>
      </c>
    </row>
    <row r="13" spans="1:6">
      <c r="A13" s="275">
        <v>7502</v>
      </c>
      <c r="B13">
        <v>96</v>
      </c>
      <c r="C13">
        <v>12</v>
      </c>
      <c r="D13">
        <v>66</v>
      </c>
      <c r="E13">
        <v>12</v>
      </c>
      <c r="F13">
        <v>108</v>
      </c>
    </row>
    <row r="14" spans="1:6">
      <c r="A14" s="275">
        <v>7505</v>
      </c>
      <c r="B14">
        <v>96</v>
      </c>
      <c r="D14">
        <v>66</v>
      </c>
    </row>
    <row r="15" spans="1:6">
      <c r="A15" s="275">
        <v>7646</v>
      </c>
      <c r="B15">
        <v>64</v>
      </c>
      <c r="C15">
        <v>12</v>
      </c>
    </row>
    <row r="16" spans="1:6">
      <c r="A16" s="275">
        <v>7708</v>
      </c>
      <c r="B16">
        <v>96</v>
      </c>
      <c r="D16">
        <v>6</v>
      </c>
    </row>
    <row r="17" spans="1:6">
      <c r="A17" s="275">
        <v>8064</v>
      </c>
      <c r="B17">
        <v>96</v>
      </c>
      <c r="D17">
        <v>66</v>
      </c>
      <c r="F17">
        <v>6</v>
      </c>
    </row>
    <row r="18" spans="1:6">
      <c r="A18" s="275">
        <v>8176</v>
      </c>
      <c r="B18">
        <v>72</v>
      </c>
      <c r="C18">
        <v>4</v>
      </c>
      <c r="D18">
        <v>48</v>
      </c>
      <c r="E18">
        <v>4</v>
      </c>
    </row>
    <row r="19" spans="1:6">
      <c r="A19" s="275">
        <v>8571</v>
      </c>
      <c r="B19">
        <v>72</v>
      </c>
      <c r="C19">
        <v>4</v>
      </c>
      <c r="D19">
        <v>47.5</v>
      </c>
      <c r="E19">
        <v>4</v>
      </c>
      <c r="F19">
        <v>1</v>
      </c>
    </row>
    <row r="20" spans="1:6">
      <c r="A20" s="275">
        <v>10424</v>
      </c>
      <c r="B20">
        <v>96</v>
      </c>
      <c r="C20">
        <v>4</v>
      </c>
      <c r="D20">
        <v>66</v>
      </c>
      <c r="E20">
        <v>4</v>
      </c>
    </row>
    <row r="21" spans="1:6">
      <c r="A21" s="275">
        <v>10876</v>
      </c>
      <c r="B21">
        <v>96</v>
      </c>
      <c r="C21">
        <v>2</v>
      </c>
      <c r="D21">
        <v>6</v>
      </c>
    </row>
    <row r="22" spans="1:6">
      <c r="A22" s="275">
        <v>10997</v>
      </c>
      <c r="B22">
        <v>88</v>
      </c>
    </row>
    <row r="23" spans="1:6">
      <c r="A23" s="275">
        <v>11741</v>
      </c>
      <c r="B23">
        <v>96</v>
      </c>
      <c r="C23">
        <v>18</v>
      </c>
    </row>
    <row r="24" spans="1:6">
      <c r="A24" s="275">
        <v>11742</v>
      </c>
      <c r="B24">
        <v>96</v>
      </c>
      <c r="C24">
        <v>16</v>
      </c>
      <c r="D24">
        <v>6</v>
      </c>
    </row>
    <row r="25" spans="1:6">
      <c r="A25" s="275">
        <v>11775</v>
      </c>
      <c r="B25">
        <v>84</v>
      </c>
      <c r="C25">
        <v>12</v>
      </c>
    </row>
    <row r="26" spans="1:6">
      <c r="A26" s="275">
        <v>11829</v>
      </c>
      <c r="B26">
        <v>96</v>
      </c>
      <c r="C26">
        <v>20</v>
      </c>
    </row>
    <row r="27" spans="1:6">
      <c r="A27" s="275">
        <v>11834</v>
      </c>
      <c r="B27">
        <v>96</v>
      </c>
      <c r="C27">
        <v>16</v>
      </c>
    </row>
    <row r="28" spans="1:6">
      <c r="A28" s="275">
        <v>11842</v>
      </c>
      <c r="B28">
        <v>80</v>
      </c>
      <c r="C28">
        <v>14</v>
      </c>
      <c r="D28">
        <v>30</v>
      </c>
      <c r="E28">
        <v>6</v>
      </c>
    </row>
    <row r="29" spans="1:6">
      <c r="A29" s="275">
        <v>11863</v>
      </c>
      <c r="B29">
        <v>96</v>
      </c>
      <c r="D29">
        <v>6</v>
      </c>
    </row>
    <row r="30" spans="1:6">
      <c r="A30" s="275">
        <v>11872</v>
      </c>
      <c r="B30">
        <v>96</v>
      </c>
      <c r="C30">
        <v>20</v>
      </c>
    </row>
    <row r="31" spans="1:6">
      <c r="A31" s="275">
        <v>12110</v>
      </c>
      <c r="B31">
        <v>88</v>
      </c>
      <c r="C31">
        <v>18</v>
      </c>
    </row>
    <row r="32" spans="1:6">
      <c r="A32" s="275">
        <v>12164</v>
      </c>
      <c r="B32">
        <v>80</v>
      </c>
      <c r="C32">
        <v>6</v>
      </c>
    </row>
    <row r="33" spans="1:5">
      <c r="A33" s="275">
        <v>12397</v>
      </c>
      <c r="B33">
        <v>96</v>
      </c>
      <c r="C33">
        <v>12</v>
      </c>
    </row>
    <row r="34" spans="1:5">
      <c r="A34" s="275">
        <v>12460</v>
      </c>
      <c r="B34">
        <v>96</v>
      </c>
      <c r="C34">
        <v>10</v>
      </c>
      <c r="D34">
        <v>66</v>
      </c>
      <c r="E34">
        <v>10</v>
      </c>
    </row>
    <row r="35" spans="1:5">
      <c r="A35" s="275">
        <v>12471</v>
      </c>
      <c r="B35">
        <v>88</v>
      </c>
      <c r="C35">
        <v>8</v>
      </c>
      <c r="D35">
        <v>66</v>
      </c>
      <c r="E35">
        <v>8</v>
      </c>
    </row>
    <row r="36" spans="1:5">
      <c r="A36" s="275">
        <v>12808</v>
      </c>
      <c r="B36">
        <v>80</v>
      </c>
      <c r="C36">
        <v>6</v>
      </c>
      <c r="D36">
        <v>60</v>
      </c>
      <c r="E36">
        <v>6</v>
      </c>
    </row>
    <row r="37" spans="1:5">
      <c r="A37" s="275">
        <v>12810</v>
      </c>
      <c r="B37">
        <v>88</v>
      </c>
      <c r="C37">
        <v>1</v>
      </c>
      <c r="D37">
        <v>6</v>
      </c>
    </row>
    <row r="38" spans="1:5">
      <c r="A38" s="275">
        <v>12816</v>
      </c>
      <c r="B38">
        <v>96</v>
      </c>
      <c r="C38">
        <v>20</v>
      </c>
    </row>
    <row r="39" spans="1:5">
      <c r="A39" s="275">
        <v>12830</v>
      </c>
      <c r="B39">
        <v>92</v>
      </c>
      <c r="C39">
        <v>16</v>
      </c>
      <c r="D39">
        <v>66</v>
      </c>
      <c r="E39">
        <v>16</v>
      </c>
    </row>
    <row r="40" spans="1:5">
      <c r="A40" s="275">
        <v>12870</v>
      </c>
      <c r="B40">
        <v>96</v>
      </c>
      <c r="D40">
        <v>66</v>
      </c>
    </row>
    <row r="41" spans="1:5">
      <c r="A41" s="275">
        <v>12909</v>
      </c>
      <c r="B41">
        <v>80</v>
      </c>
    </row>
    <row r="42" spans="1:5">
      <c r="A42" s="275">
        <v>12927</v>
      </c>
      <c r="B42">
        <v>88</v>
      </c>
      <c r="D42">
        <v>6</v>
      </c>
    </row>
    <row r="43" spans="1:5">
      <c r="A43" s="275">
        <v>12956</v>
      </c>
      <c r="B43">
        <v>80</v>
      </c>
      <c r="C43">
        <v>12</v>
      </c>
    </row>
    <row r="44" spans="1:5">
      <c r="A44" s="275">
        <v>12985</v>
      </c>
      <c r="B44">
        <v>96</v>
      </c>
      <c r="D44">
        <v>6</v>
      </c>
    </row>
    <row r="45" spans="1:5">
      <c r="A45" s="275">
        <v>13236</v>
      </c>
      <c r="B45">
        <v>96</v>
      </c>
      <c r="C45">
        <v>20</v>
      </c>
      <c r="D45">
        <v>66</v>
      </c>
      <c r="E45">
        <v>20</v>
      </c>
    </row>
    <row r="46" spans="1:5">
      <c r="A46" s="275">
        <v>13312</v>
      </c>
      <c r="B46">
        <v>88</v>
      </c>
      <c r="C46">
        <v>6</v>
      </c>
      <c r="D46">
        <v>6</v>
      </c>
    </row>
    <row r="47" spans="1:5">
      <c r="A47" s="275">
        <v>13337</v>
      </c>
      <c r="B47">
        <v>96</v>
      </c>
      <c r="C47">
        <v>16</v>
      </c>
      <c r="D47">
        <v>66</v>
      </c>
      <c r="E47">
        <v>16</v>
      </c>
    </row>
    <row r="48" spans="1:5">
      <c r="A48" s="275">
        <v>13646</v>
      </c>
      <c r="B48">
        <v>92</v>
      </c>
      <c r="D48">
        <v>6</v>
      </c>
    </row>
    <row r="49" spans="1:5">
      <c r="A49" s="275">
        <v>13684</v>
      </c>
      <c r="B49">
        <v>88</v>
      </c>
      <c r="C49">
        <v>4</v>
      </c>
    </row>
    <row r="50" spans="1:5">
      <c r="A50" s="275">
        <v>14233</v>
      </c>
      <c r="B50">
        <v>96</v>
      </c>
      <c r="D50">
        <v>6</v>
      </c>
    </row>
    <row r="51" spans="1:5">
      <c r="A51" s="275">
        <v>14267</v>
      </c>
      <c r="B51">
        <v>88</v>
      </c>
      <c r="D51">
        <v>66</v>
      </c>
    </row>
    <row r="52" spans="1:5">
      <c r="A52" s="275">
        <v>14275</v>
      </c>
      <c r="B52">
        <v>88</v>
      </c>
      <c r="C52">
        <v>8</v>
      </c>
      <c r="D52">
        <v>66</v>
      </c>
      <c r="E52">
        <v>8</v>
      </c>
    </row>
    <row r="53" spans="1:5">
      <c r="A53" s="275">
        <v>14285</v>
      </c>
      <c r="B53">
        <v>80</v>
      </c>
      <c r="C53">
        <v>8</v>
      </c>
      <c r="D53">
        <v>60</v>
      </c>
      <c r="E53">
        <v>8</v>
      </c>
    </row>
    <row r="54" spans="1:5">
      <c r="A54" s="275">
        <v>14291</v>
      </c>
      <c r="B54">
        <v>96</v>
      </c>
      <c r="C54">
        <v>2</v>
      </c>
      <c r="D54">
        <v>6</v>
      </c>
    </row>
    <row r="55" spans="1:5">
      <c r="A55" s="275">
        <v>14326</v>
      </c>
      <c r="B55">
        <v>96</v>
      </c>
      <c r="D55">
        <v>6</v>
      </c>
    </row>
    <row r="56" spans="1:5">
      <c r="A56" s="275">
        <v>14328</v>
      </c>
      <c r="B56">
        <v>88</v>
      </c>
      <c r="C56">
        <v>4</v>
      </c>
      <c r="D56">
        <v>66</v>
      </c>
      <c r="E56">
        <v>4</v>
      </c>
    </row>
    <row r="57" spans="1:5">
      <c r="A57" s="275">
        <v>14357</v>
      </c>
      <c r="B57">
        <v>92</v>
      </c>
      <c r="C57">
        <v>18</v>
      </c>
    </row>
    <row r="58" spans="1:5">
      <c r="A58" s="275">
        <v>14370</v>
      </c>
      <c r="B58">
        <v>88</v>
      </c>
      <c r="C58">
        <v>18</v>
      </c>
    </row>
    <row r="59" spans="1:5">
      <c r="A59" s="275">
        <v>14372</v>
      </c>
      <c r="B59">
        <v>96</v>
      </c>
      <c r="C59">
        <v>10</v>
      </c>
      <c r="D59">
        <v>66</v>
      </c>
      <c r="E59">
        <v>10</v>
      </c>
    </row>
    <row r="60" spans="1:5">
      <c r="A60" s="275">
        <v>14396</v>
      </c>
      <c r="B60">
        <v>56</v>
      </c>
      <c r="C60">
        <v>12</v>
      </c>
    </row>
    <row r="61" spans="1:5">
      <c r="A61" s="275">
        <v>14473</v>
      </c>
      <c r="B61">
        <v>64</v>
      </c>
      <c r="C61">
        <v>6</v>
      </c>
    </row>
    <row r="62" spans="1:5">
      <c r="A62" s="275">
        <v>14479</v>
      </c>
      <c r="B62">
        <v>96</v>
      </c>
      <c r="C62">
        <v>10</v>
      </c>
      <c r="D62">
        <v>6</v>
      </c>
    </row>
    <row r="63" spans="1:5">
      <c r="A63" s="275">
        <v>14555</v>
      </c>
      <c r="B63">
        <v>88</v>
      </c>
    </row>
    <row r="64" spans="1:5">
      <c r="A64" s="275">
        <v>14753</v>
      </c>
      <c r="B64">
        <v>96</v>
      </c>
      <c r="C64">
        <v>2</v>
      </c>
      <c r="D64">
        <v>66</v>
      </c>
      <c r="E64">
        <v>2</v>
      </c>
    </row>
    <row r="65" spans="1:6">
      <c r="A65" s="275">
        <v>14760</v>
      </c>
      <c r="B65">
        <v>88</v>
      </c>
      <c r="C65">
        <v>14</v>
      </c>
      <c r="D65">
        <v>66</v>
      </c>
      <c r="E65">
        <v>14</v>
      </c>
    </row>
    <row r="66" spans="1:6">
      <c r="A66" s="275">
        <v>14831</v>
      </c>
      <c r="B66">
        <v>88</v>
      </c>
      <c r="C66">
        <v>6</v>
      </c>
    </row>
    <row r="67" spans="1:6">
      <c r="A67" s="275">
        <v>14835</v>
      </c>
      <c r="B67">
        <v>96</v>
      </c>
      <c r="C67">
        <v>20</v>
      </c>
      <c r="D67">
        <v>6</v>
      </c>
    </row>
    <row r="68" spans="1:6">
      <c r="A68" s="275">
        <v>14915</v>
      </c>
      <c r="B68">
        <v>96</v>
      </c>
      <c r="C68">
        <v>6</v>
      </c>
      <c r="D68">
        <v>6</v>
      </c>
    </row>
    <row r="69" spans="1:6">
      <c r="A69" s="275">
        <v>30019</v>
      </c>
      <c r="B69">
        <v>88</v>
      </c>
    </row>
    <row r="70" spans="1:6">
      <c r="A70" s="275">
        <v>30246</v>
      </c>
      <c r="B70">
        <v>80</v>
      </c>
      <c r="C70">
        <v>10</v>
      </c>
    </row>
    <row r="71" spans="1:6">
      <c r="A71" s="275">
        <v>30254</v>
      </c>
      <c r="B71">
        <v>80</v>
      </c>
      <c r="C71">
        <v>3</v>
      </c>
      <c r="D71">
        <v>59</v>
      </c>
      <c r="E71">
        <v>3</v>
      </c>
      <c r="F71">
        <v>2</v>
      </c>
    </row>
    <row r="72" spans="1:6">
      <c r="A72" s="275">
        <v>30261</v>
      </c>
      <c r="B72">
        <v>80</v>
      </c>
      <c r="C72">
        <v>6</v>
      </c>
    </row>
    <row r="73" spans="1:6">
      <c r="A73" s="275">
        <v>30292</v>
      </c>
      <c r="B73">
        <v>96</v>
      </c>
      <c r="C73">
        <v>16</v>
      </c>
    </row>
    <row r="74" spans="1:6">
      <c r="A74" s="275">
        <v>30293</v>
      </c>
      <c r="B74">
        <v>96</v>
      </c>
      <c r="C74">
        <v>20</v>
      </c>
    </row>
    <row r="75" spans="1:6">
      <c r="A75" s="275">
        <v>30296</v>
      </c>
      <c r="B75">
        <v>96</v>
      </c>
      <c r="C75">
        <v>18</v>
      </c>
    </row>
    <row r="76" spans="1:6">
      <c r="A76" s="275">
        <v>30332</v>
      </c>
      <c r="B76">
        <v>56</v>
      </c>
      <c r="C76">
        <v>2</v>
      </c>
    </row>
    <row r="77" spans="1:6">
      <c r="A77" s="275">
        <v>30356</v>
      </c>
      <c r="B77">
        <v>80</v>
      </c>
      <c r="C77">
        <v>6</v>
      </c>
    </row>
    <row r="78" spans="1:6">
      <c r="A78" s="275">
        <v>30611</v>
      </c>
      <c r="B78">
        <v>96</v>
      </c>
      <c r="C78">
        <v>6</v>
      </c>
    </row>
    <row r="79" spans="1:6">
      <c r="A79" s="275">
        <v>30612</v>
      </c>
      <c r="B79">
        <v>96</v>
      </c>
      <c r="D79">
        <v>6</v>
      </c>
      <c r="F79">
        <v>5</v>
      </c>
    </row>
    <row r="80" spans="1:6">
      <c r="A80" s="275">
        <v>30679</v>
      </c>
      <c r="B80">
        <v>88</v>
      </c>
      <c r="C80">
        <v>6</v>
      </c>
      <c r="D80">
        <v>60</v>
      </c>
      <c r="E80">
        <v>6</v>
      </c>
    </row>
    <row r="81" spans="1:6">
      <c r="A81" s="275">
        <v>30680</v>
      </c>
      <c r="B81">
        <v>88</v>
      </c>
      <c r="C81">
        <v>4</v>
      </c>
      <c r="D81">
        <v>66</v>
      </c>
      <c r="E81">
        <v>4</v>
      </c>
    </row>
    <row r="82" spans="1:6">
      <c r="A82" s="275">
        <v>30766</v>
      </c>
      <c r="B82">
        <v>76</v>
      </c>
    </row>
    <row r="83" spans="1:6">
      <c r="A83" s="275">
        <v>32240</v>
      </c>
      <c r="B83">
        <v>48</v>
      </c>
    </row>
    <row r="84" spans="1:6">
      <c r="A84" s="275">
        <v>32242</v>
      </c>
    </row>
    <row r="85" spans="1:6">
      <c r="A85" s="275">
        <v>32436</v>
      </c>
      <c r="B85">
        <v>80</v>
      </c>
      <c r="C85">
        <v>8</v>
      </c>
      <c r="D85">
        <v>60</v>
      </c>
      <c r="E85">
        <v>8</v>
      </c>
    </row>
    <row r="86" spans="1:6">
      <c r="A86" s="275">
        <v>32457</v>
      </c>
      <c r="B86">
        <v>8</v>
      </c>
    </row>
    <row r="87" spans="1:6">
      <c r="A87" s="275">
        <v>32458</v>
      </c>
      <c r="B87">
        <v>96</v>
      </c>
      <c r="C87">
        <v>16</v>
      </c>
    </row>
    <row r="88" spans="1:6">
      <c r="A88" s="275">
        <v>32460</v>
      </c>
      <c r="B88">
        <v>96</v>
      </c>
      <c r="C88">
        <v>12</v>
      </c>
    </row>
    <row r="89" spans="1:6">
      <c r="A89" s="275">
        <v>32488</v>
      </c>
      <c r="B89">
        <v>96</v>
      </c>
      <c r="C89">
        <v>12</v>
      </c>
    </row>
    <row r="90" spans="1:6">
      <c r="A90" s="275">
        <v>32494</v>
      </c>
      <c r="B90">
        <v>96</v>
      </c>
      <c r="C90">
        <v>12</v>
      </c>
    </row>
    <row r="91" spans="1:6">
      <c r="A91" s="275">
        <v>32498</v>
      </c>
      <c r="B91">
        <v>96</v>
      </c>
      <c r="C91">
        <v>14</v>
      </c>
    </row>
    <row r="92" spans="1:6">
      <c r="A92" s="275">
        <v>32504</v>
      </c>
      <c r="B92">
        <v>88</v>
      </c>
      <c r="C92">
        <v>4</v>
      </c>
      <c r="D92">
        <v>60</v>
      </c>
      <c r="E92">
        <v>4</v>
      </c>
    </row>
    <row r="93" spans="1:6">
      <c r="A93" s="275">
        <v>32515</v>
      </c>
      <c r="B93">
        <v>80</v>
      </c>
      <c r="C93">
        <v>10</v>
      </c>
      <c r="D93">
        <v>60</v>
      </c>
      <c r="E93">
        <v>10</v>
      </c>
    </row>
    <row r="94" spans="1:6">
      <c r="A94" s="275">
        <v>32518</v>
      </c>
      <c r="B94">
        <v>72</v>
      </c>
      <c r="C94">
        <v>14</v>
      </c>
    </row>
    <row r="95" spans="1:6">
      <c r="A95" s="275" t="s">
        <v>152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275" t="s">
        <v>189</v>
      </c>
      <c r="B96">
        <v>603064</v>
      </c>
      <c r="C96">
        <v>66450.5</v>
      </c>
      <c r="D96">
        <v>19821.75</v>
      </c>
      <c r="E96">
        <v>2400.125</v>
      </c>
      <c r="F96">
        <v>396.5</v>
      </c>
    </row>
    <row r="97" spans="1:6">
      <c r="A97" s="275" t="s">
        <v>190</v>
      </c>
      <c r="B97">
        <v>610896</v>
      </c>
      <c r="C97">
        <v>67144.5</v>
      </c>
      <c r="D97">
        <v>21908.25</v>
      </c>
      <c r="E97">
        <v>2611.125</v>
      </c>
      <c r="F97">
        <v>518.5</v>
      </c>
    </row>
    <row r="98" spans="1:6">
      <c r="B98">
        <f>SUM(B4:B94)</f>
        <v>7832</v>
      </c>
      <c r="C98">
        <f t="shared" ref="C98:F98" si="0">SUM(C4:C94)</f>
        <v>694</v>
      </c>
      <c r="D98">
        <f t="shared" si="0"/>
        <v>2086.5</v>
      </c>
      <c r="E98">
        <f t="shared" si="0"/>
        <v>211</v>
      </c>
      <c r="F98">
        <f t="shared" si="0"/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88E8-8E10-4E81-9787-E104671E087C}">
  <sheetPr>
    <tabColor rgb="FFFF0000"/>
  </sheetPr>
  <dimension ref="A1:AG1640"/>
  <sheetViews>
    <sheetView topLeftCell="B1621" zoomScale="50" zoomScaleNormal="50" workbookViewId="0">
      <selection activeCell="M1637" sqref="M1637"/>
    </sheetView>
  </sheetViews>
  <sheetFormatPr defaultColWidth="8.81640625" defaultRowHeight="15.5"/>
  <cols>
    <col min="1" max="1" width="0" style="289" hidden="1" customWidth="1"/>
    <col min="2" max="2" width="15.81640625" style="289" bestFit="1" customWidth="1"/>
    <col min="3" max="3" width="9.54296875" style="289" bestFit="1" customWidth="1"/>
    <col min="4" max="4" width="22.26953125" style="583" bestFit="1" customWidth="1"/>
    <col min="5" max="5" width="35.54296875" style="289" bestFit="1" customWidth="1"/>
    <col min="6" max="6" width="22.26953125" style="583" hidden="1" customWidth="1"/>
    <col min="7" max="7" width="14.453125" style="610" bestFit="1" customWidth="1"/>
    <col min="8" max="8" width="25.453125" style="289" hidden="1" customWidth="1"/>
    <col min="9" max="9" width="16.54296875" style="289" bestFit="1" customWidth="1"/>
    <col min="10" max="10" width="25.453125" style="584" customWidth="1"/>
    <col min="11" max="11" width="23" style="584" bestFit="1" customWidth="1"/>
    <col min="12" max="12" width="18.453125" style="289" bestFit="1" customWidth="1"/>
    <col min="13" max="13" width="13.453125" style="289" customWidth="1"/>
    <col min="14" max="14" width="11.7265625" style="289" customWidth="1"/>
    <col min="15" max="15" width="13.1796875" style="289" customWidth="1"/>
    <col min="16" max="16" width="13.54296875" style="289" bestFit="1" customWidth="1"/>
    <col min="17" max="19" width="11.7265625" style="289" customWidth="1"/>
    <col min="20" max="26" width="11.7265625" style="289" hidden="1" customWidth="1"/>
    <col min="27" max="27" width="11.7265625" style="289" customWidth="1"/>
    <col min="28" max="28" width="38.26953125" style="289" bestFit="1" customWidth="1"/>
    <col min="29" max="16384" width="8.81640625" style="289"/>
  </cols>
  <sheetData>
    <row r="1" spans="1:28" ht="31">
      <c r="A1" s="280" t="s">
        <v>170</v>
      </c>
      <c r="B1" s="280" t="s">
        <v>120</v>
      </c>
      <c r="C1" s="280" t="s">
        <v>152</v>
      </c>
      <c r="D1" s="280" t="s">
        <v>182</v>
      </c>
      <c r="E1" s="281" t="s">
        <v>153</v>
      </c>
      <c r="F1" s="280" t="s">
        <v>182</v>
      </c>
      <c r="G1" s="588" t="s">
        <v>401</v>
      </c>
      <c r="H1" s="282"/>
      <c r="I1" s="283" t="s">
        <v>181</v>
      </c>
      <c r="J1" s="284" t="s">
        <v>154</v>
      </c>
      <c r="K1" s="284" t="s">
        <v>155</v>
      </c>
      <c r="L1" s="285" t="s">
        <v>156</v>
      </c>
      <c r="M1" s="286" t="s">
        <v>157</v>
      </c>
      <c r="N1" s="285" t="s">
        <v>158</v>
      </c>
      <c r="O1" s="285" t="s">
        <v>159</v>
      </c>
      <c r="P1" s="285" t="s">
        <v>174</v>
      </c>
      <c r="Q1" s="285" t="s">
        <v>160</v>
      </c>
      <c r="R1" s="285" t="s">
        <v>161</v>
      </c>
      <c r="S1" s="285" t="s">
        <v>162</v>
      </c>
      <c r="T1" s="283" t="s">
        <v>163</v>
      </c>
      <c r="U1" s="283" t="s">
        <v>164</v>
      </c>
      <c r="V1" s="283" t="s">
        <v>165</v>
      </c>
      <c r="W1" s="285" t="s">
        <v>113</v>
      </c>
      <c r="X1" s="283" t="s">
        <v>121</v>
      </c>
      <c r="Y1" s="283" t="s">
        <v>166</v>
      </c>
      <c r="Z1" s="287" t="s">
        <v>175</v>
      </c>
      <c r="AA1" s="287" t="s">
        <v>167</v>
      </c>
      <c r="AB1" s="288"/>
    </row>
    <row r="2" spans="1:28" ht="16.149999999999999" customHeight="1">
      <c r="A2" s="715"/>
      <c r="B2" s="290" t="s">
        <v>187</v>
      </c>
      <c r="C2" s="291">
        <v>4327</v>
      </c>
      <c r="D2" s="292" t="s">
        <v>254</v>
      </c>
      <c r="E2" s="293" t="s">
        <v>253</v>
      </c>
      <c r="F2" s="292" t="s">
        <v>254</v>
      </c>
      <c r="G2" s="589">
        <v>46214</v>
      </c>
      <c r="H2" s="294"/>
      <c r="I2" s="294"/>
      <c r="J2" s="295"/>
      <c r="K2" s="295"/>
      <c r="L2" s="296"/>
      <c r="M2" s="297"/>
      <c r="N2" s="297"/>
      <c r="O2" s="297"/>
      <c r="P2" s="297"/>
      <c r="Q2" s="298"/>
      <c r="R2" s="297"/>
      <c r="S2" s="297"/>
      <c r="T2" s="298"/>
      <c r="U2" s="297"/>
      <c r="V2" s="298"/>
      <c r="W2" s="299"/>
      <c r="X2" s="300"/>
      <c r="Y2" s="301"/>
      <c r="Z2" s="302"/>
      <c r="AA2" s="303"/>
      <c r="AB2" s="304"/>
    </row>
    <row r="3" spans="1:28" ht="16.149999999999999" customHeight="1">
      <c r="A3" s="716"/>
      <c r="B3" s="290" t="s">
        <v>187</v>
      </c>
      <c r="C3" s="291">
        <v>4327</v>
      </c>
      <c r="D3" s="292" t="s">
        <v>254</v>
      </c>
      <c r="E3" s="293" t="s">
        <v>253</v>
      </c>
      <c r="F3" s="292" t="s">
        <v>254</v>
      </c>
      <c r="G3" s="590">
        <v>46215</v>
      </c>
      <c r="H3" s="294"/>
      <c r="I3" s="294"/>
      <c r="J3" s="699" t="s">
        <v>173</v>
      </c>
      <c r="K3" s="700"/>
      <c r="L3" s="296"/>
      <c r="M3" s="297"/>
      <c r="N3" s="297"/>
      <c r="O3" s="297"/>
      <c r="P3" s="297"/>
      <c r="Q3" s="298"/>
      <c r="R3" s="297"/>
      <c r="S3" s="297"/>
      <c r="T3" s="298"/>
      <c r="U3" s="297"/>
      <c r="V3" s="298"/>
      <c r="W3" s="299"/>
      <c r="X3" s="300"/>
      <c r="Y3" s="301"/>
      <c r="Z3" s="302"/>
      <c r="AA3" s="303"/>
      <c r="AB3" s="304"/>
    </row>
    <row r="4" spans="1:28" ht="16.149999999999999" customHeight="1">
      <c r="A4" s="716"/>
      <c r="B4" s="290" t="s">
        <v>187</v>
      </c>
      <c r="C4" s="291">
        <v>4327</v>
      </c>
      <c r="D4" s="292" t="s">
        <v>254</v>
      </c>
      <c r="E4" s="293" t="s">
        <v>253</v>
      </c>
      <c r="F4" s="292" t="s">
        <v>254</v>
      </c>
      <c r="G4" s="589">
        <v>46216</v>
      </c>
      <c r="H4" s="294"/>
      <c r="I4" s="294" t="s">
        <v>186</v>
      </c>
      <c r="J4" s="305">
        <v>0.3298611111111111</v>
      </c>
      <c r="K4" s="305">
        <v>0.70902777777777781</v>
      </c>
      <c r="L4" s="296" t="s">
        <v>169</v>
      </c>
      <c r="M4" s="297">
        <v>8</v>
      </c>
      <c r="N4" s="297"/>
      <c r="O4" s="297"/>
      <c r="P4" s="297"/>
      <c r="Q4" s="298"/>
      <c r="R4" s="297"/>
      <c r="S4" s="297"/>
      <c r="T4" s="298"/>
      <c r="U4" s="297"/>
      <c r="V4" s="298"/>
      <c r="W4" s="299"/>
      <c r="X4" s="300"/>
      <c r="Y4" s="301"/>
      <c r="Z4" s="302"/>
      <c r="AA4" s="303"/>
      <c r="AB4" s="304"/>
    </row>
    <row r="5" spans="1:28" ht="16.149999999999999" customHeight="1">
      <c r="A5" s="716"/>
      <c r="B5" s="290" t="s">
        <v>187</v>
      </c>
      <c r="C5" s="291">
        <v>4327</v>
      </c>
      <c r="D5" s="292" t="s">
        <v>254</v>
      </c>
      <c r="E5" s="293" t="s">
        <v>253</v>
      </c>
      <c r="F5" s="292" t="s">
        <v>254</v>
      </c>
      <c r="G5" s="589">
        <v>46217</v>
      </c>
      <c r="H5" s="294"/>
      <c r="I5" s="294" t="s">
        <v>186</v>
      </c>
      <c r="J5" s="305">
        <v>0.3298611111111111</v>
      </c>
      <c r="K5" s="305">
        <v>0.7090277777777777</v>
      </c>
      <c r="L5" s="296" t="s">
        <v>169</v>
      </c>
      <c r="M5" s="297">
        <v>8</v>
      </c>
      <c r="N5" s="297"/>
      <c r="O5" s="297"/>
      <c r="P5" s="306"/>
      <c r="Q5" s="307"/>
      <c r="R5" s="306"/>
      <c r="S5" s="306"/>
      <c r="T5" s="307"/>
      <c r="U5" s="306"/>
      <c r="V5" s="307"/>
      <c r="W5" s="308"/>
      <c r="X5" s="309"/>
      <c r="Y5" s="310"/>
      <c r="Z5" s="311"/>
      <c r="AA5" s="312"/>
      <c r="AB5" s="304"/>
    </row>
    <row r="6" spans="1:28" ht="16.149999999999999" customHeight="1">
      <c r="A6" s="716"/>
      <c r="B6" s="290" t="s">
        <v>187</v>
      </c>
      <c r="C6" s="291">
        <v>4327</v>
      </c>
      <c r="D6" s="292" t="s">
        <v>254</v>
      </c>
      <c r="E6" s="293" t="s">
        <v>253</v>
      </c>
      <c r="F6" s="292" t="s">
        <v>254</v>
      </c>
      <c r="G6" s="589">
        <v>46218</v>
      </c>
      <c r="H6" s="294"/>
      <c r="I6" s="294" t="s">
        <v>186</v>
      </c>
      <c r="J6" s="305">
        <v>0.33055555555555555</v>
      </c>
      <c r="K6" s="305">
        <v>0.70833333333333337</v>
      </c>
      <c r="L6" s="296" t="s">
        <v>169</v>
      </c>
      <c r="M6" s="297">
        <v>8</v>
      </c>
      <c r="N6" s="297"/>
      <c r="O6" s="297"/>
      <c r="P6" s="297"/>
      <c r="Q6" s="298"/>
      <c r="R6" s="297"/>
      <c r="S6" s="297"/>
      <c r="T6" s="298"/>
      <c r="U6" s="297"/>
      <c r="V6" s="298"/>
      <c r="W6" s="299"/>
      <c r="X6" s="300"/>
      <c r="Y6" s="301"/>
      <c r="Z6" s="302"/>
      <c r="AA6" s="303"/>
      <c r="AB6" s="304"/>
    </row>
    <row r="7" spans="1:28" ht="16.149999999999999" customHeight="1">
      <c r="A7" s="716"/>
      <c r="B7" s="290" t="s">
        <v>187</v>
      </c>
      <c r="C7" s="291">
        <v>4327</v>
      </c>
      <c r="D7" s="292" t="s">
        <v>254</v>
      </c>
      <c r="E7" s="293" t="s">
        <v>253</v>
      </c>
      <c r="F7" s="292" t="s">
        <v>254</v>
      </c>
      <c r="G7" s="589">
        <v>46219</v>
      </c>
      <c r="H7" s="294"/>
      <c r="I7" s="294" t="s">
        <v>186</v>
      </c>
      <c r="J7" s="305">
        <v>0.32916666666666666</v>
      </c>
      <c r="K7" s="305">
        <v>0.70833333333333337</v>
      </c>
      <c r="L7" s="296" t="s">
        <v>169</v>
      </c>
      <c r="M7" s="297">
        <v>8</v>
      </c>
      <c r="N7" s="297"/>
      <c r="O7" s="297"/>
      <c r="P7" s="297"/>
      <c r="Q7" s="298"/>
      <c r="R7" s="297"/>
      <c r="S7" s="297"/>
      <c r="T7" s="298"/>
      <c r="U7" s="297"/>
      <c r="V7" s="298"/>
      <c r="W7" s="299"/>
      <c r="X7" s="300"/>
      <c r="Y7" s="301"/>
      <c r="Z7" s="302"/>
      <c r="AA7" s="303"/>
      <c r="AB7" s="304"/>
    </row>
    <row r="8" spans="1:28" ht="16.149999999999999" customHeight="1">
      <c r="A8" s="716"/>
      <c r="B8" s="290" t="s">
        <v>187</v>
      </c>
      <c r="C8" s="291">
        <v>4327</v>
      </c>
      <c r="D8" s="292" t="s">
        <v>254</v>
      </c>
      <c r="E8" s="293" t="s">
        <v>253</v>
      </c>
      <c r="F8" s="292" t="s">
        <v>254</v>
      </c>
      <c r="G8" s="589">
        <v>46220</v>
      </c>
      <c r="H8" s="294"/>
      <c r="I8" s="294" t="s">
        <v>186</v>
      </c>
      <c r="J8" s="305">
        <v>0.32916666666666666</v>
      </c>
      <c r="K8" s="305">
        <v>0.70833333333333337</v>
      </c>
      <c r="L8" s="296" t="s">
        <v>169</v>
      </c>
      <c r="M8" s="297">
        <v>8</v>
      </c>
      <c r="N8" s="297"/>
      <c r="O8" s="297"/>
      <c r="P8" s="297"/>
      <c r="Q8" s="298"/>
      <c r="R8" s="297"/>
      <c r="S8" s="297"/>
      <c r="T8" s="298"/>
      <c r="U8" s="297"/>
      <c r="V8" s="298"/>
      <c r="W8" s="299"/>
      <c r="X8" s="300"/>
      <c r="Y8" s="301"/>
      <c r="Z8" s="302"/>
      <c r="AA8" s="303"/>
      <c r="AB8" s="304"/>
    </row>
    <row r="9" spans="1:28" ht="16.149999999999999" customHeight="1">
      <c r="A9" s="716"/>
      <c r="B9" s="290" t="s">
        <v>187</v>
      </c>
      <c r="C9" s="291">
        <v>4327</v>
      </c>
      <c r="D9" s="292" t="s">
        <v>254</v>
      </c>
      <c r="E9" s="293" t="s">
        <v>253</v>
      </c>
      <c r="F9" s="292" t="s">
        <v>254</v>
      </c>
      <c r="G9" s="589">
        <v>46221</v>
      </c>
      <c r="H9" s="294"/>
      <c r="I9" s="294"/>
      <c r="J9" s="305"/>
      <c r="K9" s="305"/>
      <c r="L9" s="296"/>
      <c r="M9" s="297"/>
      <c r="N9" s="297"/>
      <c r="O9" s="297"/>
      <c r="P9" s="297"/>
      <c r="Q9" s="298"/>
      <c r="R9" s="297"/>
      <c r="S9" s="297"/>
      <c r="T9" s="298"/>
      <c r="U9" s="297"/>
      <c r="V9" s="298"/>
      <c r="W9" s="299"/>
      <c r="X9" s="300"/>
      <c r="Y9" s="301"/>
      <c r="Z9" s="302"/>
      <c r="AA9" s="303"/>
      <c r="AB9" s="304"/>
    </row>
    <row r="10" spans="1:28" ht="16.149999999999999" customHeight="1">
      <c r="A10" s="716"/>
      <c r="B10" s="290" t="s">
        <v>187</v>
      </c>
      <c r="C10" s="291">
        <v>4327</v>
      </c>
      <c r="D10" s="292" t="s">
        <v>254</v>
      </c>
      <c r="E10" s="293" t="s">
        <v>253</v>
      </c>
      <c r="F10" s="292" t="s">
        <v>254</v>
      </c>
      <c r="G10" s="590">
        <v>46222</v>
      </c>
      <c r="H10" s="294"/>
      <c r="I10" s="294"/>
      <c r="J10" s="699" t="s">
        <v>173</v>
      </c>
      <c r="K10" s="700"/>
      <c r="L10" s="296"/>
      <c r="M10" s="297"/>
      <c r="N10" s="297"/>
      <c r="O10" s="297"/>
      <c r="P10" s="297"/>
      <c r="Q10" s="298"/>
      <c r="R10" s="297"/>
      <c r="S10" s="297"/>
      <c r="T10" s="298"/>
      <c r="U10" s="297"/>
      <c r="V10" s="298"/>
      <c r="W10" s="299"/>
      <c r="X10" s="300"/>
      <c r="Y10" s="301"/>
      <c r="Z10" s="302"/>
      <c r="AA10" s="303"/>
      <c r="AB10" s="304"/>
    </row>
    <row r="11" spans="1:28" ht="16.149999999999999" customHeight="1">
      <c r="A11" s="716"/>
      <c r="B11" s="290" t="s">
        <v>187</v>
      </c>
      <c r="C11" s="291">
        <v>4327</v>
      </c>
      <c r="D11" s="292" t="s">
        <v>254</v>
      </c>
      <c r="E11" s="293" t="s">
        <v>253</v>
      </c>
      <c r="F11" s="292" t="s">
        <v>254</v>
      </c>
      <c r="G11" s="589">
        <v>46223</v>
      </c>
      <c r="H11" s="294"/>
      <c r="I11" s="294" t="s">
        <v>186</v>
      </c>
      <c r="J11" s="295">
        <v>0.32847222222222222</v>
      </c>
      <c r="K11" s="295">
        <v>0.7090277777777777</v>
      </c>
      <c r="L11" s="296" t="s">
        <v>169</v>
      </c>
      <c r="M11" s="297">
        <v>8</v>
      </c>
      <c r="N11" s="297"/>
      <c r="O11" s="297"/>
      <c r="P11" s="297"/>
      <c r="Q11" s="298"/>
      <c r="R11" s="297"/>
      <c r="S11" s="297"/>
      <c r="T11" s="298"/>
      <c r="U11" s="297"/>
      <c r="V11" s="298"/>
      <c r="W11" s="299"/>
      <c r="X11" s="300"/>
      <c r="Y11" s="301"/>
      <c r="Z11" s="302"/>
      <c r="AA11" s="303"/>
      <c r="AB11" s="304"/>
    </row>
    <row r="12" spans="1:28" ht="16.149999999999999" customHeight="1">
      <c r="A12" s="716"/>
      <c r="B12" s="290" t="s">
        <v>187</v>
      </c>
      <c r="C12" s="291">
        <v>4327</v>
      </c>
      <c r="D12" s="292" t="s">
        <v>254</v>
      </c>
      <c r="E12" s="293" t="s">
        <v>253</v>
      </c>
      <c r="F12" s="292" t="s">
        <v>254</v>
      </c>
      <c r="G12" s="589">
        <v>46224</v>
      </c>
      <c r="H12" s="294"/>
      <c r="I12" s="294" t="s">
        <v>186</v>
      </c>
      <c r="J12" s="295">
        <v>0.33055555555555555</v>
      </c>
      <c r="K12" s="295">
        <v>0.70833333333333337</v>
      </c>
      <c r="L12" s="296" t="s">
        <v>169</v>
      </c>
      <c r="M12" s="297">
        <v>8</v>
      </c>
      <c r="N12" s="313"/>
      <c r="O12" s="313"/>
      <c r="P12" s="314"/>
      <c r="Q12" s="315"/>
      <c r="R12" s="314"/>
      <c r="S12" s="314"/>
      <c r="T12" s="307"/>
      <c r="U12" s="306"/>
      <c r="V12" s="307"/>
      <c r="W12" s="308"/>
      <c r="X12" s="309"/>
      <c r="Y12" s="310"/>
      <c r="Z12" s="311"/>
      <c r="AA12" s="312"/>
      <c r="AB12" s="304"/>
    </row>
    <row r="13" spans="1:28" ht="16.149999999999999" customHeight="1">
      <c r="A13" s="716"/>
      <c r="B13" s="290" t="s">
        <v>187</v>
      </c>
      <c r="C13" s="291">
        <v>4327</v>
      </c>
      <c r="D13" s="292" t="s">
        <v>254</v>
      </c>
      <c r="E13" s="293" t="s">
        <v>253</v>
      </c>
      <c r="F13" s="292" t="s">
        <v>254</v>
      </c>
      <c r="G13" s="589">
        <v>46225</v>
      </c>
      <c r="H13" s="294"/>
      <c r="I13" s="294" t="s">
        <v>186</v>
      </c>
      <c r="J13" s="295">
        <v>0.3298611111111111</v>
      </c>
      <c r="K13" s="295">
        <v>0.70833333333333337</v>
      </c>
      <c r="L13" s="296" t="s">
        <v>169</v>
      </c>
      <c r="M13" s="297">
        <v>8</v>
      </c>
      <c r="N13" s="316"/>
      <c r="O13" s="297"/>
      <c r="P13" s="297"/>
      <c r="Q13" s="298"/>
      <c r="R13" s="297"/>
      <c r="S13" s="297"/>
      <c r="T13" s="298"/>
      <c r="U13" s="297"/>
      <c r="V13" s="298"/>
      <c r="W13" s="299"/>
      <c r="X13" s="300"/>
      <c r="Y13" s="301"/>
      <c r="Z13" s="302"/>
      <c r="AA13" s="312"/>
      <c r="AB13" s="304"/>
    </row>
    <row r="14" spans="1:28" ht="16.149999999999999" customHeight="1">
      <c r="A14" s="716"/>
      <c r="B14" s="290" t="s">
        <v>187</v>
      </c>
      <c r="C14" s="291">
        <v>4327</v>
      </c>
      <c r="D14" s="292" t="s">
        <v>254</v>
      </c>
      <c r="E14" s="293" t="s">
        <v>253</v>
      </c>
      <c r="F14" s="292" t="s">
        <v>254</v>
      </c>
      <c r="G14" s="589">
        <v>46226</v>
      </c>
      <c r="H14" s="294"/>
      <c r="I14" s="294" t="s">
        <v>186</v>
      </c>
      <c r="J14" s="295">
        <v>0.32916666666666666</v>
      </c>
      <c r="K14" s="295">
        <v>0.79236111111111107</v>
      </c>
      <c r="L14" s="296" t="s">
        <v>169</v>
      </c>
      <c r="M14" s="297">
        <v>8</v>
      </c>
      <c r="N14" s="316">
        <v>2</v>
      </c>
      <c r="O14" s="317"/>
      <c r="P14" s="317"/>
      <c r="Q14" s="298"/>
      <c r="R14" s="297"/>
      <c r="S14" s="297"/>
      <c r="T14" s="298"/>
      <c r="U14" s="297"/>
      <c r="V14" s="298"/>
      <c r="W14" s="299"/>
      <c r="X14" s="300"/>
      <c r="Y14" s="301"/>
      <c r="Z14" s="302"/>
      <c r="AA14" s="303"/>
      <c r="AB14" s="304"/>
    </row>
    <row r="15" spans="1:28" ht="16.149999999999999" customHeight="1">
      <c r="A15" s="716"/>
      <c r="B15" s="290" t="s">
        <v>187</v>
      </c>
      <c r="C15" s="291">
        <v>4327</v>
      </c>
      <c r="D15" s="292" t="s">
        <v>254</v>
      </c>
      <c r="E15" s="293" t="s">
        <v>253</v>
      </c>
      <c r="F15" s="292" t="s">
        <v>254</v>
      </c>
      <c r="G15" s="589">
        <v>46227</v>
      </c>
      <c r="H15" s="294"/>
      <c r="I15" s="294" t="s">
        <v>186</v>
      </c>
      <c r="J15" s="295">
        <v>0.32916666666666666</v>
      </c>
      <c r="K15" s="318">
        <v>0.70833333333333337</v>
      </c>
      <c r="L15" s="296" t="s">
        <v>169</v>
      </c>
      <c r="M15" s="297">
        <v>8</v>
      </c>
      <c r="N15" s="316"/>
      <c r="O15" s="316"/>
      <c r="P15" s="316"/>
      <c r="Q15" s="319"/>
      <c r="R15" s="316"/>
      <c r="S15" s="316"/>
      <c r="T15" s="298"/>
      <c r="U15" s="297"/>
      <c r="V15" s="298"/>
      <c r="W15" s="299"/>
      <c r="X15" s="300"/>
      <c r="Y15" s="301"/>
      <c r="Z15" s="302"/>
      <c r="AA15" s="303"/>
      <c r="AB15" s="304"/>
    </row>
    <row r="16" spans="1:28" ht="16.149999999999999" customHeight="1">
      <c r="A16" s="716"/>
      <c r="B16" s="290" t="s">
        <v>187</v>
      </c>
      <c r="C16" s="291">
        <v>4327</v>
      </c>
      <c r="D16" s="292" t="s">
        <v>254</v>
      </c>
      <c r="E16" s="293" t="s">
        <v>253</v>
      </c>
      <c r="F16" s="292" t="s">
        <v>254</v>
      </c>
      <c r="G16" s="589">
        <v>46228</v>
      </c>
      <c r="H16" s="294"/>
      <c r="I16" s="294"/>
      <c r="J16" s="295"/>
      <c r="K16" s="295"/>
      <c r="L16" s="296"/>
      <c r="M16" s="297"/>
      <c r="N16" s="297"/>
      <c r="O16" s="297"/>
      <c r="P16" s="297"/>
      <c r="Q16" s="298"/>
      <c r="R16" s="297"/>
      <c r="S16" s="320"/>
      <c r="T16" s="298"/>
      <c r="U16" s="297"/>
      <c r="V16" s="298"/>
      <c r="W16" s="299"/>
      <c r="X16" s="300"/>
      <c r="Y16" s="301"/>
      <c r="Z16" s="302"/>
      <c r="AA16" s="303"/>
      <c r="AB16" s="304"/>
    </row>
    <row r="17" spans="1:28" ht="16.149999999999999" customHeight="1">
      <c r="A17" s="716"/>
      <c r="B17" s="290"/>
      <c r="C17" s="291"/>
      <c r="D17" s="292"/>
      <c r="E17" s="293"/>
      <c r="F17" s="292"/>
      <c r="G17" s="591"/>
      <c r="H17" s="294"/>
      <c r="I17" s="294"/>
      <c r="J17" s="295"/>
      <c r="K17" s="321"/>
      <c r="L17" s="322"/>
      <c r="M17" s="313"/>
      <c r="N17" s="313"/>
      <c r="O17" s="313"/>
      <c r="P17" s="313"/>
      <c r="Q17" s="323"/>
      <c r="R17" s="313"/>
      <c r="S17" s="324"/>
      <c r="T17" s="298"/>
      <c r="U17" s="297"/>
      <c r="V17" s="298"/>
      <c r="W17" s="299"/>
      <c r="X17" s="300"/>
      <c r="Y17" s="301"/>
      <c r="Z17" s="302"/>
      <c r="AA17" s="303"/>
      <c r="AB17" s="304"/>
    </row>
    <row r="18" spans="1:28" ht="16.149999999999999" customHeight="1">
      <c r="A18" s="717"/>
      <c r="B18" s="325"/>
      <c r="C18" s="325"/>
      <c r="D18" s="325"/>
      <c r="E18" s="325"/>
      <c r="F18" s="325"/>
      <c r="G18" s="592"/>
      <c r="H18" s="326"/>
      <c r="I18" s="327"/>
      <c r="J18" s="328"/>
      <c r="K18" s="329"/>
      <c r="L18" s="327"/>
      <c r="M18" s="327">
        <f t="shared" ref="M18:AA18" si="0">SUM(M2:M16)</f>
        <v>80</v>
      </c>
      <c r="N18" s="327">
        <f t="shared" si="0"/>
        <v>2</v>
      </c>
      <c r="O18" s="327">
        <f t="shared" si="0"/>
        <v>0</v>
      </c>
      <c r="P18" s="327">
        <f t="shared" si="0"/>
        <v>0</v>
      </c>
      <c r="Q18" s="327">
        <f t="shared" si="0"/>
        <v>0</v>
      </c>
      <c r="R18" s="327">
        <f t="shared" si="0"/>
        <v>0</v>
      </c>
      <c r="S18" s="327">
        <f t="shared" si="0"/>
        <v>0</v>
      </c>
      <c r="T18" s="327">
        <f t="shared" si="0"/>
        <v>0</v>
      </c>
      <c r="U18" s="327">
        <f t="shared" si="0"/>
        <v>0</v>
      </c>
      <c r="V18" s="327">
        <f t="shared" si="0"/>
        <v>0</v>
      </c>
      <c r="W18" s="327">
        <f t="shared" si="0"/>
        <v>0</v>
      </c>
      <c r="X18" s="327">
        <f t="shared" si="0"/>
        <v>0</v>
      </c>
      <c r="Y18" s="327">
        <f t="shared" si="0"/>
        <v>0</v>
      </c>
      <c r="Z18" s="327">
        <f t="shared" si="0"/>
        <v>0</v>
      </c>
      <c r="AA18" s="327">
        <f t="shared" si="0"/>
        <v>0</v>
      </c>
      <c r="AB18" s="288"/>
    </row>
    <row r="19" spans="1:28" ht="16.149999999999999" customHeight="1">
      <c r="A19" s="280" t="s">
        <v>170</v>
      </c>
      <c r="B19" s="280" t="s">
        <v>120</v>
      </c>
      <c r="C19" s="280" t="s">
        <v>152</v>
      </c>
      <c r="D19" s="280" t="s">
        <v>182</v>
      </c>
      <c r="E19" s="281" t="s">
        <v>153</v>
      </c>
      <c r="F19" s="280" t="s">
        <v>182</v>
      </c>
      <c r="G19" s="588" t="s">
        <v>401</v>
      </c>
      <c r="H19" s="282"/>
      <c r="I19" s="283" t="s">
        <v>181</v>
      </c>
      <c r="J19" s="284" t="s">
        <v>154</v>
      </c>
      <c r="K19" s="284" t="s">
        <v>155</v>
      </c>
      <c r="L19" s="285" t="s">
        <v>156</v>
      </c>
      <c r="M19" s="286" t="s">
        <v>157</v>
      </c>
      <c r="N19" s="285" t="s">
        <v>158</v>
      </c>
      <c r="O19" s="285" t="s">
        <v>159</v>
      </c>
      <c r="P19" s="285" t="s">
        <v>174</v>
      </c>
      <c r="Q19" s="285" t="s">
        <v>160</v>
      </c>
      <c r="R19" s="285" t="s">
        <v>161</v>
      </c>
      <c r="S19" s="285" t="s">
        <v>162</v>
      </c>
      <c r="T19" s="283" t="s">
        <v>163</v>
      </c>
      <c r="U19" s="283" t="s">
        <v>164</v>
      </c>
      <c r="V19" s="283" t="s">
        <v>165</v>
      </c>
      <c r="W19" s="285" t="s">
        <v>113</v>
      </c>
      <c r="X19" s="283" t="s">
        <v>121</v>
      </c>
      <c r="Y19" s="283" t="s">
        <v>166</v>
      </c>
      <c r="Z19" s="287" t="s">
        <v>175</v>
      </c>
      <c r="AA19" s="287" t="s">
        <v>167</v>
      </c>
      <c r="AB19" s="288"/>
    </row>
    <row r="20" spans="1:28">
      <c r="A20" s="715"/>
      <c r="B20" s="290" t="s">
        <v>187</v>
      </c>
      <c r="C20" s="290">
        <v>5076</v>
      </c>
      <c r="D20" s="292" t="s">
        <v>252</v>
      </c>
      <c r="E20" s="293" t="s">
        <v>251</v>
      </c>
      <c r="F20" s="292" t="s">
        <v>252</v>
      </c>
      <c r="G20" s="589">
        <v>46214</v>
      </c>
      <c r="H20" s="294"/>
      <c r="I20" s="294"/>
      <c r="J20" s="295"/>
      <c r="K20" s="295"/>
      <c r="L20" s="296"/>
      <c r="M20" s="297"/>
      <c r="N20" s="297"/>
      <c r="O20" s="297"/>
      <c r="P20" s="297"/>
      <c r="Q20" s="298"/>
      <c r="R20" s="297"/>
      <c r="S20" s="297"/>
      <c r="T20" s="298"/>
      <c r="U20" s="297"/>
      <c r="V20" s="298"/>
      <c r="W20" s="299"/>
      <c r="X20" s="300"/>
      <c r="Y20" s="301"/>
      <c r="Z20" s="302"/>
      <c r="AA20" s="303"/>
      <c r="AB20" s="288"/>
    </row>
    <row r="21" spans="1:28">
      <c r="A21" s="716"/>
      <c r="B21" s="290" t="s">
        <v>187</v>
      </c>
      <c r="C21" s="290">
        <v>5076</v>
      </c>
      <c r="D21" s="292" t="s">
        <v>252</v>
      </c>
      <c r="E21" s="293" t="s">
        <v>251</v>
      </c>
      <c r="F21" s="292" t="s">
        <v>252</v>
      </c>
      <c r="G21" s="590">
        <v>46215</v>
      </c>
      <c r="H21" s="294"/>
      <c r="I21" s="294"/>
      <c r="J21" s="699" t="s">
        <v>173</v>
      </c>
      <c r="K21" s="700"/>
      <c r="L21" s="296"/>
      <c r="M21" s="297"/>
      <c r="N21" s="297"/>
      <c r="O21" s="297"/>
      <c r="P21" s="297"/>
      <c r="Q21" s="298"/>
      <c r="R21" s="297"/>
      <c r="S21" s="297"/>
      <c r="T21" s="298"/>
      <c r="U21" s="297"/>
      <c r="V21" s="298"/>
      <c r="W21" s="299"/>
      <c r="X21" s="300"/>
      <c r="Y21" s="301"/>
      <c r="Z21" s="302"/>
      <c r="AA21" s="303"/>
      <c r="AB21" s="288"/>
    </row>
    <row r="22" spans="1:28">
      <c r="A22" s="716"/>
      <c r="B22" s="290" t="s">
        <v>187</v>
      </c>
      <c r="C22" s="290">
        <v>5076</v>
      </c>
      <c r="D22" s="292" t="s">
        <v>252</v>
      </c>
      <c r="E22" s="293" t="s">
        <v>251</v>
      </c>
      <c r="F22" s="292" t="s">
        <v>252</v>
      </c>
      <c r="G22" s="589">
        <v>46216</v>
      </c>
      <c r="H22" s="294"/>
      <c r="I22" s="294" t="s">
        <v>186</v>
      </c>
      <c r="J22" s="305">
        <v>0.31944444444444442</v>
      </c>
      <c r="K22" s="305">
        <v>0.70902777777777781</v>
      </c>
      <c r="L22" s="296" t="s">
        <v>169</v>
      </c>
      <c r="M22" s="297">
        <v>8</v>
      </c>
      <c r="N22" s="297"/>
      <c r="O22" s="297"/>
      <c r="P22" s="297"/>
      <c r="Q22" s="298"/>
      <c r="R22" s="297"/>
      <c r="S22" s="297"/>
      <c r="T22" s="298"/>
      <c r="U22" s="297"/>
      <c r="V22" s="298"/>
      <c r="W22" s="299"/>
      <c r="X22" s="300"/>
      <c r="Y22" s="301"/>
      <c r="Z22" s="302"/>
      <c r="AA22" s="303"/>
      <c r="AB22" s="288"/>
    </row>
    <row r="23" spans="1:28">
      <c r="A23" s="716"/>
      <c r="B23" s="290" t="s">
        <v>187</v>
      </c>
      <c r="C23" s="290">
        <v>5076</v>
      </c>
      <c r="D23" s="292" t="s">
        <v>252</v>
      </c>
      <c r="E23" s="293" t="s">
        <v>251</v>
      </c>
      <c r="F23" s="292" t="s">
        <v>252</v>
      </c>
      <c r="G23" s="589">
        <v>46217</v>
      </c>
      <c r="H23" s="294"/>
      <c r="I23" s="294" t="s">
        <v>186</v>
      </c>
      <c r="J23" s="305">
        <v>0.3125</v>
      </c>
      <c r="K23" s="305">
        <v>0.70833333333333337</v>
      </c>
      <c r="L23" s="296" t="s">
        <v>169</v>
      </c>
      <c r="M23" s="297">
        <v>8</v>
      </c>
      <c r="N23" s="297"/>
      <c r="O23" s="297"/>
      <c r="P23" s="297"/>
      <c r="Q23" s="307"/>
      <c r="R23" s="306"/>
      <c r="S23" s="306"/>
      <c r="T23" s="307"/>
      <c r="U23" s="306"/>
      <c r="V23" s="307"/>
      <c r="W23" s="308"/>
      <c r="X23" s="309"/>
      <c r="Y23" s="310"/>
      <c r="Z23" s="311"/>
      <c r="AA23" s="312"/>
      <c r="AB23" s="288"/>
    </row>
    <row r="24" spans="1:28">
      <c r="A24" s="716"/>
      <c r="B24" s="290" t="s">
        <v>187</v>
      </c>
      <c r="C24" s="290">
        <v>5076</v>
      </c>
      <c r="D24" s="292" t="s">
        <v>252</v>
      </c>
      <c r="E24" s="293" t="s">
        <v>251</v>
      </c>
      <c r="F24" s="292" t="s">
        <v>252</v>
      </c>
      <c r="G24" s="589">
        <v>46218</v>
      </c>
      <c r="H24" s="294"/>
      <c r="I24" s="294" t="s">
        <v>186</v>
      </c>
      <c r="J24" s="305">
        <v>0.3125</v>
      </c>
      <c r="K24" s="305">
        <v>0.7090277777777777</v>
      </c>
      <c r="L24" s="296" t="s">
        <v>169</v>
      </c>
      <c r="M24" s="297">
        <v>8</v>
      </c>
      <c r="N24" s="297"/>
      <c r="O24" s="297"/>
      <c r="P24" s="297"/>
      <c r="Q24" s="298"/>
      <c r="R24" s="297"/>
      <c r="S24" s="297"/>
      <c r="T24" s="298"/>
      <c r="U24" s="297"/>
      <c r="V24" s="298"/>
      <c r="W24" s="299"/>
      <c r="X24" s="300"/>
      <c r="Y24" s="301"/>
      <c r="Z24" s="302"/>
      <c r="AA24" s="303"/>
      <c r="AB24" s="288"/>
    </row>
    <row r="25" spans="1:28">
      <c r="A25" s="716"/>
      <c r="B25" s="290" t="s">
        <v>187</v>
      </c>
      <c r="C25" s="290">
        <v>5076</v>
      </c>
      <c r="D25" s="292" t="s">
        <v>252</v>
      </c>
      <c r="E25" s="293" t="s">
        <v>251</v>
      </c>
      <c r="F25" s="292" t="s">
        <v>252</v>
      </c>
      <c r="G25" s="589">
        <v>46219</v>
      </c>
      <c r="H25" s="294"/>
      <c r="I25" s="294" t="s">
        <v>186</v>
      </c>
      <c r="J25" s="305">
        <v>0.31111111111111112</v>
      </c>
      <c r="K25" s="305">
        <v>0.70833333333333337</v>
      </c>
      <c r="L25" s="296" t="s">
        <v>169</v>
      </c>
      <c r="M25" s="297">
        <v>8</v>
      </c>
      <c r="N25" s="297"/>
      <c r="O25" s="297"/>
      <c r="P25" s="297"/>
      <c r="Q25" s="298"/>
      <c r="R25" s="297"/>
      <c r="S25" s="297"/>
      <c r="T25" s="298"/>
      <c r="U25" s="297"/>
      <c r="V25" s="298"/>
      <c r="W25" s="299"/>
      <c r="X25" s="300"/>
      <c r="Y25" s="301"/>
      <c r="Z25" s="302"/>
      <c r="AA25" s="303"/>
      <c r="AB25" s="288"/>
    </row>
    <row r="26" spans="1:28">
      <c r="A26" s="716"/>
      <c r="B26" s="290" t="s">
        <v>187</v>
      </c>
      <c r="C26" s="290">
        <v>5076</v>
      </c>
      <c r="D26" s="292" t="s">
        <v>252</v>
      </c>
      <c r="E26" s="293" t="s">
        <v>251</v>
      </c>
      <c r="F26" s="292" t="s">
        <v>252</v>
      </c>
      <c r="G26" s="589">
        <v>46220</v>
      </c>
      <c r="H26" s="294"/>
      <c r="I26" s="294" t="s">
        <v>186</v>
      </c>
      <c r="J26" s="305">
        <v>0.31388888888888888</v>
      </c>
      <c r="K26" s="305">
        <v>0.70902777777777781</v>
      </c>
      <c r="L26" s="296" t="s">
        <v>169</v>
      </c>
      <c r="M26" s="297">
        <v>8</v>
      </c>
      <c r="N26" s="297"/>
      <c r="O26" s="297"/>
      <c r="P26" s="297"/>
      <c r="Q26" s="298"/>
      <c r="R26" s="297"/>
      <c r="S26" s="297"/>
      <c r="T26" s="298"/>
      <c r="U26" s="297"/>
      <c r="V26" s="298"/>
      <c r="W26" s="299"/>
      <c r="X26" s="300"/>
      <c r="Y26" s="301"/>
      <c r="Z26" s="302"/>
      <c r="AA26" s="303"/>
      <c r="AB26" s="288"/>
    </row>
    <row r="27" spans="1:28">
      <c r="A27" s="716"/>
      <c r="B27" s="290" t="s">
        <v>187</v>
      </c>
      <c r="C27" s="290">
        <v>5076</v>
      </c>
      <c r="D27" s="292" t="s">
        <v>252</v>
      </c>
      <c r="E27" s="293" t="s">
        <v>251</v>
      </c>
      <c r="F27" s="292" t="s">
        <v>252</v>
      </c>
      <c r="G27" s="589">
        <v>46221</v>
      </c>
      <c r="H27" s="294"/>
      <c r="I27" s="294" t="s">
        <v>186</v>
      </c>
      <c r="J27" s="305">
        <v>0.31111111111111112</v>
      </c>
      <c r="K27" s="305">
        <v>0.70902777777777781</v>
      </c>
      <c r="L27" s="296" t="s">
        <v>169</v>
      </c>
      <c r="M27" s="297">
        <v>8</v>
      </c>
      <c r="N27" s="297"/>
      <c r="O27" s="297"/>
      <c r="P27" s="297"/>
      <c r="Q27" s="298"/>
      <c r="R27" s="297"/>
      <c r="S27" s="297"/>
      <c r="T27" s="298"/>
      <c r="U27" s="297"/>
      <c r="V27" s="298"/>
      <c r="W27" s="299"/>
      <c r="X27" s="300"/>
      <c r="Y27" s="301"/>
      <c r="Z27" s="302"/>
      <c r="AA27" s="303"/>
      <c r="AB27" s="288"/>
    </row>
    <row r="28" spans="1:28">
      <c r="A28" s="716"/>
      <c r="B28" s="290" t="s">
        <v>187</v>
      </c>
      <c r="C28" s="290">
        <v>5076</v>
      </c>
      <c r="D28" s="292" t="s">
        <v>252</v>
      </c>
      <c r="E28" s="293" t="s">
        <v>251</v>
      </c>
      <c r="F28" s="292" t="s">
        <v>252</v>
      </c>
      <c r="G28" s="590">
        <v>46222</v>
      </c>
      <c r="H28" s="294"/>
      <c r="I28" s="294"/>
      <c r="J28" s="699" t="s">
        <v>173</v>
      </c>
      <c r="K28" s="700"/>
      <c r="L28" s="296"/>
      <c r="M28" s="297"/>
      <c r="N28" s="297"/>
      <c r="O28" s="297"/>
      <c r="P28" s="297"/>
      <c r="Q28" s="298"/>
      <c r="R28" s="297"/>
      <c r="S28" s="297"/>
      <c r="T28" s="298"/>
      <c r="U28" s="297"/>
      <c r="V28" s="298"/>
      <c r="W28" s="299"/>
      <c r="X28" s="300"/>
      <c r="Y28" s="301"/>
      <c r="Z28" s="302"/>
      <c r="AA28" s="303"/>
      <c r="AB28" s="288"/>
    </row>
    <row r="29" spans="1:28">
      <c r="A29" s="716"/>
      <c r="B29" s="290" t="s">
        <v>187</v>
      </c>
      <c r="C29" s="290">
        <v>5076</v>
      </c>
      <c r="D29" s="292" t="s">
        <v>252</v>
      </c>
      <c r="E29" s="293" t="s">
        <v>251</v>
      </c>
      <c r="F29" s="292" t="s">
        <v>252</v>
      </c>
      <c r="G29" s="589">
        <v>46223</v>
      </c>
      <c r="H29" s="294"/>
      <c r="I29" s="294" t="s">
        <v>186</v>
      </c>
      <c r="J29" s="295">
        <v>0.31111111111111112</v>
      </c>
      <c r="K29" s="295">
        <v>0.70902777777777781</v>
      </c>
      <c r="L29" s="296" t="s">
        <v>169</v>
      </c>
      <c r="M29" s="297">
        <v>8</v>
      </c>
      <c r="N29" s="297"/>
      <c r="O29" s="297"/>
      <c r="P29" s="297"/>
      <c r="Q29" s="298"/>
      <c r="R29" s="297"/>
      <c r="S29" s="297"/>
      <c r="T29" s="298"/>
      <c r="U29" s="297"/>
      <c r="V29" s="298"/>
      <c r="W29" s="299"/>
      <c r="X29" s="300"/>
      <c r="Y29" s="301"/>
      <c r="Z29" s="302"/>
      <c r="AA29" s="303"/>
      <c r="AB29" s="288"/>
    </row>
    <row r="30" spans="1:28">
      <c r="A30" s="716"/>
      <c r="B30" s="290" t="s">
        <v>187</v>
      </c>
      <c r="C30" s="290">
        <v>5076</v>
      </c>
      <c r="D30" s="292" t="s">
        <v>252</v>
      </c>
      <c r="E30" s="293" t="s">
        <v>251</v>
      </c>
      <c r="F30" s="292" t="s">
        <v>252</v>
      </c>
      <c r="G30" s="589">
        <v>46224</v>
      </c>
      <c r="H30" s="294"/>
      <c r="I30" s="294" t="s">
        <v>186</v>
      </c>
      <c r="J30" s="295">
        <v>0.32222222222222224</v>
      </c>
      <c r="K30" s="295">
        <v>0.70833333333333337</v>
      </c>
      <c r="L30" s="296" t="s">
        <v>169</v>
      </c>
      <c r="M30" s="297">
        <v>8</v>
      </c>
      <c r="N30" s="313"/>
      <c r="O30" s="313"/>
      <c r="P30" s="313"/>
      <c r="Q30" s="315"/>
      <c r="R30" s="314"/>
      <c r="S30" s="314"/>
      <c r="T30" s="307"/>
      <c r="U30" s="306"/>
      <c r="V30" s="307"/>
      <c r="W30" s="308"/>
      <c r="X30" s="309"/>
      <c r="Y30" s="310"/>
      <c r="Z30" s="311"/>
      <c r="AA30" s="312"/>
      <c r="AB30" s="288"/>
    </row>
    <row r="31" spans="1:28">
      <c r="A31" s="716"/>
      <c r="B31" s="290" t="s">
        <v>187</v>
      </c>
      <c r="C31" s="290">
        <v>5076</v>
      </c>
      <c r="D31" s="292" t="s">
        <v>252</v>
      </c>
      <c r="E31" s="293" t="s">
        <v>251</v>
      </c>
      <c r="F31" s="292" t="s">
        <v>252</v>
      </c>
      <c r="G31" s="589">
        <v>46225</v>
      </c>
      <c r="H31" s="294"/>
      <c r="I31" s="294" t="s">
        <v>186</v>
      </c>
      <c r="J31" s="295">
        <v>0.31597222222222221</v>
      </c>
      <c r="K31" s="295">
        <v>0.70902777777777781</v>
      </c>
      <c r="L31" s="296" t="s">
        <v>169</v>
      </c>
      <c r="M31" s="297">
        <v>8</v>
      </c>
      <c r="N31" s="316"/>
      <c r="O31" s="297"/>
      <c r="P31" s="297"/>
      <c r="Q31" s="298"/>
      <c r="R31" s="297"/>
      <c r="S31" s="297"/>
      <c r="T31" s="298"/>
      <c r="U31" s="297"/>
      <c r="V31" s="298"/>
      <c r="W31" s="299"/>
      <c r="X31" s="300"/>
      <c r="Y31" s="301"/>
      <c r="Z31" s="302"/>
      <c r="AA31" s="303"/>
      <c r="AB31" s="288"/>
    </row>
    <row r="32" spans="1:28">
      <c r="A32" s="716"/>
      <c r="B32" s="290" t="s">
        <v>187</v>
      </c>
      <c r="C32" s="290">
        <v>5076</v>
      </c>
      <c r="D32" s="292" t="s">
        <v>252</v>
      </c>
      <c r="E32" s="293" t="s">
        <v>251</v>
      </c>
      <c r="F32" s="292" t="s">
        <v>252</v>
      </c>
      <c r="G32" s="589">
        <v>46226</v>
      </c>
      <c r="H32" s="294"/>
      <c r="I32" s="294" t="s">
        <v>186</v>
      </c>
      <c r="J32" s="295">
        <v>0.30972222222222223</v>
      </c>
      <c r="K32" s="295">
        <v>0.70833333333333337</v>
      </c>
      <c r="L32" s="296" t="s">
        <v>169</v>
      </c>
      <c r="M32" s="297">
        <v>8</v>
      </c>
      <c r="N32" s="316"/>
      <c r="O32" s="317"/>
      <c r="P32" s="317"/>
      <c r="Q32" s="298"/>
      <c r="R32" s="297"/>
      <c r="S32" s="297"/>
      <c r="T32" s="298"/>
      <c r="U32" s="297"/>
      <c r="V32" s="298"/>
      <c r="W32" s="299"/>
      <c r="X32" s="300"/>
      <c r="Y32" s="301"/>
      <c r="Z32" s="302"/>
      <c r="AA32" s="303"/>
      <c r="AB32" s="288"/>
    </row>
    <row r="33" spans="1:28">
      <c r="A33" s="716"/>
      <c r="B33" s="290" t="s">
        <v>187</v>
      </c>
      <c r="C33" s="290">
        <v>5076</v>
      </c>
      <c r="D33" s="292" t="s">
        <v>252</v>
      </c>
      <c r="E33" s="293" t="s">
        <v>251</v>
      </c>
      <c r="F33" s="292" t="s">
        <v>252</v>
      </c>
      <c r="G33" s="589">
        <v>46227</v>
      </c>
      <c r="H33" s="294"/>
      <c r="I33" s="294" t="s">
        <v>186</v>
      </c>
      <c r="J33" s="295">
        <v>0.30833333333333335</v>
      </c>
      <c r="K33" s="318">
        <v>0.70833333333333337</v>
      </c>
      <c r="L33" s="296" t="s">
        <v>169</v>
      </c>
      <c r="M33" s="297">
        <v>8</v>
      </c>
      <c r="N33" s="316"/>
      <c r="O33" s="316"/>
      <c r="P33" s="316"/>
      <c r="Q33" s="319"/>
      <c r="R33" s="316"/>
      <c r="S33" s="316"/>
      <c r="T33" s="298"/>
      <c r="U33" s="297"/>
      <c r="V33" s="298"/>
      <c r="W33" s="299"/>
      <c r="X33" s="300"/>
      <c r="Y33" s="301"/>
      <c r="Z33" s="302"/>
      <c r="AA33" s="303"/>
      <c r="AB33" s="288"/>
    </row>
    <row r="34" spans="1:28">
      <c r="A34" s="716"/>
      <c r="B34" s="290" t="s">
        <v>187</v>
      </c>
      <c r="C34" s="290">
        <v>5076</v>
      </c>
      <c r="D34" s="292" t="s">
        <v>252</v>
      </c>
      <c r="E34" s="293" t="s">
        <v>251</v>
      </c>
      <c r="F34" s="292" t="s">
        <v>252</v>
      </c>
      <c r="G34" s="589">
        <v>46228</v>
      </c>
      <c r="H34" s="294"/>
      <c r="I34" s="294" t="s">
        <v>186</v>
      </c>
      <c r="J34" s="295"/>
      <c r="K34" s="295"/>
      <c r="L34" s="296"/>
      <c r="M34" s="297"/>
      <c r="N34" s="297"/>
      <c r="O34" s="297"/>
      <c r="P34" s="297"/>
      <c r="Q34" s="298"/>
      <c r="R34" s="297"/>
      <c r="S34" s="320"/>
      <c r="T34" s="298"/>
      <c r="U34" s="297"/>
      <c r="V34" s="298"/>
      <c r="W34" s="299"/>
      <c r="X34" s="300"/>
      <c r="Y34" s="301"/>
      <c r="Z34" s="302"/>
      <c r="AA34" s="303"/>
      <c r="AB34" s="288"/>
    </row>
    <row r="35" spans="1:28">
      <c r="A35" s="716"/>
      <c r="B35" s="290"/>
      <c r="C35" s="290"/>
      <c r="D35" s="292"/>
      <c r="E35" s="293"/>
      <c r="F35" s="292"/>
      <c r="G35" s="591"/>
      <c r="H35" s="294"/>
      <c r="I35" s="294"/>
      <c r="J35" s="295"/>
      <c r="K35" s="321"/>
      <c r="L35" s="322"/>
      <c r="M35" s="313"/>
      <c r="N35" s="313"/>
      <c r="O35" s="313"/>
      <c r="P35" s="313"/>
      <c r="Q35" s="323"/>
      <c r="R35" s="313"/>
      <c r="S35" s="324"/>
      <c r="T35" s="298"/>
      <c r="U35" s="297"/>
      <c r="V35" s="298"/>
      <c r="W35" s="299"/>
      <c r="X35" s="300"/>
      <c r="Y35" s="301"/>
      <c r="Z35" s="302"/>
      <c r="AA35" s="303"/>
      <c r="AB35" s="288"/>
    </row>
    <row r="36" spans="1:28">
      <c r="A36" s="717"/>
      <c r="B36" s="325"/>
      <c r="C36" s="290"/>
      <c r="D36" s="325"/>
      <c r="E36" s="293"/>
      <c r="F36" s="325"/>
      <c r="G36" s="592"/>
      <c r="H36" s="326"/>
      <c r="I36" s="327"/>
      <c r="J36" s="328"/>
      <c r="K36" s="329"/>
      <c r="L36" s="327"/>
      <c r="M36" s="327">
        <f t="shared" ref="M36:AA36" si="1">SUM(M20:M34)</f>
        <v>88</v>
      </c>
      <c r="N36" s="327">
        <f t="shared" si="1"/>
        <v>0</v>
      </c>
      <c r="O36" s="327">
        <f t="shared" si="1"/>
        <v>0</v>
      </c>
      <c r="P36" s="327">
        <f t="shared" si="1"/>
        <v>0</v>
      </c>
      <c r="Q36" s="327">
        <f t="shared" si="1"/>
        <v>0</v>
      </c>
      <c r="R36" s="327">
        <f t="shared" si="1"/>
        <v>0</v>
      </c>
      <c r="S36" s="327">
        <f t="shared" si="1"/>
        <v>0</v>
      </c>
      <c r="T36" s="327">
        <f t="shared" si="1"/>
        <v>0</v>
      </c>
      <c r="U36" s="327">
        <f t="shared" si="1"/>
        <v>0</v>
      </c>
      <c r="V36" s="327">
        <f t="shared" si="1"/>
        <v>0</v>
      </c>
      <c r="W36" s="327">
        <f t="shared" si="1"/>
        <v>0</v>
      </c>
      <c r="X36" s="327">
        <f t="shared" si="1"/>
        <v>0</v>
      </c>
      <c r="Y36" s="327">
        <f t="shared" si="1"/>
        <v>0</v>
      </c>
      <c r="Z36" s="327">
        <f t="shared" si="1"/>
        <v>0</v>
      </c>
      <c r="AA36" s="327">
        <f t="shared" si="1"/>
        <v>0</v>
      </c>
      <c r="AB36" s="288"/>
    </row>
    <row r="37" spans="1:28">
      <c r="A37" s="280" t="s">
        <v>170</v>
      </c>
      <c r="B37" s="280" t="s">
        <v>120</v>
      </c>
      <c r="C37" s="280" t="s">
        <v>152</v>
      </c>
      <c r="D37" s="280" t="s">
        <v>182</v>
      </c>
      <c r="E37" s="281" t="s">
        <v>153</v>
      </c>
      <c r="F37" s="280" t="s">
        <v>182</v>
      </c>
      <c r="G37" s="588" t="s">
        <v>401</v>
      </c>
      <c r="H37" s="282"/>
      <c r="I37" s="283" t="s">
        <v>181</v>
      </c>
      <c r="J37" s="284" t="s">
        <v>154</v>
      </c>
      <c r="K37" s="284" t="s">
        <v>155</v>
      </c>
      <c r="L37" s="285" t="s">
        <v>156</v>
      </c>
      <c r="M37" s="286" t="s">
        <v>157</v>
      </c>
      <c r="N37" s="285" t="s">
        <v>158</v>
      </c>
      <c r="O37" s="285" t="s">
        <v>159</v>
      </c>
      <c r="P37" s="285" t="s">
        <v>174</v>
      </c>
      <c r="Q37" s="285" t="s">
        <v>160</v>
      </c>
      <c r="R37" s="285" t="s">
        <v>161</v>
      </c>
      <c r="S37" s="285" t="s">
        <v>162</v>
      </c>
      <c r="T37" s="283" t="s">
        <v>163</v>
      </c>
      <c r="U37" s="283" t="s">
        <v>164</v>
      </c>
      <c r="V37" s="283" t="s">
        <v>165</v>
      </c>
      <c r="W37" s="285" t="s">
        <v>113</v>
      </c>
      <c r="X37" s="283" t="s">
        <v>121</v>
      </c>
      <c r="Y37" s="283" t="s">
        <v>166</v>
      </c>
      <c r="Z37" s="287" t="s">
        <v>175</v>
      </c>
      <c r="AA37" s="287" t="s">
        <v>167</v>
      </c>
      <c r="AB37" s="288"/>
    </row>
    <row r="38" spans="1:28">
      <c r="A38" s="715"/>
      <c r="B38" s="290" t="s">
        <v>187</v>
      </c>
      <c r="C38" s="290">
        <v>12927</v>
      </c>
      <c r="D38" s="292" t="s">
        <v>250</v>
      </c>
      <c r="E38" s="293" t="s">
        <v>249</v>
      </c>
      <c r="F38" s="292" t="s">
        <v>250</v>
      </c>
      <c r="G38" s="589">
        <v>46214</v>
      </c>
      <c r="H38" s="294"/>
      <c r="I38" s="294" t="s">
        <v>183</v>
      </c>
      <c r="J38" s="295">
        <v>0.78888888888888886</v>
      </c>
      <c r="K38" s="295">
        <v>0.1673611111111111</v>
      </c>
      <c r="L38" s="296" t="s">
        <v>168</v>
      </c>
      <c r="M38" s="297">
        <v>8</v>
      </c>
      <c r="N38" s="297"/>
      <c r="O38" s="297">
        <v>6</v>
      </c>
      <c r="P38" s="297"/>
      <c r="Q38" s="298"/>
      <c r="R38" s="297"/>
      <c r="S38" s="297"/>
      <c r="T38" s="298"/>
      <c r="U38" s="297"/>
      <c r="V38" s="298"/>
      <c r="W38" s="299"/>
      <c r="X38" s="300"/>
      <c r="Y38" s="301"/>
      <c r="Z38" s="302"/>
      <c r="AA38" s="303"/>
      <c r="AB38" s="288"/>
    </row>
    <row r="39" spans="1:28">
      <c r="A39" s="716"/>
      <c r="B39" s="290" t="s">
        <v>187</v>
      </c>
      <c r="C39" s="290">
        <v>12927</v>
      </c>
      <c r="D39" s="292" t="s">
        <v>250</v>
      </c>
      <c r="E39" s="293" t="s">
        <v>249</v>
      </c>
      <c r="F39" s="292" t="s">
        <v>250</v>
      </c>
      <c r="G39" s="590">
        <v>46215</v>
      </c>
      <c r="H39" s="294"/>
      <c r="I39" s="294"/>
      <c r="J39" s="699" t="s">
        <v>173</v>
      </c>
      <c r="K39" s="700"/>
      <c r="L39" s="296"/>
      <c r="M39" s="297"/>
      <c r="N39" s="297"/>
      <c r="O39" s="297"/>
      <c r="P39" s="297"/>
      <c r="Q39" s="298"/>
      <c r="R39" s="297"/>
      <c r="S39" s="297"/>
      <c r="T39" s="298"/>
      <c r="U39" s="297"/>
      <c r="V39" s="298"/>
      <c r="W39" s="299"/>
      <c r="X39" s="300"/>
      <c r="Y39" s="301"/>
      <c r="Z39" s="302"/>
      <c r="AA39" s="303"/>
      <c r="AB39" s="288"/>
    </row>
    <row r="40" spans="1:28">
      <c r="A40" s="716"/>
      <c r="B40" s="290" t="s">
        <v>187</v>
      </c>
      <c r="C40" s="290">
        <v>12927</v>
      </c>
      <c r="D40" s="292" t="s">
        <v>250</v>
      </c>
      <c r="E40" s="293" t="s">
        <v>249</v>
      </c>
      <c r="F40" s="292" t="s">
        <v>250</v>
      </c>
      <c r="G40" s="589">
        <v>46216</v>
      </c>
      <c r="H40" s="294"/>
      <c r="I40" s="294" t="s">
        <v>186</v>
      </c>
      <c r="J40" s="305">
        <v>0.32777777777777778</v>
      </c>
      <c r="K40" s="305">
        <v>0.70902777777777781</v>
      </c>
      <c r="L40" s="296" t="s">
        <v>169</v>
      </c>
      <c r="M40" s="297">
        <v>8</v>
      </c>
      <c r="N40" s="297"/>
      <c r="O40" s="297"/>
      <c r="P40" s="297"/>
      <c r="Q40" s="298"/>
      <c r="R40" s="297"/>
      <c r="S40" s="297"/>
      <c r="T40" s="298"/>
      <c r="U40" s="297"/>
      <c r="V40" s="298"/>
      <c r="W40" s="299"/>
      <c r="X40" s="300"/>
      <c r="Y40" s="301"/>
      <c r="Z40" s="302"/>
      <c r="AA40" s="303"/>
      <c r="AB40" s="288"/>
    </row>
    <row r="41" spans="1:28">
      <c r="A41" s="716"/>
      <c r="B41" s="290" t="s">
        <v>187</v>
      </c>
      <c r="C41" s="290">
        <v>12927</v>
      </c>
      <c r="D41" s="292" t="s">
        <v>250</v>
      </c>
      <c r="E41" s="293" t="s">
        <v>249</v>
      </c>
      <c r="F41" s="292" t="s">
        <v>250</v>
      </c>
      <c r="G41" s="589">
        <v>46217</v>
      </c>
      <c r="H41" s="294"/>
      <c r="I41" s="294" t="s">
        <v>186</v>
      </c>
      <c r="J41" s="305">
        <v>0.32500000000000001</v>
      </c>
      <c r="K41" s="305">
        <v>0.70833333333333337</v>
      </c>
      <c r="L41" s="296" t="s">
        <v>169</v>
      </c>
      <c r="M41" s="297">
        <v>8</v>
      </c>
      <c r="N41" s="297"/>
      <c r="O41" s="297"/>
      <c r="P41" s="297"/>
      <c r="Q41" s="307"/>
      <c r="R41" s="306"/>
      <c r="S41" s="306"/>
      <c r="T41" s="307"/>
      <c r="U41" s="306"/>
      <c r="V41" s="307"/>
      <c r="W41" s="308"/>
      <c r="X41" s="309"/>
      <c r="Y41" s="310"/>
      <c r="Z41" s="311"/>
      <c r="AA41" s="312"/>
      <c r="AB41" s="288"/>
    </row>
    <row r="42" spans="1:28">
      <c r="A42" s="716"/>
      <c r="B42" s="290" t="s">
        <v>187</v>
      </c>
      <c r="C42" s="290">
        <v>12927</v>
      </c>
      <c r="D42" s="292" t="s">
        <v>250</v>
      </c>
      <c r="E42" s="293" t="s">
        <v>249</v>
      </c>
      <c r="F42" s="292" t="s">
        <v>250</v>
      </c>
      <c r="G42" s="589">
        <v>46218</v>
      </c>
      <c r="H42" s="294"/>
      <c r="I42" s="294" t="s">
        <v>186</v>
      </c>
      <c r="J42" s="305">
        <v>0.3263888888888889</v>
      </c>
      <c r="K42" s="305">
        <v>0.70833333333333337</v>
      </c>
      <c r="L42" s="296" t="s">
        <v>169</v>
      </c>
      <c r="M42" s="297">
        <v>8</v>
      </c>
      <c r="N42" s="297"/>
      <c r="O42" s="297"/>
      <c r="P42" s="297"/>
      <c r="Q42" s="298"/>
      <c r="R42" s="297"/>
      <c r="S42" s="297"/>
      <c r="T42" s="298"/>
      <c r="U42" s="297"/>
      <c r="V42" s="298"/>
      <c r="W42" s="299"/>
      <c r="X42" s="300"/>
      <c r="Y42" s="301"/>
      <c r="Z42" s="302"/>
      <c r="AA42" s="303"/>
      <c r="AB42" s="288"/>
    </row>
    <row r="43" spans="1:28">
      <c r="A43" s="716"/>
      <c r="B43" s="290" t="s">
        <v>187</v>
      </c>
      <c r="C43" s="290">
        <v>12927</v>
      </c>
      <c r="D43" s="292" t="s">
        <v>250</v>
      </c>
      <c r="E43" s="293" t="s">
        <v>249</v>
      </c>
      <c r="F43" s="292" t="s">
        <v>250</v>
      </c>
      <c r="G43" s="589">
        <v>46219</v>
      </c>
      <c r="H43" s="294"/>
      <c r="I43" s="294" t="s">
        <v>186</v>
      </c>
      <c r="J43" s="305">
        <v>0.32500000000000001</v>
      </c>
      <c r="K43" s="305">
        <v>0.70833333333333337</v>
      </c>
      <c r="L43" s="296" t="s">
        <v>169</v>
      </c>
      <c r="M43" s="297">
        <v>8</v>
      </c>
      <c r="N43" s="297"/>
      <c r="O43" s="297"/>
      <c r="P43" s="297"/>
      <c r="Q43" s="298"/>
      <c r="R43" s="297"/>
      <c r="S43" s="297"/>
      <c r="T43" s="298"/>
      <c r="U43" s="297"/>
      <c r="V43" s="298"/>
      <c r="W43" s="299"/>
      <c r="X43" s="300"/>
      <c r="Y43" s="301"/>
      <c r="Z43" s="302"/>
      <c r="AA43" s="303"/>
      <c r="AB43" s="288"/>
    </row>
    <row r="44" spans="1:28">
      <c r="A44" s="716"/>
      <c r="B44" s="290" t="s">
        <v>187</v>
      </c>
      <c r="C44" s="290">
        <v>12927</v>
      </c>
      <c r="D44" s="292" t="s">
        <v>250</v>
      </c>
      <c r="E44" s="293" t="s">
        <v>249</v>
      </c>
      <c r="F44" s="292" t="s">
        <v>250</v>
      </c>
      <c r="G44" s="589">
        <v>46220</v>
      </c>
      <c r="H44" s="294"/>
      <c r="I44" s="294" t="s">
        <v>186</v>
      </c>
      <c r="J44" s="305">
        <v>0.32430555555555557</v>
      </c>
      <c r="K44" s="305">
        <v>0.70833333333333337</v>
      </c>
      <c r="L44" s="296" t="s">
        <v>169</v>
      </c>
      <c r="M44" s="297">
        <v>8</v>
      </c>
      <c r="N44" s="297"/>
      <c r="O44" s="297"/>
      <c r="P44" s="297"/>
      <c r="Q44" s="298"/>
      <c r="R44" s="297"/>
      <c r="S44" s="297"/>
      <c r="T44" s="298"/>
      <c r="U44" s="297"/>
      <c r="V44" s="298"/>
      <c r="W44" s="299"/>
      <c r="X44" s="300"/>
      <c r="Y44" s="301"/>
      <c r="Z44" s="302"/>
      <c r="AA44" s="303"/>
      <c r="AB44" s="288"/>
    </row>
    <row r="45" spans="1:28">
      <c r="A45" s="716"/>
      <c r="B45" s="290" t="s">
        <v>187</v>
      </c>
      <c r="C45" s="290">
        <v>12927</v>
      </c>
      <c r="D45" s="292" t="s">
        <v>250</v>
      </c>
      <c r="E45" s="293" t="s">
        <v>249</v>
      </c>
      <c r="F45" s="292" t="s">
        <v>250</v>
      </c>
      <c r="G45" s="589">
        <v>46221</v>
      </c>
      <c r="H45" s="294"/>
      <c r="I45" s="294" t="s">
        <v>186</v>
      </c>
      <c r="J45" s="305"/>
      <c r="K45" s="305"/>
      <c r="L45" s="296"/>
      <c r="M45" s="297"/>
      <c r="N45" s="297"/>
      <c r="O45" s="297"/>
      <c r="P45" s="297"/>
      <c r="Q45" s="298"/>
      <c r="R45" s="297"/>
      <c r="S45" s="297"/>
      <c r="T45" s="298"/>
      <c r="U45" s="297"/>
      <c r="V45" s="298"/>
      <c r="W45" s="299"/>
      <c r="X45" s="300"/>
      <c r="Y45" s="301"/>
      <c r="Z45" s="302"/>
      <c r="AA45" s="303"/>
      <c r="AB45" s="288"/>
    </row>
    <row r="46" spans="1:28">
      <c r="A46" s="716"/>
      <c r="B46" s="290" t="s">
        <v>187</v>
      </c>
      <c r="C46" s="290">
        <v>12927</v>
      </c>
      <c r="D46" s="292" t="s">
        <v>250</v>
      </c>
      <c r="E46" s="293" t="s">
        <v>249</v>
      </c>
      <c r="F46" s="292" t="s">
        <v>250</v>
      </c>
      <c r="G46" s="590">
        <v>46222</v>
      </c>
      <c r="H46" s="294"/>
      <c r="I46" s="294"/>
      <c r="J46" s="699" t="s">
        <v>173</v>
      </c>
      <c r="K46" s="700"/>
      <c r="L46" s="296"/>
      <c r="M46" s="297"/>
      <c r="N46" s="297"/>
      <c r="O46" s="297"/>
      <c r="P46" s="297"/>
      <c r="Q46" s="298"/>
      <c r="R46" s="297"/>
      <c r="S46" s="297"/>
      <c r="T46" s="298"/>
      <c r="U46" s="297"/>
      <c r="V46" s="298"/>
      <c r="W46" s="299"/>
      <c r="X46" s="300"/>
      <c r="Y46" s="301"/>
      <c r="Z46" s="302"/>
      <c r="AA46" s="303"/>
      <c r="AB46" s="288"/>
    </row>
    <row r="47" spans="1:28">
      <c r="A47" s="716"/>
      <c r="B47" s="290" t="s">
        <v>187</v>
      </c>
      <c r="C47" s="290">
        <v>12927</v>
      </c>
      <c r="D47" s="292" t="s">
        <v>250</v>
      </c>
      <c r="E47" s="293" t="s">
        <v>249</v>
      </c>
      <c r="F47" s="292" t="s">
        <v>250</v>
      </c>
      <c r="G47" s="589">
        <v>46223</v>
      </c>
      <c r="H47" s="294"/>
      <c r="I47" s="294" t="s">
        <v>186</v>
      </c>
      <c r="J47" s="295">
        <v>0.32500000000000001</v>
      </c>
      <c r="K47" s="295">
        <v>0.70902777777777781</v>
      </c>
      <c r="L47" s="296" t="s">
        <v>169</v>
      </c>
      <c r="M47" s="297">
        <v>8</v>
      </c>
      <c r="N47" s="306"/>
      <c r="O47" s="306"/>
      <c r="P47" s="306"/>
      <c r="Q47" s="307"/>
      <c r="R47" s="306"/>
      <c r="S47" s="306"/>
      <c r="T47" s="307"/>
      <c r="U47" s="306"/>
      <c r="V47" s="307"/>
      <c r="W47" s="299"/>
      <c r="X47" s="300"/>
      <c r="Y47" s="301"/>
      <c r="Z47" s="302"/>
      <c r="AA47" s="303"/>
      <c r="AB47" s="288"/>
    </row>
    <row r="48" spans="1:28">
      <c r="A48" s="716"/>
      <c r="B48" s="290" t="s">
        <v>187</v>
      </c>
      <c r="C48" s="290">
        <v>12927</v>
      </c>
      <c r="D48" s="292" t="s">
        <v>250</v>
      </c>
      <c r="E48" s="293" t="s">
        <v>249</v>
      </c>
      <c r="F48" s="292" t="s">
        <v>250</v>
      </c>
      <c r="G48" s="589">
        <v>46224</v>
      </c>
      <c r="H48" s="294"/>
      <c r="I48" s="294" t="s">
        <v>186</v>
      </c>
      <c r="J48" s="295">
        <v>0.32569444444444445</v>
      </c>
      <c r="K48" s="295">
        <v>0.70833333333333337</v>
      </c>
      <c r="L48" s="296" t="s">
        <v>169</v>
      </c>
      <c r="M48" s="297">
        <v>8</v>
      </c>
      <c r="N48" s="313"/>
      <c r="O48" s="313"/>
      <c r="P48" s="313"/>
      <c r="Q48" s="315"/>
      <c r="R48" s="314"/>
      <c r="S48" s="314"/>
      <c r="T48" s="307"/>
      <c r="U48" s="306"/>
      <c r="V48" s="307"/>
      <c r="W48" s="308"/>
      <c r="X48" s="309"/>
      <c r="Y48" s="310"/>
      <c r="Z48" s="311"/>
      <c r="AA48" s="312"/>
      <c r="AB48" s="288"/>
    </row>
    <row r="49" spans="1:28">
      <c r="A49" s="716"/>
      <c r="B49" s="290" t="s">
        <v>187</v>
      </c>
      <c r="C49" s="290">
        <v>12927</v>
      </c>
      <c r="D49" s="292" t="s">
        <v>250</v>
      </c>
      <c r="E49" s="293" t="s">
        <v>249</v>
      </c>
      <c r="F49" s="292" t="s">
        <v>250</v>
      </c>
      <c r="G49" s="589">
        <v>46225</v>
      </c>
      <c r="H49" s="294"/>
      <c r="I49" s="294" t="s">
        <v>186</v>
      </c>
      <c r="J49" s="295">
        <v>0.32708333333333334</v>
      </c>
      <c r="K49" s="295">
        <v>0.70833333333333337</v>
      </c>
      <c r="L49" s="296" t="s">
        <v>169</v>
      </c>
      <c r="M49" s="297">
        <v>8</v>
      </c>
      <c r="N49" s="316"/>
      <c r="O49" s="297"/>
      <c r="P49" s="297"/>
      <c r="Q49" s="298"/>
      <c r="R49" s="297"/>
      <c r="S49" s="297"/>
      <c r="T49" s="298"/>
      <c r="U49" s="297"/>
      <c r="V49" s="298"/>
      <c r="W49" s="299"/>
      <c r="X49" s="300"/>
      <c r="Y49" s="301"/>
      <c r="Z49" s="302"/>
      <c r="AA49" s="303"/>
      <c r="AB49" s="288"/>
    </row>
    <row r="50" spans="1:28">
      <c r="A50" s="716"/>
      <c r="B50" s="290" t="s">
        <v>187</v>
      </c>
      <c r="C50" s="290">
        <v>12927</v>
      </c>
      <c r="D50" s="292" t="s">
        <v>250</v>
      </c>
      <c r="E50" s="293" t="s">
        <v>249</v>
      </c>
      <c r="F50" s="292" t="s">
        <v>250</v>
      </c>
      <c r="G50" s="589">
        <v>46226</v>
      </c>
      <c r="H50" s="294"/>
      <c r="I50" s="294" t="s">
        <v>186</v>
      </c>
      <c r="J50" s="295">
        <v>0.32569444444444445</v>
      </c>
      <c r="K50" s="295">
        <v>0.70833333333333337</v>
      </c>
      <c r="L50" s="296" t="s">
        <v>169</v>
      </c>
      <c r="M50" s="297">
        <v>8</v>
      </c>
      <c r="N50" s="316"/>
      <c r="O50" s="317"/>
      <c r="P50" s="317"/>
      <c r="Q50" s="298"/>
      <c r="R50" s="297"/>
      <c r="S50" s="297"/>
      <c r="T50" s="298"/>
      <c r="U50" s="297"/>
      <c r="V50" s="298"/>
      <c r="W50" s="299"/>
      <c r="X50" s="300"/>
      <c r="Y50" s="301"/>
      <c r="Z50" s="302"/>
      <c r="AA50" s="303"/>
      <c r="AB50" s="288"/>
    </row>
    <row r="51" spans="1:28">
      <c r="A51" s="716"/>
      <c r="B51" s="290" t="s">
        <v>187</v>
      </c>
      <c r="C51" s="290">
        <v>12927</v>
      </c>
      <c r="D51" s="292" t="s">
        <v>250</v>
      </c>
      <c r="E51" s="293" t="s">
        <v>249</v>
      </c>
      <c r="F51" s="292" t="s">
        <v>250</v>
      </c>
      <c r="G51" s="589">
        <v>46227</v>
      </c>
      <c r="H51" s="294"/>
      <c r="I51" s="294" t="s">
        <v>186</v>
      </c>
      <c r="J51" s="295">
        <v>0.32916666666666666</v>
      </c>
      <c r="K51" s="318">
        <v>0.70833333333333337</v>
      </c>
      <c r="L51" s="296" t="s">
        <v>169</v>
      </c>
      <c r="M51" s="297">
        <v>8</v>
      </c>
      <c r="N51" s="316"/>
      <c r="O51" s="316"/>
      <c r="P51" s="316"/>
      <c r="Q51" s="319"/>
      <c r="R51" s="316"/>
      <c r="S51" s="316"/>
      <c r="T51" s="298"/>
      <c r="U51" s="297"/>
      <c r="V51" s="298"/>
      <c r="W51" s="299"/>
      <c r="X51" s="300"/>
      <c r="Y51" s="301"/>
      <c r="Z51" s="302"/>
      <c r="AA51" s="303"/>
      <c r="AB51" s="288"/>
    </row>
    <row r="52" spans="1:28">
      <c r="A52" s="716"/>
      <c r="B52" s="290" t="s">
        <v>187</v>
      </c>
      <c r="C52" s="290">
        <v>12927</v>
      </c>
      <c r="D52" s="292" t="s">
        <v>250</v>
      </c>
      <c r="E52" s="293" t="s">
        <v>249</v>
      </c>
      <c r="F52" s="292" t="s">
        <v>250</v>
      </c>
      <c r="G52" s="589">
        <v>46228</v>
      </c>
      <c r="H52" s="294"/>
      <c r="I52" s="294" t="s">
        <v>186</v>
      </c>
      <c r="J52" s="295"/>
      <c r="K52" s="295"/>
      <c r="L52" s="296"/>
      <c r="M52" s="297"/>
      <c r="N52" s="297"/>
      <c r="O52" s="297"/>
      <c r="P52" s="297"/>
      <c r="Q52" s="298"/>
      <c r="R52" s="297"/>
      <c r="S52" s="320"/>
      <c r="T52" s="298"/>
      <c r="U52" s="297"/>
      <c r="V52" s="298"/>
      <c r="W52" s="299"/>
      <c r="X52" s="300"/>
      <c r="Y52" s="301"/>
      <c r="Z52" s="302"/>
      <c r="AA52" s="303"/>
      <c r="AB52" s="288"/>
    </row>
    <row r="53" spans="1:28">
      <c r="A53" s="716"/>
      <c r="B53" s="290"/>
      <c r="C53" s="290"/>
      <c r="D53" s="292"/>
      <c r="E53" s="293"/>
      <c r="F53" s="292"/>
      <c r="G53" s="591"/>
      <c r="H53" s="294"/>
      <c r="I53" s="330"/>
      <c r="J53" s="295"/>
      <c r="K53" s="321"/>
      <c r="L53" s="322"/>
      <c r="M53" s="313"/>
      <c r="N53" s="313"/>
      <c r="O53" s="313"/>
      <c r="P53" s="313"/>
      <c r="Q53" s="323"/>
      <c r="R53" s="313"/>
      <c r="S53" s="324"/>
      <c r="T53" s="298"/>
      <c r="U53" s="297"/>
      <c r="V53" s="298"/>
      <c r="W53" s="299"/>
      <c r="X53" s="300"/>
      <c r="Y53" s="301"/>
      <c r="Z53" s="302"/>
      <c r="AA53" s="303"/>
      <c r="AB53" s="288"/>
    </row>
    <row r="54" spans="1:28">
      <c r="A54" s="717"/>
      <c r="B54" s="325"/>
      <c r="C54" s="290"/>
      <c r="D54" s="325"/>
      <c r="E54" s="293"/>
      <c r="F54" s="325"/>
      <c r="G54" s="592"/>
      <c r="H54" s="326"/>
      <c r="I54" s="327"/>
      <c r="J54" s="328"/>
      <c r="K54" s="329"/>
      <c r="L54" s="327"/>
      <c r="M54" s="327">
        <f t="shared" ref="M54:AA54" si="2">SUM(M38:M52)</f>
        <v>88</v>
      </c>
      <c r="N54" s="327">
        <f t="shared" si="2"/>
        <v>0</v>
      </c>
      <c r="O54" s="327">
        <f t="shared" si="2"/>
        <v>6</v>
      </c>
      <c r="P54" s="327">
        <f t="shared" si="2"/>
        <v>0</v>
      </c>
      <c r="Q54" s="327">
        <f t="shared" si="2"/>
        <v>0</v>
      </c>
      <c r="R54" s="327">
        <f t="shared" si="2"/>
        <v>0</v>
      </c>
      <c r="S54" s="327">
        <f t="shared" si="2"/>
        <v>0</v>
      </c>
      <c r="T54" s="327">
        <f t="shared" si="2"/>
        <v>0</v>
      </c>
      <c r="U54" s="327">
        <f t="shared" si="2"/>
        <v>0</v>
      </c>
      <c r="V54" s="327">
        <f t="shared" si="2"/>
        <v>0</v>
      </c>
      <c r="W54" s="327">
        <f t="shared" si="2"/>
        <v>0</v>
      </c>
      <c r="X54" s="327">
        <f t="shared" si="2"/>
        <v>0</v>
      </c>
      <c r="Y54" s="327">
        <f t="shared" si="2"/>
        <v>0</v>
      </c>
      <c r="Z54" s="327">
        <f t="shared" si="2"/>
        <v>0</v>
      </c>
      <c r="AA54" s="327">
        <f t="shared" si="2"/>
        <v>0</v>
      </c>
      <c r="AB54" s="288"/>
    </row>
    <row r="55" spans="1:28" ht="15.75" customHeight="1">
      <c r="A55" s="280" t="s">
        <v>170</v>
      </c>
      <c r="B55" s="280" t="s">
        <v>120</v>
      </c>
      <c r="C55" s="280" t="s">
        <v>152</v>
      </c>
      <c r="D55" s="280" t="s">
        <v>182</v>
      </c>
      <c r="E55" s="281" t="s">
        <v>153</v>
      </c>
      <c r="F55" s="280" t="s">
        <v>182</v>
      </c>
      <c r="G55" s="588" t="s">
        <v>401</v>
      </c>
      <c r="H55" s="282"/>
      <c r="I55" s="283" t="s">
        <v>181</v>
      </c>
      <c r="J55" s="284" t="s">
        <v>154</v>
      </c>
      <c r="K55" s="284" t="s">
        <v>155</v>
      </c>
      <c r="L55" s="285" t="s">
        <v>156</v>
      </c>
      <c r="M55" s="286" t="s">
        <v>157</v>
      </c>
      <c r="N55" s="285" t="s">
        <v>158</v>
      </c>
      <c r="O55" s="285" t="s">
        <v>159</v>
      </c>
      <c r="P55" s="285" t="s">
        <v>174</v>
      </c>
      <c r="Q55" s="285" t="s">
        <v>160</v>
      </c>
      <c r="R55" s="285" t="s">
        <v>161</v>
      </c>
      <c r="S55" s="285" t="s">
        <v>162</v>
      </c>
      <c r="T55" s="283" t="s">
        <v>163</v>
      </c>
      <c r="U55" s="283" t="s">
        <v>164</v>
      </c>
      <c r="V55" s="283" t="s">
        <v>165</v>
      </c>
      <c r="W55" s="285" t="s">
        <v>113</v>
      </c>
      <c r="X55" s="283" t="s">
        <v>121</v>
      </c>
      <c r="Y55" s="283" t="s">
        <v>166</v>
      </c>
      <c r="Z55" s="287" t="s">
        <v>175</v>
      </c>
      <c r="AA55" s="287" t="s">
        <v>167</v>
      </c>
      <c r="AB55" s="288"/>
    </row>
    <row r="56" spans="1:28">
      <c r="A56" s="715"/>
      <c r="B56" s="290" t="s">
        <v>187</v>
      </c>
      <c r="C56" s="331">
        <v>14831</v>
      </c>
      <c r="D56" s="292" t="s">
        <v>248</v>
      </c>
      <c r="E56" s="293" t="s">
        <v>247</v>
      </c>
      <c r="F56" s="292" t="s">
        <v>248</v>
      </c>
      <c r="G56" s="589">
        <v>46214</v>
      </c>
      <c r="H56" s="294"/>
      <c r="I56" s="294"/>
      <c r="J56" s="295"/>
      <c r="K56" s="295"/>
      <c r="L56" s="296"/>
      <c r="M56" s="297"/>
      <c r="N56" s="297"/>
      <c r="O56" s="297"/>
      <c r="P56" s="297"/>
      <c r="Q56" s="298"/>
      <c r="R56" s="297"/>
      <c r="S56" s="297"/>
      <c r="T56" s="298"/>
      <c r="U56" s="297"/>
      <c r="V56" s="298"/>
      <c r="W56" s="299"/>
      <c r="X56" s="300"/>
      <c r="Y56" s="301"/>
      <c r="Z56" s="302"/>
      <c r="AA56" s="303"/>
      <c r="AB56" s="288"/>
    </row>
    <row r="57" spans="1:28">
      <c r="A57" s="716"/>
      <c r="B57" s="290" t="s">
        <v>187</v>
      </c>
      <c r="C57" s="331">
        <v>14831</v>
      </c>
      <c r="D57" s="292" t="s">
        <v>248</v>
      </c>
      <c r="E57" s="293" t="s">
        <v>247</v>
      </c>
      <c r="F57" s="292" t="s">
        <v>248</v>
      </c>
      <c r="G57" s="590">
        <v>46215</v>
      </c>
      <c r="H57" s="294"/>
      <c r="I57" s="294"/>
      <c r="J57" s="699" t="s">
        <v>173</v>
      </c>
      <c r="K57" s="700"/>
      <c r="L57" s="296"/>
      <c r="M57" s="297"/>
      <c r="N57" s="297"/>
      <c r="O57" s="297"/>
      <c r="P57" s="297"/>
      <c r="Q57" s="298"/>
      <c r="R57" s="297"/>
      <c r="S57" s="297"/>
      <c r="T57" s="298"/>
      <c r="U57" s="297"/>
      <c r="V57" s="298"/>
      <c r="W57" s="299"/>
      <c r="X57" s="300"/>
      <c r="Y57" s="301"/>
      <c r="Z57" s="302"/>
      <c r="AA57" s="303"/>
      <c r="AB57" s="288"/>
    </row>
    <row r="58" spans="1:28">
      <c r="A58" s="716"/>
      <c r="B58" s="290" t="s">
        <v>187</v>
      </c>
      <c r="C58" s="331">
        <v>14831</v>
      </c>
      <c r="D58" s="292" t="s">
        <v>248</v>
      </c>
      <c r="E58" s="293" t="s">
        <v>247</v>
      </c>
      <c r="F58" s="292" t="s">
        <v>248</v>
      </c>
      <c r="G58" s="589">
        <v>46216</v>
      </c>
      <c r="H58" s="294"/>
      <c r="I58" s="294" t="s">
        <v>186</v>
      </c>
      <c r="J58" s="305">
        <v>0.30416666666666664</v>
      </c>
      <c r="K58" s="305">
        <v>0.70902777777777781</v>
      </c>
      <c r="L58" s="296" t="s">
        <v>169</v>
      </c>
      <c r="M58" s="297">
        <v>8</v>
      </c>
      <c r="N58" s="297"/>
      <c r="O58" s="297"/>
      <c r="P58" s="297"/>
      <c r="Q58" s="298"/>
      <c r="R58" s="297"/>
      <c r="S58" s="297"/>
      <c r="T58" s="298"/>
      <c r="U58" s="297"/>
      <c r="V58" s="298"/>
      <c r="W58" s="299"/>
      <c r="X58" s="300"/>
      <c r="Y58" s="301"/>
      <c r="Z58" s="302"/>
      <c r="AA58" s="303"/>
      <c r="AB58" s="288"/>
    </row>
    <row r="59" spans="1:28">
      <c r="A59" s="716"/>
      <c r="B59" s="290" t="s">
        <v>187</v>
      </c>
      <c r="C59" s="331">
        <v>14831</v>
      </c>
      <c r="D59" s="292" t="s">
        <v>248</v>
      </c>
      <c r="E59" s="293" t="s">
        <v>247</v>
      </c>
      <c r="F59" s="292" t="s">
        <v>248</v>
      </c>
      <c r="G59" s="589">
        <v>46217</v>
      </c>
      <c r="H59" s="294"/>
      <c r="I59" s="294" t="s">
        <v>186</v>
      </c>
      <c r="J59" s="305">
        <v>0.30416666666666664</v>
      </c>
      <c r="K59" s="305">
        <v>0.70833333333333337</v>
      </c>
      <c r="L59" s="296" t="s">
        <v>169</v>
      </c>
      <c r="M59" s="297">
        <v>8</v>
      </c>
      <c r="N59" s="297"/>
      <c r="O59" s="297"/>
      <c r="P59" s="297"/>
      <c r="Q59" s="307"/>
      <c r="R59" s="306"/>
      <c r="S59" s="306"/>
      <c r="T59" s="307"/>
      <c r="U59" s="306"/>
      <c r="V59" s="307"/>
      <c r="W59" s="308"/>
      <c r="X59" s="309"/>
      <c r="Y59" s="310"/>
      <c r="Z59" s="311"/>
      <c r="AA59" s="312"/>
      <c r="AB59" s="288"/>
    </row>
    <row r="60" spans="1:28">
      <c r="A60" s="716"/>
      <c r="B60" s="290" t="s">
        <v>187</v>
      </c>
      <c r="C60" s="331">
        <v>14831</v>
      </c>
      <c r="D60" s="292" t="s">
        <v>248</v>
      </c>
      <c r="E60" s="293" t="s">
        <v>247</v>
      </c>
      <c r="F60" s="292" t="s">
        <v>248</v>
      </c>
      <c r="G60" s="589">
        <v>46218</v>
      </c>
      <c r="H60" s="294"/>
      <c r="I60" s="294" t="s">
        <v>186</v>
      </c>
      <c r="J60" s="305">
        <v>0.3125</v>
      </c>
      <c r="K60" s="305">
        <v>0.70833333333333337</v>
      </c>
      <c r="L60" s="296" t="s">
        <v>169</v>
      </c>
      <c r="M60" s="297">
        <v>8</v>
      </c>
      <c r="N60" s="297"/>
      <c r="O60" s="297"/>
      <c r="P60" s="297"/>
      <c r="Q60" s="298"/>
      <c r="R60" s="297"/>
      <c r="S60" s="297"/>
      <c r="T60" s="298"/>
      <c r="U60" s="297"/>
      <c r="V60" s="298"/>
      <c r="W60" s="299"/>
      <c r="X60" s="300"/>
      <c r="Y60" s="301"/>
      <c r="Z60" s="302"/>
      <c r="AA60" s="303"/>
      <c r="AB60" s="288"/>
    </row>
    <row r="61" spans="1:28">
      <c r="A61" s="716"/>
      <c r="B61" s="290" t="s">
        <v>187</v>
      </c>
      <c r="C61" s="331">
        <v>14831</v>
      </c>
      <c r="D61" s="292" t="s">
        <v>248</v>
      </c>
      <c r="E61" s="293" t="s">
        <v>247</v>
      </c>
      <c r="F61" s="292" t="s">
        <v>248</v>
      </c>
      <c r="G61" s="589">
        <v>46219</v>
      </c>
      <c r="H61" s="294"/>
      <c r="I61" s="294" t="s">
        <v>186</v>
      </c>
      <c r="J61" s="305">
        <v>0.31180555555555556</v>
      </c>
      <c r="K61" s="305">
        <v>0.79375000000000007</v>
      </c>
      <c r="L61" s="296" t="s">
        <v>169</v>
      </c>
      <c r="M61" s="297">
        <v>8</v>
      </c>
      <c r="N61" s="297">
        <v>2</v>
      </c>
      <c r="O61" s="297"/>
      <c r="P61" s="297"/>
      <c r="Q61" s="298"/>
      <c r="R61" s="297"/>
      <c r="S61" s="297"/>
      <c r="T61" s="298"/>
      <c r="U61" s="297"/>
      <c r="V61" s="298"/>
      <c r="W61" s="299"/>
      <c r="X61" s="300"/>
      <c r="Y61" s="301"/>
      <c r="Z61" s="302"/>
      <c r="AA61" s="303"/>
      <c r="AB61" s="288"/>
    </row>
    <row r="62" spans="1:28">
      <c r="A62" s="716"/>
      <c r="B62" s="290" t="s">
        <v>187</v>
      </c>
      <c r="C62" s="331">
        <v>14831</v>
      </c>
      <c r="D62" s="292" t="s">
        <v>248</v>
      </c>
      <c r="E62" s="293" t="s">
        <v>247</v>
      </c>
      <c r="F62" s="292" t="s">
        <v>248</v>
      </c>
      <c r="G62" s="589">
        <v>46220</v>
      </c>
      <c r="H62" s="294"/>
      <c r="I62" s="294" t="s">
        <v>186</v>
      </c>
      <c r="J62" s="305">
        <v>0.31041666666666667</v>
      </c>
      <c r="K62" s="305">
        <v>0.79305555555555551</v>
      </c>
      <c r="L62" s="296" t="s">
        <v>169</v>
      </c>
      <c r="M62" s="297">
        <v>8</v>
      </c>
      <c r="N62" s="331">
        <v>2</v>
      </c>
      <c r="O62" s="297"/>
      <c r="P62" s="297"/>
      <c r="Q62" s="298"/>
      <c r="R62" s="297"/>
      <c r="S62" s="297"/>
      <c r="T62" s="298"/>
      <c r="U62" s="297"/>
      <c r="V62" s="298"/>
      <c r="W62" s="299"/>
      <c r="X62" s="300"/>
      <c r="Y62" s="301"/>
      <c r="Z62" s="302"/>
      <c r="AA62" s="303"/>
      <c r="AB62" s="288"/>
    </row>
    <row r="63" spans="1:28">
      <c r="A63" s="716"/>
      <c r="B63" s="290" t="s">
        <v>187</v>
      </c>
      <c r="C63" s="331">
        <v>14831</v>
      </c>
      <c r="D63" s="292" t="s">
        <v>248</v>
      </c>
      <c r="E63" s="293" t="s">
        <v>247</v>
      </c>
      <c r="F63" s="292" t="s">
        <v>248</v>
      </c>
      <c r="G63" s="589">
        <v>46221</v>
      </c>
      <c r="H63" s="294"/>
      <c r="I63" s="294" t="s">
        <v>186</v>
      </c>
      <c r="J63" s="295">
        <v>0.31041666666666667</v>
      </c>
      <c r="K63" s="295">
        <v>0.70972222222222225</v>
      </c>
      <c r="L63" s="296" t="s">
        <v>169</v>
      </c>
      <c r="M63" s="297">
        <v>8</v>
      </c>
      <c r="N63" s="297"/>
      <c r="O63" s="297"/>
      <c r="P63" s="297"/>
      <c r="Q63" s="298"/>
      <c r="R63" s="297"/>
      <c r="S63" s="297"/>
      <c r="T63" s="298"/>
      <c r="U63" s="297"/>
      <c r="V63" s="298"/>
      <c r="W63" s="299"/>
      <c r="X63" s="300"/>
      <c r="Y63" s="301"/>
      <c r="Z63" s="302"/>
      <c r="AA63" s="303"/>
      <c r="AB63" s="288"/>
    </row>
    <row r="64" spans="1:28">
      <c r="A64" s="716"/>
      <c r="B64" s="290" t="s">
        <v>187</v>
      </c>
      <c r="C64" s="331">
        <v>14831</v>
      </c>
      <c r="D64" s="292" t="s">
        <v>248</v>
      </c>
      <c r="E64" s="293" t="s">
        <v>247</v>
      </c>
      <c r="F64" s="292" t="s">
        <v>248</v>
      </c>
      <c r="G64" s="590">
        <v>46222</v>
      </c>
      <c r="H64" s="294"/>
      <c r="I64" s="294"/>
      <c r="J64" s="699" t="s">
        <v>173</v>
      </c>
      <c r="K64" s="700"/>
      <c r="L64" s="296"/>
      <c r="M64" s="297"/>
      <c r="N64" s="297"/>
      <c r="O64" s="297"/>
      <c r="P64" s="297"/>
      <c r="Q64" s="298"/>
      <c r="R64" s="297"/>
      <c r="S64" s="297"/>
      <c r="T64" s="298"/>
      <c r="U64" s="297"/>
      <c r="V64" s="298"/>
      <c r="W64" s="299"/>
      <c r="X64" s="300"/>
      <c r="Y64" s="301"/>
      <c r="Z64" s="302"/>
      <c r="AA64" s="303"/>
      <c r="AB64" s="288"/>
    </row>
    <row r="65" spans="1:28">
      <c r="A65" s="716"/>
      <c r="B65" s="290" t="s">
        <v>187</v>
      </c>
      <c r="C65" s="331">
        <v>14831</v>
      </c>
      <c r="D65" s="292" t="s">
        <v>248</v>
      </c>
      <c r="E65" s="293" t="s">
        <v>247</v>
      </c>
      <c r="F65" s="292" t="s">
        <v>248</v>
      </c>
      <c r="G65" s="589">
        <v>46223</v>
      </c>
      <c r="H65" s="294"/>
      <c r="I65" s="294" t="s">
        <v>186</v>
      </c>
      <c r="J65" s="295">
        <v>0.31041666666666667</v>
      </c>
      <c r="K65" s="295">
        <v>0.79305555555555551</v>
      </c>
      <c r="L65" s="296" t="s">
        <v>169</v>
      </c>
      <c r="M65" s="297">
        <v>8</v>
      </c>
      <c r="N65" s="332">
        <v>2</v>
      </c>
      <c r="O65" s="306"/>
      <c r="P65" s="306"/>
      <c r="Q65" s="307"/>
      <c r="R65" s="306"/>
      <c r="S65" s="306"/>
      <c r="T65" s="307"/>
      <c r="U65" s="306"/>
      <c r="V65" s="307"/>
      <c r="W65" s="299"/>
      <c r="X65" s="300"/>
      <c r="Y65" s="301"/>
      <c r="Z65" s="302"/>
      <c r="AA65" s="303"/>
      <c r="AB65" s="288"/>
    </row>
    <row r="66" spans="1:28">
      <c r="A66" s="716"/>
      <c r="B66" s="290" t="s">
        <v>187</v>
      </c>
      <c r="C66" s="331">
        <v>14831</v>
      </c>
      <c r="D66" s="292" t="s">
        <v>248</v>
      </c>
      <c r="E66" s="293" t="s">
        <v>247</v>
      </c>
      <c r="F66" s="292" t="s">
        <v>248</v>
      </c>
      <c r="G66" s="589">
        <v>46224</v>
      </c>
      <c r="H66" s="294"/>
      <c r="I66" s="294" t="s">
        <v>186</v>
      </c>
      <c r="J66" s="295">
        <v>0.31041666666666667</v>
      </c>
      <c r="K66" s="295">
        <v>0.70833333333333337</v>
      </c>
      <c r="L66" s="296" t="s">
        <v>169</v>
      </c>
      <c r="M66" s="297">
        <v>8</v>
      </c>
      <c r="N66" s="314"/>
      <c r="O66" s="314"/>
      <c r="P66" s="314"/>
      <c r="Q66" s="315"/>
      <c r="R66" s="314"/>
      <c r="S66" s="314"/>
      <c r="T66" s="307"/>
      <c r="U66" s="306"/>
      <c r="V66" s="307"/>
      <c r="W66" s="308"/>
      <c r="X66" s="309"/>
      <c r="Y66" s="310"/>
      <c r="Z66" s="311"/>
      <c r="AA66" s="312"/>
      <c r="AB66" s="288"/>
    </row>
    <row r="67" spans="1:28">
      <c r="A67" s="716"/>
      <c r="B67" s="290" t="s">
        <v>187</v>
      </c>
      <c r="C67" s="331">
        <v>14831</v>
      </c>
      <c r="D67" s="292" t="s">
        <v>248</v>
      </c>
      <c r="E67" s="293" t="s">
        <v>247</v>
      </c>
      <c r="F67" s="292" t="s">
        <v>248</v>
      </c>
      <c r="G67" s="589">
        <v>46225</v>
      </c>
      <c r="H67" s="294"/>
      <c r="I67" s="294" t="s">
        <v>186</v>
      </c>
      <c r="J67" s="295">
        <v>0.3125</v>
      </c>
      <c r="K67" s="295">
        <v>0.70902777777777781</v>
      </c>
      <c r="L67" s="296" t="s">
        <v>169</v>
      </c>
      <c r="M67" s="297">
        <v>8</v>
      </c>
      <c r="N67" s="316"/>
      <c r="O67" s="297"/>
      <c r="P67" s="297"/>
      <c r="Q67" s="298"/>
      <c r="R67" s="297"/>
      <c r="S67" s="297"/>
      <c r="T67" s="298"/>
      <c r="U67" s="297"/>
      <c r="V67" s="298"/>
      <c r="W67" s="299"/>
      <c r="X67" s="300"/>
      <c r="Y67" s="301"/>
      <c r="Z67" s="302"/>
      <c r="AA67" s="303"/>
      <c r="AB67" s="288"/>
    </row>
    <row r="68" spans="1:28">
      <c r="A68" s="716"/>
      <c r="B68" s="290" t="s">
        <v>187</v>
      </c>
      <c r="C68" s="331">
        <v>14831</v>
      </c>
      <c r="D68" s="292" t="s">
        <v>248</v>
      </c>
      <c r="E68" s="293" t="s">
        <v>247</v>
      </c>
      <c r="F68" s="292" t="s">
        <v>248</v>
      </c>
      <c r="G68" s="589">
        <v>46226</v>
      </c>
      <c r="H68" s="294"/>
      <c r="I68" s="294" t="s">
        <v>186</v>
      </c>
      <c r="J68" s="295">
        <v>0.31458333333333333</v>
      </c>
      <c r="K68" s="295">
        <v>0.70902777777777781</v>
      </c>
      <c r="L68" s="296" t="s">
        <v>169</v>
      </c>
      <c r="M68" s="297">
        <v>8</v>
      </c>
      <c r="N68" s="316"/>
      <c r="O68" s="317"/>
      <c r="P68" s="317"/>
      <c r="Q68" s="298"/>
      <c r="R68" s="297"/>
      <c r="S68" s="297"/>
      <c r="T68" s="298"/>
      <c r="U68" s="297"/>
      <c r="V68" s="298"/>
      <c r="W68" s="299"/>
      <c r="X68" s="300"/>
      <c r="Y68" s="301"/>
      <c r="Z68" s="302"/>
      <c r="AA68" s="303"/>
      <c r="AB68" s="288"/>
    </row>
    <row r="69" spans="1:28">
      <c r="A69" s="716"/>
      <c r="B69" s="290" t="s">
        <v>187</v>
      </c>
      <c r="C69" s="331">
        <v>14831</v>
      </c>
      <c r="D69" s="292" t="s">
        <v>248</v>
      </c>
      <c r="E69" s="293" t="s">
        <v>247</v>
      </c>
      <c r="F69" s="292" t="s">
        <v>248</v>
      </c>
      <c r="G69" s="589">
        <v>46227</v>
      </c>
      <c r="H69" s="294"/>
      <c r="I69" s="294" t="s">
        <v>186</v>
      </c>
      <c r="J69" s="295">
        <v>0.31527777777777777</v>
      </c>
      <c r="K69" s="295">
        <v>0.70902777777777781</v>
      </c>
      <c r="L69" s="296" t="s">
        <v>169</v>
      </c>
      <c r="M69" s="297">
        <v>8</v>
      </c>
      <c r="N69" s="316"/>
      <c r="O69" s="316"/>
      <c r="P69" s="316"/>
      <c r="Q69" s="319"/>
      <c r="R69" s="316"/>
      <c r="S69" s="316"/>
      <c r="T69" s="298"/>
      <c r="U69" s="297"/>
      <c r="V69" s="298"/>
      <c r="W69" s="299"/>
      <c r="X69" s="300"/>
      <c r="Y69" s="301"/>
      <c r="Z69" s="302"/>
      <c r="AA69" s="303"/>
      <c r="AB69" s="288"/>
    </row>
    <row r="70" spans="1:28">
      <c r="A70" s="716"/>
      <c r="B70" s="290" t="s">
        <v>187</v>
      </c>
      <c r="C70" s="331">
        <v>14831</v>
      </c>
      <c r="D70" s="292" t="s">
        <v>248</v>
      </c>
      <c r="E70" s="293" t="s">
        <v>247</v>
      </c>
      <c r="F70" s="292" t="s">
        <v>248</v>
      </c>
      <c r="G70" s="589">
        <v>46228</v>
      </c>
      <c r="H70" s="294"/>
      <c r="I70" s="294" t="s">
        <v>186</v>
      </c>
      <c r="J70" s="295"/>
      <c r="K70" s="295"/>
      <c r="L70" s="296"/>
      <c r="M70" s="297"/>
      <c r="N70" s="297"/>
      <c r="O70" s="297"/>
      <c r="P70" s="297"/>
      <c r="Q70" s="298"/>
      <c r="R70" s="297"/>
      <c r="S70" s="320"/>
      <c r="T70" s="298"/>
      <c r="U70" s="297"/>
      <c r="V70" s="298"/>
      <c r="W70" s="299"/>
      <c r="X70" s="300"/>
      <c r="Y70" s="301"/>
      <c r="Z70" s="302"/>
      <c r="AA70" s="303"/>
      <c r="AB70" s="288"/>
    </row>
    <row r="71" spans="1:28">
      <c r="A71" s="716"/>
      <c r="B71" s="290"/>
      <c r="C71" s="331"/>
      <c r="D71" s="292"/>
      <c r="E71" s="293"/>
      <c r="F71" s="292"/>
      <c r="G71" s="591"/>
      <c r="H71" s="294"/>
      <c r="I71" s="294"/>
      <c r="J71" s="295"/>
      <c r="K71" s="321"/>
      <c r="L71" s="322"/>
      <c r="M71" s="313"/>
      <c r="N71" s="313"/>
      <c r="O71" s="313"/>
      <c r="P71" s="313"/>
      <c r="Q71" s="323"/>
      <c r="R71" s="313"/>
      <c r="S71" s="324"/>
      <c r="T71" s="298"/>
      <c r="U71" s="297"/>
      <c r="V71" s="298"/>
      <c r="W71" s="299"/>
      <c r="X71" s="300"/>
      <c r="Y71" s="301"/>
      <c r="Z71" s="302"/>
      <c r="AA71" s="303"/>
      <c r="AB71" s="288"/>
    </row>
    <row r="72" spans="1:28">
      <c r="A72" s="717"/>
      <c r="B72" s="325"/>
      <c r="C72" s="290"/>
      <c r="D72" s="325"/>
      <c r="E72" s="293"/>
      <c r="F72" s="325"/>
      <c r="G72" s="592"/>
      <c r="H72" s="326"/>
      <c r="I72" s="327"/>
      <c r="J72" s="328"/>
      <c r="K72" s="329"/>
      <c r="L72" s="327"/>
      <c r="M72" s="327">
        <f t="shared" ref="M72:AA72" si="3">SUM(M56:M70)</f>
        <v>88</v>
      </c>
      <c r="N72" s="327">
        <f t="shared" si="3"/>
        <v>6</v>
      </c>
      <c r="O72" s="327">
        <f t="shared" si="3"/>
        <v>0</v>
      </c>
      <c r="P72" s="327">
        <f t="shared" si="3"/>
        <v>0</v>
      </c>
      <c r="Q72" s="327">
        <f t="shared" si="3"/>
        <v>0</v>
      </c>
      <c r="R72" s="327">
        <f t="shared" si="3"/>
        <v>0</v>
      </c>
      <c r="S72" s="327">
        <f t="shared" si="3"/>
        <v>0</v>
      </c>
      <c r="T72" s="327">
        <f t="shared" si="3"/>
        <v>0</v>
      </c>
      <c r="U72" s="327">
        <f t="shared" si="3"/>
        <v>0</v>
      </c>
      <c r="V72" s="327">
        <f t="shared" si="3"/>
        <v>0</v>
      </c>
      <c r="W72" s="327">
        <f t="shared" si="3"/>
        <v>0</v>
      </c>
      <c r="X72" s="327">
        <f t="shared" si="3"/>
        <v>0</v>
      </c>
      <c r="Y72" s="327">
        <f t="shared" si="3"/>
        <v>0</v>
      </c>
      <c r="Z72" s="327">
        <f t="shared" si="3"/>
        <v>0</v>
      </c>
      <c r="AA72" s="327">
        <f t="shared" si="3"/>
        <v>0</v>
      </c>
      <c r="AB72" s="288"/>
    </row>
    <row r="73" spans="1:28">
      <c r="A73" s="280" t="s">
        <v>170</v>
      </c>
      <c r="B73" s="280" t="s">
        <v>120</v>
      </c>
      <c r="C73" s="280" t="s">
        <v>152</v>
      </c>
      <c r="D73" s="280" t="s">
        <v>182</v>
      </c>
      <c r="E73" s="281" t="s">
        <v>153</v>
      </c>
      <c r="F73" s="280" t="s">
        <v>182</v>
      </c>
      <c r="G73" s="588" t="s">
        <v>401</v>
      </c>
      <c r="H73" s="282"/>
      <c r="I73" s="283" t="s">
        <v>181</v>
      </c>
      <c r="J73" s="284" t="s">
        <v>154</v>
      </c>
      <c r="K73" s="284" t="s">
        <v>155</v>
      </c>
      <c r="L73" s="285" t="s">
        <v>156</v>
      </c>
      <c r="M73" s="286" t="s">
        <v>157</v>
      </c>
      <c r="N73" s="285" t="s">
        <v>158</v>
      </c>
      <c r="O73" s="285" t="s">
        <v>159</v>
      </c>
      <c r="P73" s="285" t="s">
        <v>174</v>
      </c>
      <c r="Q73" s="285" t="s">
        <v>160</v>
      </c>
      <c r="R73" s="285" t="s">
        <v>161</v>
      </c>
      <c r="S73" s="285" t="s">
        <v>162</v>
      </c>
      <c r="T73" s="283" t="s">
        <v>163</v>
      </c>
      <c r="U73" s="283" t="s">
        <v>164</v>
      </c>
      <c r="V73" s="283" t="s">
        <v>165</v>
      </c>
      <c r="W73" s="285" t="s">
        <v>113</v>
      </c>
      <c r="X73" s="283" t="s">
        <v>121</v>
      </c>
      <c r="Y73" s="283" t="s">
        <v>166</v>
      </c>
      <c r="Z73" s="287" t="s">
        <v>175</v>
      </c>
      <c r="AA73" s="287" t="s">
        <v>167</v>
      </c>
      <c r="AB73" s="288"/>
    </row>
    <row r="74" spans="1:28">
      <c r="A74" s="715"/>
      <c r="B74" s="290" t="s">
        <v>187</v>
      </c>
      <c r="C74" s="331">
        <v>14915</v>
      </c>
      <c r="D74" s="292" t="s">
        <v>246</v>
      </c>
      <c r="E74" s="293" t="s">
        <v>245</v>
      </c>
      <c r="F74" s="292" t="s">
        <v>246</v>
      </c>
      <c r="G74" s="589">
        <v>46214</v>
      </c>
      <c r="H74" s="294"/>
      <c r="I74" s="294" t="s">
        <v>183</v>
      </c>
      <c r="J74" s="295">
        <v>0.77361111111111114</v>
      </c>
      <c r="K74" s="295">
        <v>0.16875000000000001</v>
      </c>
      <c r="L74" s="296" t="s">
        <v>168</v>
      </c>
      <c r="M74" s="297">
        <v>8</v>
      </c>
      <c r="N74" s="297"/>
      <c r="O74" s="297">
        <v>6</v>
      </c>
      <c r="P74" s="297"/>
      <c r="Q74" s="298"/>
      <c r="R74" s="297"/>
      <c r="S74" s="297"/>
      <c r="T74" s="298"/>
      <c r="U74" s="297"/>
      <c r="V74" s="298"/>
      <c r="W74" s="299"/>
      <c r="X74" s="300"/>
      <c r="Y74" s="301"/>
      <c r="Z74" s="302"/>
      <c r="AA74" s="303"/>
      <c r="AB74" s="288"/>
    </row>
    <row r="75" spans="1:28">
      <c r="A75" s="716"/>
      <c r="B75" s="290" t="s">
        <v>187</v>
      </c>
      <c r="C75" s="331">
        <v>14915</v>
      </c>
      <c r="D75" s="292" t="s">
        <v>246</v>
      </c>
      <c r="E75" s="293" t="s">
        <v>245</v>
      </c>
      <c r="F75" s="292" t="s">
        <v>246</v>
      </c>
      <c r="G75" s="590">
        <v>46215</v>
      </c>
      <c r="H75" s="294"/>
      <c r="I75" s="294"/>
      <c r="J75" s="699" t="s">
        <v>173</v>
      </c>
      <c r="K75" s="700"/>
      <c r="L75" s="296"/>
      <c r="M75" s="297"/>
      <c r="N75" s="297"/>
      <c r="O75" s="297"/>
      <c r="P75" s="297"/>
      <c r="Q75" s="298"/>
      <c r="R75" s="297"/>
      <c r="S75" s="297"/>
      <c r="T75" s="298"/>
      <c r="U75" s="297"/>
      <c r="V75" s="298"/>
      <c r="W75" s="299"/>
      <c r="X75" s="300"/>
      <c r="Y75" s="301"/>
      <c r="Z75" s="302"/>
      <c r="AA75" s="303"/>
      <c r="AB75" s="288"/>
    </row>
    <row r="76" spans="1:28">
      <c r="A76" s="716"/>
      <c r="B76" s="290" t="s">
        <v>187</v>
      </c>
      <c r="C76" s="290">
        <v>14915</v>
      </c>
      <c r="D76" s="292" t="s">
        <v>246</v>
      </c>
      <c r="E76" s="293" t="s">
        <v>245</v>
      </c>
      <c r="F76" s="292" t="s">
        <v>246</v>
      </c>
      <c r="G76" s="589">
        <v>46216</v>
      </c>
      <c r="H76" s="294"/>
      <c r="I76" s="294" t="s">
        <v>186</v>
      </c>
      <c r="J76" s="305">
        <v>0.31458333333333333</v>
      </c>
      <c r="K76" s="305">
        <v>0.70902777777777781</v>
      </c>
      <c r="L76" s="296" t="s">
        <v>169</v>
      </c>
      <c r="M76" s="297">
        <v>8</v>
      </c>
      <c r="N76" s="297"/>
      <c r="O76" s="297"/>
      <c r="P76" s="297"/>
      <c r="Q76" s="298"/>
      <c r="R76" s="297"/>
      <c r="S76" s="297"/>
      <c r="T76" s="298"/>
      <c r="U76" s="297"/>
      <c r="V76" s="298"/>
      <c r="W76" s="299"/>
      <c r="X76" s="300"/>
      <c r="Y76" s="301"/>
      <c r="Z76" s="302"/>
      <c r="AA76" s="303"/>
      <c r="AB76" s="288"/>
    </row>
    <row r="77" spans="1:28">
      <c r="A77" s="716"/>
      <c r="B77" s="290" t="s">
        <v>187</v>
      </c>
      <c r="C77" s="290">
        <v>14915</v>
      </c>
      <c r="D77" s="292" t="s">
        <v>246</v>
      </c>
      <c r="E77" s="293" t="s">
        <v>245</v>
      </c>
      <c r="F77" s="292" t="s">
        <v>246</v>
      </c>
      <c r="G77" s="589">
        <v>46217</v>
      </c>
      <c r="H77" s="294"/>
      <c r="I77" s="294" t="s">
        <v>186</v>
      </c>
      <c r="J77" s="305">
        <v>0.31666666666666665</v>
      </c>
      <c r="K77" s="305">
        <v>0.7090277777777777</v>
      </c>
      <c r="L77" s="296" t="s">
        <v>169</v>
      </c>
      <c r="M77" s="297">
        <v>8</v>
      </c>
      <c r="N77" s="297"/>
      <c r="O77" s="297"/>
      <c r="P77" s="297"/>
      <c r="Q77" s="307"/>
      <c r="R77" s="306"/>
      <c r="S77" s="306"/>
      <c r="T77" s="307"/>
      <c r="U77" s="306"/>
      <c r="V77" s="307"/>
      <c r="W77" s="308"/>
      <c r="X77" s="309"/>
      <c r="Y77" s="310"/>
      <c r="Z77" s="311"/>
      <c r="AA77" s="312"/>
      <c r="AB77" s="288"/>
    </row>
    <row r="78" spans="1:28">
      <c r="A78" s="716"/>
      <c r="B78" s="290" t="s">
        <v>187</v>
      </c>
      <c r="C78" s="290">
        <v>14915</v>
      </c>
      <c r="D78" s="292" t="s">
        <v>246</v>
      </c>
      <c r="E78" s="293" t="s">
        <v>245</v>
      </c>
      <c r="F78" s="292" t="s">
        <v>246</v>
      </c>
      <c r="G78" s="589">
        <v>46218</v>
      </c>
      <c r="H78" s="294"/>
      <c r="I78" s="294" t="s">
        <v>186</v>
      </c>
      <c r="J78" s="305">
        <v>0.31875000000000003</v>
      </c>
      <c r="K78" s="305">
        <v>0.70833333333333337</v>
      </c>
      <c r="L78" s="296" t="s">
        <v>169</v>
      </c>
      <c r="M78" s="297">
        <v>8</v>
      </c>
      <c r="N78" s="297"/>
      <c r="O78" s="297"/>
      <c r="P78" s="297"/>
      <c r="Q78" s="298"/>
      <c r="R78" s="297"/>
      <c r="S78" s="297"/>
      <c r="T78" s="298"/>
      <c r="U78" s="297"/>
      <c r="V78" s="298"/>
      <c r="W78" s="299"/>
      <c r="X78" s="300"/>
      <c r="Y78" s="301"/>
      <c r="Z78" s="302"/>
      <c r="AA78" s="303"/>
      <c r="AB78" s="288"/>
    </row>
    <row r="79" spans="1:28">
      <c r="A79" s="716"/>
      <c r="B79" s="290" t="s">
        <v>187</v>
      </c>
      <c r="C79" s="290">
        <v>14915</v>
      </c>
      <c r="D79" s="292" t="s">
        <v>246</v>
      </c>
      <c r="E79" s="293" t="s">
        <v>245</v>
      </c>
      <c r="F79" s="292" t="s">
        <v>246</v>
      </c>
      <c r="G79" s="589">
        <v>46219</v>
      </c>
      <c r="H79" s="294"/>
      <c r="I79" s="294" t="s">
        <v>186</v>
      </c>
      <c r="J79" s="305">
        <v>0.32916666666666666</v>
      </c>
      <c r="K79" s="305">
        <v>0.7944444444444444</v>
      </c>
      <c r="L79" s="296" t="s">
        <v>169</v>
      </c>
      <c r="M79" s="297">
        <v>8</v>
      </c>
      <c r="N79" s="297">
        <v>2</v>
      </c>
      <c r="O79" s="297"/>
      <c r="P79" s="297"/>
      <c r="Q79" s="298"/>
      <c r="R79" s="297"/>
      <c r="S79" s="297"/>
      <c r="T79" s="298"/>
      <c r="U79" s="297"/>
      <c r="V79" s="298"/>
      <c r="W79" s="299"/>
      <c r="X79" s="300"/>
      <c r="Y79" s="301"/>
      <c r="Z79" s="302"/>
      <c r="AA79" s="303"/>
      <c r="AB79" s="288"/>
    </row>
    <row r="80" spans="1:28">
      <c r="A80" s="716"/>
      <c r="B80" s="290" t="s">
        <v>187</v>
      </c>
      <c r="C80" s="290">
        <v>14915</v>
      </c>
      <c r="D80" s="292" t="s">
        <v>246</v>
      </c>
      <c r="E80" s="293" t="s">
        <v>245</v>
      </c>
      <c r="F80" s="292" t="s">
        <v>246</v>
      </c>
      <c r="G80" s="589">
        <v>46220</v>
      </c>
      <c r="H80" s="294"/>
      <c r="I80" s="294" t="s">
        <v>186</v>
      </c>
      <c r="J80" s="305">
        <v>0.32847222222222222</v>
      </c>
      <c r="K80" s="305">
        <v>0.79374999999999996</v>
      </c>
      <c r="L80" s="296" t="s">
        <v>169</v>
      </c>
      <c r="M80" s="297">
        <v>8</v>
      </c>
      <c r="N80" s="331">
        <v>2</v>
      </c>
      <c r="O80" s="297"/>
      <c r="P80" s="297"/>
      <c r="Q80" s="298"/>
      <c r="R80" s="297"/>
      <c r="S80" s="297"/>
      <c r="T80" s="298"/>
      <c r="U80" s="297"/>
      <c r="V80" s="298"/>
      <c r="W80" s="299"/>
      <c r="X80" s="300"/>
      <c r="Y80" s="301"/>
      <c r="Z80" s="302"/>
      <c r="AA80" s="303"/>
      <c r="AB80" s="288"/>
    </row>
    <row r="81" spans="1:28">
      <c r="A81" s="716"/>
      <c r="B81" s="290" t="s">
        <v>187</v>
      </c>
      <c r="C81" s="290">
        <v>14915</v>
      </c>
      <c r="D81" s="292" t="s">
        <v>246</v>
      </c>
      <c r="E81" s="293" t="s">
        <v>245</v>
      </c>
      <c r="F81" s="292" t="s">
        <v>246</v>
      </c>
      <c r="G81" s="589">
        <v>46221</v>
      </c>
      <c r="H81" s="294"/>
      <c r="I81" s="294" t="s">
        <v>186</v>
      </c>
      <c r="J81" s="305">
        <v>0.32847222222222222</v>
      </c>
      <c r="K81" s="305">
        <v>0.7104166666666667</v>
      </c>
      <c r="L81" s="296" t="s">
        <v>169</v>
      </c>
      <c r="M81" s="297">
        <v>8</v>
      </c>
      <c r="N81" s="297"/>
      <c r="O81" s="297"/>
      <c r="P81" s="297"/>
      <c r="Q81" s="298"/>
      <c r="R81" s="297"/>
      <c r="S81" s="297"/>
      <c r="T81" s="298"/>
      <c r="U81" s="297"/>
      <c r="V81" s="298"/>
      <c r="W81" s="299"/>
      <c r="X81" s="300"/>
      <c r="Y81" s="301"/>
      <c r="Z81" s="302"/>
      <c r="AA81" s="303"/>
      <c r="AB81" s="288"/>
    </row>
    <row r="82" spans="1:28">
      <c r="A82" s="716"/>
      <c r="B82" s="290" t="s">
        <v>187</v>
      </c>
      <c r="C82" s="290">
        <v>14915</v>
      </c>
      <c r="D82" s="292" t="s">
        <v>246</v>
      </c>
      <c r="E82" s="293" t="s">
        <v>245</v>
      </c>
      <c r="F82" s="292" t="s">
        <v>246</v>
      </c>
      <c r="G82" s="590">
        <v>46222</v>
      </c>
      <c r="H82" s="294"/>
      <c r="I82" s="294"/>
      <c r="J82" s="699" t="s">
        <v>173</v>
      </c>
      <c r="K82" s="700"/>
      <c r="L82" s="296"/>
      <c r="M82" s="297"/>
      <c r="N82" s="297"/>
      <c r="O82" s="297"/>
      <c r="P82" s="297"/>
      <c r="Q82" s="298"/>
      <c r="R82" s="297"/>
      <c r="S82" s="297"/>
      <c r="T82" s="298"/>
      <c r="U82" s="297"/>
      <c r="V82" s="298"/>
      <c r="W82" s="299"/>
      <c r="X82" s="300"/>
      <c r="Y82" s="301"/>
      <c r="Z82" s="302"/>
      <c r="AA82" s="303"/>
      <c r="AB82" s="288"/>
    </row>
    <row r="83" spans="1:28">
      <c r="A83" s="716"/>
      <c r="B83" s="290" t="s">
        <v>187</v>
      </c>
      <c r="C83" s="290">
        <v>14915</v>
      </c>
      <c r="D83" s="292" t="s">
        <v>246</v>
      </c>
      <c r="E83" s="293" t="s">
        <v>245</v>
      </c>
      <c r="F83" s="292" t="s">
        <v>246</v>
      </c>
      <c r="G83" s="589">
        <v>46223</v>
      </c>
      <c r="H83" s="294"/>
      <c r="I83" s="294" t="s">
        <v>186</v>
      </c>
      <c r="J83" s="295">
        <v>0.32500000000000001</v>
      </c>
      <c r="K83" s="295">
        <v>0.79513888888888884</v>
      </c>
      <c r="L83" s="296" t="s">
        <v>169</v>
      </c>
      <c r="M83" s="297">
        <v>8</v>
      </c>
      <c r="N83" s="332">
        <v>2</v>
      </c>
      <c r="O83" s="306"/>
      <c r="P83" s="306"/>
      <c r="Q83" s="307"/>
      <c r="R83" s="306"/>
      <c r="S83" s="306"/>
      <c r="T83" s="307"/>
      <c r="U83" s="306"/>
      <c r="V83" s="307"/>
      <c r="W83" s="299"/>
      <c r="X83" s="300"/>
      <c r="Y83" s="301"/>
      <c r="Z83" s="302"/>
      <c r="AA83" s="303"/>
      <c r="AB83" s="288"/>
    </row>
    <row r="84" spans="1:28">
      <c r="A84" s="716"/>
      <c r="B84" s="290" t="s">
        <v>187</v>
      </c>
      <c r="C84" s="290">
        <v>14915</v>
      </c>
      <c r="D84" s="292" t="s">
        <v>246</v>
      </c>
      <c r="E84" s="293" t="s">
        <v>245</v>
      </c>
      <c r="F84" s="292" t="s">
        <v>246</v>
      </c>
      <c r="G84" s="589">
        <v>46224</v>
      </c>
      <c r="H84" s="294"/>
      <c r="I84" s="294" t="s">
        <v>186</v>
      </c>
      <c r="J84" s="295">
        <v>0.32430555555555557</v>
      </c>
      <c r="K84" s="295">
        <v>0.70833333333333337</v>
      </c>
      <c r="L84" s="296" t="s">
        <v>169</v>
      </c>
      <c r="M84" s="297">
        <v>8</v>
      </c>
      <c r="N84" s="313"/>
      <c r="O84" s="313"/>
      <c r="P84" s="313"/>
      <c r="Q84" s="315"/>
      <c r="R84" s="314"/>
      <c r="S84" s="314"/>
      <c r="T84" s="307"/>
      <c r="U84" s="306"/>
      <c r="V84" s="307"/>
      <c r="W84" s="308"/>
      <c r="X84" s="309"/>
      <c r="Y84" s="310"/>
      <c r="Z84" s="311"/>
      <c r="AA84" s="312"/>
      <c r="AB84" s="288"/>
    </row>
    <row r="85" spans="1:28">
      <c r="A85" s="716"/>
      <c r="B85" s="290" t="s">
        <v>187</v>
      </c>
      <c r="C85" s="290">
        <v>14915</v>
      </c>
      <c r="D85" s="292" t="s">
        <v>246</v>
      </c>
      <c r="E85" s="293" t="s">
        <v>245</v>
      </c>
      <c r="F85" s="292" t="s">
        <v>246</v>
      </c>
      <c r="G85" s="589">
        <v>46225</v>
      </c>
      <c r="H85" s="294"/>
      <c r="I85" s="294" t="s">
        <v>186</v>
      </c>
      <c r="J85" s="295">
        <v>0.32361111111111113</v>
      </c>
      <c r="K85" s="295">
        <v>0.70833333333333337</v>
      </c>
      <c r="L85" s="296" t="s">
        <v>169</v>
      </c>
      <c r="M85" s="297">
        <v>8</v>
      </c>
      <c r="N85" s="316"/>
      <c r="O85" s="297"/>
      <c r="P85" s="297"/>
      <c r="Q85" s="298"/>
      <c r="R85" s="297"/>
      <c r="S85" s="297"/>
      <c r="T85" s="298"/>
      <c r="U85" s="297"/>
      <c r="V85" s="298"/>
      <c r="W85" s="299"/>
      <c r="X85" s="300"/>
      <c r="Y85" s="301"/>
      <c r="Z85" s="302"/>
      <c r="AA85" s="303"/>
      <c r="AB85" s="288"/>
    </row>
    <row r="86" spans="1:28">
      <c r="A86" s="716"/>
      <c r="B86" s="290" t="s">
        <v>187</v>
      </c>
      <c r="C86" s="290">
        <v>14915</v>
      </c>
      <c r="D86" s="292" t="s">
        <v>246</v>
      </c>
      <c r="E86" s="293" t="s">
        <v>245</v>
      </c>
      <c r="F86" s="292" t="s">
        <v>246</v>
      </c>
      <c r="G86" s="589">
        <v>46226</v>
      </c>
      <c r="H86" s="294"/>
      <c r="I86" s="294" t="s">
        <v>186</v>
      </c>
      <c r="J86" s="295">
        <v>0.32291666666666669</v>
      </c>
      <c r="K86" s="295">
        <v>0.70833333333333337</v>
      </c>
      <c r="L86" s="296" t="s">
        <v>169</v>
      </c>
      <c r="M86" s="297">
        <v>8</v>
      </c>
      <c r="N86" s="316"/>
      <c r="O86" s="317"/>
      <c r="P86" s="317"/>
      <c r="Q86" s="298"/>
      <c r="R86" s="297"/>
      <c r="S86" s="297"/>
      <c r="T86" s="298"/>
      <c r="U86" s="297"/>
      <c r="V86" s="298"/>
      <c r="W86" s="299"/>
      <c r="X86" s="300"/>
      <c r="Y86" s="301"/>
      <c r="Z86" s="302"/>
      <c r="AA86" s="303"/>
      <c r="AB86" s="288"/>
    </row>
    <row r="87" spans="1:28">
      <c r="A87" s="716"/>
      <c r="B87" s="290" t="s">
        <v>187</v>
      </c>
      <c r="C87" s="290">
        <v>14915</v>
      </c>
      <c r="D87" s="292" t="s">
        <v>246</v>
      </c>
      <c r="E87" s="293" t="s">
        <v>245</v>
      </c>
      <c r="F87" s="292" t="s">
        <v>246</v>
      </c>
      <c r="G87" s="589">
        <v>46227</v>
      </c>
      <c r="H87" s="294"/>
      <c r="I87" s="294" t="s">
        <v>186</v>
      </c>
      <c r="J87" s="295">
        <v>0.32777777777777778</v>
      </c>
      <c r="K87" s="318">
        <v>0.70833333333333337</v>
      </c>
      <c r="L87" s="296" t="s">
        <v>169</v>
      </c>
      <c r="M87" s="297">
        <v>8</v>
      </c>
      <c r="N87" s="316"/>
      <c r="O87" s="316"/>
      <c r="P87" s="316"/>
      <c r="Q87" s="319"/>
      <c r="R87" s="316"/>
      <c r="S87" s="316"/>
      <c r="T87" s="298"/>
      <c r="U87" s="297"/>
      <c r="V87" s="298"/>
      <c r="W87" s="299"/>
      <c r="X87" s="300"/>
      <c r="Y87" s="301"/>
      <c r="Z87" s="302"/>
      <c r="AA87" s="303"/>
      <c r="AB87" s="288"/>
    </row>
    <row r="88" spans="1:28">
      <c r="A88" s="716"/>
      <c r="B88" s="290" t="s">
        <v>187</v>
      </c>
      <c r="C88" s="290">
        <v>14915</v>
      </c>
      <c r="D88" s="292" t="s">
        <v>246</v>
      </c>
      <c r="E88" s="293" t="s">
        <v>245</v>
      </c>
      <c r="F88" s="292" t="s">
        <v>246</v>
      </c>
      <c r="G88" s="589">
        <v>46228</v>
      </c>
      <c r="H88" s="294"/>
      <c r="I88" s="294" t="s">
        <v>186</v>
      </c>
      <c r="J88" s="295"/>
      <c r="K88" s="295"/>
      <c r="L88" s="296"/>
      <c r="M88" s="297"/>
      <c r="N88" s="297"/>
      <c r="O88" s="297"/>
      <c r="P88" s="297"/>
      <c r="Q88" s="298"/>
      <c r="R88" s="297"/>
      <c r="S88" s="320"/>
      <c r="T88" s="298"/>
      <c r="U88" s="297"/>
      <c r="V88" s="298"/>
      <c r="W88" s="299"/>
      <c r="X88" s="300"/>
      <c r="Y88" s="301"/>
      <c r="Z88" s="302"/>
      <c r="AA88" s="303"/>
      <c r="AB88" s="288"/>
    </row>
    <row r="89" spans="1:28">
      <c r="A89" s="716"/>
      <c r="B89" s="290"/>
      <c r="C89" s="290"/>
      <c r="D89" s="292"/>
      <c r="E89" s="293"/>
      <c r="F89" s="292"/>
      <c r="G89" s="591"/>
      <c r="H89" s="294"/>
      <c r="I89" s="294"/>
      <c r="J89" s="295"/>
      <c r="K89" s="321"/>
      <c r="L89" s="322"/>
      <c r="M89" s="313"/>
      <c r="N89" s="313"/>
      <c r="O89" s="313"/>
      <c r="P89" s="313"/>
      <c r="Q89" s="323"/>
      <c r="R89" s="313"/>
      <c r="S89" s="324"/>
      <c r="T89" s="298"/>
      <c r="U89" s="297"/>
      <c r="V89" s="298"/>
      <c r="W89" s="299"/>
      <c r="X89" s="300"/>
      <c r="Y89" s="301"/>
      <c r="Z89" s="302"/>
      <c r="AA89" s="303"/>
      <c r="AB89" s="288"/>
    </row>
    <row r="90" spans="1:28">
      <c r="A90" s="717"/>
      <c r="B90" s="325"/>
      <c r="C90" s="290"/>
      <c r="D90" s="325"/>
      <c r="E90" s="293"/>
      <c r="F90" s="325"/>
      <c r="G90" s="592"/>
      <c r="H90" s="326"/>
      <c r="I90" s="327"/>
      <c r="J90" s="328"/>
      <c r="K90" s="329"/>
      <c r="L90" s="327"/>
      <c r="M90" s="327">
        <f t="shared" ref="M90:AA90" si="4">SUM(M74:M88)</f>
        <v>96</v>
      </c>
      <c r="N90" s="327">
        <f t="shared" si="4"/>
        <v>6</v>
      </c>
      <c r="O90" s="327">
        <f t="shared" si="4"/>
        <v>6</v>
      </c>
      <c r="P90" s="327">
        <f t="shared" si="4"/>
        <v>0</v>
      </c>
      <c r="Q90" s="327">
        <f t="shared" si="4"/>
        <v>0</v>
      </c>
      <c r="R90" s="327">
        <f t="shared" si="4"/>
        <v>0</v>
      </c>
      <c r="S90" s="327">
        <f t="shared" si="4"/>
        <v>0</v>
      </c>
      <c r="T90" s="327">
        <f t="shared" si="4"/>
        <v>0</v>
      </c>
      <c r="U90" s="327">
        <f t="shared" si="4"/>
        <v>0</v>
      </c>
      <c r="V90" s="327">
        <f t="shared" si="4"/>
        <v>0</v>
      </c>
      <c r="W90" s="327">
        <f t="shared" si="4"/>
        <v>0</v>
      </c>
      <c r="X90" s="327">
        <f t="shared" si="4"/>
        <v>0</v>
      </c>
      <c r="Y90" s="327">
        <f t="shared" si="4"/>
        <v>0</v>
      </c>
      <c r="Z90" s="327">
        <f t="shared" si="4"/>
        <v>0</v>
      </c>
      <c r="AA90" s="327">
        <f t="shared" si="4"/>
        <v>0</v>
      </c>
      <c r="AB90" s="288"/>
    </row>
    <row r="91" spans="1:28" s="340" customFormat="1">
      <c r="A91" s="280" t="s">
        <v>170</v>
      </c>
      <c r="B91" s="280" t="s">
        <v>120</v>
      </c>
      <c r="C91" s="280" t="s">
        <v>152</v>
      </c>
      <c r="D91" s="280" t="s">
        <v>182</v>
      </c>
      <c r="E91" s="281" t="s">
        <v>153</v>
      </c>
      <c r="F91" s="280" t="s">
        <v>182</v>
      </c>
      <c r="G91" s="593" t="s">
        <v>401</v>
      </c>
      <c r="H91" s="333"/>
      <c r="I91" s="334" t="s">
        <v>181</v>
      </c>
      <c r="J91" s="335" t="s">
        <v>154</v>
      </c>
      <c r="K91" s="335" t="s">
        <v>155</v>
      </c>
      <c r="L91" s="336" t="s">
        <v>156</v>
      </c>
      <c r="M91" s="337" t="s">
        <v>157</v>
      </c>
      <c r="N91" s="336" t="s">
        <v>158</v>
      </c>
      <c r="O91" s="336" t="s">
        <v>159</v>
      </c>
      <c r="P91" s="336" t="s">
        <v>174</v>
      </c>
      <c r="Q91" s="336" t="s">
        <v>160</v>
      </c>
      <c r="R91" s="336" t="s">
        <v>161</v>
      </c>
      <c r="S91" s="336" t="s">
        <v>162</v>
      </c>
      <c r="T91" s="334" t="s">
        <v>163</v>
      </c>
      <c r="U91" s="334" t="s">
        <v>164</v>
      </c>
      <c r="V91" s="334" t="s">
        <v>165</v>
      </c>
      <c r="W91" s="336" t="s">
        <v>113</v>
      </c>
      <c r="X91" s="334" t="s">
        <v>121</v>
      </c>
      <c r="Y91" s="334" t="s">
        <v>166</v>
      </c>
      <c r="Z91" s="338" t="s">
        <v>175</v>
      </c>
      <c r="AA91" s="338" t="s">
        <v>167</v>
      </c>
      <c r="AB91" s="339"/>
    </row>
    <row r="92" spans="1:28" s="340" customFormat="1">
      <c r="A92" s="710"/>
      <c r="B92" s="342" t="s">
        <v>187</v>
      </c>
      <c r="C92" s="343">
        <v>10997</v>
      </c>
      <c r="D92" s="344" t="s">
        <v>244</v>
      </c>
      <c r="E92" s="345" t="s">
        <v>243</v>
      </c>
      <c r="F92" s="344" t="s">
        <v>244</v>
      </c>
      <c r="G92" s="589">
        <v>46214</v>
      </c>
      <c r="H92" s="346"/>
      <c r="I92" s="346"/>
      <c r="J92" s="295"/>
      <c r="K92" s="295"/>
      <c r="L92" s="347"/>
      <c r="M92" s="348"/>
      <c r="N92" s="348"/>
      <c r="O92" s="348"/>
      <c r="P92" s="348"/>
      <c r="Q92" s="349"/>
      <c r="R92" s="348"/>
      <c r="S92" s="348"/>
      <c r="T92" s="349"/>
      <c r="U92" s="348"/>
      <c r="V92" s="349"/>
      <c r="W92" s="350"/>
      <c r="X92" s="351"/>
      <c r="Y92" s="352"/>
      <c r="Z92" s="353"/>
      <c r="AA92" s="354"/>
      <c r="AB92" s="339"/>
    </row>
    <row r="93" spans="1:28" s="340" customFormat="1">
      <c r="A93" s="711"/>
      <c r="B93" s="342" t="s">
        <v>187</v>
      </c>
      <c r="C93" s="343">
        <v>10997</v>
      </c>
      <c r="D93" s="344" t="s">
        <v>244</v>
      </c>
      <c r="E93" s="345" t="s">
        <v>243</v>
      </c>
      <c r="F93" s="344" t="s">
        <v>244</v>
      </c>
      <c r="G93" s="590">
        <v>46215</v>
      </c>
      <c r="H93" s="346"/>
      <c r="I93" s="346"/>
      <c r="J93" s="699" t="s">
        <v>173</v>
      </c>
      <c r="K93" s="700"/>
      <c r="L93" s="347"/>
      <c r="M93" s="348"/>
      <c r="N93" s="348"/>
      <c r="O93" s="348"/>
      <c r="P93" s="348"/>
      <c r="Q93" s="349"/>
      <c r="R93" s="348"/>
      <c r="S93" s="348"/>
      <c r="T93" s="349"/>
      <c r="U93" s="348"/>
      <c r="V93" s="349"/>
      <c r="W93" s="350"/>
      <c r="X93" s="351"/>
      <c r="Y93" s="352"/>
      <c r="Z93" s="353"/>
      <c r="AA93" s="354"/>
      <c r="AB93" s="339"/>
    </row>
    <row r="94" spans="1:28" s="340" customFormat="1">
      <c r="A94" s="711"/>
      <c r="B94" s="342" t="s">
        <v>187</v>
      </c>
      <c r="C94" s="342">
        <v>10997</v>
      </c>
      <c r="D94" s="344" t="s">
        <v>244</v>
      </c>
      <c r="E94" s="345" t="s">
        <v>243</v>
      </c>
      <c r="F94" s="344" t="s">
        <v>244</v>
      </c>
      <c r="G94" s="589">
        <v>46216</v>
      </c>
      <c r="H94" s="346"/>
      <c r="I94" s="346" t="s">
        <v>186</v>
      </c>
      <c r="J94" s="305">
        <v>0.32013888888888886</v>
      </c>
      <c r="K94" s="305">
        <v>0.70902777777777781</v>
      </c>
      <c r="L94" s="347" t="s">
        <v>169</v>
      </c>
      <c r="M94" s="348">
        <v>8</v>
      </c>
      <c r="N94" s="348"/>
      <c r="O94" s="348"/>
      <c r="P94" s="348"/>
      <c r="Q94" s="349"/>
      <c r="R94" s="348"/>
      <c r="S94" s="348"/>
      <c r="T94" s="349"/>
      <c r="U94" s="348"/>
      <c r="V94" s="349"/>
      <c r="W94" s="350"/>
      <c r="X94" s="351"/>
      <c r="Y94" s="352"/>
      <c r="Z94" s="353"/>
      <c r="AA94" s="354"/>
      <c r="AB94" s="339"/>
    </row>
    <row r="95" spans="1:28" s="340" customFormat="1">
      <c r="A95" s="711"/>
      <c r="B95" s="342" t="s">
        <v>187</v>
      </c>
      <c r="C95" s="342">
        <v>10997</v>
      </c>
      <c r="D95" s="344" t="s">
        <v>244</v>
      </c>
      <c r="E95" s="345" t="s">
        <v>243</v>
      </c>
      <c r="F95" s="344" t="s">
        <v>244</v>
      </c>
      <c r="G95" s="589">
        <v>46217</v>
      </c>
      <c r="H95" s="346"/>
      <c r="I95" s="346" t="s">
        <v>186</v>
      </c>
      <c r="J95" s="305">
        <v>0.32500000000000001</v>
      </c>
      <c r="K95" s="305">
        <v>0.70833333333333337</v>
      </c>
      <c r="L95" s="347" t="s">
        <v>169</v>
      </c>
      <c r="M95" s="348">
        <v>8</v>
      </c>
      <c r="N95" s="348"/>
      <c r="O95" s="348"/>
      <c r="P95" s="348"/>
      <c r="Q95" s="356"/>
      <c r="R95" s="357"/>
      <c r="S95" s="357"/>
      <c r="T95" s="356"/>
      <c r="U95" s="357"/>
      <c r="V95" s="356"/>
      <c r="W95" s="358"/>
      <c r="X95" s="359"/>
      <c r="Y95" s="360"/>
      <c r="Z95" s="361"/>
      <c r="AA95" s="362"/>
      <c r="AB95" s="339"/>
    </row>
    <row r="96" spans="1:28" s="340" customFormat="1">
      <c r="A96" s="711"/>
      <c r="B96" s="342" t="s">
        <v>187</v>
      </c>
      <c r="C96" s="342">
        <v>10997</v>
      </c>
      <c r="D96" s="344" t="s">
        <v>244</v>
      </c>
      <c r="E96" s="345" t="s">
        <v>243</v>
      </c>
      <c r="F96" s="344" t="s">
        <v>244</v>
      </c>
      <c r="G96" s="589">
        <v>46218</v>
      </c>
      <c r="H96" s="346"/>
      <c r="I96" s="346" t="s">
        <v>186</v>
      </c>
      <c r="J96" s="305">
        <v>0.2951388888888889</v>
      </c>
      <c r="K96" s="305">
        <v>0.7090277777777777</v>
      </c>
      <c r="L96" s="347" t="s">
        <v>169</v>
      </c>
      <c r="M96" s="348">
        <v>8</v>
      </c>
      <c r="N96" s="348"/>
      <c r="O96" s="348"/>
      <c r="P96" s="348"/>
      <c r="Q96" s="349"/>
      <c r="R96" s="348"/>
      <c r="S96" s="348"/>
      <c r="T96" s="349"/>
      <c r="U96" s="348"/>
      <c r="V96" s="349"/>
      <c r="W96" s="350"/>
      <c r="X96" s="351"/>
      <c r="Y96" s="352"/>
      <c r="Z96" s="353"/>
      <c r="AA96" s="354"/>
      <c r="AB96" s="339"/>
    </row>
    <row r="97" spans="1:28" s="340" customFormat="1">
      <c r="A97" s="711"/>
      <c r="B97" s="342" t="s">
        <v>187</v>
      </c>
      <c r="C97" s="342">
        <v>10997</v>
      </c>
      <c r="D97" s="344" t="s">
        <v>244</v>
      </c>
      <c r="E97" s="345" t="s">
        <v>243</v>
      </c>
      <c r="F97" s="344" t="s">
        <v>244</v>
      </c>
      <c r="G97" s="589">
        <v>46219</v>
      </c>
      <c r="H97" s="346"/>
      <c r="I97" s="346" t="s">
        <v>186</v>
      </c>
      <c r="J97" s="305">
        <v>0.32569444444444445</v>
      </c>
      <c r="K97" s="305">
        <v>0.7090277777777777</v>
      </c>
      <c r="L97" s="347" t="s">
        <v>169</v>
      </c>
      <c r="M97" s="348">
        <v>8</v>
      </c>
      <c r="N97" s="348"/>
      <c r="O97" s="348"/>
      <c r="P97" s="348"/>
      <c r="Q97" s="349"/>
      <c r="R97" s="348"/>
      <c r="S97" s="348"/>
      <c r="T97" s="349"/>
      <c r="U97" s="348"/>
      <c r="V97" s="349"/>
      <c r="W97" s="350"/>
      <c r="X97" s="351"/>
      <c r="Y97" s="352"/>
      <c r="Z97" s="353"/>
      <c r="AA97" s="354"/>
      <c r="AB97" s="339"/>
    </row>
    <row r="98" spans="1:28" s="340" customFormat="1">
      <c r="A98" s="711"/>
      <c r="B98" s="342" t="s">
        <v>187</v>
      </c>
      <c r="C98" s="342">
        <v>10997</v>
      </c>
      <c r="D98" s="344" t="s">
        <v>244</v>
      </c>
      <c r="E98" s="345" t="s">
        <v>243</v>
      </c>
      <c r="F98" s="344" t="s">
        <v>244</v>
      </c>
      <c r="G98" s="589">
        <v>46220</v>
      </c>
      <c r="H98" s="346"/>
      <c r="I98" s="346" t="s">
        <v>186</v>
      </c>
      <c r="J98" s="305">
        <v>0.32569444444444445</v>
      </c>
      <c r="K98" s="305">
        <v>0.70833333333333337</v>
      </c>
      <c r="L98" s="347" t="s">
        <v>169</v>
      </c>
      <c r="M98" s="348">
        <v>8</v>
      </c>
      <c r="N98" s="348"/>
      <c r="O98" s="348"/>
      <c r="P98" s="348"/>
      <c r="Q98" s="349"/>
      <c r="R98" s="348"/>
      <c r="S98" s="348"/>
      <c r="T98" s="349"/>
      <c r="U98" s="348"/>
      <c r="V98" s="349"/>
      <c r="W98" s="350"/>
      <c r="X98" s="351"/>
      <c r="Y98" s="352"/>
      <c r="Z98" s="353"/>
      <c r="AA98" s="354"/>
      <c r="AB98" s="339"/>
    </row>
    <row r="99" spans="1:28" s="340" customFormat="1">
      <c r="A99" s="711"/>
      <c r="B99" s="342" t="s">
        <v>187</v>
      </c>
      <c r="C99" s="342">
        <v>10997</v>
      </c>
      <c r="D99" s="344" t="s">
        <v>244</v>
      </c>
      <c r="E99" s="345" t="s">
        <v>243</v>
      </c>
      <c r="F99" s="344" t="s">
        <v>244</v>
      </c>
      <c r="G99" s="589">
        <v>46221</v>
      </c>
      <c r="H99" s="346"/>
      <c r="I99" s="346" t="s">
        <v>186</v>
      </c>
      <c r="J99" s="305">
        <v>0.32847222222222222</v>
      </c>
      <c r="K99" s="305">
        <v>0.70833333333333337</v>
      </c>
      <c r="L99" s="347" t="s">
        <v>169</v>
      </c>
      <c r="M99" s="348">
        <v>8</v>
      </c>
      <c r="N99" s="348"/>
      <c r="O99" s="348"/>
      <c r="P99" s="348"/>
      <c r="Q99" s="349"/>
      <c r="R99" s="348"/>
      <c r="S99" s="348"/>
      <c r="T99" s="349"/>
      <c r="U99" s="348"/>
      <c r="V99" s="349"/>
      <c r="W99" s="350"/>
      <c r="X99" s="351"/>
      <c r="Y99" s="352"/>
      <c r="Z99" s="353"/>
      <c r="AA99" s="354"/>
      <c r="AB99" s="339"/>
    </row>
    <row r="100" spans="1:28" s="340" customFormat="1">
      <c r="A100" s="711"/>
      <c r="B100" s="342" t="s">
        <v>187</v>
      </c>
      <c r="C100" s="342">
        <v>10997</v>
      </c>
      <c r="D100" s="344" t="s">
        <v>244</v>
      </c>
      <c r="E100" s="345" t="s">
        <v>243</v>
      </c>
      <c r="F100" s="344" t="s">
        <v>244</v>
      </c>
      <c r="G100" s="590">
        <v>46222</v>
      </c>
      <c r="H100" s="346"/>
      <c r="I100" s="346"/>
      <c r="J100" s="699" t="s">
        <v>173</v>
      </c>
      <c r="K100" s="700"/>
      <c r="L100" s="347"/>
      <c r="M100" s="348"/>
      <c r="N100" s="348"/>
      <c r="O100" s="348"/>
      <c r="P100" s="348"/>
      <c r="Q100" s="349"/>
      <c r="R100" s="348"/>
      <c r="S100" s="348"/>
      <c r="T100" s="349"/>
      <c r="U100" s="348"/>
      <c r="V100" s="349"/>
      <c r="W100" s="350"/>
      <c r="X100" s="351"/>
      <c r="Y100" s="352"/>
      <c r="Z100" s="353"/>
      <c r="AA100" s="354"/>
      <c r="AB100" s="339"/>
    </row>
    <row r="101" spans="1:28" s="340" customFormat="1">
      <c r="A101" s="711"/>
      <c r="B101" s="342" t="s">
        <v>187</v>
      </c>
      <c r="C101" s="342">
        <v>10997</v>
      </c>
      <c r="D101" s="344" t="s">
        <v>244</v>
      </c>
      <c r="E101" s="345" t="s">
        <v>243</v>
      </c>
      <c r="F101" s="344" t="s">
        <v>244</v>
      </c>
      <c r="G101" s="589">
        <v>46223</v>
      </c>
      <c r="H101" s="346"/>
      <c r="I101" s="346" t="s">
        <v>186</v>
      </c>
      <c r="J101" s="295">
        <v>0.32500000000000001</v>
      </c>
      <c r="K101" s="295">
        <v>0.70902777777777781</v>
      </c>
      <c r="L101" s="347" t="s">
        <v>169</v>
      </c>
      <c r="M101" s="348">
        <v>8</v>
      </c>
      <c r="N101" s="357"/>
      <c r="O101" s="357"/>
      <c r="P101" s="357"/>
      <c r="Q101" s="356"/>
      <c r="R101" s="357"/>
      <c r="S101" s="357"/>
      <c r="T101" s="356"/>
      <c r="U101" s="357"/>
      <c r="V101" s="356"/>
      <c r="W101" s="350"/>
      <c r="X101" s="351"/>
      <c r="Y101" s="352"/>
      <c r="Z101" s="353"/>
      <c r="AA101" s="354"/>
      <c r="AB101" s="339"/>
    </row>
    <row r="102" spans="1:28" s="340" customFormat="1">
      <c r="A102" s="711"/>
      <c r="B102" s="342" t="s">
        <v>187</v>
      </c>
      <c r="C102" s="342">
        <v>10997</v>
      </c>
      <c r="D102" s="344" t="s">
        <v>244</v>
      </c>
      <c r="E102" s="345" t="s">
        <v>243</v>
      </c>
      <c r="F102" s="344" t="s">
        <v>244</v>
      </c>
      <c r="G102" s="589">
        <v>46224</v>
      </c>
      <c r="H102" s="346"/>
      <c r="I102" s="346" t="s">
        <v>186</v>
      </c>
      <c r="J102" s="295">
        <v>0.32569444444444445</v>
      </c>
      <c r="K102" s="295">
        <v>0.70902777777777781</v>
      </c>
      <c r="L102" s="347" t="s">
        <v>169</v>
      </c>
      <c r="M102" s="348">
        <v>8</v>
      </c>
      <c r="N102" s="363"/>
      <c r="O102" s="363"/>
      <c r="P102" s="363"/>
      <c r="Q102" s="364"/>
      <c r="R102" s="365"/>
      <c r="S102" s="365"/>
      <c r="T102" s="356"/>
      <c r="U102" s="357"/>
      <c r="V102" s="356"/>
      <c r="W102" s="358"/>
      <c r="X102" s="359"/>
      <c r="Y102" s="360"/>
      <c r="Z102" s="361"/>
      <c r="AA102" s="362"/>
      <c r="AB102" s="339"/>
    </row>
    <row r="103" spans="1:28" s="340" customFormat="1">
      <c r="A103" s="711"/>
      <c r="B103" s="342" t="s">
        <v>187</v>
      </c>
      <c r="C103" s="342">
        <v>10997</v>
      </c>
      <c r="D103" s="344" t="s">
        <v>244</v>
      </c>
      <c r="E103" s="345" t="s">
        <v>243</v>
      </c>
      <c r="F103" s="344" t="s">
        <v>244</v>
      </c>
      <c r="G103" s="589">
        <v>46225</v>
      </c>
      <c r="H103" s="346"/>
      <c r="I103" s="346" t="s">
        <v>186</v>
      </c>
      <c r="J103" s="295">
        <v>0.32361111111111113</v>
      </c>
      <c r="K103" s="295">
        <v>0.70833333333333337</v>
      </c>
      <c r="L103" s="347" t="s">
        <v>169</v>
      </c>
      <c r="M103" s="348">
        <v>8</v>
      </c>
      <c r="N103" s="366"/>
      <c r="O103" s="348"/>
      <c r="P103" s="348"/>
      <c r="Q103" s="349"/>
      <c r="R103" s="348"/>
      <c r="S103" s="348"/>
      <c r="T103" s="349"/>
      <c r="U103" s="348"/>
      <c r="V103" s="349"/>
      <c r="W103" s="350"/>
      <c r="X103" s="351"/>
      <c r="Y103" s="352"/>
      <c r="Z103" s="353"/>
      <c r="AA103" s="354"/>
      <c r="AB103" s="339"/>
    </row>
    <row r="104" spans="1:28" s="340" customFormat="1">
      <c r="A104" s="711"/>
      <c r="B104" s="342" t="s">
        <v>187</v>
      </c>
      <c r="C104" s="342">
        <v>10997</v>
      </c>
      <c r="D104" s="344" t="s">
        <v>244</v>
      </c>
      <c r="E104" s="345" t="s">
        <v>243</v>
      </c>
      <c r="F104" s="344" t="s">
        <v>244</v>
      </c>
      <c r="G104" s="589">
        <v>46226</v>
      </c>
      <c r="H104" s="346"/>
      <c r="I104" s="346" t="s">
        <v>186</v>
      </c>
      <c r="J104" s="295">
        <v>0.32569444444444445</v>
      </c>
      <c r="K104" s="295">
        <v>0.70833333333333337</v>
      </c>
      <c r="L104" s="347" t="s">
        <v>169</v>
      </c>
      <c r="M104" s="348">
        <v>8</v>
      </c>
      <c r="N104" s="366"/>
      <c r="O104" s="367"/>
      <c r="P104" s="367"/>
      <c r="Q104" s="349"/>
      <c r="R104" s="348"/>
      <c r="S104" s="348"/>
      <c r="T104" s="349"/>
      <c r="U104" s="348"/>
      <c r="V104" s="349"/>
      <c r="W104" s="350"/>
      <c r="X104" s="351"/>
      <c r="Y104" s="352"/>
      <c r="Z104" s="353"/>
      <c r="AA104" s="354"/>
      <c r="AB104" s="339"/>
    </row>
    <row r="105" spans="1:28" s="340" customFormat="1">
      <c r="A105" s="711"/>
      <c r="B105" s="342" t="s">
        <v>187</v>
      </c>
      <c r="C105" s="342">
        <v>10997</v>
      </c>
      <c r="D105" s="344" t="s">
        <v>244</v>
      </c>
      <c r="E105" s="345" t="s">
        <v>243</v>
      </c>
      <c r="F105" s="344" t="s">
        <v>244</v>
      </c>
      <c r="G105" s="589">
        <v>46227</v>
      </c>
      <c r="H105" s="346"/>
      <c r="I105" s="346" t="s">
        <v>186</v>
      </c>
      <c r="J105" s="295">
        <v>0.32291666666666669</v>
      </c>
      <c r="K105" s="318">
        <v>0.70833333333333337</v>
      </c>
      <c r="L105" s="347" t="s">
        <v>169</v>
      </c>
      <c r="M105" s="348">
        <v>8</v>
      </c>
      <c r="N105" s="366"/>
      <c r="O105" s="366"/>
      <c r="P105" s="366"/>
      <c r="Q105" s="368"/>
      <c r="R105" s="366"/>
      <c r="S105" s="366"/>
      <c r="T105" s="349"/>
      <c r="U105" s="348"/>
      <c r="V105" s="349"/>
      <c r="W105" s="350"/>
      <c r="X105" s="351"/>
      <c r="Y105" s="352"/>
      <c r="Z105" s="353"/>
      <c r="AA105" s="354"/>
      <c r="AB105" s="339"/>
    </row>
    <row r="106" spans="1:28" s="340" customFormat="1">
      <c r="A106" s="711"/>
      <c r="B106" s="342" t="s">
        <v>187</v>
      </c>
      <c r="C106" s="342">
        <v>10997</v>
      </c>
      <c r="D106" s="344" t="s">
        <v>244</v>
      </c>
      <c r="E106" s="345" t="s">
        <v>243</v>
      </c>
      <c r="F106" s="344" t="s">
        <v>244</v>
      </c>
      <c r="G106" s="589">
        <v>46228</v>
      </c>
      <c r="H106" s="346"/>
      <c r="I106" s="346" t="s">
        <v>186</v>
      </c>
      <c r="J106" s="295"/>
      <c r="K106" s="295"/>
      <c r="L106" s="347"/>
      <c r="M106" s="348"/>
      <c r="N106" s="348"/>
      <c r="O106" s="348"/>
      <c r="P106" s="348"/>
      <c r="Q106" s="349"/>
      <c r="R106" s="348"/>
      <c r="S106" s="320"/>
      <c r="T106" s="349"/>
      <c r="U106" s="348"/>
      <c r="V106" s="349"/>
      <c r="W106" s="350"/>
      <c r="X106" s="351"/>
      <c r="Y106" s="352"/>
      <c r="Z106" s="353"/>
      <c r="AA106" s="354"/>
      <c r="AB106" s="339"/>
    </row>
    <row r="107" spans="1:28" s="340" customFormat="1">
      <c r="A107" s="711"/>
      <c r="B107" s="342"/>
      <c r="C107" s="342"/>
      <c r="D107" s="344"/>
      <c r="E107" s="345"/>
      <c r="F107" s="344"/>
      <c r="G107" s="594"/>
      <c r="H107" s="346"/>
      <c r="I107" s="346"/>
      <c r="J107" s="369"/>
      <c r="K107" s="370"/>
      <c r="L107" s="371"/>
      <c r="M107" s="363"/>
      <c r="N107" s="363"/>
      <c r="O107" s="363"/>
      <c r="P107" s="363"/>
      <c r="Q107" s="372"/>
      <c r="R107" s="363"/>
      <c r="S107" s="324"/>
      <c r="T107" s="349"/>
      <c r="U107" s="348"/>
      <c r="V107" s="349"/>
      <c r="W107" s="350"/>
      <c r="X107" s="351"/>
      <c r="Y107" s="352"/>
      <c r="Z107" s="353"/>
      <c r="AA107" s="354"/>
      <c r="AB107" s="339"/>
    </row>
    <row r="108" spans="1:28" s="340" customFormat="1">
      <c r="A108" s="712"/>
      <c r="B108" s="325"/>
      <c r="C108" s="342"/>
      <c r="D108" s="325"/>
      <c r="E108" s="345"/>
      <c r="F108" s="325"/>
      <c r="G108" s="595"/>
      <c r="H108" s="374"/>
      <c r="I108" s="346"/>
      <c r="J108" s="375"/>
      <c r="K108" s="376"/>
      <c r="L108" s="377"/>
      <c r="M108" s="327">
        <f t="shared" ref="M108:AA108" si="5">SUM(M92:M106)</f>
        <v>88</v>
      </c>
      <c r="N108" s="327">
        <f t="shared" si="5"/>
        <v>0</v>
      </c>
      <c r="O108" s="327">
        <f t="shared" si="5"/>
        <v>0</v>
      </c>
      <c r="P108" s="327">
        <f t="shared" si="5"/>
        <v>0</v>
      </c>
      <c r="Q108" s="327">
        <f t="shared" si="5"/>
        <v>0</v>
      </c>
      <c r="R108" s="327">
        <f t="shared" si="5"/>
        <v>0</v>
      </c>
      <c r="S108" s="327">
        <f t="shared" si="5"/>
        <v>0</v>
      </c>
      <c r="T108" s="327">
        <f t="shared" si="5"/>
        <v>0</v>
      </c>
      <c r="U108" s="327">
        <f t="shared" si="5"/>
        <v>0</v>
      </c>
      <c r="V108" s="327">
        <f t="shared" si="5"/>
        <v>0</v>
      </c>
      <c r="W108" s="327">
        <f t="shared" si="5"/>
        <v>0</v>
      </c>
      <c r="X108" s="327">
        <f t="shared" si="5"/>
        <v>0</v>
      </c>
      <c r="Y108" s="327">
        <f t="shared" si="5"/>
        <v>0</v>
      </c>
      <c r="Z108" s="327">
        <f t="shared" si="5"/>
        <v>0</v>
      </c>
      <c r="AA108" s="327">
        <f t="shared" si="5"/>
        <v>0</v>
      </c>
      <c r="AB108" s="339"/>
    </row>
    <row r="109" spans="1:28" s="340" customFormat="1">
      <c r="A109" s="280" t="s">
        <v>170</v>
      </c>
      <c r="B109" s="280" t="s">
        <v>120</v>
      </c>
      <c r="C109" s="280" t="s">
        <v>152</v>
      </c>
      <c r="D109" s="280" t="s">
        <v>182</v>
      </c>
      <c r="E109" s="281" t="s">
        <v>153</v>
      </c>
      <c r="F109" s="280" t="s">
        <v>182</v>
      </c>
      <c r="G109" s="593" t="s">
        <v>401</v>
      </c>
      <c r="H109" s="333"/>
      <c r="I109" s="334" t="s">
        <v>181</v>
      </c>
      <c r="J109" s="335" t="s">
        <v>154</v>
      </c>
      <c r="K109" s="335" t="s">
        <v>155</v>
      </c>
      <c r="L109" s="336" t="s">
        <v>156</v>
      </c>
      <c r="M109" s="337" t="s">
        <v>157</v>
      </c>
      <c r="N109" s="336" t="s">
        <v>158</v>
      </c>
      <c r="O109" s="336" t="s">
        <v>159</v>
      </c>
      <c r="P109" s="336" t="s">
        <v>174</v>
      </c>
      <c r="Q109" s="336" t="s">
        <v>160</v>
      </c>
      <c r="R109" s="336" t="s">
        <v>161</v>
      </c>
      <c r="S109" s="336" t="s">
        <v>162</v>
      </c>
      <c r="T109" s="334" t="s">
        <v>163</v>
      </c>
      <c r="U109" s="334" t="s">
        <v>164</v>
      </c>
      <c r="V109" s="334" t="s">
        <v>165</v>
      </c>
      <c r="W109" s="336" t="s">
        <v>113</v>
      </c>
      <c r="X109" s="334" t="s">
        <v>121</v>
      </c>
      <c r="Y109" s="334" t="s">
        <v>166</v>
      </c>
      <c r="Z109" s="338" t="s">
        <v>175</v>
      </c>
      <c r="AA109" s="338" t="s">
        <v>167</v>
      </c>
      <c r="AB109" s="339"/>
    </row>
    <row r="110" spans="1:28" s="340" customFormat="1">
      <c r="A110" s="710"/>
      <c r="B110" s="342" t="s">
        <v>187</v>
      </c>
      <c r="C110" s="343">
        <v>30019</v>
      </c>
      <c r="D110" s="344" t="s">
        <v>184</v>
      </c>
      <c r="E110" s="345" t="s">
        <v>242</v>
      </c>
      <c r="F110" s="344" t="s">
        <v>184</v>
      </c>
      <c r="G110" s="589">
        <v>46214</v>
      </c>
      <c r="H110" s="346"/>
      <c r="I110" s="346"/>
      <c r="J110" s="295"/>
      <c r="K110" s="295"/>
      <c r="L110" s="347"/>
      <c r="M110" s="348"/>
      <c r="N110" s="348"/>
      <c r="O110" s="348"/>
      <c r="P110" s="348"/>
      <c r="Q110" s="349"/>
      <c r="R110" s="348"/>
      <c r="S110" s="348"/>
      <c r="T110" s="349"/>
      <c r="U110" s="348"/>
      <c r="V110" s="349"/>
      <c r="W110" s="350"/>
      <c r="X110" s="351"/>
      <c r="Y110" s="352"/>
      <c r="Z110" s="353"/>
      <c r="AA110" s="354"/>
      <c r="AB110" s="339"/>
    </row>
    <row r="111" spans="1:28" s="340" customFormat="1">
      <c r="A111" s="711"/>
      <c r="B111" s="342" t="s">
        <v>187</v>
      </c>
      <c r="C111" s="343">
        <v>30019</v>
      </c>
      <c r="D111" s="344" t="s">
        <v>184</v>
      </c>
      <c r="E111" s="345" t="s">
        <v>242</v>
      </c>
      <c r="F111" s="344" t="s">
        <v>184</v>
      </c>
      <c r="G111" s="590">
        <v>46215</v>
      </c>
      <c r="H111" s="346"/>
      <c r="I111" s="346"/>
      <c r="J111" s="699" t="s">
        <v>173</v>
      </c>
      <c r="K111" s="700"/>
      <c r="L111" s="347"/>
      <c r="M111" s="348"/>
      <c r="N111" s="348"/>
      <c r="O111" s="348"/>
      <c r="P111" s="348"/>
      <c r="Q111" s="349"/>
      <c r="R111" s="348"/>
      <c r="S111" s="348"/>
      <c r="T111" s="349"/>
      <c r="U111" s="348"/>
      <c r="V111" s="349"/>
      <c r="W111" s="350"/>
      <c r="X111" s="351"/>
      <c r="Y111" s="352"/>
      <c r="Z111" s="353"/>
      <c r="AA111" s="354"/>
      <c r="AB111" s="339"/>
    </row>
    <row r="112" spans="1:28" s="340" customFormat="1">
      <c r="A112" s="711"/>
      <c r="B112" s="342" t="s">
        <v>187</v>
      </c>
      <c r="C112" s="342">
        <v>30019</v>
      </c>
      <c r="D112" s="344" t="s">
        <v>184</v>
      </c>
      <c r="E112" s="345" t="s">
        <v>242</v>
      </c>
      <c r="F112" s="344" t="s">
        <v>184</v>
      </c>
      <c r="G112" s="589">
        <v>46216</v>
      </c>
      <c r="H112" s="346"/>
      <c r="I112" s="346" t="s">
        <v>186</v>
      </c>
      <c r="J112" s="305">
        <v>0.31458333333333333</v>
      </c>
      <c r="K112" s="305">
        <v>0.70902777777777781</v>
      </c>
      <c r="L112" s="347" t="s">
        <v>169</v>
      </c>
      <c r="M112" s="348">
        <v>8</v>
      </c>
      <c r="N112" s="348"/>
      <c r="O112" s="348"/>
      <c r="P112" s="348"/>
      <c r="Q112" s="349"/>
      <c r="R112" s="348"/>
      <c r="S112" s="348"/>
      <c r="T112" s="349"/>
      <c r="U112" s="348"/>
      <c r="V112" s="349"/>
      <c r="W112" s="350"/>
      <c r="X112" s="351"/>
      <c r="Y112" s="352"/>
      <c r="Z112" s="353"/>
      <c r="AA112" s="354"/>
      <c r="AB112" s="339"/>
    </row>
    <row r="113" spans="1:28" s="340" customFormat="1">
      <c r="A113" s="711"/>
      <c r="B113" s="342" t="s">
        <v>187</v>
      </c>
      <c r="C113" s="342">
        <v>30019</v>
      </c>
      <c r="D113" s="344" t="s">
        <v>184</v>
      </c>
      <c r="E113" s="345" t="s">
        <v>242</v>
      </c>
      <c r="F113" s="344" t="s">
        <v>184</v>
      </c>
      <c r="G113" s="589">
        <v>46217</v>
      </c>
      <c r="H113" s="346"/>
      <c r="I113" s="346" t="s">
        <v>186</v>
      </c>
      <c r="J113" s="305">
        <v>0.31666666666666665</v>
      </c>
      <c r="K113" s="305">
        <v>0.70833333333333337</v>
      </c>
      <c r="L113" s="347" t="s">
        <v>169</v>
      </c>
      <c r="M113" s="348">
        <v>8</v>
      </c>
      <c r="N113" s="348"/>
      <c r="O113" s="348"/>
      <c r="P113" s="357"/>
      <c r="Q113" s="356"/>
      <c r="R113" s="357"/>
      <c r="S113" s="357"/>
      <c r="T113" s="356"/>
      <c r="U113" s="357"/>
      <c r="V113" s="356"/>
      <c r="W113" s="358"/>
      <c r="X113" s="359"/>
      <c r="Y113" s="360"/>
      <c r="Z113" s="361"/>
      <c r="AA113" s="362"/>
      <c r="AB113" s="339"/>
    </row>
    <row r="114" spans="1:28" s="340" customFormat="1">
      <c r="A114" s="711"/>
      <c r="B114" s="342" t="s">
        <v>187</v>
      </c>
      <c r="C114" s="342">
        <v>30019</v>
      </c>
      <c r="D114" s="344" t="s">
        <v>184</v>
      </c>
      <c r="E114" s="345" t="s">
        <v>242</v>
      </c>
      <c r="F114" s="344" t="s">
        <v>184</v>
      </c>
      <c r="G114" s="589">
        <v>46218</v>
      </c>
      <c r="H114" s="346"/>
      <c r="I114" s="346" t="s">
        <v>186</v>
      </c>
      <c r="J114" s="305">
        <v>0.31875000000000003</v>
      </c>
      <c r="K114" s="305">
        <v>0.70833333333333337</v>
      </c>
      <c r="L114" s="347" t="s">
        <v>169</v>
      </c>
      <c r="M114" s="348">
        <v>8</v>
      </c>
      <c r="N114" s="348"/>
      <c r="O114" s="348"/>
      <c r="P114" s="348"/>
      <c r="Q114" s="349"/>
      <c r="R114" s="348"/>
      <c r="S114" s="348"/>
      <c r="T114" s="349"/>
      <c r="U114" s="348"/>
      <c r="V114" s="349"/>
      <c r="W114" s="350"/>
      <c r="X114" s="351"/>
      <c r="Y114" s="352"/>
      <c r="Z114" s="353"/>
      <c r="AA114" s="354"/>
      <c r="AB114" s="339"/>
    </row>
    <row r="115" spans="1:28" s="340" customFormat="1">
      <c r="A115" s="711"/>
      <c r="B115" s="342" t="s">
        <v>187</v>
      </c>
      <c r="C115" s="342">
        <v>30019</v>
      </c>
      <c r="D115" s="344" t="s">
        <v>184</v>
      </c>
      <c r="E115" s="345" t="s">
        <v>242</v>
      </c>
      <c r="F115" s="344" t="s">
        <v>184</v>
      </c>
      <c r="G115" s="589">
        <v>46219</v>
      </c>
      <c r="H115" s="346"/>
      <c r="I115" s="346" t="s">
        <v>186</v>
      </c>
      <c r="J115" s="305">
        <v>0.32500000000000001</v>
      </c>
      <c r="K115" s="305">
        <v>0.7090277777777777</v>
      </c>
      <c r="L115" s="347" t="s">
        <v>169</v>
      </c>
      <c r="M115" s="348">
        <v>8</v>
      </c>
      <c r="N115" s="348"/>
      <c r="O115" s="348"/>
      <c r="P115" s="348"/>
      <c r="Q115" s="349"/>
      <c r="R115" s="348"/>
      <c r="S115" s="348"/>
      <c r="T115" s="349"/>
      <c r="U115" s="348"/>
      <c r="V115" s="349"/>
      <c r="W115" s="350"/>
      <c r="X115" s="351"/>
      <c r="Y115" s="352"/>
      <c r="Z115" s="353"/>
      <c r="AA115" s="354"/>
      <c r="AB115" s="339"/>
    </row>
    <row r="116" spans="1:28" s="340" customFormat="1">
      <c r="A116" s="711"/>
      <c r="B116" s="342" t="s">
        <v>187</v>
      </c>
      <c r="C116" s="342">
        <v>30019</v>
      </c>
      <c r="D116" s="344" t="s">
        <v>184</v>
      </c>
      <c r="E116" s="345" t="s">
        <v>242</v>
      </c>
      <c r="F116" s="344" t="s">
        <v>184</v>
      </c>
      <c r="G116" s="589">
        <v>46220</v>
      </c>
      <c r="H116" s="346"/>
      <c r="I116" s="346" t="s">
        <v>186</v>
      </c>
      <c r="J116" s="305">
        <v>0.31805555555555554</v>
      </c>
      <c r="K116" s="305">
        <v>0.70833333333333337</v>
      </c>
      <c r="L116" s="347" t="s">
        <v>169</v>
      </c>
      <c r="M116" s="348">
        <v>8</v>
      </c>
      <c r="N116" s="348"/>
      <c r="O116" s="348"/>
      <c r="P116" s="348"/>
      <c r="Q116" s="349"/>
      <c r="R116" s="348"/>
      <c r="S116" s="348"/>
      <c r="T116" s="349"/>
      <c r="U116" s="348"/>
      <c r="V116" s="349"/>
      <c r="W116" s="350"/>
      <c r="X116" s="351"/>
      <c r="Y116" s="352"/>
      <c r="Z116" s="353"/>
      <c r="AA116" s="354"/>
      <c r="AB116" s="339"/>
    </row>
    <row r="117" spans="1:28" s="340" customFormat="1">
      <c r="A117" s="711"/>
      <c r="B117" s="342" t="s">
        <v>187</v>
      </c>
      <c r="C117" s="342">
        <v>30019</v>
      </c>
      <c r="D117" s="344" t="s">
        <v>184</v>
      </c>
      <c r="E117" s="345" t="s">
        <v>242</v>
      </c>
      <c r="F117" s="344" t="s">
        <v>184</v>
      </c>
      <c r="G117" s="589">
        <v>46221</v>
      </c>
      <c r="H117" s="346"/>
      <c r="I117" s="346" t="s">
        <v>186</v>
      </c>
      <c r="J117" s="305">
        <v>0.31944444444444442</v>
      </c>
      <c r="K117" s="305">
        <v>0.70902777777777781</v>
      </c>
      <c r="L117" s="347" t="s">
        <v>169</v>
      </c>
      <c r="M117" s="348">
        <v>8</v>
      </c>
      <c r="N117" s="348"/>
      <c r="O117" s="348"/>
      <c r="P117" s="348"/>
      <c r="Q117" s="349"/>
      <c r="R117" s="348"/>
      <c r="S117" s="348"/>
      <c r="T117" s="349"/>
      <c r="U117" s="348"/>
      <c r="V117" s="349"/>
      <c r="W117" s="350"/>
      <c r="X117" s="351"/>
      <c r="Y117" s="352"/>
      <c r="Z117" s="353"/>
      <c r="AA117" s="354"/>
      <c r="AB117" s="339"/>
    </row>
    <row r="118" spans="1:28" s="340" customFormat="1">
      <c r="A118" s="711"/>
      <c r="B118" s="342" t="s">
        <v>187</v>
      </c>
      <c r="C118" s="342">
        <v>30019</v>
      </c>
      <c r="D118" s="344" t="s">
        <v>184</v>
      </c>
      <c r="E118" s="345" t="s">
        <v>242</v>
      </c>
      <c r="F118" s="344" t="s">
        <v>184</v>
      </c>
      <c r="G118" s="590">
        <v>46222</v>
      </c>
      <c r="H118" s="346"/>
      <c r="I118" s="346"/>
      <c r="J118" s="699" t="s">
        <v>173</v>
      </c>
      <c r="K118" s="700"/>
      <c r="L118" s="347"/>
      <c r="M118" s="348"/>
      <c r="N118" s="348"/>
      <c r="O118" s="348"/>
      <c r="P118" s="348"/>
      <c r="Q118" s="349"/>
      <c r="R118" s="348"/>
      <c r="S118" s="348"/>
      <c r="T118" s="349"/>
      <c r="U118" s="348"/>
      <c r="V118" s="349"/>
      <c r="W118" s="350"/>
      <c r="X118" s="351"/>
      <c r="Y118" s="352"/>
      <c r="Z118" s="353"/>
      <c r="AA118" s="354"/>
      <c r="AB118" s="339"/>
    </row>
    <row r="119" spans="1:28" s="340" customFormat="1">
      <c r="A119" s="711"/>
      <c r="B119" s="342" t="s">
        <v>187</v>
      </c>
      <c r="C119" s="342">
        <v>30019</v>
      </c>
      <c r="D119" s="344" t="s">
        <v>184</v>
      </c>
      <c r="E119" s="345" t="s">
        <v>242</v>
      </c>
      <c r="F119" s="344" t="s">
        <v>184</v>
      </c>
      <c r="G119" s="589">
        <v>46223</v>
      </c>
      <c r="H119" s="346"/>
      <c r="I119" s="346" t="s">
        <v>186</v>
      </c>
      <c r="J119" s="295">
        <v>0.31111111111111112</v>
      </c>
      <c r="K119" s="378">
        <v>0.70902777777777781</v>
      </c>
      <c r="L119" s="347" t="s">
        <v>169</v>
      </c>
      <c r="M119" s="348">
        <v>8</v>
      </c>
      <c r="N119" s="357"/>
      <c r="O119" s="357"/>
      <c r="P119" s="357"/>
      <c r="Q119" s="356"/>
      <c r="R119" s="357"/>
      <c r="S119" s="357"/>
      <c r="T119" s="356"/>
      <c r="U119" s="357"/>
      <c r="V119" s="356"/>
      <c r="W119" s="350"/>
      <c r="X119" s="351"/>
      <c r="Y119" s="352"/>
      <c r="Z119" s="353"/>
      <c r="AA119" s="354"/>
      <c r="AB119" s="339"/>
    </row>
    <row r="120" spans="1:28" s="340" customFormat="1">
      <c r="A120" s="711"/>
      <c r="B120" s="342" t="s">
        <v>187</v>
      </c>
      <c r="C120" s="342">
        <v>30019</v>
      </c>
      <c r="D120" s="344" t="s">
        <v>184</v>
      </c>
      <c r="E120" s="345" t="s">
        <v>242</v>
      </c>
      <c r="F120" s="344" t="s">
        <v>184</v>
      </c>
      <c r="G120" s="589">
        <v>46224</v>
      </c>
      <c r="H120" s="346"/>
      <c r="I120" s="346" t="s">
        <v>186</v>
      </c>
      <c r="J120" s="295">
        <v>0.31805555555555554</v>
      </c>
      <c r="K120" s="378">
        <v>0.70833333333333337</v>
      </c>
      <c r="L120" s="347" t="s">
        <v>169</v>
      </c>
      <c r="M120" s="348">
        <v>8</v>
      </c>
      <c r="N120" s="363"/>
      <c r="O120" s="363"/>
      <c r="P120" s="363"/>
      <c r="Q120" s="364"/>
      <c r="R120" s="365"/>
      <c r="S120" s="365"/>
      <c r="T120" s="356"/>
      <c r="U120" s="357"/>
      <c r="V120" s="356"/>
      <c r="W120" s="358"/>
      <c r="X120" s="359"/>
      <c r="Y120" s="360"/>
      <c r="Z120" s="361"/>
      <c r="AA120" s="362"/>
      <c r="AB120" s="339"/>
    </row>
    <row r="121" spans="1:28" s="340" customFormat="1">
      <c r="A121" s="711"/>
      <c r="B121" s="342" t="s">
        <v>187</v>
      </c>
      <c r="C121" s="342">
        <v>30019</v>
      </c>
      <c r="D121" s="344" t="s">
        <v>184</v>
      </c>
      <c r="E121" s="345" t="s">
        <v>242</v>
      </c>
      <c r="F121" s="344" t="s">
        <v>184</v>
      </c>
      <c r="G121" s="589">
        <v>46225</v>
      </c>
      <c r="H121" s="346"/>
      <c r="I121" s="346" t="s">
        <v>186</v>
      </c>
      <c r="J121" s="295">
        <v>0.32013888888888886</v>
      </c>
      <c r="K121" s="378">
        <v>0.70833333333333337</v>
      </c>
      <c r="L121" s="347" t="s">
        <v>169</v>
      </c>
      <c r="M121" s="348">
        <v>8</v>
      </c>
      <c r="N121" s="366"/>
      <c r="O121" s="348"/>
      <c r="P121" s="348"/>
      <c r="Q121" s="349"/>
      <c r="R121" s="348"/>
      <c r="S121" s="348"/>
      <c r="T121" s="349"/>
      <c r="U121" s="348"/>
      <c r="V121" s="349"/>
      <c r="W121" s="350"/>
      <c r="X121" s="351"/>
      <c r="Y121" s="352"/>
      <c r="Z121" s="353"/>
      <c r="AA121" s="362"/>
      <c r="AB121" s="339"/>
    </row>
    <row r="122" spans="1:28" s="340" customFormat="1">
      <c r="A122" s="711"/>
      <c r="B122" s="342" t="s">
        <v>187</v>
      </c>
      <c r="C122" s="342">
        <v>30019</v>
      </c>
      <c r="D122" s="344" t="s">
        <v>184</v>
      </c>
      <c r="E122" s="345" t="s">
        <v>242</v>
      </c>
      <c r="F122" s="344" t="s">
        <v>184</v>
      </c>
      <c r="G122" s="589">
        <v>46226</v>
      </c>
      <c r="H122" s="346"/>
      <c r="I122" s="346" t="s">
        <v>186</v>
      </c>
      <c r="J122" s="295">
        <v>0.32083333333333336</v>
      </c>
      <c r="K122" s="295">
        <v>0.70833333333333337</v>
      </c>
      <c r="L122" s="347" t="s">
        <v>169</v>
      </c>
      <c r="M122" s="348">
        <v>8</v>
      </c>
      <c r="N122" s="366"/>
      <c r="O122" s="367"/>
      <c r="P122" s="367"/>
      <c r="Q122" s="349"/>
      <c r="R122" s="348"/>
      <c r="S122" s="348"/>
      <c r="T122" s="349"/>
      <c r="U122" s="348"/>
      <c r="V122" s="349"/>
      <c r="W122" s="350"/>
      <c r="X122" s="351"/>
      <c r="Y122" s="352"/>
      <c r="Z122" s="353"/>
      <c r="AA122" s="354"/>
      <c r="AB122" s="339"/>
    </row>
    <row r="123" spans="1:28" s="340" customFormat="1">
      <c r="A123" s="711"/>
      <c r="B123" s="342" t="s">
        <v>187</v>
      </c>
      <c r="C123" s="342">
        <v>30019</v>
      </c>
      <c r="D123" s="344" t="s">
        <v>184</v>
      </c>
      <c r="E123" s="345" t="s">
        <v>242</v>
      </c>
      <c r="F123" s="344" t="s">
        <v>184</v>
      </c>
      <c r="G123" s="589">
        <v>46227</v>
      </c>
      <c r="H123" s="346"/>
      <c r="I123" s="346" t="s">
        <v>186</v>
      </c>
      <c r="J123" s="295">
        <v>0.31597222222222221</v>
      </c>
      <c r="K123" s="318">
        <v>0.70833333333333337</v>
      </c>
      <c r="L123" s="347" t="s">
        <v>169</v>
      </c>
      <c r="M123" s="348">
        <v>8</v>
      </c>
      <c r="N123" s="366"/>
      <c r="O123" s="366"/>
      <c r="P123" s="366"/>
      <c r="Q123" s="368"/>
      <c r="R123" s="366"/>
      <c r="S123" s="366"/>
      <c r="T123" s="349"/>
      <c r="U123" s="348"/>
      <c r="V123" s="349"/>
      <c r="W123" s="350"/>
      <c r="X123" s="351"/>
      <c r="Y123" s="352"/>
      <c r="Z123" s="353"/>
      <c r="AA123" s="354"/>
      <c r="AB123" s="339"/>
    </row>
    <row r="124" spans="1:28" s="340" customFormat="1">
      <c r="A124" s="711"/>
      <c r="B124" s="342" t="s">
        <v>187</v>
      </c>
      <c r="C124" s="342">
        <v>30019</v>
      </c>
      <c r="D124" s="344" t="s">
        <v>184</v>
      </c>
      <c r="E124" s="345" t="s">
        <v>242</v>
      </c>
      <c r="F124" s="344" t="s">
        <v>184</v>
      </c>
      <c r="G124" s="589">
        <v>46228</v>
      </c>
      <c r="H124" s="346"/>
      <c r="I124" s="346" t="s">
        <v>186</v>
      </c>
      <c r="J124" s="295"/>
      <c r="K124" s="295"/>
      <c r="L124" s="347"/>
      <c r="M124" s="348"/>
      <c r="N124" s="348"/>
      <c r="O124" s="348"/>
      <c r="P124" s="348"/>
      <c r="Q124" s="349"/>
      <c r="R124" s="348"/>
      <c r="S124" s="320"/>
      <c r="T124" s="349"/>
      <c r="U124" s="348"/>
      <c r="V124" s="349"/>
      <c r="W124" s="350"/>
      <c r="X124" s="351"/>
      <c r="Y124" s="352"/>
      <c r="Z124" s="353"/>
      <c r="AA124" s="354"/>
      <c r="AB124" s="339"/>
    </row>
    <row r="125" spans="1:28" s="340" customFormat="1">
      <c r="A125" s="711"/>
      <c r="B125" s="342"/>
      <c r="C125" s="342"/>
      <c r="D125" s="344"/>
      <c r="E125" s="345"/>
      <c r="F125" s="344"/>
      <c r="G125" s="594"/>
      <c r="H125" s="346"/>
      <c r="I125" s="346"/>
      <c r="J125" s="369"/>
      <c r="K125" s="370"/>
      <c r="L125" s="371"/>
      <c r="M125" s="363"/>
      <c r="N125" s="363"/>
      <c r="O125" s="363"/>
      <c r="P125" s="363"/>
      <c r="Q125" s="372"/>
      <c r="R125" s="363"/>
      <c r="S125" s="324"/>
      <c r="T125" s="349"/>
      <c r="U125" s="348"/>
      <c r="V125" s="349"/>
      <c r="W125" s="350"/>
      <c r="X125" s="351"/>
      <c r="Y125" s="352"/>
      <c r="Z125" s="353"/>
      <c r="AA125" s="354"/>
      <c r="AB125" s="339"/>
    </row>
    <row r="126" spans="1:28" s="340" customFormat="1">
      <c r="A126" s="712"/>
      <c r="B126" s="325"/>
      <c r="C126" s="342"/>
      <c r="D126" s="325"/>
      <c r="E126" s="345"/>
      <c r="F126" s="325"/>
      <c r="G126" s="595"/>
      <c r="H126" s="374"/>
      <c r="I126" s="377"/>
      <c r="J126" s="375"/>
      <c r="K126" s="376"/>
      <c r="L126" s="377"/>
      <c r="M126" s="327">
        <f t="shared" ref="M126:AA126" si="6">SUM(M110:M124)</f>
        <v>88</v>
      </c>
      <c r="N126" s="327">
        <f t="shared" si="6"/>
        <v>0</v>
      </c>
      <c r="O126" s="327">
        <f t="shared" si="6"/>
        <v>0</v>
      </c>
      <c r="P126" s="327">
        <f t="shared" si="6"/>
        <v>0</v>
      </c>
      <c r="Q126" s="327">
        <f t="shared" si="6"/>
        <v>0</v>
      </c>
      <c r="R126" s="327">
        <f t="shared" si="6"/>
        <v>0</v>
      </c>
      <c r="S126" s="327">
        <f t="shared" si="6"/>
        <v>0</v>
      </c>
      <c r="T126" s="327">
        <f t="shared" si="6"/>
        <v>0</v>
      </c>
      <c r="U126" s="327">
        <f t="shared" si="6"/>
        <v>0</v>
      </c>
      <c r="V126" s="327">
        <f t="shared" si="6"/>
        <v>0</v>
      </c>
      <c r="W126" s="327">
        <f t="shared" si="6"/>
        <v>0</v>
      </c>
      <c r="X126" s="327">
        <f t="shared" si="6"/>
        <v>0</v>
      </c>
      <c r="Y126" s="327">
        <f t="shared" si="6"/>
        <v>0</v>
      </c>
      <c r="Z126" s="327">
        <f t="shared" si="6"/>
        <v>0</v>
      </c>
      <c r="AA126" s="327">
        <f t="shared" si="6"/>
        <v>0</v>
      </c>
      <c r="AB126" s="339"/>
    </row>
    <row r="127" spans="1:28" s="340" customFormat="1">
      <c r="A127" s="280" t="s">
        <v>170</v>
      </c>
      <c r="B127" s="280" t="s">
        <v>120</v>
      </c>
      <c r="C127" s="280" t="s">
        <v>152</v>
      </c>
      <c r="D127" s="280" t="s">
        <v>182</v>
      </c>
      <c r="E127" s="281" t="s">
        <v>153</v>
      </c>
      <c r="F127" s="280" t="s">
        <v>182</v>
      </c>
      <c r="G127" s="593" t="s">
        <v>401</v>
      </c>
      <c r="H127" s="333"/>
      <c r="I127" s="334" t="s">
        <v>181</v>
      </c>
      <c r="J127" s="335" t="s">
        <v>154</v>
      </c>
      <c r="K127" s="335" t="s">
        <v>155</v>
      </c>
      <c r="L127" s="336" t="s">
        <v>156</v>
      </c>
      <c r="M127" s="337" t="s">
        <v>157</v>
      </c>
      <c r="N127" s="336" t="s">
        <v>158</v>
      </c>
      <c r="O127" s="336" t="s">
        <v>159</v>
      </c>
      <c r="P127" s="336" t="s">
        <v>174</v>
      </c>
      <c r="Q127" s="336" t="s">
        <v>160</v>
      </c>
      <c r="R127" s="336" t="s">
        <v>161</v>
      </c>
      <c r="S127" s="336" t="s">
        <v>162</v>
      </c>
      <c r="T127" s="334" t="s">
        <v>163</v>
      </c>
      <c r="U127" s="334" t="s">
        <v>164</v>
      </c>
      <c r="V127" s="334" t="s">
        <v>165</v>
      </c>
      <c r="W127" s="336" t="s">
        <v>113</v>
      </c>
      <c r="X127" s="334" t="s">
        <v>121</v>
      </c>
      <c r="Y127" s="334" t="s">
        <v>166</v>
      </c>
      <c r="Z127" s="338" t="s">
        <v>175</v>
      </c>
      <c r="AA127" s="338" t="s">
        <v>167</v>
      </c>
      <c r="AB127" s="339"/>
    </row>
    <row r="128" spans="1:28" s="340" customFormat="1">
      <c r="A128" s="341"/>
      <c r="B128" s="342" t="s">
        <v>187</v>
      </c>
      <c r="C128" s="343">
        <v>13312</v>
      </c>
      <c r="D128" s="344" t="s">
        <v>241</v>
      </c>
      <c r="E128" s="345" t="s">
        <v>240</v>
      </c>
      <c r="F128" s="344" t="s">
        <v>241</v>
      </c>
      <c r="G128" s="589">
        <v>46214</v>
      </c>
      <c r="H128" s="346"/>
      <c r="I128" s="346" t="s">
        <v>183</v>
      </c>
      <c r="J128" s="295">
        <v>0.78055555555555556</v>
      </c>
      <c r="K128" s="295">
        <v>0.1673611111111111</v>
      </c>
      <c r="L128" s="347" t="s">
        <v>168</v>
      </c>
      <c r="M128" s="348">
        <v>8</v>
      </c>
      <c r="N128" s="348"/>
      <c r="O128" s="348">
        <v>6</v>
      </c>
      <c r="P128" s="348"/>
      <c r="Q128" s="349"/>
      <c r="R128" s="348"/>
      <c r="S128" s="348"/>
      <c r="T128" s="349"/>
      <c r="U128" s="348"/>
      <c r="V128" s="349"/>
      <c r="W128" s="350"/>
      <c r="X128" s="351"/>
      <c r="Y128" s="352"/>
      <c r="Z128" s="353"/>
      <c r="AA128" s="354"/>
      <c r="AB128" s="339"/>
    </row>
    <row r="129" spans="1:28" s="340" customFormat="1">
      <c r="A129" s="355"/>
      <c r="B129" s="342" t="s">
        <v>187</v>
      </c>
      <c r="C129" s="343">
        <v>13312</v>
      </c>
      <c r="D129" s="344" t="s">
        <v>241</v>
      </c>
      <c r="E129" s="345" t="s">
        <v>240</v>
      </c>
      <c r="F129" s="344" t="s">
        <v>241</v>
      </c>
      <c r="G129" s="590">
        <v>46215</v>
      </c>
      <c r="H129" s="346"/>
      <c r="I129" s="346"/>
      <c r="J129" s="699" t="s">
        <v>173</v>
      </c>
      <c r="K129" s="700"/>
      <c r="L129" s="347"/>
      <c r="M129" s="348"/>
      <c r="N129" s="348"/>
      <c r="O129" s="348"/>
      <c r="P129" s="348"/>
      <c r="Q129" s="349"/>
      <c r="R129" s="348"/>
      <c r="S129" s="348"/>
      <c r="T129" s="349"/>
      <c r="U129" s="348"/>
      <c r="V129" s="349"/>
      <c r="W129" s="350"/>
      <c r="X129" s="351"/>
      <c r="Y129" s="352"/>
      <c r="Z129" s="353"/>
      <c r="AA129" s="354"/>
      <c r="AB129" s="339"/>
    </row>
    <row r="130" spans="1:28" s="340" customFormat="1">
      <c r="A130" s="355"/>
      <c r="B130" s="342" t="s">
        <v>187</v>
      </c>
      <c r="C130" s="342">
        <v>13312</v>
      </c>
      <c r="D130" s="344" t="s">
        <v>241</v>
      </c>
      <c r="E130" s="345" t="s">
        <v>240</v>
      </c>
      <c r="F130" s="344" t="s">
        <v>241</v>
      </c>
      <c r="G130" s="589">
        <v>46216</v>
      </c>
      <c r="H130" s="346"/>
      <c r="I130" s="346" t="s">
        <v>186</v>
      </c>
      <c r="J130" s="305">
        <v>0.31944444444444442</v>
      </c>
      <c r="K130" s="305">
        <v>0.70902777777777781</v>
      </c>
      <c r="L130" s="347" t="s">
        <v>169</v>
      </c>
      <c r="M130" s="348">
        <v>8</v>
      </c>
      <c r="N130" s="348"/>
      <c r="O130" s="348"/>
      <c r="P130" s="348"/>
      <c r="Q130" s="349"/>
      <c r="R130" s="348"/>
      <c r="S130" s="348"/>
      <c r="T130" s="349"/>
      <c r="U130" s="348"/>
      <c r="V130" s="349"/>
      <c r="W130" s="350"/>
      <c r="X130" s="351"/>
      <c r="Y130" s="352"/>
      <c r="Z130" s="353"/>
      <c r="AA130" s="354"/>
      <c r="AB130" s="339"/>
    </row>
    <row r="131" spans="1:28" s="340" customFormat="1">
      <c r="A131" s="355"/>
      <c r="B131" s="342" t="s">
        <v>187</v>
      </c>
      <c r="C131" s="342">
        <v>13312</v>
      </c>
      <c r="D131" s="344" t="s">
        <v>241</v>
      </c>
      <c r="E131" s="379" t="s">
        <v>240</v>
      </c>
      <c r="F131" s="344" t="s">
        <v>241</v>
      </c>
      <c r="G131" s="589">
        <v>46217</v>
      </c>
      <c r="H131" s="346"/>
      <c r="I131" s="346" t="s">
        <v>186</v>
      </c>
      <c r="J131" s="305">
        <v>0.30763888888888891</v>
      </c>
      <c r="K131" s="305">
        <v>0.70833333333333337</v>
      </c>
      <c r="L131" s="347" t="s">
        <v>169</v>
      </c>
      <c r="M131" s="348">
        <v>8</v>
      </c>
      <c r="N131" s="348"/>
      <c r="O131" s="348"/>
      <c r="P131" s="348"/>
      <c r="Q131" s="356"/>
      <c r="R131" s="357"/>
      <c r="S131" s="357"/>
      <c r="T131" s="356"/>
      <c r="U131" s="357"/>
      <c r="V131" s="356"/>
      <c r="W131" s="358"/>
      <c r="X131" s="359"/>
      <c r="Y131" s="360"/>
      <c r="Z131" s="361"/>
      <c r="AA131" s="362"/>
      <c r="AB131" s="339"/>
    </row>
    <row r="132" spans="1:28" s="340" customFormat="1">
      <c r="A132" s="355"/>
      <c r="B132" s="342" t="s">
        <v>187</v>
      </c>
      <c r="C132" s="342">
        <v>13312</v>
      </c>
      <c r="D132" s="344" t="s">
        <v>241</v>
      </c>
      <c r="E132" s="379" t="s">
        <v>240</v>
      </c>
      <c r="F132" s="344" t="s">
        <v>241</v>
      </c>
      <c r="G132" s="589">
        <v>46218</v>
      </c>
      <c r="H132" s="346"/>
      <c r="I132" s="346" t="s">
        <v>186</v>
      </c>
      <c r="J132" s="305">
        <v>0.31666666666666665</v>
      </c>
      <c r="K132" s="305">
        <v>0.70833333333333337</v>
      </c>
      <c r="L132" s="347" t="s">
        <v>169</v>
      </c>
      <c r="M132" s="348">
        <v>8</v>
      </c>
      <c r="N132" s="348"/>
      <c r="O132" s="348"/>
      <c r="P132" s="348"/>
      <c r="Q132" s="349"/>
      <c r="R132" s="348"/>
      <c r="S132" s="348"/>
      <c r="T132" s="349"/>
      <c r="U132" s="348"/>
      <c r="V132" s="349"/>
      <c r="W132" s="350"/>
      <c r="X132" s="351"/>
      <c r="Y132" s="352"/>
      <c r="Z132" s="353"/>
      <c r="AA132" s="354"/>
      <c r="AB132" s="339"/>
    </row>
    <row r="133" spans="1:28" s="340" customFormat="1">
      <c r="A133" s="355"/>
      <c r="B133" s="342" t="s">
        <v>187</v>
      </c>
      <c r="C133" s="342">
        <v>13312</v>
      </c>
      <c r="D133" s="344" t="s">
        <v>241</v>
      </c>
      <c r="E133" s="379" t="s">
        <v>240</v>
      </c>
      <c r="F133" s="344" t="s">
        <v>241</v>
      </c>
      <c r="G133" s="589">
        <v>46219</v>
      </c>
      <c r="H133" s="346"/>
      <c r="I133" s="346" t="s">
        <v>186</v>
      </c>
      <c r="J133" s="305">
        <v>0.32361111111111113</v>
      </c>
      <c r="K133" s="305">
        <v>0.70833333333333337</v>
      </c>
      <c r="L133" s="347" t="s">
        <v>169</v>
      </c>
      <c r="M133" s="348">
        <v>8</v>
      </c>
      <c r="N133" s="348"/>
      <c r="O133" s="348"/>
      <c r="P133" s="348"/>
      <c r="Q133" s="349"/>
      <c r="R133" s="348"/>
      <c r="S133" s="348"/>
      <c r="T133" s="349"/>
      <c r="U133" s="348"/>
      <c r="V133" s="349"/>
      <c r="W133" s="350"/>
      <c r="X133" s="351"/>
      <c r="Y133" s="352"/>
      <c r="Z133" s="353"/>
      <c r="AA133" s="354"/>
      <c r="AB133" s="339"/>
    </row>
    <row r="134" spans="1:28" s="340" customFormat="1">
      <c r="A134" s="355"/>
      <c r="B134" s="342" t="s">
        <v>187</v>
      </c>
      <c r="C134" s="342">
        <v>13312</v>
      </c>
      <c r="D134" s="344" t="s">
        <v>241</v>
      </c>
      <c r="E134" s="380" t="s">
        <v>240</v>
      </c>
      <c r="F134" s="344" t="s">
        <v>241</v>
      </c>
      <c r="G134" s="589">
        <v>46220</v>
      </c>
      <c r="H134" s="346"/>
      <c r="I134" s="346" t="s">
        <v>186</v>
      </c>
      <c r="J134" s="305">
        <v>0.31597222222222221</v>
      </c>
      <c r="K134" s="305">
        <v>0.70833333333333337</v>
      </c>
      <c r="L134" s="347" t="s">
        <v>169</v>
      </c>
      <c r="M134" s="348">
        <v>8</v>
      </c>
      <c r="N134" s="348"/>
      <c r="O134" s="348"/>
      <c r="P134" s="348"/>
      <c r="Q134" s="349"/>
      <c r="R134" s="348"/>
      <c r="S134" s="348"/>
      <c r="T134" s="349"/>
      <c r="U134" s="348"/>
      <c r="V134" s="349"/>
      <c r="W134" s="350"/>
      <c r="X134" s="351"/>
      <c r="Y134" s="352"/>
      <c r="Z134" s="353"/>
      <c r="AA134" s="354"/>
      <c r="AB134" s="339"/>
    </row>
    <row r="135" spans="1:28" s="340" customFormat="1">
      <c r="A135" s="355"/>
      <c r="B135" s="342" t="s">
        <v>187</v>
      </c>
      <c r="C135" s="342">
        <v>13312</v>
      </c>
      <c r="D135" s="344" t="s">
        <v>241</v>
      </c>
      <c r="E135" s="380" t="s">
        <v>240</v>
      </c>
      <c r="F135" s="344" t="s">
        <v>241</v>
      </c>
      <c r="G135" s="589">
        <v>46221</v>
      </c>
      <c r="H135" s="346"/>
      <c r="I135" s="346" t="s">
        <v>186</v>
      </c>
      <c r="J135" s="305"/>
      <c r="K135" s="305"/>
      <c r="L135" s="347"/>
      <c r="M135" s="348"/>
      <c r="N135" s="348"/>
      <c r="O135" s="348"/>
      <c r="P135" s="348"/>
      <c r="Q135" s="349"/>
      <c r="R135" s="348"/>
      <c r="S135" s="348"/>
      <c r="T135" s="349"/>
      <c r="U135" s="348"/>
      <c r="V135" s="349"/>
      <c r="W135" s="350"/>
      <c r="X135" s="351"/>
      <c r="Y135" s="352"/>
      <c r="Z135" s="353"/>
      <c r="AA135" s="354"/>
      <c r="AB135" s="339"/>
    </row>
    <row r="136" spans="1:28" s="340" customFormat="1">
      <c r="A136" s="355"/>
      <c r="B136" s="342" t="s">
        <v>187</v>
      </c>
      <c r="C136" s="342">
        <v>13312</v>
      </c>
      <c r="D136" s="344" t="s">
        <v>241</v>
      </c>
      <c r="E136" s="380" t="s">
        <v>240</v>
      </c>
      <c r="F136" s="344" t="s">
        <v>241</v>
      </c>
      <c r="G136" s="590">
        <v>46222</v>
      </c>
      <c r="H136" s="346"/>
      <c r="I136" s="346"/>
      <c r="J136" s="699" t="s">
        <v>173</v>
      </c>
      <c r="K136" s="700"/>
      <c r="L136" s="347"/>
      <c r="M136" s="348"/>
      <c r="N136" s="348"/>
      <c r="O136" s="348"/>
      <c r="P136" s="348"/>
      <c r="Q136" s="349"/>
      <c r="R136" s="348"/>
      <c r="S136" s="348"/>
      <c r="T136" s="349"/>
      <c r="U136" s="348"/>
      <c r="V136" s="349"/>
      <c r="W136" s="350"/>
      <c r="X136" s="351"/>
      <c r="Y136" s="352"/>
      <c r="Z136" s="353"/>
      <c r="AA136" s="354"/>
      <c r="AB136" s="339"/>
    </row>
    <row r="137" spans="1:28" s="340" customFormat="1">
      <c r="A137" s="355"/>
      <c r="B137" s="342" t="s">
        <v>187</v>
      </c>
      <c r="C137" s="342">
        <v>13312</v>
      </c>
      <c r="D137" s="344" t="s">
        <v>241</v>
      </c>
      <c r="E137" s="380" t="s">
        <v>240</v>
      </c>
      <c r="F137" s="344" t="s">
        <v>241</v>
      </c>
      <c r="G137" s="589">
        <v>46223</v>
      </c>
      <c r="H137" s="346"/>
      <c r="I137" s="346" t="s">
        <v>186</v>
      </c>
      <c r="J137" s="295">
        <v>0.30694444444444446</v>
      </c>
      <c r="K137" s="378">
        <v>0.70902777777777781</v>
      </c>
      <c r="L137" s="347" t="s">
        <v>169</v>
      </c>
      <c r="M137" s="348">
        <v>8</v>
      </c>
      <c r="N137" s="357"/>
      <c r="O137" s="357"/>
      <c r="P137" s="357"/>
      <c r="Q137" s="356"/>
      <c r="R137" s="357"/>
      <c r="S137" s="357"/>
      <c r="T137" s="356"/>
      <c r="U137" s="357"/>
      <c r="V137" s="356"/>
      <c r="W137" s="350"/>
      <c r="X137" s="351"/>
      <c r="Y137" s="352"/>
      <c r="Z137" s="353"/>
      <c r="AA137" s="354"/>
      <c r="AB137" s="339"/>
    </row>
    <row r="138" spans="1:28" s="340" customFormat="1">
      <c r="A138" s="355"/>
      <c r="B138" s="342" t="s">
        <v>187</v>
      </c>
      <c r="C138" s="342">
        <v>13312</v>
      </c>
      <c r="D138" s="344" t="s">
        <v>241</v>
      </c>
      <c r="E138" s="380" t="s">
        <v>240</v>
      </c>
      <c r="F138" s="344" t="s">
        <v>241</v>
      </c>
      <c r="G138" s="589">
        <v>46224</v>
      </c>
      <c r="H138" s="346"/>
      <c r="I138" s="346" t="s">
        <v>186</v>
      </c>
      <c r="J138" s="295">
        <v>0.32222222222222224</v>
      </c>
      <c r="K138" s="378">
        <v>0.70833333333333337</v>
      </c>
      <c r="L138" s="347" t="s">
        <v>169</v>
      </c>
      <c r="M138" s="348">
        <v>8</v>
      </c>
      <c r="N138" s="363"/>
      <c r="O138" s="363"/>
      <c r="P138" s="363"/>
      <c r="Q138" s="364"/>
      <c r="R138" s="365"/>
      <c r="S138" s="365"/>
      <c r="T138" s="356"/>
      <c r="U138" s="357"/>
      <c r="V138" s="356"/>
      <c r="W138" s="358"/>
      <c r="X138" s="359"/>
      <c r="Y138" s="360"/>
      <c r="Z138" s="361"/>
      <c r="AA138" s="362"/>
      <c r="AB138" s="339"/>
    </row>
    <row r="139" spans="1:28" s="340" customFormat="1">
      <c r="A139" s="355"/>
      <c r="B139" s="342" t="s">
        <v>187</v>
      </c>
      <c r="C139" s="342">
        <v>13312</v>
      </c>
      <c r="D139" s="344" t="s">
        <v>241</v>
      </c>
      <c r="E139" s="380" t="s">
        <v>240</v>
      </c>
      <c r="F139" s="344" t="s">
        <v>241</v>
      </c>
      <c r="G139" s="589">
        <v>46225</v>
      </c>
      <c r="H139" s="346"/>
      <c r="I139" s="346" t="s">
        <v>186</v>
      </c>
      <c r="J139" s="295">
        <v>0.31597222222222221</v>
      </c>
      <c r="K139" s="378">
        <v>0.79374999999999996</v>
      </c>
      <c r="L139" s="347" t="s">
        <v>169</v>
      </c>
      <c r="M139" s="348">
        <v>8</v>
      </c>
      <c r="N139" s="366">
        <v>2</v>
      </c>
      <c r="O139" s="348"/>
      <c r="P139" s="348"/>
      <c r="Q139" s="349"/>
      <c r="R139" s="348"/>
      <c r="S139" s="348"/>
      <c r="T139" s="349"/>
      <c r="U139" s="348"/>
      <c r="V139" s="349"/>
      <c r="W139" s="350"/>
      <c r="X139" s="351"/>
      <c r="Y139" s="352"/>
      <c r="Z139" s="353"/>
      <c r="AA139" s="362"/>
      <c r="AB139" s="339"/>
    </row>
    <row r="140" spans="1:28" s="340" customFormat="1">
      <c r="A140" s="355"/>
      <c r="B140" s="342" t="s">
        <v>187</v>
      </c>
      <c r="C140" s="342">
        <v>13312</v>
      </c>
      <c r="D140" s="344" t="s">
        <v>241</v>
      </c>
      <c r="E140" s="380" t="s">
        <v>240</v>
      </c>
      <c r="F140" s="344" t="s">
        <v>241</v>
      </c>
      <c r="G140" s="589">
        <v>46226</v>
      </c>
      <c r="H140" s="346"/>
      <c r="I140" s="346" t="s">
        <v>186</v>
      </c>
      <c r="J140" s="295">
        <v>0.30972222222222223</v>
      </c>
      <c r="K140" s="378">
        <v>0.79236111111111107</v>
      </c>
      <c r="L140" s="347" t="s">
        <v>169</v>
      </c>
      <c r="M140" s="348">
        <v>8</v>
      </c>
      <c r="N140" s="366">
        <v>2</v>
      </c>
      <c r="O140" s="367"/>
      <c r="P140" s="367"/>
      <c r="Q140" s="349"/>
      <c r="R140" s="348"/>
      <c r="S140" s="348"/>
      <c r="T140" s="349"/>
      <c r="U140" s="348"/>
      <c r="V140" s="349"/>
      <c r="W140" s="350"/>
      <c r="X140" s="351"/>
      <c r="Y140" s="352"/>
      <c r="Z140" s="353"/>
      <c r="AA140" s="354"/>
      <c r="AB140" s="339"/>
    </row>
    <row r="141" spans="1:28" s="340" customFormat="1">
      <c r="A141" s="355"/>
      <c r="B141" s="342" t="s">
        <v>187</v>
      </c>
      <c r="C141" s="342">
        <v>13312</v>
      </c>
      <c r="D141" s="344" t="s">
        <v>241</v>
      </c>
      <c r="E141" s="380" t="s">
        <v>240</v>
      </c>
      <c r="F141" s="344" t="s">
        <v>241</v>
      </c>
      <c r="G141" s="589">
        <v>46227</v>
      </c>
      <c r="H141" s="346"/>
      <c r="I141" s="346" t="s">
        <v>186</v>
      </c>
      <c r="J141" s="295">
        <v>0.32777777777777778</v>
      </c>
      <c r="K141" s="381">
        <v>0.79236111111111107</v>
      </c>
      <c r="L141" s="347" t="s">
        <v>169</v>
      </c>
      <c r="M141" s="348">
        <v>8</v>
      </c>
      <c r="N141" s="366">
        <v>2</v>
      </c>
      <c r="O141" s="366"/>
      <c r="P141" s="366"/>
      <c r="Q141" s="368"/>
      <c r="R141" s="366"/>
      <c r="S141" s="366"/>
      <c r="T141" s="349"/>
      <c r="U141" s="348"/>
      <c r="V141" s="349"/>
      <c r="W141" s="350"/>
      <c r="X141" s="351"/>
      <c r="Y141" s="352"/>
      <c r="Z141" s="353"/>
      <c r="AA141" s="354"/>
      <c r="AB141" s="339"/>
    </row>
    <row r="142" spans="1:28" s="340" customFormat="1">
      <c r="A142" s="355"/>
      <c r="B142" s="342" t="s">
        <v>187</v>
      </c>
      <c r="C142" s="342">
        <v>13312</v>
      </c>
      <c r="D142" s="344" t="s">
        <v>241</v>
      </c>
      <c r="E142" s="380" t="s">
        <v>240</v>
      </c>
      <c r="F142" s="344" t="s">
        <v>241</v>
      </c>
      <c r="G142" s="589">
        <v>46228</v>
      </c>
      <c r="H142" s="346"/>
      <c r="I142" s="346" t="s">
        <v>186</v>
      </c>
      <c r="J142" s="295"/>
      <c r="K142" s="295"/>
      <c r="L142" s="347"/>
      <c r="M142" s="348"/>
      <c r="N142" s="348"/>
      <c r="O142" s="348"/>
      <c r="P142" s="348"/>
      <c r="Q142" s="349"/>
      <c r="R142" s="348"/>
      <c r="S142" s="320"/>
      <c r="T142" s="349"/>
      <c r="U142" s="348"/>
      <c r="V142" s="349"/>
      <c r="W142" s="350"/>
      <c r="X142" s="351"/>
      <c r="Y142" s="352"/>
      <c r="Z142" s="353"/>
      <c r="AA142" s="354"/>
      <c r="AB142" s="339"/>
    </row>
    <row r="143" spans="1:28" s="340" customFormat="1">
      <c r="A143" s="355"/>
      <c r="B143" s="342"/>
      <c r="C143" s="342"/>
      <c r="D143" s="344"/>
      <c r="E143" s="380"/>
      <c r="F143" s="344"/>
      <c r="G143" s="594"/>
      <c r="H143" s="346"/>
      <c r="I143" s="346"/>
      <c r="J143" s="369"/>
      <c r="K143" s="370"/>
      <c r="L143" s="371"/>
      <c r="M143" s="363"/>
      <c r="N143" s="363"/>
      <c r="O143" s="363"/>
      <c r="P143" s="363"/>
      <c r="Q143" s="372"/>
      <c r="R143" s="363"/>
      <c r="S143" s="324"/>
      <c r="T143" s="349"/>
      <c r="U143" s="348"/>
      <c r="V143" s="349"/>
      <c r="W143" s="350"/>
      <c r="X143" s="351"/>
      <c r="Y143" s="352"/>
      <c r="Z143" s="353"/>
      <c r="AA143" s="354"/>
      <c r="AB143" s="339"/>
    </row>
    <row r="144" spans="1:28" s="340" customFormat="1">
      <c r="A144" s="373"/>
      <c r="B144" s="325"/>
      <c r="C144" s="342"/>
      <c r="D144" s="325"/>
      <c r="E144" s="345"/>
      <c r="F144" s="325"/>
      <c r="G144" s="595"/>
      <c r="H144" s="374"/>
      <c r="I144" s="377"/>
      <c r="J144" s="375"/>
      <c r="K144" s="376"/>
      <c r="L144" s="377"/>
      <c r="M144" s="377">
        <f t="shared" ref="M144:AA144" si="7">SUM(M127:M143)</f>
        <v>88</v>
      </c>
      <c r="N144" s="377">
        <f t="shared" si="7"/>
        <v>6</v>
      </c>
      <c r="O144" s="377">
        <f t="shared" si="7"/>
        <v>6</v>
      </c>
      <c r="P144" s="377">
        <f t="shared" si="7"/>
        <v>0</v>
      </c>
      <c r="Q144" s="377">
        <f t="shared" si="7"/>
        <v>0</v>
      </c>
      <c r="R144" s="377">
        <f t="shared" si="7"/>
        <v>0</v>
      </c>
      <c r="S144" s="377">
        <f t="shared" si="7"/>
        <v>0</v>
      </c>
      <c r="T144" s="377">
        <f t="shared" si="7"/>
        <v>0</v>
      </c>
      <c r="U144" s="377">
        <f t="shared" si="7"/>
        <v>0</v>
      </c>
      <c r="V144" s="377">
        <f t="shared" si="7"/>
        <v>0</v>
      </c>
      <c r="W144" s="377">
        <f t="shared" si="7"/>
        <v>0</v>
      </c>
      <c r="X144" s="377">
        <f t="shared" si="7"/>
        <v>0</v>
      </c>
      <c r="Y144" s="377">
        <f t="shared" si="7"/>
        <v>0</v>
      </c>
      <c r="Z144" s="377">
        <f t="shared" si="7"/>
        <v>0</v>
      </c>
      <c r="AA144" s="377">
        <f t="shared" si="7"/>
        <v>0</v>
      </c>
      <c r="AB144" s="339"/>
    </row>
    <row r="145" spans="1:28" s="340" customFormat="1">
      <c r="A145" s="280" t="s">
        <v>170</v>
      </c>
      <c r="B145" s="280" t="s">
        <v>120</v>
      </c>
      <c r="C145" s="280" t="s">
        <v>152</v>
      </c>
      <c r="D145" s="280" t="s">
        <v>182</v>
      </c>
      <c r="E145" s="281" t="s">
        <v>153</v>
      </c>
      <c r="F145" s="280" t="s">
        <v>182</v>
      </c>
      <c r="G145" s="593" t="s">
        <v>401</v>
      </c>
      <c r="H145" s="333"/>
      <c r="I145" s="334" t="s">
        <v>181</v>
      </c>
      <c r="J145" s="335" t="s">
        <v>154</v>
      </c>
      <c r="K145" s="335" t="s">
        <v>155</v>
      </c>
      <c r="L145" s="336" t="s">
        <v>156</v>
      </c>
      <c r="M145" s="337" t="s">
        <v>157</v>
      </c>
      <c r="N145" s="336" t="s">
        <v>158</v>
      </c>
      <c r="O145" s="336" t="s">
        <v>159</v>
      </c>
      <c r="P145" s="336" t="s">
        <v>174</v>
      </c>
      <c r="Q145" s="336" t="s">
        <v>160</v>
      </c>
      <c r="R145" s="336" t="s">
        <v>161</v>
      </c>
      <c r="S145" s="336" t="s">
        <v>162</v>
      </c>
      <c r="T145" s="334" t="s">
        <v>163</v>
      </c>
      <c r="U145" s="334" t="s">
        <v>164</v>
      </c>
      <c r="V145" s="334" t="s">
        <v>165</v>
      </c>
      <c r="W145" s="336" t="s">
        <v>113</v>
      </c>
      <c r="X145" s="334" t="s">
        <v>121</v>
      </c>
      <c r="Y145" s="334" t="s">
        <v>166</v>
      </c>
      <c r="Z145" s="338" t="s">
        <v>175</v>
      </c>
      <c r="AA145" s="338" t="s">
        <v>167</v>
      </c>
      <c r="AB145" s="339"/>
    </row>
    <row r="146" spans="1:28" s="340" customFormat="1">
      <c r="A146" s="341"/>
      <c r="B146" s="342" t="s">
        <v>187</v>
      </c>
      <c r="C146" s="343">
        <v>14555</v>
      </c>
      <c r="D146" s="344" t="s">
        <v>239</v>
      </c>
      <c r="E146" s="345" t="s">
        <v>238</v>
      </c>
      <c r="F146" s="344" t="s">
        <v>239</v>
      </c>
      <c r="G146" s="589">
        <v>46214</v>
      </c>
      <c r="H146" s="346"/>
      <c r="I146" s="346" t="s">
        <v>186</v>
      </c>
      <c r="J146" s="295">
        <v>0.31458333333333333</v>
      </c>
      <c r="K146" s="295">
        <v>0.71111111111111114</v>
      </c>
      <c r="L146" s="347" t="s">
        <v>169</v>
      </c>
      <c r="M146" s="348">
        <v>8</v>
      </c>
      <c r="N146" s="348"/>
      <c r="O146" s="348"/>
      <c r="P146" s="348"/>
      <c r="Q146" s="349"/>
      <c r="R146" s="348"/>
      <c r="S146" s="348"/>
      <c r="T146" s="349"/>
      <c r="U146" s="348"/>
      <c r="V146" s="349"/>
      <c r="W146" s="350"/>
      <c r="X146" s="351"/>
      <c r="Y146" s="352"/>
      <c r="Z146" s="353"/>
      <c r="AA146" s="354"/>
      <c r="AB146" s="339"/>
    </row>
    <row r="147" spans="1:28" s="340" customFormat="1">
      <c r="A147" s="355"/>
      <c r="B147" s="342" t="s">
        <v>187</v>
      </c>
      <c r="C147" s="343">
        <v>14555</v>
      </c>
      <c r="D147" s="344" t="s">
        <v>239</v>
      </c>
      <c r="E147" s="345" t="s">
        <v>238</v>
      </c>
      <c r="F147" s="344" t="s">
        <v>239</v>
      </c>
      <c r="G147" s="590">
        <v>46215</v>
      </c>
      <c r="H147" s="346"/>
      <c r="I147" s="346"/>
      <c r="J147" s="699" t="s">
        <v>173</v>
      </c>
      <c r="K147" s="700"/>
      <c r="L147" s="347"/>
      <c r="M147" s="348"/>
      <c r="N147" s="348"/>
      <c r="O147" s="348"/>
      <c r="P147" s="348"/>
      <c r="Q147" s="349"/>
      <c r="R147" s="348"/>
      <c r="S147" s="348"/>
      <c r="T147" s="349"/>
      <c r="U147" s="348"/>
      <c r="V147" s="349"/>
      <c r="W147" s="350"/>
      <c r="X147" s="351"/>
      <c r="Y147" s="352"/>
      <c r="Z147" s="353"/>
      <c r="AA147" s="354"/>
      <c r="AB147" s="339"/>
    </row>
    <row r="148" spans="1:28" s="340" customFormat="1">
      <c r="A148" s="355"/>
      <c r="B148" s="342" t="s">
        <v>187</v>
      </c>
      <c r="C148" s="342">
        <v>14555</v>
      </c>
      <c r="D148" s="344" t="s">
        <v>239</v>
      </c>
      <c r="E148" s="345" t="s">
        <v>238</v>
      </c>
      <c r="F148" s="344" t="s">
        <v>239</v>
      </c>
      <c r="G148" s="589">
        <v>46216</v>
      </c>
      <c r="H148" s="346"/>
      <c r="I148" s="346" t="s">
        <v>186</v>
      </c>
      <c r="J148" s="305">
        <v>0.31736111111111109</v>
      </c>
      <c r="K148" s="305">
        <v>0.70902777777777781</v>
      </c>
      <c r="L148" s="347" t="s">
        <v>169</v>
      </c>
      <c r="M148" s="348">
        <v>8</v>
      </c>
      <c r="N148" s="348"/>
      <c r="O148" s="348"/>
      <c r="P148" s="348"/>
      <c r="Q148" s="349"/>
      <c r="R148" s="348"/>
      <c r="S148" s="348"/>
      <c r="T148" s="349"/>
      <c r="U148" s="348"/>
      <c r="V148" s="349"/>
      <c r="W148" s="350"/>
      <c r="X148" s="351"/>
      <c r="Y148" s="352"/>
      <c r="Z148" s="353"/>
      <c r="AA148" s="354"/>
      <c r="AB148" s="339"/>
    </row>
    <row r="149" spans="1:28" s="340" customFormat="1">
      <c r="A149" s="355"/>
      <c r="B149" s="342" t="s">
        <v>187</v>
      </c>
      <c r="C149" s="342">
        <v>14555</v>
      </c>
      <c r="D149" s="344" t="s">
        <v>239</v>
      </c>
      <c r="E149" s="345" t="s">
        <v>238</v>
      </c>
      <c r="F149" s="344" t="s">
        <v>239</v>
      </c>
      <c r="G149" s="589">
        <v>46217</v>
      </c>
      <c r="H149" s="346"/>
      <c r="I149" s="346" t="s">
        <v>186</v>
      </c>
      <c r="J149" s="305">
        <v>0.31736111111111109</v>
      </c>
      <c r="K149" s="305">
        <v>0.7090277777777777</v>
      </c>
      <c r="L149" s="347" t="s">
        <v>169</v>
      </c>
      <c r="M149" s="348">
        <v>8</v>
      </c>
      <c r="N149" s="348"/>
      <c r="O149" s="357"/>
      <c r="P149" s="357"/>
      <c r="Q149" s="356"/>
      <c r="R149" s="357"/>
      <c r="S149" s="357"/>
      <c r="T149" s="356"/>
      <c r="U149" s="357"/>
      <c r="V149" s="356"/>
      <c r="W149" s="358"/>
      <c r="X149" s="359"/>
      <c r="Y149" s="360"/>
      <c r="Z149" s="361"/>
      <c r="AA149" s="362"/>
      <c r="AB149" s="339"/>
    </row>
    <row r="150" spans="1:28" s="340" customFormat="1">
      <c r="A150" s="355"/>
      <c r="B150" s="342" t="s">
        <v>187</v>
      </c>
      <c r="C150" s="342">
        <v>14555</v>
      </c>
      <c r="D150" s="344" t="s">
        <v>239</v>
      </c>
      <c r="E150" s="345" t="s">
        <v>238</v>
      </c>
      <c r="F150" s="344" t="s">
        <v>239</v>
      </c>
      <c r="G150" s="589">
        <v>46218</v>
      </c>
      <c r="H150" s="346"/>
      <c r="I150" s="346" t="s">
        <v>186</v>
      </c>
      <c r="J150" s="305">
        <v>0.31527777777777777</v>
      </c>
      <c r="K150" s="305">
        <v>0.7090277777777777</v>
      </c>
      <c r="L150" s="347" t="s">
        <v>169</v>
      </c>
      <c r="M150" s="348">
        <v>8</v>
      </c>
      <c r="N150" s="348"/>
      <c r="O150" s="348"/>
      <c r="P150" s="348"/>
      <c r="Q150" s="349"/>
      <c r="R150" s="348"/>
      <c r="S150" s="348"/>
      <c r="T150" s="349"/>
      <c r="U150" s="348"/>
      <c r="V150" s="349"/>
      <c r="W150" s="350"/>
      <c r="X150" s="351"/>
      <c r="Y150" s="352"/>
      <c r="Z150" s="353"/>
      <c r="AA150" s="354"/>
      <c r="AB150" s="339"/>
    </row>
    <row r="151" spans="1:28" s="340" customFormat="1">
      <c r="A151" s="355"/>
      <c r="B151" s="342" t="s">
        <v>187</v>
      </c>
      <c r="C151" s="342">
        <v>14555</v>
      </c>
      <c r="D151" s="344" t="s">
        <v>239</v>
      </c>
      <c r="E151" s="345" t="s">
        <v>238</v>
      </c>
      <c r="F151" s="344" t="s">
        <v>239</v>
      </c>
      <c r="G151" s="589">
        <v>46219</v>
      </c>
      <c r="H151" s="346"/>
      <c r="I151" s="346" t="s">
        <v>186</v>
      </c>
      <c r="J151" s="305">
        <v>0.30972222222222223</v>
      </c>
      <c r="K151" s="305">
        <v>0.7090277777777777</v>
      </c>
      <c r="L151" s="347" t="s">
        <v>169</v>
      </c>
      <c r="M151" s="348">
        <v>8</v>
      </c>
      <c r="N151" s="348"/>
      <c r="O151" s="348"/>
      <c r="P151" s="348"/>
      <c r="Q151" s="349"/>
      <c r="R151" s="348"/>
      <c r="S151" s="348"/>
      <c r="T151" s="349"/>
      <c r="U151" s="348"/>
      <c r="V151" s="349"/>
      <c r="W151" s="350"/>
      <c r="X151" s="351"/>
      <c r="Y151" s="352"/>
      <c r="Z151" s="353"/>
      <c r="AA151" s="354"/>
      <c r="AB151" s="339"/>
    </row>
    <row r="152" spans="1:28" s="340" customFormat="1">
      <c r="A152" s="355"/>
      <c r="B152" s="342" t="s">
        <v>187</v>
      </c>
      <c r="C152" s="342">
        <v>14555</v>
      </c>
      <c r="D152" s="344" t="s">
        <v>239</v>
      </c>
      <c r="E152" s="345" t="s">
        <v>238</v>
      </c>
      <c r="F152" s="344" t="s">
        <v>239</v>
      </c>
      <c r="G152" s="589">
        <v>46220</v>
      </c>
      <c r="H152" s="346"/>
      <c r="I152" s="346" t="s">
        <v>186</v>
      </c>
      <c r="J152" s="305">
        <v>0.31805555555555554</v>
      </c>
      <c r="K152" s="305">
        <v>0.70902777777777781</v>
      </c>
      <c r="L152" s="347" t="s">
        <v>169</v>
      </c>
      <c r="M152" s="348">
        <v>8</v>
      </c>
      <c r="N152" s="348"/>
      <c r="O152" s="348"/>
      <c r="P152" s="348"/>
      <c r="Q152" s="349"/>
      <c r="R152" s="348"/>
      <c r="S152" s="348"/>
      <c r="T152" s="349"/>
      <c r="U152" s="348"/>
      <c r="V152" s="349"/>
      <c r="W152" s="350"/>
      <c r="X152" s="351"/>
      <c r="Y152" s="352"/>
      <c r="Z152" s="353"/>
      <c r="AA152" s="354"/>
      <c r="AB152" s="339"/>
    </row>
    <row r="153" spans="1:28" s="340" customFormat="1">
      <c r="A153" s="355"/>
      <c r="B153" s="342" t="s">
        <v>187</v>
      </c>
      <c r="C153" s="342">
        <v>14555</v>
      </c>
      <c r="D153" s="344" t="s">
        <v>239</v>
      </c>
      <c r="E153" s="345" t="s">
        <v>238</v>
      </c>
      <c r="F153" s="344" t="s">
        <v>239</v>
      </c>
      <c r="G153" s="589">
        <v>46221</v>
      </c>
      <c r="H153" s="346"/>
      <c r="I153" s="346"/>
      <c r="J153" s="305"/>
      <c r="K153" s="305"/>
      <c r="L153" s="347"/>
      <c r="M153" s="348"/>
      <c r="N153" s="348"/>
      <c r="O153" s="348"/>
      <c r="P153" s="348"/>
      <c r="Q153" s="349"/>
      <c r="R153" s="348"/>
      <c r="S153" s="348"/>
      <c r="T153" s="349"/>
      <c r="U153" s="348"/>
      <c r="V153" s="349"/>
      <c r="W153" s="350"/>
      <c r="X153" s="351"/>
      <c r="Y153" s="352"/>
      <c r="Z153" s="353"/>
      <c r="AA153" s="354"/>
      <c r="AB153" s="339"/>
    </row>
    <row r="154" spans="1:28" s="340" customFormat="1">
      <c r="A154" s="355"/>
      <c r="B154" s="342" t="s">
        <v>187</v>
      </c>
      <c r="C154" s="342">
        <v>14555</v>
      </c>
      <c r="D154" s="344" t="s">
        <v>239</v>
      </c>
      <c r="E154" s="345" t="s">
        <v>238</v>
      </c>
      <c r="F154" s="344" t="s">
        <v>239</v>
      </c>
      <c r="G154" s="590">
        <v>46222</v>
      </c>
      <c r="H154" s="346"/>
      <c r="I154" s="346"/>
      <c r="J154" s="699" t="s">
        <v>173</v>
      </c>
      <c r="K154" s="700"/>
      <c r="L154" s="347"/>
      <c r="M154" s="348"/>
      <c r="N154" s="348"/>
      <c r="O154" s="348"/>
      <c r="P154" s="348"/>
      <c r="Q154" s="349"/>
      <c r="R154" s="348"/>
      <c r="S154" s="348"/>
      <c r="T154" s="349"/>
      <c r="U154" s="348"/>
      <c r="V154" s="349"/>
      <c r="W154" s="350"/>
      <c r="X154" s="351"/>
      <c r="Y154" s="352"/>
      <c r="Z154" s="353"/>
      <c r="AA154" s="354"/>
      <c r="AB154" s="339"/>
    </row>
    <row r="155" spans="1:28" s="340" customFormat="1">
      <c r="A155" s="355"/>
      <c r="B155" s="342" t="s">
        <v>187</v>
      </c>
      <c r="C155" s="342">
        <v>14555</v>
      </c>
      <c r="D155" s="344" t="s">
        <v>239</v>
      </c>
      <c r="E155" s="345" t="s">
        <v>238</v>
      </c>
      <c r="F155" s="344" t="s">
        <v>239</v>
      </c>
      <c r="G155" s="589">
        <v>46223</v>
      </c>
      <c r="H155" s="346"/>
      <c r="I155" s="346" t="s">
        <v>186</v>
      </c>
      <c r="J155" s="295">
        <v>0.3125</v>
      </c>
      <c r="K155" s="295">
        <v>0.7104166666666667</v>
      </c>
      <c r="L155" s="347" t="s">
        <v>169</v>
      </c>
      <c r="M155" s="348">
        <v>8</v>
      </c>
      <c r="N155" s="357"/>
      <c r="O155" s="357"/>
      <c r="P155" s="357"/>
      <c r="Q155" s="356"/>
      <c r="R155" s="357"/>
      <c r="S155" s="357"/>
      <c r="T155" s="356"/>
      <c r="U155" s="357"/>
      <c r="V155" s="356"/>
      <c r="W155" s="350"/>
      <c r="X155" s="351"/>
      <c r="Y155" s="352"/>
      <c r="Z155" s="353"/>
      <c r="AA155" s="354"/>
      <c r="AB155" s="339"/>
    </row>
    <row r="156" spans="1:28" s="340" customFormat="1">
      <c r="A156" s="355"/>
      <c r="B156" s="342" t="s">
        <v>187</v>
      </c>
      <c r="C156" s="342">
        <v>14555</v>
      </c>
      <c r="D156" s="344" t="s">
        <v>239</v>
      </c>
      <c r="E156" s="345" t="s">
        <v>238</v>
      </c>
      <c r="F156" s="344" t="s">
        <v>239</v>
      </c>
      <c r="G156" s="589">
        <v>46224</v>
      </c>
      <c r="H156" s="346"/>
      <c r="I156" s="346" t="s">
        <v>186</v>
      </c>
      <c r="J156" s="295">
        <v>0.31458333333333333</v>
      </c>
      <c r="K156" s="295">
        <v>0.7104166666666667</v>
      </c>
      <c r="L156" s="347" t="s">
        <v>169</v>
      </c>
      <c r="M156" s="348">
        <v>8</v>
      </c>
      <c r="N156" s="363"/>
      <c r="O156" s="365"/>
      <c r="P156" s="365"/>
      <c r="Q156" s="364"/>
      <c r="R156" s="365"/>
      <c r="S156" s="365"/>
      <c r="T156" s="356"/>
      <c r="U156" s="357"/>
      <c r="V156" s="356"/>
      <c r="W156" s="358"/>
      <c r="X156" s="359"/>
      <c r="Y156" s="360"/>
      <c r="Z156" s="361"/>
      <c r="AA156" s="362"/>
      <c r="AB156" s="339"/>
    </row>
    <row r="157" spans="1:28" s="340" customFormat="1">
      <c r="A157" s="355"/>
      <c r="B157" s="342" t="s">
        <v>187</v>
      </c>
      <c r="C157" s="342">
        <v>14555</v>
      </c>
      <c r="D157" s="344" t="s">
        <v>239</v>
      </c>
      <c r="E157" s="345" t="s">
        <v>238</v>
      </c>
      <c r="F157" s="344" t="s">
        <v>239</v>
      </c>
      <c r="G157" s="589">
        <v>46225</v>
      </c>
      <c r="H157" s="346"/>
      <c r="I157" s="346" t="s">
        <v>186</v>
      </c>
      <c r="J157" s="295">
        <v>0.31736111111111109</v>
      </c>
      <c r="K157" s="295">
        <v>0.70902777777777781</v>
      </c>
      <c r="L157" s="347" t="s">
        <v>169</v>
      </c>
      <c r="M157" s="348">
        <v>8</v>
      </c>
      <c r="N157" s="366"/>
      <c r="O157" s="348"/>
      <c r="P157" s="348"/>
      <c r="Q157" s="349"/>
      <c r="R157" s="348"/>
      <c r="S157" s="348"/>
      <c r="T157" s="349"/>
      <c r="U157" s="348"/>
      <c r="V157" s="349"/>
      <c r="W157" s="350"/>
      <c r="X157" s="351"/>
      <c r="Y157" s="352"/>
      <c r="Z157" s="353"/>
      <c r="AA157" s="354"/>
      <c r="AB157" s="339"/>
    </row>
    <row r="158" spans="1:28" s="340" customFormat="1">
      <c r="A158" s="355"/>
      <c r="B158" s="342" t="s">
        <v>187</v>
      </c>
      <c r="C158" s="342">
        <v>14555</v>
      </c>
      <c r="D158" s="344" t="s">
        <v>239</v>
      </c>
      <c r="E158" s="345" t="s">
        <v>238</v>
      </c>
      <c r="F158" s="344" t="s">
        <v>239</v>
      </c>
      <c r="G158" s="589">
        <v>46226</v>
      </c>
      <c r="H158" s="346"/>
      <c r="I158" s="346" t="s">
        <v>186</v>
      </c>
      <c r="J158" s="295">
        <v>0.31736111111111109</v>
      </c>
      <c r="K158" s="295">
        <v>0.70902777777777781</v>
      </c>
      <c r="L158" s="347" t="s">
        <v>169</v>
      </c>
      <c r="M158" s="348">
        <v>8</v>
      </c>
      <c r="N158" s="366"/>
      <c r="O158" s="367"/>
      <c r="P158" s="367"/>
      <c r="Q158" s="349"/>
      <c r="R158" s="348"/>
      <c r="S158" s="348"/>
      <c r="T158" s="349"/>
      <c r="U158" s="348"/>
      <c r="V158" s="349"/>
      <c r="W158" s="350"/>
      <c r="X158" s="351"/>
      <c r="Y158" s="352"/>
      <c r="Z158" s="353"/>
      <c r="AA158" s="354"/>
      <c r="AB158" s="339"/>
    </row>
    <row r="159" spans="1:28" s="340" customFormat="1">
      <c r="A159" s="355"/>
      <c r="B159" s="342" t="s">
        <v>187</v>
      </c>
      <c r="C159" s="342">
        <v>14555</v>
      </c>
      <c r="D159" s="344" t="s">
        <v>239</v>
      </c>
      <c r="E159" s="345" t="s">
        <v>238</v>
      </c>
      <c r="F159" s="344" t="s">
        <v>239</v>
      </c>
      <c r="G159" s="589">
        <v>46227</v>
      </c>
      <c r="H159" s="346"/>
      <c r="I159" s="346" t="s">
        <v>186</v>
      </c>
      <c r="J159" s="295">
        <v>0.31666666666666665</v>
      </c>
      <c r="K159" s="318">
        <v>0.70833333333333337</v>
      </c>
      <c r="L159" s="347" t="s">
        <v>169</v>
      </c>
      <c r="M159" s="348">
        <v>8</v>
      </c>
      <c r="N159" s="366"/>
      <c r="O159" s="366"/>
      <c r="P159" s="366"/>
      <c r="Q159" s="368"/>
      <c r="R159" s="366"/>
      <c r="S159" s="366"/>
      <c r="T159" s="349"/>
      <c r="U159" s="348"/>
      <c r="V159" s="349"/>
      <c r="W159" s="350"/>
      <c r="X159" s="351"/>
      <c r="Y159" s="352"/>
      <c r="Z159" s="353"/>
      <c r="AA159" s="354"/>
      <c r="AB159" s="339"/>
    </row>
    <row r="160" spans="1:28" s="340" customFormat="1">
      <c r="A160" s="355"/>
      <c r="B160" s="342" t="s">
        <v>187</v>
      </c>
      <c r="C160" s="342">
        <v>14555</v>
      </c>
      <c r="D160" s="344" t="s">
        <v>239</v>
      </c>
      <c r="E160" s="345" t="s">
        <v>238</v>
      </c>
      <c r="F160" s="344" t="s">
        <v>239</v>
      </c>
      <c r="G160" s="589">
        <v>46228</v>
      </c>
      <c r="H160" s="346"/>
      <c r="I160" s="346" t="s">
        <v>186</v>
      </c>
      <c r="J160" s="295"/>
      <c r="K160" s="295"/>
      <c r="L160" s="347"/>
      <c r="M160" s="348"/>
      <c r="N160" s="348"/>
      <c r="O160" s="348"/>
      <c r="P160" s="348"/>
      <c r="Q160" s="349"/>
      <c r="R160" s="348"/>
      <c r="S160" s="320"/>
      <c r="T160" s="349"/>
      <c r="U160" s="348"/>
      <c r="V160" s="349"/>
      <c r="W160" s="350"/>
      <c r="X160" s="351"/>
      <c r="Y160" s="352"/>
      <c r="Z160" s="353"/>
      <c r="AA160" s="354"/>
      <c r="AB160" s="339"/>
    </row>
    <row r="161" spans="1:28" s="340" customFormat="1">
      <c r="A161" s="355"/>
      <c r="B161" s="342"/>
      <c r="C161" s="342"/>
      <c r="D161" s="344"/>
      <c r="E161" s="345"/>
      <c r="F161" s="344"/>
      <c r="G161" s="594"/>
      <c r="H161" s="346"/>
      <c r="I161" s="346"/>
      <c r="J161" s="369"/>
      <c r="K161" s="370"/>
      <c r="L161" s="371"/>
      <c r="M161" s="363"/>
      <c r="N161" s="363"/>
      <c r="O161" s="363"/>
      <c r="P161" s="363"/>
      <c r="Q161" s="372"/>
      <c r="R161" s="363"/>
      <c r="S161" s="324"/>
      <c r="T161" s="349"/>
      <c r="U161" s="348"/>
      <c r="V161" s="349"/>
      <c r="W161" s="350"/>
      <c r="X161" s="351"/>
      <c r="Y161" s="352"/>
      <c r="Z161" s="353"/>
      <c r="AA161" s="354"/>
      <c r="AB161" s="339"/>
    </row>
    <row r="162" spans="1:28" s="340" customFormat="1">
      <c r="A162" s="373"/>
      <c r="B162" s="325"/>
      <c r="C162" s="342"/>
      <c r="D162" s="325"/>
      <c r="E162" s="345"/>
      <c r="F162" s="325"/>
      <c r="G162" s="595"/>
      <c r="H162" s="374"/>
      <c r="I162" s="377"/>
      <c r="J162" s="375"/>
      <c r="K162" s="376"/>
      <c r="L162" s="377"/>
      <c r="M162" s="377">
        <f t="shared" ref="M162:AA162" si="8">SUM(M145:M161)</f>
        <v>88</v>
      </c>
      <c r="N162" s="377">
        <f t="shared" si="8"/>
        <v>0</v>
      </c>
      <c r="O162" s="377">
        <f t="shared" si="8"/>
        <v>0</v>
      </c>
      <c r="P162" s="377">
        <f t="shared" si="8"/>
        <v>0</v>
      </c>
      <c r="Q162" s="377">
        <f t="shared" si="8"/>
        <v>0</v>
      </c>
      <c r="R162" s="377">
        <f t="shared" si="8"/>
        <v>0</v>
      </c>
      <c r="S162" s="377">
        <f t="shared" si="8"/>
        <v>0</v>
      </c>
      <c r="T162" s="377">
        <f t="shared" si="8"/>
        <v>0</v>
      </c>
      <c r="U162" s="377">
        <f t="shared" si="8"/>
        <v>0</v>
      </c>
      <c r="V162" s="377">
        <f t="shared" si="8"/>
        <v>0</v>
      </c>
      <c r="W162" s="377">
        <f t="shared" si="8"/>
        <v>0</v>
      </c>
      <c r="X162" s="377">
        <f t="shared" si="8"/>
        <v>0</v>
      </c>
      <c r="Y162" s="377">
        <f t="shared" si="8"/>
        <v>0</v>
      </c>
      <c r="Z162" s="377">
        <f t="shared" si="8"/>
        <v>0</v>
      </c>
      <c r="AA162" s="377">
        <f t="shared" si="8"/>
        <v>0</v>
      </c>
      <c r="AB162" s="339"/>
    </row>
    <row r="163" spans="1:28" s="340" customFormat="1">
      <c r="A163" s="280" t="s">
        <v>170</v>
      </c>
      <c r="B163" s="280" t="s">
        <v>120</v>
      </c>
      <c r="C163" s="280" t="s">
        <v>152</v>
      </c>
      <c r="D163" s="280" t="s">
        <v>182</v>
      </c>
      <c r="E163" s="281" t="s">
        <v>153</v>
      </c>
      <c r="F163" s="280" t="s">
        <v>182</v>
      </c>
      <c r="G163" s="593" t="s">
        <v>401</v>
      </c>
      <c r="H163" s="333"/>
      <c r="I163" s="334" t="s">
        <v>181</v>
      </c>
      <c r="J163" s="335" t="s">
        <v>154</v>
      </c>
      <c r="K163" s="335" t="s">
        <v>155</v>
      </c>
      <c r="L163" s="336" t="s">
        <v>156</v>
      </c>
      <c r="M163" s="337" t="s">
        <v>157</v>
      </c>
      <c r="N163" s="336" t="s">
        <v>158</v>
      </c>
      <c r="O163" s="336" t="s">
        <v>159</v>
      </c>
      <c r="P163" s="336" t="s">
        <v>174</v>
      </c>
      <c r="Q163" s="336" t="s">
        <v>160</v>
      </c>
      <c r="R163" s="336" t="s">
        <v>161</v>
      </c>
      <c r="S163" s="336" t="s">
        <v>162</v>
      </c>
      <c r="T163" s="334" t="s">
        <v>163</v>
      </c>
      <c r="U163" s="334" t="s">
        <v>164</v>
      </c>
      <c r="V163" s="334" t="s">
        <v>165</v>
      </c>
      <c r="W163" s="336" t="s">
        <v>113</v>
      </c>
      <c r="X163" s="334" t="s">
        <v>121</v>
      </c>
      <c r="Y163" s="334" t="s">
        <v>166</v>
      </c>
      <c r="Z163" s="338" t="s">
        <v>175</v>
      </c>
      <c r="AA163" s="338" t="s">
        <v>167</v>
      </c>
      <c r="AB163" s="339"/>
    </row>
    <row r="164" spans="1:28" s="340" customFormat="1">
      <c r="A164" s="710"/>
      <c r="B164" s="342" t="s">
        <v>187</v>
      </c>
      <c r="C164" s="342">
        <v>12808</v>
      </c>
      <c r="D164" s="344" t="s">
        <v>237</v>
      </c>
      <c r="E164" s="345" t="s">
        <v>236</v>
      </c>
      <c r="F164" s="344" t="s">
        <v>237</v>
      </c>
      <c r="G164" s="589">
        <v>46214</v>
      </c>
      <c r="H164" s="346"/>
      <c r="I164" s="346"/>
      <c r="J164" s="295"/>
      <c r="K164" s="295"/>
      <c r="L164" s="347"/>
      <c r="M164" s="348"/>
      <c r="N164" s="348"/>
      <c r="O164" s="348"/>
      <c r="P164" s="348"/>
      <c r="Q164" s="349"/>
      <c r="R164" s="348"/>
      <c r="S164" s="348"/>
      <c r="T164" s="349"/>
      <c r="U164" s="348"/>
      <c r="V164" s="349"/>
      <c r="W164" s="350"/>
      <c r="X164" s="351"/>
      <c r="Y164" s="352"/>
      <c r="Z164" s="353"/>
      <c r="AA164" s="354"/>
      <c r="AB164" s="339"/>
    </row>
    <row r="165" spans="1:28" s="340" customFormat="1">
      <c r="A165" s="711"/>
      <c r="B165" s="342" t="s">
        <v>187</v>
      </c>
      <c r="C165" s="342">
        <v>12808</v>
      </c>
      <c r="D165" s="344" t="s">
        <v>237</v>
      </c>
      <c r="E165" s="345" t="s">
        <v>236</v>
      </c>
      <c r="F165" s="344" t="s">
        <v>237</v>
      </c>
      <c r="G165" s="590">
        <v>46215</v>
      </c>
      <c r="H165" s="346"/>
      <c r="I165" s="346"/>
      <c r="J165" s="699" t="s">
        <v>173</v>
      </c>
      <c r="K165" s="700"/>
      <c r="L165" s="347"/>
      <c r="M165" s="348"/>
      <c r="N165" s="348"/>
      <c r="O165" s="348"/>
      <c r="P165" s="348"/>
      <c r="Q165" s="349"/>
      <c r="R165" s="348"/>
      <c r="S165" s="348"/>
      <c r="T165" s="349"/>
      <c r="U165" s="348"/>
      <c r="V165" s="349"/>
      <c r="W165" s="350"/>
      <c r="X165" s="351"/>
      <c r="Y165" s="352"/>
      <c r="Z165" s="353"/>
      <c r="AA165" s="354"/>
      <c r="AB165" s="339"/>
    </row>
    <row r="166" spans="1:28" s="340" customFormat="1">
      <c r="A166" s="711"/>
      <c r="B166" s="342" t="s">
        <v>187</v>
      </c>
      <c r="C166" s="342">
        <v>12808</v>
      </c>
      <c r="D166" s="344" t="s">
        <v>237</v>
      </c>
      <c r="E166" s="345" t="s">
        <v>236</v>
      </c>
      <c r="F166" s="344" t="s">
        <v>237</v>
      </c>
      <c r="G166" s="589">
        <v>46216</v>
      </c>
      <c r="H166" s="346"/>
      <c r="I166" s="346"/>
      <c r="J166" s="305"/>
      <c r="K166" s="305"/>
      <c r="L166" s="347"/>
      <c r="M166" s="348"/>
      <c r="N166" s="348"/>
      <c r="O166" s="348"/>
      <c r="P166" s="348"/>
      <c r="Q166" s="349"/>
      <c r="R166" s="348"/>
      <c r="S166" s="348"/>
      <c r="T166" s="349"/>
      <c r="U166" s="348"/>
      <c r="V166" s="349"/>
      <c r="W166" s="350"/>
      <c r="X166" s="351"/>
      <c r="Y166" s="352"/>
      <c r="Z166" s="353"/>
      <c r="AA166" s="354"/>
      <c r="AB166" s="339"/>
    </row>
    <row r="167" spans="1:28" s="340" customFormat="1">
      <c r="A167" s="711"/>
      <c r="B167" s="342" t="s">
        <v>187</v>
      </c>
      <c r="C167" s="342">
        <v>12808</v>
      </c>
      <c r="D167" s="344" t="s">
        <v>237</v>
      </c>
      <c r="E167" s="345" t="s">
        <v>236</v>
      </c>
      <c r="F167" s="344" t="s">
        <v>237</v>
      </c>
      <c r="G167" s="589">
        <v>46217</v>
      </c>
      <c r="H167" s="346"/>
      <c r="I167" s="346" t="s">
        <v>183</v>
      </c>
      <c r="J167" s="305">
        <v>0.77986111111111101</v>
      </c>
      <c r="K167" s="305">
        <v>0.25</v>
      </c>
      <c r="L167" s="347" t="s">
        <v>168</v>
      </c>
      <c r="M167" s="348">
        <v>8</v>
      </c>
      <c r="N167" s="348">
        <v>2</v>
      </c>
      <c r="O167" s="348">
        <v>6</v>
      </c>
      <c r="P167" s="348">
        <v>2</v>
      </c>
      <c r="Q167" s="356"/>
      <c r="R167" s="357"/>
      <c r="S167" s="357"/>
      <c r="T167" s="356"/>
      <c r="U167" s="357"/>
      <c r="V167" s="356"/>
      <c r="W167" s="358"/>
      <c r="X167" s="359"/>
      <c r="Y167" s="360"/>
      <c r="Z167" s="361"/>
      <c r="AA167" s="362"/>
      <c r="AB167" s="339"/>
    </row>
    <row r="168" spans="1:28" s="340" customFormat="1">
      <c r="A168" s="711"/>
      <c r="B168" s="342" t="s">
        <v>187</v>
      </c>
      <c r="C168" s="342">
        <v>12808</v>
      </c>
      <c r="D168" s="344" t="s">
        <v>237</v>
      </c>
      <c r="E168" s="345" t="s">
        <v>236</v>
      </c>
      <c r="F168" s="344" t="s">
        <v>237</v>
      </c>
      <c r="G168" s="589">
        <v>46218</v>
      </c>
      <c r="H168" s="346"/>
      <c r="I168" s="346" t="s">
        <v>183</v>
      </c>
      <c r="J168" s="305">
        <v>0.77500000000000002</v>
      </c>
      <c r="K168" s="305">
        <v>0.25</v>
      </c>
      <c r="L168" s="347" t="s">
        <v>168</v>
      </c>
      <c r="M168" s="348">
        <v>8</v>
      </c>
      <c r="N168" s="348">
        <v>2</v>
      </c>
      <c r="O168" s="348">
        <v>6</v>
      </c>
      <c r="P168" s="348">
        <v>2</v>
      </c>
      <c r="Q168" s="349"/>
      <c r="R168" s="348"/>
      <c r="S168" s="348"/>
      <c r="T168" s="349"/>
      <c r="U168" s="348"/>
      <c r="V168" s="349"/>
      <c r="W168" s="350"/>
      <c r="X168" s="351"/>
      <c r="Y168" s="352"/>
      <c r="Z168" s="353"/>
      <c r="AA168" s="354"/>
      <c r="AB168" s="339"/>
    </row>
    <row r="169" spans="1:28" s="340" customFormat="1">
      <c r="A169" s="711"/>
      <c r="B169" s="342" t="s">
        <v>187</v>
      </c>
      <c r="C169" s="342">
        <v>12808</v>
      </c>
      <c r="D169" s="344" t="s">
        <v>237</v>
      </c>
      <c r="E169" s="345" t="s">
        <v>236</v>
      </c>
      <c r="F169" s="344" t="s">
        <v>237</v>
      </c>
      <c r="G169" s="589">
        <v>46219</v>
      </c>
      <c r="H169" s="346"/>
      <c r="I169" s="346" t="s">
        <v>183</v>
      </c>
      <c r="J169" s="305">
        <v>0.77361111111111114</v>
      </c>
      <c r="K169" s="305">
        <v>0.16666666666666666</v>
      </c>
      <c r="L169" s="347" t="s">
        <v>168</v>
      </c>
      <c r="M169" s="348">
        <v>8</v>
      </c>
      <c r="N169" s="348"/>
      <c r="O169" s="348">
        <v>6</v>
      </c>
      <c r="P169" s="348"/>
      <c r="Q169" s="349"/>
      <c r="R169" s="348"/>
      <c r="S169" s="348"/>
      <c r="T169" s="349"/>
      <c r="U169" s="348"/>
      <c r="V169" s="349"/>
      <c r="W169" s="350"/>
      <c r="X169" s="351"/>
      <c r="Y169" s="352"/>
      <c r="Z169" s="353"/>
      <c r="AA169" s="354"/>
      <c r="AB169" s="339"/>
    </row>
    <row r="170" spans="1:28" s="340" customFormat="1">
      <c r="A170" s="711"/>
      <c r="B170" s="342" t="s">
        <v>187</v>
      </c>
      <c r="C170" s="342">
        <v>12808</v>
      </c>
      <c r="D170" s="344" t="s">
        <v>237</v>
      </c>
      <c r="E170" s="345" t="s">
        <v>236</v>
      </c>
      <c r="F170" s="344" t="s">
        <v>237</v>
      </c>
      <c r="G170" s="589">
        <v>46220</v>
      </c>
      <c r="H170" s="346"/>
      <c r="I170" s="346" t="s">
        <v>183</v>
      </c>
      <c r="J170" s="305">
        <v>0.78125</v>
      </c>
      <c r="K170" s="305">
        <v>0.1673611111111111</v>
      </c>
      <c r="L170" s="347" t="s">
        <v>168</v>
      </c>
      <c r="M170" s="348">
        <v>8</v>
      </c>
      <c r="N170" s="348"/>
      <c r="O170" s="348">
        <v>6</v>
      </c>
      <c r="P170" s="348"/>
      <c r="Q170" s="349"/>
      <c r="R170" s="348"/>
      <c r="S170" s="348"/>
      <c r="T170" s="349"/>
      <c r="U170" s="348"/>
      <c r="V170" s="349"/>
      <c r="W170" s="350"/>
      <c r="X170" s="351"/>
      <c r="Y170" s="352"/>
      <c r="Z170" s="353"/>
      <c r="AA170" s="354"/>
      <c r="AB170" s="339"/>
    </row>
    <row r="171" spans="1:28" s="340" customFormat="1">
      <c r="A171" s="711"/>
      <c r="B171" s="342" t="s">
        <v>187</v>
      </c>
      <c r="C171" s="342">
        <v>12808</v>
      </c>
      <c r="D171" s="344" t="s">
        <v>237</v>
      </c>
      <c r="E171" s="345" t="s">
        <v>236</v>
      </c>
      <c r="F171" s="344" t="s">
        <v>237</v>
      </c>
      <c r="G171" s="589">
        <v>46221</v>
      </c>
      <c r="H171" s="346"/>
      <c r="I171" s="346" t="s">
        <v>183</v>
      </c>
      <c r="J171" s="305">
        <v>0.78194444444444444</v>
      </c>
      <c r="K171" s="305">
        <v>0.1673611111111111</v>
      </c>
      <c r="L171" s="347" t="s">
        <v>168</v>
      </c>
      <c r="M171" s="348">
        <v>8</v>
      </c>
      <c r="N171" s="348"/>
      <c r="O171" s="348">
        <v>6</v>
      </c>
      <c r="P171" s="348"/>
      <c r="Q171" s="349"/>
      <c r="R171" s="348"/>
      <c r="S171" s="348"/>
      <c r="T171" s="349"/>
      <c r="U171" s="348"/>
      <c r="V171" s="349"/>
      <c r="W171" s="350"/>
      <c r="X171" s="351"/>
      <c r="Y171" s="352"/>
      <c r="Z171" s="353"/>
      <c r="AA171" s="354"/>
      <c r="AB171" s="339"/>
    </row>
    <row r="172" spans="1:28" s="340" customFormat="1">
      <c r="A172" s="711"/>
      <c r="B172" s="342" t="s">
        <v>187</v>
      </c>
      <c r="C172" s="342">
        <v>12808</v>
      </c>
      <c r="D172" s="344" t="s">
        <v>237</v>
      </c>
      <c r="E172" s="345" t="s">
        <v>236</v>
      </c>
      <c r="F172" s="344" t="s">
        <v>237</v>
      </c>
      <c r="G172" s="590">
        <v>46222</v>
      </c>
      <c r="H172" s="346"/>
      <c r="I172" s="346"/>
      <c r="J172" s="699" t="s">
        <v>173</v>
      </c>
      <c r="K172" s="700"/>
      <c r="L172" s="347"/>
      <c r="M172" s="348"/>
      <c r="N172" s="348"/>
      <c r="O172" s="348"/>
      <c r="P172" s="348"/>
      <c r="Q172" s="349"/>
      <c r="R172" s="348"/>
      <c r="S172" s="348"/>
      <c r="T172" s="349"/>
      <c r="U172" s="348"/>
      <c r="V172" s="349"/>
      <c r="W172" s="350"/>
      <c r="X172" s="351"/>
      <c r="Y172" s="352"/>
      <c r="Z172" s="353"/>
      <c r="AA172" s="354"/>
      <c r="AB172" s="339"/>
    </row>
    <row r="173" spans="1:28" s="340" customFormat="1">
      <c r="A173" s="711"/>
      <c r="B173" s="342" t="s">
        <v>187</v>
      </c>
      <c r="C173" s="342">
        <v>12808</v>
      </c>
      <c r="D173" s="344" t="s">
        <v>237</v>
      </c>
      <c r="E173" s="345" t="s">
        <v>236</v>
      </c>
      <c r="F173" s="344" t="s">
        <v>237</v>
      </c>
      <c r="G173" s="589">
        <v>46223</v>
      </c>
      <c r="H173" s="346"/>
      <c r="I173" s="346" t="s">
        <v>183</v>
      </c>
      <c r="J173" s="295">
        <v>0.77638888888888891</v>
      </c>
      <c r="K173" s="295">
        <v>0.1673611111111111</v>
      </c>
      <c r="L173" s="347" t="s">
        <v>168</v>
      </c>
      <c r="M173" s="348">
        <v>8</v>
      </c>
      <c r="N173" s="348"/>
      <c r="O173" s="348">
        <v>6</v>
      </c>
      <c r="P173" s="348"/>
      <c r="Q173" s="349"/>
      <c r="R173" s="348"/>
      <c r="S173" s="348"/>
      <c r="T173" s="349"/>
      <c r="U173" s="348"/>
      <c r="V173" s="349"/>
      <c r="W173" s="350"/>
      <c r="X173" s="351"/>
      <c r="Y173" s="352"/>
      <c r="Z173" s="353"/>
      <c r="AA173" s="354"/>
      <c r="AB173" s="339"/>
    </row>
    <row r="174" spans="1:28" s="340" customFormat="1">
      <c r="A174" s="711"/>
      <c r="B174" s="342" t="s">
        <v>187</v>
      </c>
      <c r="C174" s="342">
        <v>12808</v>
      </c>
      <c r="D174" s="344" t="s">
        <v>237</v>
      </c>
      <c r="E174" s="345" t="s">
        <v>236</v>
      </c>
      <c r="F174" s="344" t="s">
        <v>237</v>
      </c>
      <c r="G174" s="589">
        <v>46224</v>
      </c>
      <c r="H174" s="346"/>
      <c r="I174" s="346" t="s">
        <v>183</v>
      </c>
      <c r="J174" s="295">
        <v>0.77013888888888893</v>
      </c>
      <c r="K174" s="295">
        <v>0.25069444444444444</v>
      </c>
      <c r="L174" s="347" t="s">
        <v>168</v>
      </c>
      <c r="M174" s="348">
        <v>8</v>
      </c>
      <c r="N174" s="348">
        <v>2</v>
      </c>
      <c r="O174" s="348">
        <v>6</v>
      </c>
      <c r="P174" s="348">
        <v>2</v>
      </c>
      <c r="Q174" s="364"/>
      <c r="R174" s="365"/>
      <c r="S174" s="365"/>
      <c r="T174" s="356"/>
      <c r="U174" s="357"/>
      <c r="V174" s="356"/>
      <c r="W174" s="358"/>
      <c r="X174" s="359"/>
      <c r="Y174" s="360"/>
      <c r="Z174" s="361"/>
      <c r="AA174" s="362"/>
      <c r="AB174" s="339"/>
    </row>
    <row r="175" spans="1:28" s="340" customFormat="1">
      <c r="A175" s="711"/>
      <c r="B175" s="342" t="s">
        <v>187</v>
      </c>
      <c r="C175" s="342">
        <v>12808</v>
      </c>
      <c r="D175" s="344" t="s">
        <v>237</v>
      </c>
      <c r="E175" s="345" t="s">
        <v>236</v>
      </c>
      <c r="F175" s="344" t="s">
        <v>237</v>
      </c>
      <c r="G175" s="589">
        <v>46225</v>
      </c>
      <c r="H175" s="346"/>
      <c r="I175" s="346" t="s">
        <v>183</v>
      </c>
      <c r="J175" s="295">
        <v>0.7729166666666667</v>
      </c>
      <c r="K175" s="295">
        <v>0.16666666666666666</v>
      </c>
      <c r="L175" s="347" t="s">
        <v>168</v>
      </c>
      <c r="M175" s="348">
        <v>8</v>
      </c>
      <c r="N175" s="348"/>
      <c r="O175" s="348">
        <v>6</v>
      </c>
      <c r="P175" s="348"/>
      <c r="Q175" s="349"/>
      <c r="R175" s="348"/>
      <c r="S175" s="348"/>
      <c r="T175" s="349"/>
      <c r="U175" s="348"/>
      <c r="V175" s="349"/>
      <c r="W175" s="350"/>
      <c r="X175" s="351"/>
      <c r="Y175" s="352"/>
      <c r="Z175" s="353"/>
      <c r="AA175" s="354"/>
      <c r="AB175" s="339"/>
    </row>
    <row r="176" spans="1:28" s="340" customFormat="1">
      <c r="A176" s="711"/>
      <c r="B176" s="342" t="s">
        <v>187</v>
      </c>
      <c r="C176" s="342">
        <v>12808</v>
      </c>
      <c r="D176" s="344" t="s">
        <v>237</v>
      </c>
      <c r="E176" s="345" t="s">
        <v>236</v>
      </c>
      <c r="F176" s="344" t="s">
        <v>237</v>
      </c>
      <c r="G176" s="589">
        <v>46226</v>
      </c>
      <c r="H176" s="346"/>
      <c r="I176" s="346" t="s">
        <v>183</v>
      </c>
      <c r="J176" s="295">
        <v>0.7631944444444444</v>
      </c>
      <c r="K176" s="295">
        <v>0.16666666666666666</v>
      </c>
      <c r="L176" s="347" t="s">
        <v>168</v>
      </c>
      <c r="M176" s="348">
        <v>8</v>
      </c>
      <c r="N176" s="348"/>
      <c r="O176" s="348">
        <v>6</v>
      </c>
      <c r="P176" s="367"/>
      <c r="Q176" s="349"/>
      <c r="R176" s="348"/>
      <c r="S176" s="348"/>
      <c r="T176" s="349"/>
      <c r="U176" s="348"/>
      <c r="V176" s="349"/>
      <c r="W176" s="350"/>
      <c r="X176" s="351"/>
      <c r="Y176" s="352"/>
      <c r="Z176" s="353"/>
      <c r="AA176" s="354"/>
      <c r="AB176" s="339"/>
    </row>
    <row r="177" spans="1:28" s="340" customFormat="1">
      <c r="A177" s="711"/>
      <c r="B177" s="342" t="s">
        <v>187</v>
      </c>
      <c r="C177" s="342">
        <v>12808</v>
      </c>
      <c r="D177" s="344" t="s">
        <v>237</v>
      </c>
      <c r="E177" s="345" t="s">
        <v>236</v>
      </c>
      <c r="F177" s="344" t="s">
        <v>237</v>
      </c>
      <c r="G177" s="589">
        <v>46227</v>
      </c>
      <c r="H177" s="346"/>
      <c r="I177" s="346" t="s">
        <v>183</v>
      </c>
      <c r="J177" s="295">
        <v>0.77569444444444446</v>
      </c>
      <c r="K177" s="318">
        <v>0.16666666666666666</v>
      </c>
      <c r="L177" s="347" t="s">
        <v>168</v>
      </c>
      <c r="M177" s="348">
        <v>8</v>
      </c>
      <c r="N177" s="348"/>
      <c r="O177" s="348">
        <v>6</v>
      </c>
      <c r="P177" s="366"/>
      <c r="Q177" s="368"/>
      <c r="R177" s="366"/>
      <c r="S177" s="366"/>
      <c r="T177" s="349"/>
      <c r="U177" s="348"/>
      <c r="V177" s="349"/>
      <c r="W177" s="350"/>
      <c r="X177" s="351"/>
      <c r="Y177" s="352"/>
      <c r="Z177" s="353"/>
      <c r="AA177" s="354"/>
      <c r="AB177" s="339"/>
    </row>
    <row r="178" spans="1:28" s="340" customFormat="1">
      <c r="A178" s="711"/>
      <c r="B178" s="342" t="s">
        <v>187</v>
      </c>
      <c r="C178" s="342">
        <v>12808</v>
      </c>
      <c r="D178" s="344" t="s">
        <v>237</v>
      </c>
      <c r="E178" s="345" t="s">
        <v>236</v>
      </c>
      <c r="F178" s="344" t="s">
        <v>237</v>
      </c>
      <c r="G178" s="589">
        <v>46228</v>
      </c>
      <c r="H178" s="346"/>
      <c r="I178" s="346" t="s">
        <v>183</v>
      </c>
      <c r="J178" s="295"/>
      <c r="K178" s="295"/>
      <c r="L178" s="347"/>
      <c r="M178" s="348"/>
      <c r="N178" s="348"/>
      <c r="O178" s="348"/>
      <c r="P178" s="348"/>
      <c r="Q178" s="349"/>
      <c r="R178" s="348"/>
      <c r="S178" s="320"/>
      <c r="T178" s="349"/>
      <c r="U178" s="348"/>
      <c r="V178" s="349"/>
      <c r="W178" s="350"/>
      <c r="X178" s="351"/>
      <c r="Y178" s="352"/>
      <c r="Z178" s="353"/>
      <c r="AA178" s="354"/>
      <c r="AB178" s="339"/>
    </row>
    <row r="179" spans="1:28" s="340" customFormat="1">
      <c r="A179" s="711"/>
      <c r="B179" s="342"/>
      <c r="C179" s="342"/>
      <c r="D179" s="344"/>
      <c r="E179" s="345"/>
      <c r="F179" s="344"/>
      <c r="G179" s="594"/>
      <c r="H179" s="346"/>
      <c r="I179" s="346"/>
      <c r="J179" s="369"/>
      <c r="K179" s="370"/>
      <c r="L179" s="371"/>
      <c r="M179" s="363"/>
      <c r="N179" s="363"/>
      <c r="O179" s="363"/>
      <c r="P179" s="363"/>
      <c r="Q179" s="372"/>
      <c r="R179" s="363"/>
      <c r="S179" s="324"/>
      <c r="T179" s="349"/>
      <c r="U179" s="348"/>
      <c r="V179" s="349"/>
      <c r="W179" s="350"/>
      <c r="X179" s="351"/>
      <c r="Y179" s="352"/>
      <c r="Z179" s="353"/>
      <c r="AA179" s="354"/>
      <c r="AB179" s="339"/>
    </row>
    <row r="180" spans="1:28" s="340" customFormat="1">
      <c r="A180" s="712"/>
      <c r="B180" s="325"/>
      <c r="C180" s="325"/>
      <c r="D180" s="325"/>
      <c r="E180" s="325"/>
      <c r="F180" s="325"/>
      <c r="G180" s="595"/>
      <c r="H180" s="374"/>
      <c r="I180" s="377"/>
      <c r="J180" s="375"/>
      <c r="K180" s="376"/>
      <c r="L180" s="377"/>
      <c r="M180" s="377">
        <f t="shared" ref="M180:AA180" si="9">SUM(M163:M179)</f>
        <v>80</v>
      </c>
      <c r="N180" s="377">
        <f t="shared" si="9"/>
        <v>6</v>
      </c>
      <c r="O180" s="377">
        <f t="shared" si="9"/>
        <v>60</v>
      </c>
      <c r="P180" s="377">
        <f t="shared" si="9"/>
        <v>6</v>
      </c>
      <c r="Q180" s="377">
        <f t="shared" si="9"/>
        <v>0</v>
      </c>
      <c r="R180" s="377">
        <f t="shared" si="9"/>
        <v>0</v>
      </c>
      <c r="S180" s="377">
        <f t="shared" si="9"/>
        <v>0</v>
      </c>
      <c r="T180" s="377">
        <f t="shared" si="9"/>
        <v>0</v>
      </c>
      <c r="U180" s="377">
        <f t="shared" si="9"/>
        <v>0</v>
      </c>
      <c r="V180" s="377">
        <f t="shared" si="9"/>
        <v>0</v>
      </c>
      <c r="W180" s="377">
        <f t="shared" si="9"/>
        <v>0</v>
      </c>
      <c r="X180" s="377">
        <f t="shared" si="9"/>
        <v>0</v>
      </c>
      <c r="Y180" s="377">
        <f t="shared" si="9"/>
        <v>0</v>
      </c>
      <c r="Z180" s="377">
        <f t="shared" si="9"/>
        <v>0</v>
      </c>
      <c r="AA180" s="377">
        <f t="shared" si="9"/>
        <v>0</v>
      </c>
      <c r="AB180" s="339"/>
    </row>
    <row r="181" spans="1:28" s="340" customFormat="1">
      <c r="A181" s="280" t="s">
        <v>170</v>
      </c>
      <c r="B181" s="280" t="s">
        <v>120</v>
      </c>
      <c r="C181" s="280" t="s">
        <v>152</v>
      </c>
      <c r="D181" s="280" t="s">
        <v>182</v>
      </c>
      <c r="E181" s="281" t="s">
        <v>153</v>
      </c>
      <c r="F181" s="280" t="s">
        <v>182</v>
      </c>
      <c r="G181" s="593" t="s">
        <v>401</v>
      </c>
      <c r="H181" s="333"/>
      <c r="I181" s="334" t="s">
        <v>181</v>
      </c>
      <c r="J181" s="335" t="s">
        <v>154</v>
      </c>
      <c r="K181" s="335" t="s">
        <v>155</v>
      </c>
      <c r="L181" s="336" t="s">
        <v>156</v>
      </c>
      <c r="M181" s="337" t="s">
        <v>157</v>
      </c>
      <c r="N181" s="336" t="s">
        <v>158</v>
      </c>
      <c r="O181" s="336" t="s">
        <v>159</v>
      </c>
      <c r="P181" s="336" t="s">
        <v>174</v>
      </c>
      <c r="Q181" s="336" t="s">
        <v>160</v>
      </c>
      <c r="R181" s="336" t="s">
        <v>161</v>
      </c>
      <c r="S181" s="336" t="s">
        <v>162</v>
      </c>
      <c r="T181" s="334" t="s">
        <v>163</v>
      </c>
      <c r="U181" s="334" t="s">
        <v>164</v>
      </c>
      <c r="V181" s="334" t="s">
        <v>165</v>
      </c>
      <c r="W181" s="336" t="s">
        <v>113</v>
      </c>
      <c r="X181" s="334" t="s">
        <v>121</v>
      </c>
      <c r="Y181" s="334" t="s">
        <v>166</v>
      </c>
      <c r="Z181" s="338" t="s">
        <v>175</v>
      </c>
      <c r="AA181" s="338" t="s">
        <v>167</v>
      </c>
      <c r="AB181" s="339"/>
    </row>
    <row r="182" spans="1:28" s="340" customFormat="1">
      <c r="A182" s="710"/>
      <c r="B182" s="342" t="s">
        <v>187</v>
      </c>
      <c r="C182" s="342">
        <v>12830</v>
      </c>
      <c r="D182" s="344" t="s">
        <v>235</v>
      </c>
      <c r="E182" s="345" t="s">
        <v>234</v>
      </c>
      <c r="F182" s="344" t="s">
        <v>235</v>
      </c>
      <c r="G182" s="589">
        <v>46214</v>
      </c>
      <c r="H182" s="346"/>
      <c r="I182" s="346" t="s">
        <v>186</v>
      </c>
      <c r="J182" s="295">
        <v>0.3298611111111111</v>
      </c>
      <c r="K182" s="295">
        <v>0.50486111111111109</v>
      </c>
      <c r="L182" s="347" t="s">
        <v>169</v>
      </c>
      <c r="M182" s="348">
        <v>4</v>
      </c>
      <c r="N182" s="348"/>
      <c r="O182" s="348"/>
      <c r="P182" s="348"/>
      <c r="Q182" s="349"/>
      <c r="R182" s="348"/>
      <c r="S182" s="348"/>
      <c r="T182" s="349"/>
      <c r="U182" s="348"/>
      <c r="V182" s="349"/>
      <c r="W182" s="350"/>
      <c r="X182" s="351"/>
      <c r="Y182" s="352"/>
      <c r="Z182" s="353"/>
      <c r="AA182" s="354"/>
      <c r="AB182" s="339"/>
    </row>
    <row r="183" spans="1:28" s="340" customFormat="1">
      <c r="A183" s="711"/>
      <c r="B183" s="342" t="s">
        <v>187</v>
      </c>
      <c r="C183" s="342">
        <v>12830</v>
      </c>
      <c r="D183" s="344" t="s">
        <v>235</v>
      </c>
      <c r="E183" s="345" t="s">
        <v>234</v>
      </c>
      <c r="F183" s="344" t="s">
        <v>235</v>
      </c>
      <c r="G183" s="590">
        <v>46215</v>
      </c>
      <c r="H183" s="346"/>
      <c r="I183" s="346"/>
      <c r="J183" s="699" t="s">
        <v>173</v>
      </c>
      <c r="K183" s="700"/>
      <c r="L183" s="347"/>
      <c r="M183" s="348"/>
      <c r="N183" s="348"/>
      <c r="O183" s="348"/>
      <c r="P183" s="348"/>
      <c r="Q183" s="349"/>
      <c r="R183" s="348"/>
      <c r="S183" s="348"/>
      <c r="T183" s="349"/>
      <c r="U183" s="348"/>
      <c r="V183" s="349"/>
      <c r="W183" s="350"/>
      <c r="X183" s="351"/>
      <c r="Y183" s="352"/>
      <c r="Z183" s="353"/>
      <c r="AA183" s="354"/>
      <c r="AB183" s="339"/>
    </row>
    <row r="184" spans="1:28" s="340" customFormat="1">
      <c r="A184" s="711"/>
      <c r="B184" s="342" t="s">
        <v>187</v>
      </c>
      <c r="C184" s="342">
        <v>12830</v>
      </c>
      <c r="D184" s="344" t="s">
        <v>235</v>
      </c>
      <c r="E184" s="345" t="s">
        <v>234</v>
      </c>
      <c r="F184" s="344" t="s">
        <v>235</v>
      </c>
      <c r="G184" s="589">
        <v>46216</v>
      </c>
      <c r="H184" s="346"/>
      <c r="I184" s="346" t="s">
        <v>183</v>
      </c>
      <c r="J184" s="382">
        <v>0.76944444444444449</v>
      </c>
      <c r="K184" s="382">
        <v>0.25</v>
      </c>
      <c r="L184" s="347" t="s">
        <v>168</v>
      </c>
      <c r="M184" s="348">
        <v>8</v>
      </c>
      <c r="N184" s="348">
        <v>2</v>
      </c>
      <c r="O184" s="348">
        <v>6</v>
      </c>
      <c r="P184" s="348">
        <v>2</v>
      </c>
      <c r="Q184" s="349"/>
      <c r="R184" s="348"/>
      <c r="S184" s="348"/>
      <c r="T184" s="349"/>
      <c r="U184" s="348"/>
      <c r="V184" s="349"/>
      <c r="W184" s="350"/>
      <c r="X184" s="351"/>
      <c r="Y184" s="352"/>
      <c r="Z184" s="353"/>
      <c r="AA184" s="354"/>
      <c r="AB184" s="339"/>
    </row>
    <row r="185" spans="1:28" s="340" customFormat="1">
      <c r="A185" s="711"/>
      <c r="B185" s="342" t="s">
        <v>187</v>
      </c>
      <c r="C185" s="342">
        <v>12830</v>
      </c>
      <c r="D185" s="344" t="s">
        <v>235</v>
      </c>
      <c r="E185" s="345" t="s">
        <v>234</v>
      </c>
      <c r="F185" s="344" t="s">
        <v>235</v>
      </c>
      <c r="G185" s="589">
        <v>46217</v>
      </c>
      <c r="H185" s="346"/>
      <c r="I185" s="346" t="s">
        <v>183</v>
      </c>
      <c r="J185" s="382">
        <v>0.77013888888888893</v>
      </c>
      <c r="K185" s="382">
        <v>0.25</v>
      </c>
      <c r="L185" s="347" t="s">
        <v>168</v>
      </c>
      <c r="M185" s="348">
        <v>8</v>
      </c>
      <c r="N185" s="348">
        <v>2</v>
      </c>
      <c r="O185" s="348">
        <v>6</v>
      </c>
      <c r="P185" s="348">
        <v>2</v>
      </c>
      <c r="Q185" s="356"/>
      <c r="R185" s="357"/>
      <c r="S185" s="357"/>
      <c r="T185" s="356"/>
      <c r="U185" s="357"/>
      <c r="V185" s="356"/>
      <c r="W185" s="358"/>
      <c r="X185" s="359"/>
      <c r="Y185" s="360"/>
      <c r="Z185" s="361"/>
      <c r="AA185" s="362"/>
      <c r="AB185" s="339"/>
    </row>
    <row r="186" spans="1:28" s="340" customFormat="1">
      <c r="A186" s="711"/>
      <c r="B186" s="342" t="s">
        <v>187</v>
      </c>
      <c r="C186" s="342">
        <v>12830</v>
      </c>
      <c r="D186" s="344" t="s">
        <v>235</v>
      </c>
      <c r="E186" s="345" t="s">
        <v>234</v>
      </c>
      <c r="F186" s="344" t="s">
        <v>235</v>
      </c>
      <c r="G186" s="589">
        <v>46218</v>
      </c>
      <c r="H186" s="346"/>
      <c r="I186" s="346" t="s">
        <v>183</v>
      </c>
      <c r="J186" s="305">
        <v>0.76597222222222217</v>
      </c>
      <c r="K186" s="305">
        <v>0.25</v>
      </c>
      <c r="L186" s="347" t="s">
        <v>168</v>
      </c>
      <c r="M186" s="348">
        <v>8</v>
      </c>
      <c r="N186" s="348">
        <v>2</v>
      </c>
      <c r="O186" s="348">
        <v>6</v>
      </c>
      <c r="P186" s="348">
        <v>2</v>
      </c>
      <c r="Q186" s="349"/>
      <c r="R186" s="348"/>
      <c r="S186" s="348"/>
      <c r="T186" s="349"/>
      <c r="U186" s="348"/>
      <c r="V186" s="349"/>
      <c r="W186" s="350"/>
      <c r="X186" s="351"/>
      <c r="Y186" s="352"/>
      <c r="Z186" s="353"/>
      <c r="AA186" s="354"/>
      <c r="AB186" s="339"/>
    </row>
    <row r="187" spans="1:28" s="340" customFormat="1">
      <c r="A187" s="711"/>
      <c r="B187" s="342" t="s">
        <v>187</v>
      </c>
      <c r="C187" s="342">
        <v>12830</v>
      </c>
      <c r="D187" s="344" t="s">
        <v>235</v>
      </c>
      <c r="E187" s="345" t="s">
        <v>234</v>
      </c>
      <c r="F187" s="344" t="s">
        <v>235</v>
      </c>
      <c r="G187" s="589">
        <v>46219</v>
      </c>
      <c r="H187" s="346"/>
      <c r="I187" s="346" t="s">
        <v>183</v>
      </c>
      <c r="J187" s="305">
        <v>0.7597222222222223</v>
      </c>
      <c r="K187" s="305">
        <v>0.25208333333333333</v>
      </c>
      <c r="L187" s="347" t="s">
        <v>168</v>
      </c>
      <c r="M187" s="348">
        <v>8</v>
      </c>
      <c r="N187" s="348">
        <v>2</v>
      </c>
      <c r="O187" s="348">
        <v>6</v>
      </c>
      <c r="P187" s="348">
        <v>2</v>
      </c>
      <c r="Q187" s="349"/>
      <c r="R187" s="348"/>
      <c r="S187" s="348"/>
      <c r="T187" s="349"/>
      <c r="U187" s="348"/>
      <c r="V187" s="349"/>
      <c r="W187" s="350"/>
      <c r="X187" s="351"/>
      <c r="Y187" s="352"/>
      <c r="Z187" s="353"/>
      <c r="AA187" s="354"/>
      <c r="AB187" s="339"/>
    </row>
    <row r="188" spans="1:28" s="340" customFormat="1">
      <c r="A188" s="711"/>
      <c r="B188" s="342" t="s">
        <v>187</v>
      </c>
      <c r="C188" s="342">
        <v>12830</v>
      </c>
      <c r="D188" s="344" t="s">
        <v>235</v>
      </c>
      <c r="E188" s="345" t="s">
        <v>234</v>
      </c>
      <c r="F188" s="344" t="s">
        <v>235</v>
      </c>
      <c r="G188" s="589">
        <v>46220</v>
      </c>
      <c r="H188" s="346"/>
      <c r="I188" s="346" t="s">
        <v>183</v>
      </c>
      <c r="J188" s="305">
        <v>0.78888888888888886</v>
      </c>
      <c r="K188" s="305">
        <v>0.25138888888888888</v>
      </c>
      <c r="L188" s="347" t="s">
        <v>168</v>
      </c>
      <c r="M188" s="348">
        <v>8</v>
      </c>
      <c r="N188" s="348">
        <v>2</v>
      </c>
      <c r="O188" s="348">
        <v>6</v>
      </c>
      <c r="P188" s="348">
        <v>2</v>
      </c>
      <c r="Q188" s="349"/>
      <c r="R188" s="348"/>
      <c r="S188" s="348"/>
      <c r="T188" s="349"/>
      <c r="U188" s="348"/>
      <c r="V188" s="349"/>
      <c r="W188" s="350"/>
      <c r="X188" s="351"/>
      <c r="Y188" s="352"/>
      <c r="Z188" s="353"/>
      <c r="AA188" s="354"/>
      <c r="AB188" s="339"/>
    </row>
    <row r="189" spans="1:28" s="340" customFormat="1">
      <c r="A189" s="711"/>
      <c r="B189" s="342" t="s">
        <v>187</v>
      </c>
      <c r="C189" s="342">
        <v>12830</v>
      </c>
      <c r="D189" s="344" t="s">
        <v>235</v>
      </c>
      <c r="E189" s="345" t="s">
        <v>234</v>
      </c>
      <c r="F189" s="344" t="s">
        <v>235</v>
      </c>
      <c r="G189" s="589">
        <v>46221</v>
      </c>
      <c r="H189" s="346"/>
      <c r="I189" s="346" t="s">
        <v>183</v>
      </c>
      <c r="J189" s="305">
        <v>0.79097222222222219</v>
      </c>
      <c r="K189" s="305">
        <v>0.16666666666666666</v>
      </c>
      <c r="L189" s="347" t="s">
        <v>168</v>
      </c>
      <c r="M189" s="348">
        <v>8</v>
      </c>
      <c r="N189" s="348"/>
      <c r="O189" s="348">
        <v>6</v>
      </c>
      <c r="P189" s="348"/>
      <c r="Q189" s="349"/>
      <c r="R189" s="348"/>
      <c r="S189" s="348"/>
      <c r="T189" s="349"/>
      <c r="U189" s="348"/>
      <c r="V189" s="349"/>
      <c r="W189" s="350"/>
      <c r="X189" s="351"/>
      <c r="Y189" s="352"/>
      <c r="Z189" s="353"/>
      <c r="AA189" s="354"/>
      <c r="AB189" s="339"/>
    </row>
    <row r="190" spans="1:28" s="340" customFormat="1">
      <c r="A190" s="711"/>
      <c r="B190" s="342" t="s">
        <v>187</v>
      </c>
      <c r="C190" s="342">
        <v>12830</v>
      </c>
      <c r="D190" s="344" t="s">
        <v>235</v>
      </c>
      <c r="E190" s="345" t="s">
        <v>234</v>
      </c>
      <c r="F190" s="344" t="s">
        <v>235</v>
      </c>
      <c r="G190" s="590">
        <v>46222</v>
      </c>
      <c r="H190" s="346"/>
      <c r="I190" s="346"/>
      <c r="J190" s="699" t="s">
        <v>173</v>
      </c>
      <c r="K190" s="700"/>
      <c r="L190" s="347"/>
      <c r="M190" s="348"/>
      <c r="N190" s="348"/>
      <c r="O190" s="348"/>
      <c r="P190" s="348"/>
      <c r="Q190" s="349"/>
      <c r="R190" s="348"/>
      <c r="S190" s="348"/>
      <c r="T190" s="349"/>
      <c r="U190" s="348"/>
      <c r="V190" s="349"/>
      <c r="W190" s="350"/>
      <c r="X190" s="351"/>
      <c r="Y190" s="352"/>
      <c r="Z190" s="353"/>
      <c r="AA190" s="354"/>
      <c r="AB190" s="339"/>
    </row>
    <row r="191" spans="1:28" s="340" customFormat="1">
      <c r="A191" s="711"/>
      <c r="B191" s="342" t="s">
        <v>187</v>
      </c>
      <c r="C191" s="342">
        <v>12830</v>
      </c>
      <c r="D191" s="344" t="s">
        <v>235</v>
      </c>
      <c r="E191" s="345" t="s">
        <v>234</v>
      </c>
      <c r="F191" s="344" t="s">
        <v>235</v>
      </c>
      <c r="G191" s="589">
        <v>46223</v>
      </c>
      <c r="H191" s="346"/>
      <c r="I191" s="346" t="s">
        <v>183</v>
      </c>
      <c r="J191" s="378">
        <v>0.75972222222222219</v>
      </c>
      <c r="K191" s="378">
        <v>0.25069444444444444</v>
      </c>
      <c r="L191" s="347" t="s">
        <v>168</v>
      </c>
      <c r="M191" s="348">
        <v>8</v>
      </c>
      <c r="N191" s="348">
        <v>2</v>
      </c>
      <c r="O191" s="348">
        <v>6</v>
      </c>
      <c r="P191" s="348">
        <v>2</v>
      </c>
      <c r="Q191" s="356"/>
      <c r="R191" s="348"/>
      <c r="S191" s="348"/>
      <c r="T191" s="349"/>
      <c r="U191" s="348"/>
      <c r="V191" s="349"/>
      <c r="W191" s="350"/>
      <c r="X191" s="351"/>
      <c r="Y191" s="352"/>
      <c r="Z191" s="353"/>
      <c r="AA191" s="354"/>
      <c r="AB191" s="339"/>
    </row>
    <row r="192" spans="1:28" s="340" customFormat="1">
      <c r="A192" s="711"/>
      <c r="B192" s="342" t="s">
        <v>187</v>
      </c>
      <c r="C192" s="342">
        <v>12830</v>
      </c>
      <c r="D192" s="344" t="s">
        <v>235</v>
      </c>
      <c r="E192" s="345" t="s">
        <v>234</v>
      </c>
      <c r="F192" s="344" t="s">
        <v>235</v>
      </c>
      <c r="G192" s="589">
        <v>46224</v>
      </c>
      <c r="H192" s="346"/>
      <c r="I192" s="346" t="s">
        <v>183</v>
      </c>
      <c r="J192" s="295">
        <v>0.7729166666666667</v>
      </c>
      <c r="K192" s="295">
        <v>0.25069444444444444</v>
      </c>
      <c r="L192" s="347" t="s">
        <v>168</v>
      </c>
      <c r="M192" s="348">
        <v>8</v>
      </c>
      <c r="N192" s="348">
        <v>2</v>
      </c>
      <c r="O192" s="348">
        <v>6</v>
      </c>
      <c r="P192" s="348">
        <v>2</v>
      </c>
      <c r="Q192" s="364"/>
      <c r="R192" s="365"/>
      <c r="S192" s="365"/>
      <c r="T192" s="356"/>
      <c r="U192" s="357"/>
      <c r="V192" s="356"/>
      <c r="W192" s="358"/>
      <c r="X192" s="359"/>
      <c r="Y192" s="360"/>
      <c r="Z192" s="361"/>
      <c r="AA192" s="362"/>
      <c r="AB192" s="339"/>
    </row>
    <row r="193" spans="1:28" s="340" customFormat="1">
      <c r="A193" s="711"/>
      <c r="B193" s="342" t="s">
        <v>187</v>
      </c>
      <c r="C193" s="342">
        <v>12830</v>
      </c>
      <c r="D193" s="344" t="s">
        <v>235</v>
      </c>
      <c r="E193" s="345" t="s">
        <v>234</v>
      </c>
      <c r="F193" s="344" t="s">
        <v>235</v>
      </c>
      <c r="G193" s="589">
        <v>46225</v>
      </c>
      <c r="H193" s="346"/>
      <c r="I193" s="346" t="s">
        <v>183</v>
      </c>
      <c r="J193" s="295">
        <v>0.76736111111111116</v>
      </c>
      <c r="K193" s="295">
        <v>0.16666666666666666</v>
      </c>
      <c r="L193" s="347" t="s">
        <v>168</v>
      </c>
      <c r="M193" s="348">
        <v>8</v>
      </c>
      <c r="N193" s="348"/>
      <c r="O193" s="348">
        <v>6</v>
      </c>
      <c r="P193" s="348"/>
      <c r="Q193" s="349"/>
      <c r="R193" s="348"/>
      <c r="S193" s="348"/>
      <c r="T193" s="349"/>
      <c r="U193" s="348"/>
      <c r="V193" s="349"/>
      <c r="W193" s="350"/>
      <c r="X193" s="351"/>
      <c r="Y193" s="352"/>
      <c r="Z193" s="353"/>
      <c r="AA193" s="354"/>
      <c r="AB193" s="339"/>
    </row>
    <row r="194" spans="1:28" s="340" customFormat="1">
      <c r="A194" s="711"/>
      <c r="B194" s="342" t="s">
        <v>187</v>
      </c>
      <c r="C194" s="342">
        <v>12830</v>
      </c>
      <c r="D194" s="344" t="s">
        <v>235</v>
      </c>
      <c r="E194" s="345" t="s">
        <v>234</v>
      </c>
      <c r="F194" s="344" t="s">
        <v>235</v>
      </c>
      <c r="G194" s="589">
        <v>46226</v>
      </c>
      <c r="H194" s="346"/>
      <c r="I194" s="346" t="s">
        <v>183</v>
      </c>
      <c r="J194" s="295">
        <v>0.77083333333333337</v>
      </c>
      <c r="K194" s="295">
        <v>0.25138888888888888</v>
      </c>
      <c r="L194" s="347" t="s">
        <v>168</v>
      </c>
      <c r="M194" s="348">
        <v>8</v>
      </c>
      <c r="N194" s="348">
        <v>2</v>
      </c>
      <c r="O194" s="348">
        <v>6</v>
      </c>
      <c r="P194" s="348">
        <v>2</v>
      </c>
      <c r="Q194" s="349"/>
      <c r="R194" s="348"/>
      <c r="S194" s="348"/>
      <c r="T194" s="349"/>
      <c r="U194" s="348"/>
      <c r="V194" s="349"/>
      <c r="W194" s="350"/>
      <c r="X194" s="351"/>
      <c r="Y194" s="352"/>
      <c r="Z194" s="353"/>
      <c r="AA194" s="354"/>
      <c r="AB194" s="339"/>
    </row>
    <row r="195" spans="1:28" s="340" customFormat="1">
      <c r="A195" s="711"/>
      <c r="B195" s="342" t="s">
        <v>187</v>
      </c>
      <c r="C195" s="342">
        <v>12830</v>
      </c>
      <c r="D195" s="344" t="s">
        <v>235</v>
      </c>
      <c r="E195" s="345" t="s">
        <v>234</v>
      </c>
      <c r="F195" s="344" t="s">
        <v>235</v>
      </c>
      <c r="G195" s="589">
        <v>46227</v>
      </c>
      <c r="H195" s="346"/>
      <c r="I195" s="346" t="s">
        <v>183</v>
      </c>
      <c r="J195" s="295">
        <v>0.75902777777777775</v>
      </c>
      <c r="K195" s="318">
        <v>0.16666666666666666</v>
      </c>
      <c r="L195" s="347" t="s">
        <v>168</v>
      </c>
      <c r="M195" s="348">
        <v>8</v>
      </c>
      <c r="N195" s="348"/>
      <c r="O195" s="348">
        <v>6</v>
      </c>
      <c r="P195" s="366"/>
      <c r="Q195" s="368"/>
      <c r="R195" s="366"/>
      <c r="S195" s="366"/>
      <c r="T195" s="349"/>
      <c r="U195" s="348"/>
      <c r="V195" s="349"/>
      <c r="W195" s="350"/>
      <c r="X195" s="351"/>
      <c r="Y195" s="352"/>
      <c r="Z195" s="353"/>
      <c r="AA195" s="354"/>
      <c r="AB195" s="339"/>
    </row>
    <row r="196" spans="1:28" s="340" customFormat="1">
      <c r="A196" s="711"/>
      <c r="B196" s="342" t="s">
        <v>187</v>
      </c>
      <c r="C196" s="342">
        <v>12830</v>
      </c>
      <c r="D196" s="344" t="s">
        <v>235</v>
      </c>
      <c r="E196" s="345" t="s">
        <v>234</v>
      </c>
      <c r="F196" s="344" t="s">
        <v>235</v>
      </c>
      <c r="G196" s="589">
        <v>46228</v>
      </c>
      <c r="H196" s="346"/>
      <c r="I196" s="346" t="s">
        <v>183</v>
      </c>
      <c r="J196" s="295"/>
      <c r="K196" s="295"/>
      <c r="L196" s="347"/>
      <c r="M196" s="348"/>
      <c r="N196" s="348"/>
      <c r="O196" s="348"/>
      <c r="P196" s="348"/>
      <c r="Q196" s="349"/>
      <c r="R196" s="348"/>
      <c r="S196" s="320"/>
      <c r="T196" s="349"/>
      <c r="U196" s="348"/>
      <c r="V196" s="349"/>
      <c r="W196" s="350"/>
      <c r="X196" s="351"/>
      <c r="Y196" s="352"/>
      <c r="Z196" s="353"/>
      <c r="AA196" s="354"/>
      <c r="AB196" s="339"/>
    </row>
    <row r="197" spans="1:28" s="340" customFormat="1">
      <c r="A197" s="711"/>
      <c r="B197" s="342"/>
      <c r="C197" s="342"/>
      <c r="D197" s="344"/>
      <c r="E197" s="345"/>
      <c r="F197" s="344"/>
      <c r="G197" s="594"/>
      <c r="H197" s="346"/>
      <c r="I197" s="346"/>
      <c r="J197" s="369"/>
      <c r="K197" s="370"/>
      <c r="L197" s="371"/>
      <c r="M197" s="363"/>
      <c r="N197" s="363"/>
      <c r="O197" s="363"/>
      <c r="P197" s="363"/>
      <c r="Q197" s="372"/>
      <c r="R197" s="363"/>
      <c r="S197" s="324"/>
      <c r="T197" s="349"/>
      <c r="U197" s="348"/>
      <c r="V197" s="349"/>
      <c r="W197" s="350"/>
      <c r="X197" s="351"/>
      <c r="Y197" s="352"/>
      <c r="Z197" s="353"/>
      <c r="AA197" s="354"/>
      <c r="AB197" s="339"/>
    </row>
    <row r="198" spans="1:28" s="340" customFormat="1">
      <c r="A198" s="712"/>
      <c r="B198" s="325"/>
      <c r="C198" s="342"/>
      <c r="D198" s="325"/>
      <c r="E198" s="345"/>
      <c r="F198" s="325"/>
      <c r="G198" s="595"/>
      <c r="H198" s="374"/>
      <c r="I198" s="377"/>
      <c r="J198" s="375"/>
      <c r="K198" s="376"/>
      <c r="L198" s="377"/>
      <c r="M198" s="377">
        <f t="shared" ref="M198:AA198" si="10">SUM(M181:M197)</f>
        <v>92</v>
      </c>
      <c r="N198" s="377">
        <f t="shared" si="10"/>
        <v>16</v>
      </c>
      <c r="O198" s="377">
        <f t="shared" si="10"/>
        <v>66</v>
      </c>
      <c r="P198" s="377">
        <f t="shared" si="10"/>
        <v>16</v>
      </c>
      <c r="Q198" s="377">
        <f t="shared" si="10"/>
        <v>0</v>
      </c>
      <c r="R198" s="377">
        <f t="shared" si="10"/>
        <v>0</v>
      </c>
      <c r="S198" s="377">
        <f t="shared" si="10"/>
        <v>0</v>
      </c>
      <c r="T198" s="377">
        <f t="shared" si="10"/>
        <v>0</v>
      </c>
      <c r="U198" s="377">
        <f t="shared" si="10"/>
        <v>0</v>
      </c>
      <c r="V198" s="377">
        <f t="shared" si="10"/>
        <v>0</v>
      </c>
      <c r="W198" s="377">
        <f t="shared" si="10"/>
        <v>0</v>
      </c>
      <c r="X198" s="377">
        <f t="shared" si="10"/>
        <v>0</v>
      </c>
      <c r="Y198" s="377">
        <f t="shared" si="10"/>
        <v>0</v>
      </c>
      <c r="Z198" s="377">
        <f t="shared" si="10"/>
        <v>0</v>
      </c>
      <c r="AA198" s="377">
        <f t="shared" si="10"/>
        <v>0</v>
      </c>
      <c r="AB198" s="339"/>
    </row>
    <row r="199" spans="1:28" s="340" customFormat="1">
      <c r="A199" s="280" t="s">
        <v>170</v>
      </c>
      <c r="B199" s="280" t="s">
        <v>120</v>
      </c>
      <c r="C199" s="280" t="s">
        <v>152</v>
      </c>
      <c r="D199" s="280" t="s">
        <v>182</v>
      </c>
      <c r="E199" s="281" t="s">
        <v>153</v>
      </c>
      <c r="F199" s="280" t="s">
        <v>182</v>
      </c>
      <c r="G199" s="593" t="s">
        <v>401</v>
      </c>
      <c r="H199" s="333"/>
      <c r="I199" s="334" t="s">
        <v>181</v>
      </c>
      <c r="J199" s="335" t="s">
        <v>154</v>
      </c>
      <c r="K199" s="335" t="s">
        <v>155</v>
      </c>
      <c r="L199" s="336" t="s">
        <v>156</v>
      </c>
      <c r="M199" s="337" t="s">
        <v>157</v>
      </c>
      <c r="N199" s="336" t="s">
        <v>158</v>
      </c>
      <c r="O199" s="336" t="s">
        <v>159</v>
      </c>
      <c r="P199" s="336" t="s">
        <v>174</v>
      </c>
      <c r="Q199" s="336" t="s">
        <v>160</v>
      </c>
      <c r="R199" s="336" t="s">
        <v>161</v>
      </c>
      <c r="S199" s="336" t="s">
        <v>162</v>
      </c>
      <c r="T199" s="334" t="s">
        <v>163</v>
      </c>
      <c r="U199" s="334" t="s">
        <v>164</v>
      </c>
      <c r="V199" s="334" t="s">
        <v>165</v>
      </c>
      <c r="W199" s="336" t="s">
        <v>113</v>
      </c>
      <c r="X199" s="334" t="s">
        <v>121</v>
      </c>
      <c r="Y199" s="334" t="s">
        <v>166</v>
      </c>
      <c r="Z199" s="338" t="s">
        <v>175</v>
      </c>
      <c r="AA199" s="338" t="s">
        <v>167</v>
      </c>
      <c r="AB199" s="339"/>
    </row>
    <row r="200" spans="1:28" s="340" customFormat="1">
      <c r="A200" s="710"/>
      <c r="B200" s="342" t="s">
        <v>187</v>
      </c>
      <c r="C200" s="342">
        <v>14760</v>
      </c>
      <c r="D200" s="344" t="s">
        <v>233</v>
      </c>
      <c r="E200" s="345" t="s">
        <v>232</v>
      </c>
      <c r="F200" s="344" t="s">
        <v>233</v>
      </c>
      <c r="G200" s="589">
        <v>46214</v>
      </c>
      <c r="H200" s="346"/>
      <c r="I200" s="346"/>
      <c r="J200" s="295"/>
      <c r="K200" s="295"/>
      <c r="L200" s="347"/>
      <c r="M200" s="348"/>
      <c r="N200" s="348"/>
      <c r="O200" s="348"/>
      <c r="P200" s="348"/>
      <c r="Q200" s="349"/>
      <c r="R200" s="348"/>
      <c r="S200" s="348"/>
      <c r="T200" s="349"/>
      <c r="U200" s="348"/>
      <c r="V200" s="349"/>
      <c r="W200" s="350"/>
      <c r="X200" s="351"/>
      <c r="Y200" s="352"/>
      <c r="Z200" s="353"/>
      <c r="AA200" s="354"/>
      <c r="AB200" s="339"/>
    </row>
    <row r="201" spans="1:28" s="340" customFormat="1">
      <c r="A201" s="711"/>
      <c r="B201" s="342" t="s">
        <v>187</v>
      </c>
      <c r="C201" s="342">
        <v>14760</v>
      </c>
      <c r="D201" s="344" t="s">
        <v>233</v>
      </c>
      <c r="E201" s="345" t="s">
        <v>232</v>
      </c>
      <c r="F201" s="344" t="s">
        <v>233</v>
      </c>
      <c r="G201" s="590">
        <v>46215</v>
      </c>
      <c r="H201" s="346"/>
      <c r="I201" s="346"/>
      <c r="J201" s="699" t="s">
        <v>173</v>
      </c>
      <c r="K201" s="700"/>
      <c r="L201" s="347"/>
      <c r="M201" s="348"/>
      <c r="N201" s="348"/>
      <c r="O201" s="348"/>
      <c r="P201" s="348"/>
      <c r="Q201" s="349"/>
      <c r="R201" s="348"/>
      <c r="S201" s="348"/>
      <c r="T201" s="349"/>
      <c r="U201" s="348"/>
      <c r="V201" s="349"/>
      <c r="W201" s="350"/>
      <c r="X201" s="351"/>
      <c r="Y201" s="352"/>
      <c r="Z201" s="353"/>
      <c r="AA201" s="354"/>
      <c r="AB201" s="339"/>
    </row>
    <row r="202" spans="1:28" s="340" customFormat="1">
      <c r="A202" s="711"/>
      <c r="B202" s="342" t="s">
        <v>187</v>
      </c>
      <c r="C202" s="342">
        <v>14760</v>
      </c>
      <c r="D202" s="344" t="s">
        <v>233</v>
      </c>
      <c r="E202" s="345" t="s">
        <v>232</v>
      </c>
      <c r="F202" s="344" t="s">
        <v>233</v>
      </c>
      <c r="G202" s="589">
        <v>46216</v>
      </c>
      <c r="H202" s="346"/>
      <c r="I202" s="346" t="s">
        <v>183</v>
      </c>
      <c r="J202" s="382">
        <v>0.76944444444444449</v>
      </c>
      <c r="K202" s="382">
        <v>0.25</v>
      </c>
      <c r="L202" s="347" t="s">
        <v>168</v>
      </c>
      <c r="M202" s="348">
        <v>8</v>
      </c>
      <c r="N202" s="348">
        <v>2</v>
      </c>
      <c r="O202" s="348">
        <v>6</v>
      </c>
      <c r="P202" s="348">
        <v>2</v>
      </c>
      <c r="Q202" s="349"/>
      <c r="R202" s="348"/>
      <c r="S202" s="348"/>
      <c r="T202" s="349"/>
      <c r="U202" s="348"/>
      <c r="V202" s="349"/>
      <c r="W202" s="350"/>
      <c r="X202" s="351"/>
      <c r="Y202" s="352"/>
      <c r="Z202" s="353"/>
      <c r="AA202" s="354"/>
      <c r="AB202" s="339"/>
    </row>
    <row r="203" spans="1:28" s="340" customFormat="1">
      <c r="A203" s="711"/>
      <c r="B203" s="342" t="s">
        <v>187</v>
      </c>
      <c r="C203" s="342">
        <v>14760</v>
      </c>
      <c r="D203" s="344" t="s">
        <v>233</v>
      </c>
      <c r="E203" s="345" t="s">
        <v>232</v>
      </c>
      <c r="F203" s="344" t="s">
        <v>233</v>
      </c>
      <c r="G203" s="589">
        <v>46217</v>
      </c>
      <c r="H203" s="346"/>
      <c r="I203" s="346" t="s">
        <v>183</v>
      </c>
      <c r="J203" s="382">
        <v>0.78263888888888899</v>
      </c>
      <c r="K203" s="382">
        <v>0.25</v>
      </c>
      <c r="L203" s="347" t="s">
        <v>168</v>
      </c>
      <c r="M203" s="348">
        <v>8</v>
      </c>
      <c r="N203" s="348">
        <v>2</v>
      </c>
      <c r="O203" s="348">
        <v>6</v>
      </c>
      <c r="P203" s="348">
        <v>2</v>
      </c>
      <c r="Q203" s="356"/>
      <c r="R203" s="357"/>
      <c r="S203" s="357"/>
      <c r="T203" s="356"/>
      <c r="U203" s="357"/>
      <c r="V203" s="356"/>
      <c r="W203" s="358"/>
      <c r="X203" s="359"/>
      <c r="Y203" s="360"/>
      <c r="Z203" s="361"/>
      <c r="AA203" s="362"/>
      <c r="AB203" s="339"/>
    </row>
    <row r="204" spans="1:28" s="340" customFormat="1">
      <c r="A204" s="711"/>
      <c r="B204" s="342" t="s">
        <v>187</v>
      </c>
      <c r="C204" s="342">
        <v>14760</v>
      </c>
      <c r="D204" s="344" t="s">
        <v>233</v>
      </c>
      <c r="E204" s="345" t="s">
        <v>232</v>
      </c>
      <c r="F204" s="344" t="s">
        <v>233</v>
      </c>
      <c r="G204" s="589">
        <v>46218</v>
      </c>
      <c r="H204" s="346"/>
      <c r="I204" s="346" t="s">
        <v>183</v>
      </c>
      <c r="J204" s="305">
        <v>0.76250000000000007</v>
      </c>
      <c r="K204" s="305">
        <v>0.25</v>
      </c>
      <c r="L204" s="347" t="s">
        <v>168</v>
      </c>
      <c r="M204" s="348">
        <v>8</v>
      </c>
      <c r="N204" s="348">
        <v>2</v>
      </c>
      <c r="O204" s="348">
        <v>6</v>
      </c>
      <c r="P204" s="348">
        <v>2</v>
      </c>
      <c r="Q204" s="349"/>
      <c r="R204" s="348"/>
      <c r="S204" s="348"/>
      <c r="T204" s="349"/>
      <c r="U204" s="348"/>
      <c r="V204" s="349"/>
      <c r="W204" s="350"/>
      <c r="X204" s="351"/>
      <c r="Y204" s="352"/>
      <c r="Z204" s="353"/>
      <c r="AA204" s="354"/>
      <c r="AB204" s="339"/>
    </row>
    <row r="205" spans="1:28" s="340" customFormat="1">
      <c r="A205" s="711"/>
      <c r="B205" s="342" t="s">
        <v>187</v>
      </c>
      <c r="C205" s="342">
        <v>14760</v>
      </c>
      <c r="D205" s="344" t="s">
        <v>233</v>
      </c>
      <c r="E205" s="345" t="s">
        <v>232</v>
      </c>
      <c r="F205" s="344" t="s">
        <v>233</v>
      </c>
      <c r="G205" s="589">
        <v>46219</v>
      </c>
      <c r="H205" s="346"/>
      <c r="I205" s="346" t="s">
        <v>183</v>
      </c>
      <c r="J205" s="305">
        <v>0.76944444444444438</v>
      </c>
      <c r="K205" s="305">
        <v>0.25</v>
      </c>
      <c r="L205" s="347" t="s">
        <v>168</v>
      </c>
      <c r="M205" s="348">
        <v>8</v>
      </c>
      <c r="N205" s="348">
        <v>2</v>
      </c>
      <c r="O205" s="348">
        <v>6</v>
      </c>
      <c r="P205" s="348">
        <v>2</v>
      </c>
      <c r="Q205" s="349"/>
      <c r="R205" s="348"/>
      <c r="S205" s="348"/>
      <c r="T205" s="349"/>
      <c r="U205" s="348"/>
      <c r="V205" s="349"/>
      <c r="W205" s="350"/>
      <c r="X205" s="351"/>
      <c r="Y205" s="352"/>
      <c r="Z205" s="353"/>
      <c r="AA205" s="354"/>
      <c r="AB205" s="339"/>
    </row>
    <row r="206" spans="1:28" s="340" customFormat="1">
      <c r="A206" s="711"/>
      <c r="B206" s="342" t="s">
        <v>187</v>
      </c>
      <c r="C206" s="342">
        <v>14760</v>
      </c>
      <c r="D206" s="344" t="s">
        <v>233</v>
      </c>
      <c r="E206" s="345" t="s">
        <v>232</v>
      </c>
      <c r="F206" s="344" t="s">
        <v>233</v>
      </c>
      <c r="G206" s="589">
        <v>46220</v>
      </c>
      <c r="H206" s="346"/>
      <c r="I206" s="346" t="s">
        <v>183</v>
      </c>
      <c r="J206" s="305">
        <v>0.76249999999999996</v>
      </c>
      <c r="K206" s="305">
        <v>0.1673611111111111</v>
      </c>
      <c r="L206" s="347" t="s">
        <v>168</v>
      </c>
      <c r="M206" s="348">
        <v>8</v>
      </c>
      <c r="N206" s="348"/>
      <c r="O206" s="348">
        <v>6</v>
      </c>
      <c r="P206" s="348"/>
      <c r="Q206" s="349"/>
      <c r="R206" s="348"/>
      <c r="S206" s="348"/>
      <c r="T206" s="349"/>
      <c r="U206" s="348"/>
      <c r="V206" s="349"/>
      <c r="W206" s="350"/>
      <c r="X206" s="351"/>
      <c r="Y206" s="352"/>
      <c r="Z206" s="353"/>
      <c r="AA206" s="354"/>
      <c r="AB206" s="339"/>
    </row>
    <row r="207" spans="1:28" s="340" customFormat="1">
      <c r="A207" s="711"/>
      <c r="B207" s="342" t="s">
        <v>187</v>
      </c>
      <c r="C207" s="342">
        <v>14760</v>
      </c>
      <c r="D207" s="344" t="s">
        <v>233</v>
      </c>
      <c r="E207" s="345" t="s">
        <v>232</v>
      </c>
      <c r="F207" s="344" t="s">
        <v>233</v>
      </c>
      <c r="G207" s="589">
        <v>46221</v>
      </c>
      <c r="H207" s="346"/>
      <c r="I207" s="346" t="s">
        <v>183</v>
      </c>
      <c r="J207" s="305">
        <v>0.78263888888888888</v>
      </c>
      <c r="K207" s="305">
        <v>0.1673611111111111</v>
      </c>
      <c r="L207" s="347" t="s">
        <v>168</v>
      </c>
      <c r="M207" s="348">
        <v>8</v>
      </c>
      <c r="N207" s="348"/>
      <c r="O207" s="348">
        <v>6</v>
      </c>
      <c r="P207" s="348"/>
      <c r="Q207" s="349"/>
      <c r="R207" s="348"/>
      <c r="S207" s="348"/>
      <c r="T207" s="349"/>
      <c r="U207" s="348"/>
      <c r="V207" s="349"/>
      <c r="W207" s="350"/>
      <c r="X207" s="351"/>
      <c r="Y207" s="352"/>
      <c r="Z207" s="353"/>
      <c r="AA207" s="354"/>
      <c r="AB207" s="339"/>
    </row>
    <row r="208" spans="1:28" s="340" customFormat="1">
      <c r="A208" s="711"/>
      <c r="B208" s="342" t="s">
        <v>187</v>
      </c>
      <c r="C208" s="342">
        <v>14760</v>
      </c>
      <c r="D208" s="344" t="s">
        <v>233</v>
      </c>
      <c r="E208" s="345" t="s">
        <v>232</v>
      </c>
      <c r="F208" s="344" t="s">
        <v>233</v>
      </c>
      <c r="G208" s="590">
        <v>46222</v>
      </c>
      <c r="H208" s="346"/>
      <c r="I208" s="346"/>
      <c r="J208" s="699" t="s">
        <v>173</v>
      </c>
      <c r="K208" s="700"/>
      <c r="L208" s="347"/>
      <c r="M208" s="348"/>
      <c r="N208" s="348"/>
      <c r="O208" s="348"/>
      <c r="P208" s="348"/>
      <c r="Q208" s="349"/>
      <c r="R208" s="348"/>
      <c r="S208" s="348"/>
      <c r="T208" s="349"/>
      <c r="U208" s="348"/>
      <c r="V208" s="349"/>
      <c r="W208" s="350"/>
      <c r="X208" s="351"/>
      <c r="Y208" s="352"/>
      <c r="Z208" s="353"/>
      <c r="AA208" s="354"/>
      <c r="AB208" s="339"/>
    </row>
    <row r="209" spans="1:28" s="340" customFormat="1">
      <c r="A209" s="711"/>
      <c r="B209" s="342" t="s">
        <v>187</v>
      </c>
      <c r="C209" s="342">
        <v>14760</v>
      </c>
      <c r="D209" s="344" t="s">
        <v>233</v>
      </c>
      <c r="E209" s="345" t="s">
        <v>232</v>
      </c>
      <c r="F209" s="344" t="s">
        <v>233</v>
      </c>
      <c r="G209" s="589">
        <v>46223</v>
      </c>
      <c r="H209" s="346"/>
      <c r="I209" s="346" t="s">
        <v>183</v>
      </c>
      <c r="J209" s="378">
        <v>0.76249999999999996</v>
      </c>
      <c r="K209" s="378">
        <v>0.25138888888888888</v>
      </c>
      <c r="L209" s="347" t="s">
        <v>168</v>
      </c>
      <c r="M209" s="348">
        <v>8</v>
      </c>
      <c r="N209" s="348">
        <v>2</v>
      </c>
      <c r="O209" s="348">
        <v>6</v>
      </c>
      <c r="P209" s="348">
        <v>2</v>
      </c>
      <c r="Q209" s="356"/>
      <c r="R209" s="348"/>
      <c r="S209" s="348"/>
      <c r="T209" s="349"/>
      <c r="U209" s="348"/>
      <c r="V209" s="349"/>
      <c r="W209" s="350"/>
      <c r="X209" s="351"/>
      <c r="Y209" s="352"/>
      <c r="Z209" s="353"/>
      <c r="AA209" s="354"/>
      <c r="AB209" s="339"/>
    </row>
    <row r="210" spans="1:28" s="340" customFormat="1">
      <c r="A210" s="711"/>
      <c r="B210" s="342" t="s">
        <v>187</v>
      </c>
      <c r="C210" s="342">
        <v>14760</v>
      </c>
      <c r="D210" s="344" t="s">
        <v>233</v>
      </c>
      <c r="E210" s="345" t="s">
        <v>232</v>
      </c>
      <c r="F210" s="344" t="s">
        <v>233</v>
      </c>
      <c r="G210" s="589">
        <v>46224</v>
      </c>
      <c r="H210" s="346"/>
      <c r="I210" s="346" t="s">
        <v>183</v>
      </c>
      <c r="J210" s="295">
        <v>0.76458333333333328</v>
      </c>
      <c r="K210" s="295">
        <v>0.25069444444444444</v>
      </c>
      <c r="L210" s="347" t="s">
        <v>168</v>
      </c>
      <c r="M210" s="348">
        <v>8</v>
      </c>
      <c r="N210" s="348">
        <v>2</v>
      </c>
      <c r="O210" s="348">
        <v>6</v>
      </c>
      <c r="P210" s="348">
        <v>2</v>
      </c>
      <c r="Q210" s="364"/>
      <c r="R210" s="365"/>
      <c r="S210" s="365"/>
      <c r="T210" s="356"/>
      <c r="U210" s="357"/>
      <c r="V210" s="356"/>
      <c r="W210" s="358"/>
      <c r="X210" s="359"/>
      <c r="Y210" s="360"/>
      <c r="Z210" s="361"/>
      <c r="AA210" s="362"/>
      <c r="AB210" s="339"/>
    </row>
    <row r="211" spans="1:28" s="340" customFormat="1">
      <c r="A211" s="711"/>
      <c r="B211" s="342" t="s">
        <v>187</v>
      </c>
      <c r="C211" s="342">
        <v>14760</v>
      </c>
      <c r="D211" s="344" t="s">
        <v>233</v>
      </c>
      <c r="E211" s="345" t="s">
        <v>232</v>
      </c>
      <c r="F211" s="344" t="s">
        <v>233</v>
      </c>
      <c r="G211" s="589">
        <v>46225</v>
      </c>
      <c r="H211" s="346"/>
      <c r="I211" s="346" t="s">
        <v>183</v>
      </c>
      <c r="J211" s="295">
        <v>0.7729166666666667</v>
      </c>
      <c r="K211" s="295">
        <v>0.25</v>
      </c>
      <c r="L211" s="347" t="s">
        <v>168</v>
      </c>
      <c r="M211" s="348">
        <v>8</v>
      </c>
      <c r="N211" s="348">
        <v>2</v>
      </c>
      <c r="O211" s="348">
        <v>6</v>
      </c>
      <c r="P211" s="348">
        <v>2</v>
      </c>
      <c r="Q211" s="349"/>
      <c r="R211" s="348"/>
      <c r="S211" s="348"/>
      <c r="T211" s="349"/>
      <c r="U211" s="348"/>
      <c r="V211" s="349"/>
      <c r="W211" s="350"/>
      <c r="X211" s="351"/>
      <c r="Y211" s="352"/>
      <c r="Z211" s="353"/>
      <c r="AA211" s="354"/>
      <c r="AB211" s="339"/>
    </row>
    <row r="212" spans="1:28" s="340" customFormat="1">
      <c r="A212" s="711"/>
      <c r="B212" s="342" t="s">
        <v>187</v>
      </c>
      <c r="C212" s="342">
        <v>14760</v>
      </c>
      <c r="D212" s="344" t="s">
        <v>233</v>
      </c>
      <c r="E212" s="345" t="s">
        <v>232</v>
      </c>
      <c r="F212" s="344" t="s">
        <v>233</v>
      </c>
      <c r="G212" s="589">
        <v>46226</v>
      </c>
      <c r="H212" s="346"/>
      <c r="I212" s="346" t="s">
        <v>183</v>
      </c>
      <c r="J212" s="295">
        <v>0.7631944444444444</v>
      </c>
      <c r="K212" s="295">
        <v>0.16666666666666666</v>
      </c>
      <c r="L212" s="347" t="s">
        <v>168</v>
      </c>
      <c r="M212" s="348">
        <v>8</v>
      </c>
      <c r="N212" s="348"/>
      <c r="O212" s="348">
        <v>6</v>
      </c>
      <c r="P212" s="367"/>
      <c r="Q212" s="349"/>
      <c r="R212" s="348"/>
      <c r="S212" s="348"/>
      <c r="T212" s="349"/>
      <c r="U212" s="348"/>
      <c r="V212" s="349"/>
      <c r="W212" s="350"/>
      <c r="X212" s="351"/>
      <c r="Y212" s="352"/>
      <c r="Z212" s="353"/>
      <c r="AA212" s="354"/>
      <c r="AB212" s="339"/>
    </row>
    <row r="213" spans="1:28" s="340" customFormat="1">
      <c r="A213" s="711"/>
      <c r="B213" s="342" t="s">
        <v>187</v>
      </c>
      <c r="C213" s="342">
        <v>14760</v>
      </c>
      <c r="D213" s="344" t="s">
        <v>233</v>
      </c>
      <c r="E213" s="345" t="s">
        <v>232</v>
      </c>
      <c r="F213" s="344" t="s">
        <v>233</v>
      </c>
      <c r="G213" s="589">
        <v>46227</v>
      </c>
      <c r="H213" s="346"/>
      <c r="I213" s="346" t="s">
        <v>183</v>
      </c>
      <c r="J213" s="295">
        <v>0.76458333333333328</v>
      </c>
      <c r="K213" s="318">
        <v>0.16666666666666666</v>
      </c>
      <c r="L213" s="347" t="s">
        <v>168</v>
      </c>
      <c r="M213" s="348">
        <v>8</v>
      </c>
      <c r="N213" s="348"/>
      <c r="O213" s="348">
        <v>6</v>
      </c>
      <c r="P213" s="366"/>
      <c r="Q213" s="368"/>
      <c r="R213" s="366"/>
      <c r="S213" s="366"/>
      <c r="T213" s="349"/>
      <c r="U213" s="348"/>
      <c r="V213" s="349"/>
      <c r="W213" s="350"/>
      <c r="X213" s="351"/>
      <c r="Y213" s="352"/>
      <c r="Z213" s="353"/>
      <c r="AA213" s="354"/>
      <c r="AB213" s="339"/>
    </row>
    <row r="214" spans="1:28" s="340" customFormat="1">
      <c r="A214" s="711"/>
      <c r="B214" s="342" t="s">
        <v>187</v>
      </c>
      <c r="C214" s="342">
        <v>14760</v>
      </c>
      <c r="D214" s="344" t="s">
        <v>233</v>
      </c>
      <c r="E214" s="345" t="s">
        <v>232</v>
      </c>
      <c r="F214" s="344" t="s">
        <v>233</v>
      </c>
      <c r="G214" s="589">
        <v>46228</v>
      </c>
      <c r="H214" s="346"/>
      <c r="I214" s="346" t="s">
        <v>183</v>
      </c>
      <c r="J214" s="295"/>
      <c r="K214" s="295"/>
      <c r="L214" s="347"/>
      <c r="M214" s="348"/>
      <c r="N214" s="348"/>
      <c r="O214" s="348"/>
      <c r="P214" s="348"/>
      <c r="Q214" s="349"/>
      <c r="R214" s="348"/>
      <c r="S214" s="320"/>
      <c r="T214" s="349"/>
      <c r="U214" s="348"/>
      <c r="V214" s="349"/>
      <c r="W214" s="350"/>
      <c r="X214" s="351"/>
      <c r="Y214" s="352"/>
      <c r="Z214" s="353"/>
      <c r="AA214" s="354"/>
      <c r="AB214" s="339"/>
    </row>
    <row r="215" spans="1:28" s="340" customFormat="1">
      <c r="A215" s="711"/>
      <c r="B215" s="342"/>
      <c r="C215" s="342"/>
      <c r="D215" s="344"/>
      <c r="E215" s="345"/>
      <c r="F215" s="344"/>
      <c r="G215" s="594"/>
      <c r="H215" s="346"/>
      <c r="I215" s="346"/>
      <c r="J215" s="369"/>
      <c r="K215" s="370"/>
      <c r="L215" s="371"/>
      <c r="M215" s="363"/>
      <c r="N215" s="363"/>
      <c r="O215" s="363"/>
      <c r="P215" s="363"/>
      <c r="Q215" s="372"/>
      <c r="R215" s="363"/>
      <c r="S215" s="324"/>
      <c r="T215" s="349"/>
      <c r="U215" s="348"/>
      <c r="V215" s="349"/>
      <c r="W215" s="350"/>
      <c r="X215" s="351"/>
      <c r="Y215" s="352"/>
      <c r="Z215" s="353"/>
      <c r="AA215" s="354"/>
      <c r="AB215" s="339"/>
    </row>
    <row r="216" spans="1:28" s="340" customFormat="1">
      <c r="A216" s="712"/>
      <c r="B216" s="325"/>
      <c r="D216" s="325"/>
      <c r="F216" s="325"/>
      <c r="G216" s="596"/>
      <c r="H216" s="346"/>
      <c r="I216" s="377"/>
      <c r="J216" s="369"/>
      <c r="K216" s="376"/>
      <c r="L216" s="377"/>
      <c r="M216" s="377">
        <f>SUM(M199:M214)</f>
        <v>88</v>
      </c>
      <c r="N216" s="377">
        <f>SUM(N200:N215)</f>
        <v>14</v>
      </c>
      <c r="O216" s="377">
        <f t="shared" ref="O216:AA216" si="11">SUM(O199:O214)</f>
        <v>66</v>
      </c>
      <c r="P216" s="377">
        <f t="shared" si="11"/>
        <v>14</v>
      </c>
      <c r="Q216" s="377">
        <f t="shared" si="11"/>
        <v>0</v>
      </c>
      <c r="R216" s="377">
        <f t="shared" si="11"/>
        <v>0</v>
      </c>
      <c r="S216" s="377">
        <f t="shared" si="11"/>
        <v>0</v>
      </c>
      <c r="T216" s="377">
        <f t="shared" si="11"/>
        <v>0</v>
      </c>
      <c r="U216" s="377">
        <f t="shared" si="11"/>
        <v>0</v>
      </c>
      <c r="V216" s="377">
        <f t="shared" si="11"/>
        <v>0</v>
      </c>
      <c r="W216" s="377">
        <f t="shared" si="11"/>
        <v>0</v>
      </c>
      <c r="X216" s="377">
        <f t="shared" si="11"/>
        <v>0</v>
      </c>
      <c r="Y216" s="377">
        <f t="shared" si="11"/>
        <v>0</v>
      </c>
      <c r="Z216" s="377">
        <f t="shared" si="11"/>
        <v>0</v>
      </c>
      <c r="AA216" s="377">
        <f t="shared" si="11"/>
        <v>0</v>
      </c>
      <c r="AB216" s="339"/>
    </row>
    <row r="217" spans="1:28" s="340" customFormat="1">
      <c r="A217" s="280" t="s">
        <v>170</v>
      </c>
      <c r="B217" s="280" t="s">
        <v>120</v>
      </c>
      <c r="C217" s="280" t="s">
        <v>152</v>
      </c>
      <c r="D217" s="280" t="s">
        <v>182</v>
      </c>
      <c r="E217" s="281" t="s">
        <v>153</v>
      </c>
      <c r="F217" s="280" t="s">
        <v>182</v>
      </c>
      <c r="G217" s="593" t="s">
        <v>401</v>
      </c>
      <c r="H217" s="333"/>
      <c r="I217" s="334" t="s">
        <v>181</v>
      </c>
      <c r="J217" s="335" t="s">
        <v>154</v>
      </c>
      <c r="K217" s="335" t="s">
        <v>155</v>
      </c>
      <c r="L217" s="336" t="s">
        <v>156</v>
      </c>
      <c r="M217" s="337" t="s">
        <v>157</v>
      </c>
      <c r="N217" s="336" t="s">
        <v>158</v>
      </c>
      <c r="O217" s="336" t="s">
        <v>159</v>
      </c>
      <c r="P217" s="336" t="s">
        <v>174</v>
      </c>
      <c r="Q217" s="336" t="s">
        <v>160</v>
      </c>
      <c r="R217" s="336" t="s">
        <v>161</v>
      </c>
      <c r="S217" s="336" t="s">
        <v>162</v>
      </c>
      <c r="T217" s="334" t="s">
        <v>163</v>
      </c>
      <c r="U217" s="334" t="s">
        <v>164</v>
      </c>
      <c r="V217" s="334" t="s">
        <v>165</v>
      </c>
      <c r="W217" s="336" t="s">
        <v>113</v>
      </c>
      <c r="X217" s="334" t="s">
        <v>121</v>
      </c>
      <c r="Y217" s="334" t="s">
        <v>166</v>
      </c>
      <c r="Z217" s="338" t="s">
        <v>175</v>
      </c>
      <c r="AA217" s="338" t="s">
        <v>167</v>
      </c>
      <c r="AB217" s="339"/>
    </row>
    <row r="218" spans="1:28" s="340" customFormat="1">
      <c r="A218" s="710"/>
      <c r="B218" s="342" t="s">
        <v>187</v>
      </c>
      <c r="C218" s="383">
        <v>5585</v>
      </c>
      <c r="D218" s="344" t="s">
        <v>231</v>
      </c>
      <c r="E218" s="345" t="s">
        <v>230</v>
      </c>
      <c r="F218" s="344" t="s">
        <v>231</v>
      </c>
      <c r="G218" s="589">
        <v>46214</v>
      </c>
      <c r="H218" s="346"/>
      <c r="I218" s="346" t="s">
        <v>186</v>
      </c>
      <c r="J218" s="295">
        <v>0.31041666666666667</v>
      </c>
      <c r="K218" s="295">
        <v>0.70833333333333337</v>
      </c>
      <c r="L218" s="347" t="s">
        <v>169</v>
      </c>
      <c r="M218" s="348">
        <v>8</v>
      </c>
      <c r="N218" s="348"/>
      <c r="O218" s="348"/>
      <c r="P218" s="348"/>
      <c r="Q218" s="349"/>
      <c r="R218" s="348"/>
      <c r="S218" s="348"/>
      <c r="T218" s="349"/>
      <c r="U218" s="348"/>
      <c r="V218" s="349"/>
      <c r="W218" s="350"/>
      <c r="X218" s="351"/>
      <c r="Y218" s="352"/>
      <c r="Z218" s="353"/>
      <c r="AA218" s="354"/>
      <c r="AB218" s="339"/>
    </row>
    <row r="219" spans="1:28" s="340" customFormat="1">
      <c r="A219" s="711"/>
      <c r="B219" s="342" t="s">
        <v>187</v>
      </c>
      <c r="C219" s="383">
        <v>5585</v>
      </c>
      <c r="D219" s="344" t="s">
        <v>231</v>
      </c>
      <c r="E219" s="345" t="s">
        <v>230</v>
      </c>
      <c r="F219" s="344" t="s">
        <v>231</v>
      </c>
      <c r="G219" s="590">
        <v>46215</v>
      </c>
      <c r="H219" s="346"/>
      <c r="I219" s="346"/>
      <c r="J219" s="699" t="s">
        <v>173</v>
      </c>
      <c r="K219" s="700"/>
      <c r="L219" s="347"/>
      <c r="M219" s="348"/>
      <c r="N219" s="348"/>
      <c r="O219" s="348"/>
      <c r="P219" s="348"/>
      <c r="Q219" s="349"/>
      <c r="R219" s="348"/>
      <c r="S219" s="348"/>
      <c r="T219" s="349"/>
      <c r="U219" s="348"/>
      <c r="V219" s="349"/>
      <c r="W219" s="350"/>
      <c r="X219" s="351"/>
      <c r="Y219" s="352"/>
      <c r="Z219" s="353"/>
      <c r="AA219" s="354"/>
      <c r="AB219" s="339"/>
    </row>
    <row r="220" spans="1:28" s="340" customFormat="1">
      <c r="A220" s="711"/>
      <c r="B220" s="342" t="s">
        <v>187</v>
      </c>
      <c r="C220" s="383">
        <v>5585</v>
      </c>
      <c r="D220" s="344" t="s">
        <v>231</v>
      </c>
      <c r="E220" s="345" t="s">
        <v>230</v>
      </c>
      <c r="F220" s="344" t="s">
        <v>231</v>
      </c>
      <c r="G220" s="589">
        <v>46216</v>
      </c>
      <c r="H220" s="346"/>
      <c r="I220" s="346" t="s">
        <v>183</v>
      </c>
      <c r="J220" s="382">
        <v>0.75972222222222219</v>
      </c>
      <c r="K220" s="382">
        <v>0.25</v>
      </c>
      <c r="L220" s="347" t="s">
        <v>168</v>
      </c>
      <c r="M220" s="348">
        <v>8</v>
      </c>
      <c r="N220" s="348">
        <v>2</v>
      </c>
      <c r="O220" s="348">
        <v>6</v>
      </c>
      <c r="P220" s="348">
        <v>2</v>
      </c>
      <c r="Q220" s="349"/>
      <c r="R220" s="348"/>
      <c r="S220" s="348"/>
      <c r="T220" s="349"/>
      <c r="U220" s="348"/>
      <c r="V220" s="349"/>
      <c r="W220" s="350"/>
      <c r="X220" s="351"/>
      <c r="Y220" s="352"/>
      <c r="Z220" s="353"/>
      <c r="AA220" s="354"/>
      <c r="AB220" s="339"/>
    </row>
    <row r="221" spans="1:28" s="340" customFormat="1">
      <c r="A221" s="711"/>
      <c r="B221" s="342" t="s">
        <v>187</v>
      </c>
      <c r="C221" s="383">
        <v>5585</v>
      </c>
      <c r="D221" s="344" t="s">
        <v>231</v>
      </c>
      <c r="E221" s="345" t="s">
        <v>230</v>
      </c>
      <c r="F221" s="344" t="s">
        <v>231</v>
      </c>
      <c r="G221" s="589">
        <v>46217</v>
      </c>
      <c r="H221" s="346"/>
      <c r="I221" s="346" t="s">
        <v>183</v>
      </c>
      <c r="J221" s="305">
        <v>0.77430555555555547</v>
      </c>
      <c r="K221" s="305">
        <v>0.25</v>
      </c>
      <c r="L221" s="347" t="s">
        <v>168</v>
      </c>
      <c r="M221" s="348">
        <v>8</v>
      </c>
      <c r="N221" s="348">
        <v>2</v>
      </c>
      <c r="O221" s="348">
        <v>6</v>
      </c>
      <c r="P221" s="348">
        <v>2</v>
      </c>
      <c r="Q221" s="356"/>
      <c r="R221" s="357"/>
      <c r="S221" s="357"/>
      <c r="T221" s="356"/>
      <c r="U221" s="357"/>
      <c r="V221" s="356"/>
      <c r="W221" s="358"/>
      <c r="X221" s="359"/>
      <c r="Y221" s="360"/>
      <c r="Z221" s="361"/>
      <c r="AA221" s="362"/>
      <c r="AB221" s="339"/>
    </row>
    <row r="222" spans="1:28" s="340" customFormat="1">
      <c r="A222" s="711"/>
      <c r="B222" s="342" t="s">
        <v>187</v>
      </c>
      <c r="C222" s="383">
        <v>5585</v>
      </c>
      <c r="D222" s="344" t="s">
        <v>231</v>
      </c>
      <c r="E222" s="345" t="s">
        <v>230</v>
      </c>
      <c r="F222" s="344" t="s">
        <v>231</v>
      </c>
      <c r="G222" s="589">
        <v>46218</v>
      </c>
      <c r="H222" s="346"/>
      <c r="I222" s="346" t="s">
        <v>183</v>
      </c>
      <c r="J222" s="305">
        <v>0.7715277777777777</v>
      </c>
      <c r="K222" s="305">
        <v>0.25</v>
      </c>
      <c r="L222" s="347" t="s">
        <v>168</v>
      </c>
      <c r="M222" s="348">
        <v>8</v>
      </c>
      <c r="N222" s="348">
        <v>2</v>
      </c>
      <c r="O222" s="348">
        <v>6</v>
      </c>
      <c r="P222" s="348">
        <v>2</v>
      </c>
      <c r="Q222" s="349"/>
      <c r="R222" s="348"/>
      <c r="S222" s="348"/>
      <c r="T222" s="349"/>
      <c r="U222" s="348"/>
      <c r="V222" s="349"/>
      <c r="W222" s="350"/>
      <c r="X222" s="351"/>
      <c r="Y222" s="352"/>
      <c r="Z222" s="353"/>
      <c r="AA222" s="354"/>
      <c r="AB222" s="339"/>
    </row>
    <row r="223" spans="1:28" s="340" customFormat="1">
      <c r="A223" s="711"/>
      <c r="B223" s="342" t="s">
        <v>187</v>
      </c>
      <c r="C223" s="383">
        <v>5585</v>
      </c>
      <c r="D223" s="344" t="s">
        <v>231</v>
      </c>
      <c r="E223" s="345" t="s">
        <v>230</v>
      </c>
      <c r="F223" s="344" t="s">
        <v>231</v>
      </c>
      <c r="G223" s="589">
        <v>46219</v>
      </c>
      <c r="H223" s="346"/>
      <c r="I223" s="346" t="s">
        <v>183</v>
      </c>
      <c r="J223" s="305">
        <v>0.77361111111111114</v>
      </c>
      <c r="K223" s="305">
        <v>0.1673611111111111</v>
      </c>
      <c r="L223" s="347" t="s">
        <v>168</v>
      </c>
      <c r="M223" s="348">
        <v>8</v>
      </c>
      <c r="N223" s="348"/>
      <c r="O223" s="348">
        <v>6</v>
      </c>
      <c r="P223" s="348"/>
      <c r="Q223" s="349"/>
      <c r="R223" s="348"/>
      <c r="S223" s="348"/>
      <c r="T223" s="349"/>
      <c r="U223" s="348"/>
      <c r="V223" s="349"/>
      <c r="W223" s="350"/>
      <c r="X223" s="351"/>
      <c r="Y223" s="352"/>
      <c r="Z223" s="353"/>
      <c r="AA223" s="354"/>
      <c r="AB223" s="339"/>
    </row>
    <row r="224" spans="1:28" s="340" customFormat="1">
      <c r="A224" s="711"/>
      <c r="B224" s="342" t="s">
        <v>187</v>
      </c>
      <c r="C224" s="383">
        <v>5585</v>
      </c>
      <c r="D224" s="344" t="s">
        <v>231</v>
      </c>
      <c r="E224" s="345" t="s">
        <v>230</v>
      </c>
      <c r="F224" s="344" t="s">
        <v>231</v>
      </c>
      <c r="G224" s="589">
        <v>46220</v>
      </c>
      <c r="H224" s="346"/>
      <c r="I224" s="346" t="s">
        <v>183</v>
      </c>
      <c r="J224" s="305">
        <v>0.77500000000000002</v>
      </c>
      <c r="K224" s="305">
        <v>0.25</v>
      </c>
      <c r="L224" s="347" t="s">
        <v>168</v>
      </c>
      <c r="M224" s="348">
        <v>8</v>
      </c>
      <c r="N224" s="348">
        <v>2</v>
      </c>
      <c r="O224" s="348">
        <v>6</v>
      </c>
      <c r="P224" s="348">
        <v>2</v>
      </c>
      <c r="Q224" s="349"/>
      <c r="R224" s="348"/>
      <c r="S224" s="348"/>
      <c r="T224" s="349"/>
      <c r="U224" s="348"/>
      <c r="V224" s="349"/>
      <c r="W224" s="350"/>
      <c r="X224" s="351"/>
      <c r="Y224" s="352"/>
      <c r="Z224" s="353"/>
      <c r="AA224" s="354"/>
      <c r="AB224" s="339"/>
    </row>
    <row r="225" spans="1:28" s="340" customFormat="1">
      <c r="A225" s="711"/>
      <c r="B225" s="342" t="s">
        <v>187</v>
      </c>
      <c r="C225" s="383">
        <v>5585</v>
      </c>
      <c r="D225" s="344" t="s">
        <v>231</v>
      </c>
      <c r="E225" s="345" t="s">
        <v>230</v>
      </c>
      <c r="F225" s="344" t="s">
        <v>231</v>
      </c>
      <c r="G225" s="589">
        <v>46221</v>
      </c>
      <c r="H225" s="346"/>
      <c r="I225" s="346" t="s">
        <v>183</v>
      </c>
      <c r="J225" s="305">
        <v>0.7729166666666667</v>
      </c>
      <c r="K225" s="305">
        <v>0.16666666666666666</v>
      </c>
      <c r="L225" s="347" t="s">
        <v>168</v>
      </c>
      <c r="M225" s="348">
        <v>8</v>
      </c>
      <c r="N225" s="348"/>
      <c r="O225" s="348">
        <v>6</v>
      </c>
      <c r="P225" s="348"/>
      <c r="Q225" s="349"/>
      <c r="R225" s="348"/>
      <c r="S225" s="348"/>
      <c r="T225" s="349"/>
      <c r="U225" s="348"/>
      <c r="V225" s="349"/>
      <c r="W225" s="350"/>
      <c r="X225" s="351"/>
      <c r="Y225" s="352"/>
      <c r="Z225" s="353"/>
      <c r="AA225" s="354"/>
      <c r="AB225" s="339"/>
    </row>
    <row r="226" spans="1:28" s="340" customFormat="1">
      <c r="A226" s="711"/>
      <c r="B226" s="342" t="s">
        <v>187</v>
      </c>
      <c r="C226" s="383">
        <v>5585</v>
      </c>
      <c r="D226" s="344" t="s">
        <v>231</v>
      </c>
      <c r="E226" s="345" t="s">
        <v>230</v>
      </c>
      <c r="F226" s="344" t="s">
        <v>231</v>
      </c>
      <c r="G226" s="590">
        <v>46222</v>
      </c>
      <c r="H226" s="346"/>
      <c r="I226" s="346"/>
      <c r="J226" s="699" t="s">
        <v>173</v>
      </c>
      <c r="K226" s="700"/>
      <c r="L226" s="347"/>
      <c r="M226" s="348"/>
      <c r="N226" s="348"/>
      <c r="O226" s="348"/>
      <c r="P226" s="348"/>
      <c r="Q226" s="349"/>
      <c r="R226" s="348"/>
      <c r="S226" s="348"/>
      <c r="T226" s="349"/>
      <c r="U226" s="348"/>
      <c r="V226" s="349"/>
      <c r="W226" s="350"/>
      <c r="X226" s="351"/>
      <c r="Y226" s="352"/>
      <c r="Z226" s="353"/>
      <c r="AA226" s="354"/>
      <c r="AB226" s="339"/>
    </row>
    <row r="227" spans="1:28" s="340" customFormat="1">
      <c r="A227" s="711"/>
      <c r="B227" s="342" t="s">
        <v>187</v>
      </c>
      <c r="C227" s="383">
        <v>5585</v>
      </c>
      <c r="D227" s="344" t="s">
        <v>231</v>
      </c>
      <c r="E227" s="345" t="s">
        <v>230</v>
      </c>
      <c r="F227" s="344" t="s">
        <v>231</v>
      </c>
      <c r="G227" s="589">
        <v>46223</v>
      </c>
      <c r="H227" s="346"/>
      <c r="I227" s="346" t="s">
        <v>183</v>
      </c>
      <c r="J227" s="378">
        <v>0.77083333333333337</v>
      </c>
      <c r="K227" s="378">
        <v>0.16666666666666666</v>
      </c>
      <c r="L227" s="347" t="s">
        <v>168</v>
      </c>
      <c r="M227" s="348">
        <v>8</v>
      </c>
      <c r="N227" s="348"/>
      <c r="O227" s="348">
        <v>6</v>
      </c>
      <c r="P227" s="357"/>
      <c r="Q227" s="356"/>
      <c r="R227" s="357"/>
      <c r="S227" s="357"/>
      <c r="T227" s="356"/>
      <c r="U227" s="357"/>
      <c r="V227" s="356"/>
      <c r="W227" s="350"/>
      <c r="X227" s="351"/>
      <c r="Y227" s="352"/>
      <c r="Z227" s="353"/>
      <c r="AA227" s="354"/>
      <c r="AB227" s="339"/>
    </row>
    <row r="228" spans="1:28" s="340" customFormat="1">
      <c r="A228" s="711"/>
      <c r="B228" s="342" t="s">
        <v>187</v>
      </c>
      <c r="C228" s="383">
        <v>5585</v>
      </c>
      <c r="D228" s="344" t="s">
        <v>231</v>
      </c>
      <c r="E228" s="345" t="s">
        <v>230</v>
      </c>
      <c r="F228" s="344" t="s">
        <v>231</v>
      </c>
      <c r="G228" s="589">
        <v>46224</v>
      </c>
      <c r="H228" s="346"/>
      <c r="I228" s="346" t="s">
        <v>183</v>
      </c>
      <c r="J228" s="295">
        <v>0.77013888888888893</v>
      </c>
      <c r="K228" s="295">
        <v>0.25</v>
      </c>
      <c r="L228" s="347" t="s">
        <v>168</v>
      </c>
      <c r="M228" s="348">
        <v>8</v>
      </c>
      <c r="N228" s="348">
        <v>2</v>
      </c>
      <c r="O228" s="348">
        <v>6</v>
      </c>
      <c r="P228" s="373">
        <v>2</v>
      </c>
      <c r="Q228" s="364"/>
      <c r="R228" s="365"/>
      <c r="S228" s="365"/>
      <c r="T228" s="356"/>
      <c r="U228" s="357"/>
      <c r="V228" s="356"/>
      <c r="W228" s="358"/>
      <c r="X228" s="359"/>
      <c r="Y228" s="360"/>
      <c r="Z228" s="361"/>
      <c r="AA228" s="362"/>
      <c r="AB228" s="339"/>
    </row>
    <row r="229" spans="1:28" s="340" customFormat="1">
      <c r="A229" s="711"/>
      <c r="B229" s="342" t="s">
        <v>187</v>
      </c>
      <c r="C229" s="383">
        <v>5585</v>
      </c>
      <c r="D229" s="344" t="s">
        <v>231</v>
      </c>
      <c r="E229" s="345" t="s">
        <v>230</v>
      </c>
      <c r="F229" s="344" t="s">
        <v>231</v>
      </c>
      <c r="G229" s="589">
        <v>46225</v>
      </c>
      <c r="H229" s="346"/>
      <c r="I229" s="346" t="s">
        <v>183</v>
      </c>
      <c r="J229" s="295">
        <v>0.76527777777777772</v>
      </c>
      <c r="K229" s="295">
        <v>0.16666666666666666</v>
      </c>
      <c r="L229" s="347" t="s">
        <v>168</v>
      </c>
      <c r="M229" s="348">
        <v>8</v>
      </c>
      <c r="N229" s="348"/>
      <c r="O229" s="348">
        <v>6</v>
      </c>
      <c r="P229" s="348"/>
      <c r="Q229" s="349"/>
      <c r="R229" s="348"/>
      <c r="S229" s="348"/>
      <c r="T229" s="349"/>
      <c r="U229" s="348"/>
      <c r="V229" s="349"/>
      <c r="W229" s="350"/>
      <c r="X229" s="351"/>
      <c r="Y229" s="352"/>
      <c r="Z229" s="353"/>
      <c r="AA229" s="354"/>
      <c r="AB229" s="339"/>
    </row>
    <row r="230" spans="1:28" s="340" customFormat="1">
      <c r="A230" s="711"/>
      <c r="B230" s="342" t="s">
        <v>187</v>
      </c>
      <c r="C230" s="383">
        <v>5585</v>
      </c>
      <c r="D230" s="344" t="s">
        <v>231</v>
      </c>
      <c r="E230" s="345" t="s">
        <v>230</v>
      </c>
      <c r="F230" s="344" t="s">
        <v>231</v>
      </c>
      <c r="G230" s="589">
        <v>46226</v>
      </c>
      <c r="H230" s="346"/>
      <c r="I230" s="346" t="s">
        <v>183</v>
      </c>
      <c r="J230" s="295">
        <v>0.77569444444444446</v>
      </c>
      <c r="K230" s="295">
        <v>0.16666666666666666</v>
      </c>
      <c r="L230" s="347" t="s">
        <v>168</v>
      </c>
      <c r="M230" s="348">
        <v>8</v>
      </c>
      <c r="N230" s="348"/>
      <c r="O230" s="348">
        <v>6</v>
      </c>
      <c r="P230" s="367"/>
      <c r="Q230" s="349"/>
      <c r="R230" s="348"/>
      <c r="S230" s="348"/>
      <c r="T230" s="349"/>
      <c r="U230" s="348"/>
      <c r="V230" s="349"/>
      <c r="W230" s="350"/>
      <c r="X230" s="351"/>
      <c r="Y230" s="352"/>
      <c r="Z230" s="353"/>
      <c r="AA230" s="354"/>
      <c r="AB230" s="339"/>
    </row>
    <row r="231" spans="1:28" s="340" customFormat="1">
      <c r="A231" s="711"/>
      <c r="B231" s="342" t="s">
        <v>187</v>
      </c>
      <c r="C231" s="383">
        <v>5585</v>
      </c>
      <c r="D231" s="344" t="s">
        <v>231</v>
      </c>
      <c r="E231" s="345" t="s">
        <v>230</v>
      </c>
      <c r="F231" s="344" t="s">
        <v>231</v>
      </c>
      <c r="G231" s="589">
        <v>46227</v>
      </c>
      <c r="H231" s="346"/>
      <c r="I231" s="346" t="s">
        <v>183</v>
      </c>
      <c r="J231" s="295">
        <v>0.77569444444444446</v>
      </c>
      <c r="K231" s="318">
        <v>0.16666666666666666</v>
      </c>
      <c r="L231" s="347" t="s">
        <v>168</v>
      </c>
      <c r="M231" s="348">
        <v>8</v>
      </c>
      <c r="N231" s="348"/>
      <c r="O231" s="348">
        <v>6</v>
      </c>
      <c r="P231" s="366"/>
      <c r="Q231" s="368"/>
      <c r="R231" s="366"/>
      <c r="S231" s="366"/>
      <c r="T231" s="349"/>
      <c r="U231" s="348"/>
      <c r="V231" s="349"/>
      <c r="W231" s="350"/>
      <c r="X231" s="351"/>
      <c r="Y231" s="352"/>
      <c r="Z231" s="353"/>
      <c r="AA231" s="354"/>
      <c r="AB231" s="339"/>
    </row>
    <row r="232" spans="1:28" s="340" customFormat="1">
      <c r="A232" s="711"/>
      <c r="B232" s="342" t="s">
        <v>187</v>
      </c>
      <c r="C232" s="383">
        <v>5585</v>
      </c>
      <c r="D232" s="344" t="s">
        <v>231</v>
      </c>
      <c r="E232" s="345" t="s">
        <v>230</v>
      </c>
      <c r="F232" s="344" t="s">
        <v>231</v>
      </c>
      <c r="G232" s="589">
        <v>46228</v>
      </c>
      <c r="H232" s="346"/>
      <c r="I232" s="346" t="s">
        <v>183</v>
      </c>
      <c r="J232" s="295"/>
      <c r="K232" s="295"/>
      <c r="L232" s="347"/>
      <c r="M232" s="348"/>
      <c r="N232" s="348"/>
      <c r="O232" s="348"/>
      <c r="P232" s="348"/>
      <c r="Q232" s="349"/>
      <c r="R232" s="348"/>
      <c r="S232" s="320"/>
      <c r="T232" s="349"/>
      <c r="U232" s="348"/>
      <c r="V232" s="349"/>
      <c r="W232" s="350"/>
      <c r="X232" s="351"/>
      <c r="Y232" s="352"/>
      <c r="Z232" s="353"/>
      <c r="AA232" s="354"/>
      <c r="AB232" s="339"/>
    </row>
    <row r="233" spans="1:28" s="340" customFormat="1">
      <c r="A233" s="711"/>
      <c r="B233" s="342"/>
      <c r="C233" s="384"/>
      <c r="D233" s="345"/>
      <c r="E233" s="345"/>
      <c r="F233" s="345"/>
      <c r="G233" s="594"/>
      <c r="H233" s="346"/>
      <c r="I233" s="346"/>
      <c r="J233" s="369"/>
      <c r="K233" s="370"/>
      <c r="L233" s="371"/>
      <c r="M233" s="363"/>
      <c r="N233" s="363"/>
      <c r="O233" s="363"/>
      <c r="P233" s="363"/>
      <c r="Q233" s="372"/>
      <c r="R233" s="363"/>
      <c r="S233" s="324"/>
      <c r="T233" s="349"/>
      <c r="U233" s="348"/>
      <c r="V233" s="349"/>
      <c r="W233" s="350"/>
      <c r="X233" s="351"/>
      <c r="Y233" s="352"/>
      <c r="Z233" s="353"/>
      <c r="AA233" s="354"/>
      <c r="AB233" s="339"/>
    </row>
    <row r="234" spans="1:28" s="340" customFormat="1">
      <c r="A234" s="712"/>
      <c r="B234" s="325"/>
      <c r="C234" s="342"/>
      <c r="D234" s="325"/>
      <c r="E234" s="345"/>
      <c r="F234" s="325"/>
      <c r="G234" s="595"/>
      <c r="H234" s="374"/>
      <c r="I234" s="377"/>
      <c r="J234" s="375"/>
      <c r="K234" s="376"/>
      <c r="L234" s="377"/>
      <c r="M234" s="377">
        <f t="shared" ref="M234:AA234" si="12">SUM(M217:M233)</f>
        <v>96</v>
      </c>
      <c r="N234" s="377">
        <f t="shared" si="12"/>
        <v>10</v>
      </c>
      <c r="O234" s="377">
        <f t="shared" si="12"/>
        <v>66</v>
      </c>
      <c r="P234" s="377">
        <f t="shared" si="12"/>
        <v>10</v>
      </c>
      <c r="Q234" s="377">
        <f t="shared" si="12"/>
        <v>0</v>
      </c>
      <c r="R234" s="377">
        <f t="shared" si="12"/>
        <v>0</v>
      </c>
      <c r="S234" s="377">
        <f t="shared" si="12"/>
        <v>0</v>
      </c>
      <c r="T234" s="377">
        <f t="shared" si="12"/>
        <v>0</v>
      </c>
      <c r="U234" s="377">
        <f t="shared" si="12"/>
        <v>0</v>
      </c>
      <c r="V234" s="377">
        <f t="shared" si="12"/>
        <v>0</v>
      </c>
      <c r="W234" s="377">
        <f t="shared" si="12"/>
        <v>0</v>
      </c>
      <c r="X234" s="377">
        <f t="shared" si="12"/>
        <v>0</v>
      </c>
      <c r="Y234" s="377">
        <f t="shared" si="12"/>
        <v>0</v>
      </c>
      <c r="Z234" s="377">
        <f t="shared" si="12"/>
        <v>0</v>
      </c>
      <c r="AA234" s="377">
        <f t="shared" si="12"/>
        <v>0</v>
      </c>
      <c r="AB234" s="339"/>
    </row>
    <row r="235" spans="1:28" s="340" customFormat="1">
      <c r="A235" s="280" t="s">
        <v>170</v>
      </c>
      <c r="B235" s="280" t="s">
        <v>120</v>
      </c>
      <c r="C235" s="280" t="s">
        <v>152</v>
      </c>
      <c r="D235" s="280" t="s">
        <v>182</v>
      </c>
      <c r="E235" s="281" t="s">
        <v>153</v>
      </c>
      <c r="F235" s="280" t="s">
        <v>182</v>
      </c>
      <c r="G235" s="593" t="s">
        <v>401</v>
      </c>
      <c r="H235" s="333"/>
      <c r="I235" s="334" t="s">
        <v>181</v>
      </c>
      <c r="J235" s="335" t="s">
        <v>154</v>
      </c>
      <c r="K235" s="335" t="s">
        <v>155</v>
      </c>
      <c r="L235" s="336" t="s">
        <v>156</v>
      </c>
      <c r="M235" s="337" t="s">
        <v>157</v>
      </c>
      <c r="N235" s="336" t="s">
        <v>158</v>
      </c>
      <c r="O235" s="336" t="s">
        <v>159</v>
      </c>
      <c r="P235" s="336" t="s">
        <v>174</v>
      </c>
      <c r="Q235" s="336" t="s">
        <v>160</v>
      </c>
      <c r="R235" s="336" t="s">
        <v>161</v>
      </c>
      <c r="S235" s="336" t="s">
        <v>162</v>
      </c>
      <c r="T235" s="334" t="s">
        <v>163</v>
      </c>
      <c r="U235" s="334" t="s">
        <v>164</v>
      </c>
      <c r="V235" s="334" t="s">
        <v>165</v>
      </c>
      <c r="W235" s="336" t="s">
        <v>113</v>
      </c>
      <c r="X235" s="334" t="s">
        <v>121</v>
      </c>
      <c r="Y235" s="334" t="s">
        <v>166</v>
      </c>
      <c r="Z235" s="338" t="s">
        <v>175</v>
      </c>
      <c r="AA235" s="338" t="s">
        <v>167</v>
      </c>
      <c r="AB235" s="339"/>
    </row>
    <row r="236" spans="1:28" s="340" customFormat="1">
      <c r="A236" s="710"/>
      <c r="B236" s="342" t="s">
        <v>187</v>
      </c>
      <c r="C236" s="342">
        <v>13684</v>
      </c>
      <c r="D236" s="344" t="s">
        <v>229</v>
      </c>
      <c r="E236" s="345" t="s">
        <v>228</v>
      </c>
      <c r="F236" s="344" t="s">
        <v>229</v>
      </c>
      <c r="G236" s="589">
        <v>46214</v>
      </c>
      <c r="H236" s="346"/>
      <c r="I236" s="346"/>
      <c r="J236" s="295"/>
      <c r="K236" s="295"/>
      <c r="L236" s="347"/>
      <c r="M236" s="348"/>
      <c r="N236" s="348"/>
      <c r="O236" s="348"/>
      <c r="P236" s="348"/>
      <c r="Q236" s="349"/>
      <c r="R236" s="348"/>
      <c r="S236" s="348"/>
      <c r="T236" s="349"/>
      <c r="U236" s="348"/>
      <c r="V236" s="349"/>
      <c r="W236" s="350"/>
      <c r="X236" s="351"/>
      <c r="Y236" s="352"/>
      <c r="Z236" s="353"/>
      <c r="AA236" s="354"/>
      <c r="AB236" s="339"/>
    </row>
    <row r="237" spans="1:28" s="340" customFormat="1">
      <c r="A237" s="711"/>
      <c r="B237" s="342" t="s">
        <v>187</v>
      </c>
      <c r="C237" s="342">
        <v>13684</v>
      </c>
      <c r="D237" s="344" t="s">
        <v>229</v>
      </c>
      <c r="E237" s="345" t="s">
        <v>228</v>
      </c>
      <c r="F237" s="344" t="s">
        <v>229</v>
      </c>
      <c r="G237" s="590">
        <v>46215</v>
      </c>
      <c r="H237" s="346"/>
      <c r="I237" s="346"/>
      <c r="J237" s="699" t="s">
        <v>173</v>
      </c>
      <c r="K237" s="700"/>
      <c r="L237" s="347"/>
      <c r="M237" s="348"/>
      <c r="N237" s="348"/>
      <c r="O237" s="348"/>
      <c r="P237" s="348"/>
      <c r="Q237" s="349"/>
      <c r="R237" s="348"/>
      <c r="S237" s="348"/>
      <c r="T237" s="349"/>
      <c r="U237" s="348"/>
      <c r="V237" s="349"/>
      <c r="W237" s="350"/>
      <c r="X237" s="351"/>
      <c r="Y237" s="352"/>
      <c r="Z237" s="353"/>
      <c r="AA237" s="354"/>
      <c r="AB237" s="339"/>
    </row>
    <row r="238" spans="1:28" s="340" customFormat="1">
      <c r="A238" s="711"/>
      <c r="B238" s="342" t="s">
        <v>187</v>
      </c>
      <c r="C238" s="342">
        <v>13684</v>
      </c>
      <c r="D238" s="344" t="s">
        <v>229</v>
      </c>
      <c r="E238" s="345" t="s">
        <v>228</v>
      </c>
      <c r="F238" s="344" t="s">
        <v>229</v>
      </c>
      <c r="G238" s="589">
        <v>46216</v>
      </c>
      <c r="H238" s="346"/>
      <c r="I238" s="346" t="s">
        <v>186</v>
      </c>
      <c r="J238" s="305">
        <v>0.31111111111111112</v>
      </c>
      <c r="K238" s="305">
        <v>0.70902777777777781</v>
      </c>
      <c r="L238" s="347" t="s">
        <v>169</v>
      </c>
      <c r="M238" s="348">
        <v>8</v>
      </c>
      <c r="N238" s="348"/>
      <c r="O238" s="348"/>
      <c r="P238" s="348"/>
      <c r="Q238" s="349"/>
      <c r="R238" s="348"/>
      <c r="S238" s="348"/>
      <c r="T238" s="349"/>
      <c r="U238" s="348"/>
      <c r="V238" s="349"/>
      <c r="W238" s="350"/>
      <c r="X238" s="351"/>
      <c r="Y238" s="352"/>
      <c r="Z238" s="353"/>
      <c r="AA238" s="354"/>
      <c r="AB238" s="339"/>
    </row>
    <row r="239" spans="1:28" s="340" customFormat="1">
      <c r="A239" s="711"/>
      <c r="B239" s="342" t="s">
        <v>187</v>
      </c>
      <c r="C239" s="342">
        <v>13684</v>
      </c>
      <c r="D239" s="344" t="s">
        <v>229</v>
      </c>
      <c r="E239" s="345" t="s">
        <v>228</v>
      </c>
      <c r="F239" s="344" t="s">
        <v>229</v>
      </c>
      <c r="G239" s="589">
        <v>46217</v>
      </c>
      <c r="H239" s="346"/>
      <c r="I239" s="346" t="s">
        <v>186</v>
      </c>
      <c r="J239" s="305">
        <v>0.3125</v>
      </c>
      <c r="K239" s="305">
        <v>0.7090277777777777</v>
      </c>
      <c r="L239" s="347" t="s">
        <v>169</v>
      </c>
      <c r="M239" s="348">
        <v>8</v>
      </c>
      <c r="N239" s="348"/>
      <c r="O239" s="348"/>
      <c r="P239" s="348"/>
      <c r="Q239" s="356"/>
      <c r="R239" s="357"/>
      <c r="S239" s="357"/>
      <c r="T239" s="356"/>
      <c r="U239" s="357"/>
      <c r="V239" s="356"/>
      <c r="W239" s="358"/>
      <c r="X239" s="359"/>
      <c r="Y239" s="360"/>
      <c r="Z239" s="361"/>
      <c r="AA239" s="362"/>
      <c r="AB239" s="339"/>
    </row>
    <row r="240" spans="1:28" s="340" customFormat="1">
      <c r="A240" s="711"/>
      <c r="B240" s="342" t="s">
        <v>187</v>
      </c>
      <c r="C240" s="342">
        <v>13684</v>
      </c>
      <c r="D240" s="344" t="s">
        <v>229</v>
      </c>
      <c r="E240" s="345" t="s">
        <v>228</v>
      </c>
      <c r="F240" s="344" t="s">
        <v>229</v>
      </c>
      <c r="G240" s="589">
        <v>46218</v>
      </c>
      <c r="H240" s="346"/>
      <c r="I240" s="346" t="s">
        <v>186</v>
      </c>
      <c r="J240" s="305">
        <v>0.3125</v>
      </c>
      <c r="K240" s="305">
        <v>0.7090277777777777</v>
      </c>
      <c r="L240" s="347" t="s">
        <v>169</v>
      </c>
      <c r="M240" s="348">
        <v>8</v>
      </c>
      <c r="N240" s="348"/>
      <c r="O240" s="348"/>
      <c r="P240" s="348"/>
      <c r="Q240" s="349"/>
      <c r="R240" s="348"/>
      <c r="S240" s="348"/>
      <c r="T240" s="349"/>
      <c r="U240" s="348"/>
      <c r="V240" s="349"/>
      <c r="W240" s="350"/>
      <c r="X240" s="351"/>
      <c r="Y240" s="352"/>
      <c r="Z240" s="353"/>
      <c r="AA240" s="354"/>
      <c r="AB240" s="339"/>
    </row>
    <row r="241" spans="1:28" s="340" customFormat="1">
      <c r="A241" s="711"/>
      <c r="B241" s="342" t="s">
        <v>187</v>
      </c>
      <c r="C241" s="342">
        <v>13684</v>
      </c>
      <c r="D241" s="344" t="s">
        <v>229</v>
      </c>
      <c r="E241" s="345" t="s">
        <v>228</v>
      </c>
      <c r="F241" s="344" t="s">
        <v>229</v>
      </c>
      <c r="G241" s="589">
        <v>46219</v>
      </c>
      <c r="H241" s="346"/>
      <c r="I241" s="346" t="s">
        <v>186</v>
      </c>
      <c r="J241" s="305">
        <v>0.32083333333333336</v>
      </c>
      <c r="K241" s="305">
        <v>0.7090277777777777</v>
      </c>
      <c r="L241" s="347" t="s">
        <v>169</v>
      </c>
      <c r="M241" s="348">
        <v>8</v>
      </c>
      <c r="N241" s="348"/>
      <c r="O241" s="348"/>
      <c r="P241" s="348"/>
      <c r="Q241" s="349"/>
      <c r="R241" s="348"/>
      <c r="S241" s="348"/>
      <c r="T241" s="349"/>
      <c r="U241" s="348"/>
      <c r="V241" s="349"/>
      <c r="W241" s="350"/>
      <c r="X241" s="351"/>
      <c r="Y241" s="352"/>
      <c r="Z241" s="353"/>
      <c r="AA241" s="354"/>
      <c r="AB241" s="339"/>
    </row>
    <row r="242" spans="1:28" s="340" customFormat="1">
      <c r="A242" s="711"/>
      <c r="B242" s="342" t="s">
        <v>187</v>
      </c>
      <c r="C242" s="342">
        <v>13684</v>
      </c>
      <c r="D242" s="344" t="s">
        <v>229</v>
      </c>
      <c r="E242" s="345" t="s">
        <v>228</v>
      </c>
      <c r="F242" s="344" t="s">
        <v>229</v>
      </c>
      <c r="G242" s="589">
        <v>46220</v>
      </c>
      <c r="H242" s="346"/>
      <c r="I242" s="346" t="s">
        <v>186</v>
      </c>
      <c r="J242" s="305">
        <v>0.31041666666666667</v>
      </c>
      <c r="K242" s="305">
        <v>0.79374999999999996</v>
      </c>
      <c r="L242" s="347" t="s">
        <v>169</v>
      </c>
      <c r="M242" s="348">
        <v>8</v>
      </c>
      <c r="N242" s="348">
        <v>2</v>
      </c>
      <c r="O242" s="348"/>
      <c r="P242" s="348"/>
      <c r="Q242" s="349"/>
      <c r="R242" s="348"/>
      <c r="S242" s="348"/>
      <c r="T242" s="349"/>
      <c r="U242" s="348"/>
      <c r="V242" s="349"/>
      <c r="W242" s="350"/>
      <c r="X242" s="351"/>
      <c r="Y242" s="352"/>
      <c r="Z242" s="353"/>
      <c r="AA242" s="354"/>
      <c r="AB242" s="339"/>
    </row>
    <row r="243" spans="1:28" s="340" customFormat="1">
      <c r="A243" s="711"/>
      <c r="B243" s="342" t="s">
        <v>187</v>
      </c>
      <c r="C243" s="342">
        <v>13684</v>
      </c>
      <c r="D243" s="344" t="s">
        <v>229</v>
      </c>
      <c r="E243" s="345" t="s">
        <v>228</v>
      </c>
      <c r="F243" s="344" t="s">
        <v>229</v>
      </c>
      <c r="G243" s="589">
        <v>46221</v>
      </c>
      <c r="H243" s="346"/>
      <c r="I243" s="346" t="s">
        <v>186</v>
      </c>
      <c r="J243" s="305">
        <v>0.31041666666666667</v>
      </c>
      <c r="K243" s="305">
        <v>0.70902777777777781</v>
      </c>
      <c r="L243" s="347" t="s">
        <v>169</v>
      </c>
      <c r="M243" s="348">
        <v>8</v>
      </c>
      <c r="N243" s="348"/>
      <c r="O243" s="348"/>
      <c r="P243" s="348"/>
      <c r="Q243" s="349"/>
      <c r="R243" s="348"/>
      <c r="S243" s="348"/>
      <c r="T243" s="349"/>
      <c r="U243" s="348"/>
      <c r="V243" s="349"/>
      <c r="W243" s="350"/>
      <c r="X243" s="351"/>
      <c r="Y243" s="352"/>
      <c r="Z243" s="353"/>
      <c r="AA243" s="362"/>
      <c r="AB243" s="339"/>
    </row>
    <row r="244" spans="1:28" s="340" customFormat="1">
      <c r="A244" s="711"/>
      <c r="B244" s="342" t="s">
        <v>187</v>
      </c>
      <c r="C244" s="342">
        <v>13684</v>
      </c>
      <c r="D244" s="344" t="s">
        <v>229</v>
      </c>
      <c r="E244" s="345" t="s">
        <v>228</v>
      </c>
      <c r="F244" s="344" t="s">
        <v>229</v>
      </c>
      <c r="G244" s="590">
        <v>46222</v>
      </c>
      <c r="H244" s="346"/>
      <c r="I244" s="346"/>
      <c r="J244" s="699" t="s">
        <v>173</v>
      </c>
      <c r="K244" s="700"/>
      <c r="L244" s="347"/>
      <c r="M244" s="348"/>
      <c r="N244" s="348"/>
      <c r="O244" s="348"/>
      <c r="P244" s="348"/>
      <c r="Q244" s="349"/>
      <c r="R244" s="348"/>
      <c r="S244" s="348"/>
      <c r="T244" s="349"/>
      <c r="U244" s="348"/>
      <c r="V244" s="349"/>
      <c r="W244" s="350"/>
      <c r="X244" s="351"/>
      <c r="Y244" s="352"/>
      <c r="Z244" s="353"/>
      <c r="AA244" s="354"/>
      <c r="AB244" s="339"/>
    </row>
    <row r="245" spans="1:28" s="340" customFormat="1">
      <c r="A245" s="711"/>
      <c r="B245" s="342" t="s">
        <v>187</v>
      </c>
      <c r="C245" s="342">
        <v>13684</v>
      </c>
      <c r="D245" s="344" t="s">
        <v>229</v>
      </c>
      <c r="E245" s="345" t="s">
        <v>228</v>
      </c>
      <c r="F245" s="344" t="s">
        <v>229</v>
      </c>
      <c r="G245" s="589">
        <v>46223</v>
      </c>
      <c r="H245" s="346"/>
      <c r="I245" s="346" t="s">
        <v>186</v>
      </c>
      <c r="J245" s="295">
        <v>0.31041666666666667</v>
      </c>
      <c r="K245" s="295">
        <v>0.70902777777777781</v>
      </c>
      <c r="L245" s="347" t="s">
        <v>169</v>
      </c>
      <c r="M245" s="348">
        <v>8</v>
      </c>
      <c r="N245" s="357"/>
      <c r="O245" s="357"/>
      <c r="P245" s="357"/>
      <c r="Q245" s="356"/>
      <c r="R245" s="357"/>
      <c r="S245" s="357"/>
      <c r="T245" s="356"/>
      <c r="U245" s="357"/>
      <c r="V245" s="356"/>
      <c r="W245" s="350"/>
      <c r="X245" s="351"/>
      <c r="Y245" s="352"/>
      <c r="Z245" s="353"/>
      <c r="AA245" s="354"/>
      <c r="AB245" s="339"/>
    </row>
    <row r="246" spans="1:28" s="340" customFormat="1">
      <c r="A246" s="711"/>
      <c r="B246" s="342" t="s">
        <v>187</v>
      </c>
      <c r="C246" s="342">
        <v>13684</v>
      </c>
      <c r="D246" s="344" t="s">
        <v>229</v>
      </c>
      <c r="E246" s="345" t="s">
        <v>228</v>
      </c>
      <c r="F246" s="344" t="s">
        <v>229</v>
      </c>
      <c r="G246" s="589">
        <v>46224</v>
      </c>
      <c r="H246" s="346"/>
      <c r="I246" s="346" t="s">
        <v>186</v>
      </c>
      <c r="J246" s="295">
        <v>0.31041666666666667</v>
      </c>
      <c r="K246" s="295">
        <v>0.70833333333333337</v>
      </c>
      <c r="L246" s="347" t="s">
        <v>169</v>
      </c>
      <c r="M246" s="348">
        <v>8</v>
      </c>
      <c r="N246" s="363"/>
      <c r="O246" s="363"/>
      <c r="P246" s="363"/>
      <c r="Q246" s="364"/>
      <c r="R246" s="365"/>
      <c r="S246" s="365"/>
      <c r="T246" s="356"/>
      <c r="U246" s="357"/>
      <c r="V246" s="356"/>
      <c r="W246" s="358"/>
      <c r="X246" s="359"/>
      <c r="Y246" s="360"/>
      <c r="Z246" s="361"/>
      <c r="AA246" s="362"/>
      <c r="AB246" s="339"/>
    </row>
    <row r="247" spans="1:28" s="340" customFormat="1">
      <c r="A247" s="711"/>
      <c r="B247" s="342" t="s">
        <v>187</v>
      </c>
      <c r="C247" s="342">
        <v>13684</v>
      </c>
      <c r="D247" s="344" t="s">
        <v>229</v>
      </c>
      <c r="E247" s="345" t="s">
        <v>228</v>
      </c>
      <c r="F247" s="344" t="s">
        <v>229</v>
      </c>
      <c r="G247" s="589">
        <v>46225</v>
      </c>
      <c r="H247" s="346"/>
      <c r="I247" s="346" t="s">
        <v>186</v>
      </c>
      <c r="J247" s="295">
        <v>0.31527777777777777</v>
      </c>
      <c r="K247" s="295">
        <v>0.70972222222222225</v>
      </c>
      <c r="L247" s="347" t="s">
        <v>169</v>
      </c>
      <c r="M247" s="348">
        <v>8</v>
      </c>
      <c r="N247" s="366"/>
      <c r="O247" s="348"/>
      <c r="P247" s="348"/>
      <c r="Q247" s="349"/>
      <c r="R247" s="348"/>
      <c r="S247" s="348"/>
      <c r="T247" s="349"/>
      <c r="U247" s="348"/>
      <c r="V247" s="349"/>
      <c r="W247" s="350"/>
      <c r="X247" s="351"/>
      <c r="Y247" s="352"/>
      <c r="Z247" s="353"/>
      <c r="AA247" s="354"/>
      <c r="AB247" s="339"/>
    </row>
    <row r="248" spans="1:28" s="340" customFormat="1">
      <c r="A248" s="711"/>
      <c r="B248" s="342" t="s">
        <v>187</v>
      </c>
      <c r="C248" s="342">
        <v>13684</v>
      </c>
      <c r="D248" s="344" t="s">
        <v>229</v>
      </c>
      <c r="E248" s="345" t="s">
        <v>228</v>
      </c>
      <c r="F248" s="344" t="s">
        <v>229</v>
      </c>
      <c r="G248" s="589">
        <v>46226</v>
      </c>
      <c r="H248" s="346"/>
      <c r="I248" s="346" t="s">
        <v>186</v>
      </c>
      <c r="J248" s="295">
        <v>0.31111111111111112</v>
      </c>
      <c r="K248" s="295">
        <v>0.70833333333333337</v>
      </c>
      <c r="L248" s="347" t="s">
        <v>169</v>
      </c>
      <c r="M248" s="348">
        <v>8</v>
      </c>
      <c r="N248" s="366"/>
      <c r="O248" s="367"/>
      <c r="P248" s="367"/>
      <c r="Q248" s="349"/>
      <c r="R248" s="348"/>
      <c r="S248" s="348"/>
      <c r="T248" s="349"/>
      <c r="U248" s="348"/>
      <c r="V248" s="349"/>
      <c r="W248" s="350"/>
      <c r="X248" s="351"/>
      <c r="Y248" s="352"/>
      <c r="Z248" s="353"/>
      <c r="AA248" s="354"/>
      <c r="AB248" s="339"/>
    </row>
    <row r="249" spans="1:28" s="340" customFormat="1">
      <c r="A249" s="711"/>
      <c r="B249" s="342" t="s">
        <v>187</v>
      </c>
      <c r="C249" s="342">
        <v>13684</v>
      </c>
      <c r="D249" s="344" t="s">
        <v>229</v>
      </c>
      <c r="E249" s="345" t="s">
        <v>228</v>
      </c>
      <c r="F249" s="344" t="s">
        <v>229</v>
      </c>
      <c r="G249" s="589">
        <v>46227</v>
      </c>
      <c r="H249" s="346"/>
      <c r="I249" s="346" t="s">
        <v>186</v>
      </c>
      <c r="J249" s="295">
        <v>0.30416666666666664</v>
      </c>
      <c r="K249" s="318">
        <v>0.79236111111111107</v>
      </c>
      <c r="L249" s="347" t="s">
        <v>169</v>
      </c>
      <c r="M249" s="348">
        <v>8</v>
      </c>
      <c r="N249" s="348">
        <v>2</v>
      </c>
      <c r="O249" s="366"/>
      <c r="P249" s="366"/>
      <c r="Q249" s="368"/>
      <c r="R249" s="366"/>
      <c r="S249" s="366"/>
      <c r="T249" s="349"/>
      <c r="U249" s="348"/>
      <c r="V249" s="349"/>
      <c r="W249" s="350"/>
      <c r="X249" s="351"/>
      <c r="Y249" s="352"/>
      <c r="Z249" s="353"/>
      <c r="AA249" s="354"/>
      <c r="AB249" s="339"/>
    </row>
    <row r="250" spans="1:28" s="340" customFormat="1">
      <c r="A250" s="711"/>
      <c r="B250" s="342" t="s">
        <v>187</v>
      </c>
      <c r="C250" s="342">
        <v>13684</v>
      </c>
      <c r="D250" s="344" t="s">
        <v>229</v>
      </c>
      <c r="E250" s="345" t="s">
        <v>228</v>
      </c>
      <c r="F250" s="344" t="s">
        <v>229</v>
      </c>
      <c r="G250" s="589">
        <v>46228</v>
      </c>
      <c r="H250" s="346"/>
      <c r="I250" s="346" t="s">
        <v>186</v>
      </c>
      <c r="J250" s="295"/>
      <c r="K250" s="295"/>
      <c r="L250" s="347"/>
      <c r="M250" s="348"/>
      <c r="N250" s="348"/>
      <c r="O250" s="348"/>
      <c r="P250" s="348"/>
      <c r="Q250" s="349"/>
      <c r="R250" s="348"/>
      <c r="S250" s="320"/>
      <c r="T250" s="349"/>
      <c r="U250" s="348"/>
      <c r="V250" s="349"/>
      <c r="W250" s="350"/>
      <c r="X250" s="351"/>
      <c r="Y250" s="352"/>
      <c r="Z250" s="353"/>
      <c r="AA250" s="354"/>
      <c r="AB250" s="339"/>
    </row>
    <row r="251" spans="1:28" s="340" customFormat="1">
      <c r="A251" s="711"/>
      <c r="B251" s="342"/>
      <c r="C251" s="342"/>
      <c r="D251" s="344"/>
      <c r="E251" s="345"/>
      <c r="F251" s="344"/>
      <c r="G251" s="594"/>
      <c r="H251" s="346"/>
      <c r="I251" s="385"/>
      <c r="J251" s="369"/>
      <c r="K251" s="370"/>
      <c r="L251" s="371"/>
      <c r="M251" s="363"/>
      <c r="N251" s="363"/>
      <c r="O251" s="363"/>
      <c r="P251" s="363"/>
      <c r="Q251" s="372"/>
      <c r="R251" s="363"/>
      <c r="S251" s="324"/>
      <c r="T251" s="349"/>
      <c r="U251" s="348"/>
      <c r="V251" s="349"/>
      <c r="W251" s="350"/>
      <c r="X251" s="351"/>
      <c r="Y251" s="352"/>
      <c r="Z251" s="353"/>
      <c r="AA251" s="354"/>
      <c r="AB251" s="339"/>
    </row>
    <row r="252" spans="1:28" s="340" customFormat="1">
      <c r="A252" s="712"/>
      <c r="B252" s="325"/>
      <c r="C252" s="342"/>
      <c r="D252" s="325"/>
      <c r="E252" s="345"/>
      <c r="F252" s="325"/>
      <c r="G252" s="595"/>
      <c r="H252" s="374"/>
      <c r="I252" s="377"/>
      <c r="J252" s="375"/>
      <c r="K252" s="376"/>
      <c r="L252" s="377"/>
      <c r="M252" s="377">
        <f t="shared" ref="M252:AA252" si="13">SUM(M235:M251)</f>
        <v>88</v>
      </c>
      <c r="N252" s="377">
        <f t="shared" si="13"/>
        <v>4</v>
      </c>
      <c r="O252" s="377">
        <f t="shared" si="13"/>
        <v>0</v>
      </c>
      <c r="P252" s="377">
        <f t="shared" si="13"/>
        <v>0</v>
      </c>
      <c r="Q252" s="377">
        <f t="shared" si="13"/>
        <v>0</v>
      </c>
      <c r="R252" s="377">
        <f t="shared" si="13"/>
        <v>0</v>
      </c>
      <c r="S252" s="377">
        <f t="shared" si="13"/>
        <v>0</v>
      </c>
      <c r="T252" s="377">
        <f t="shared" si="13"/>
        <v>0</v>
      </c>
      <c r="U252" s="377">
        <f t="shared" si="13"/>
        <v>0</v>
      </c>
      <c r="V252" s="377">
        <f t="shared" si="13"/>
        <v>0</v>
      </c>
      <c r="W252" s="377">
        <f t="shared" si="13"/>
        <v>0</v>
      </c>
      <c r="X252" s="377">
        <f t="shared" si="13"/>
        <v>0</v>
      </c>
      <c r="Y252" s="377">
        <f t="shared" si="13"/>
        <v>0</v>
      </c>
      <c r="Z252" s="377">
        <f t="shared" si="13"/>
        <v>0</v>
      </c>
      <c r="AA252" s="377">
        <f t="shared" si="13"/>
        <v>0</v>
      </c>
      <c r="AB252" s="339"/>
    </row>
    <row r="253" spans="1:28" s="340" customFormat="1">
      <c r="A253" s="280" t="s">
        <v>170</v>
      </c>
      <c r="B253" s="280" t="s">
        <v>120</v>
      </c>
      <c r="C253" s="280" t="s">
        <v>152</v>
      </c>
      <c r="D253" s="280" t="s">
        <v>182</v>
      </c>
      <c r="E253" s="281" t="s">
        <v>153</v>
      </c>
      <c r="F253" s="280" t="s">
        <v>182</v>
      </c>
      <c r="G253" s="593" t="s">
        <v>401</v>
      </c>
      <c r="H253" s="333"/>
      <c r="I253" s="334" t="s">
        <v>181</v>
      </c>
      <c r="J253" s="335" t="s">
        <v>154</v>
      </c>
      <c r="K253" s="335" t="s">
        <v>155</v>
      </c>
      <c r="L253" s="336" t="s">
        <v>156</v>
      </c>
      <c r="M253" s="337" t="s">
        <v>157</v>
      </c>
      <c r="N253" s="336" t="s">
        <v>158</v>
      </c>
      <c r="O253" s="336" t="s">
        <v>159</v>
      </c>
      <c r="P253" s="336" t="s">
        <v>174</v>
      </c>
      <c r="Q253" s="336" t="s">
        <v>160</v>
      </c>
      <c r="R253" s="336" t="s">
        <v>161</v>
      </c>
      <c r="S253" s="336" t="s">
        <v>162</v>
      </c>
      <c r="T253" s="334" t="s">
        <v>163</v>
      </c>
      <c r="U253" s="334" t="s">
        <v>164</v>
      </c>
      <c r="V253" s="334" t="s">
        <v>165</v>
      </c>
      <c r="W253" s="336" t="s">
        <v>113</v>
      </c>
      <c r="X253" s="334" t="s">
        <v>121</v>
      </c>
      <c r="Y253" s="334" t="s">
        <v>166</v>
      </c>
      <c r="Z253" s="338" t="s">
        <v>175</v>
      </c>
      <c r="AA253" s="338" t="s">
        <v>167</v>
      </c>
      <c r="AB253" s="339"/>
    </row>
    <row r="254" spans="1:28" s="340" customFormat="1">
      <c r="A254" s="710"/>
      <c r="B254" s="342" t="s">
        <v>187</v>
      </c>
      <c r="C254" s="343">
        <v>14275</v>
      </c>
      <c r="D254" s="344" t="s">
        <v>226</v>
      </c>
      <c r="E254" s="345" t="s">
        <v>227</v>
      </c>
      <c r="F254" s="344" t="s">
        <v>226</v>
      </c>
      <c r="G254" s="589">
        <v>46214</v>
      </c>
      <c r="H254" s="346"/>
      <c r="I254" s="346"/>
      <c r="J254" s="295"/>
      <c r="K254" s="295"/>
      <c r="L254" s="347"/>
      <c r="M254" s="348"/>
      <c r="N254" s="348"/>
      <c r="O254" s="348"/>
      <c r="P254" s="348"/>
      <c r="Q254" s="349"/>
      <c r="R254" s="348"/>
      <c r="S254" s="348"/>
      <c r="T254" s="349"/>
      <c r="U254" s="348"/>
      <c r="V254" s="349"/>
      <c r="W254" s="350"/>
      <c r="X254" s="351"/>
      <c r="Y254" s="352"/>
      <c r="Z254" s="353"/>
      <c r="AA254" s="354"/>
      <c r="AB254" s="339"/>
    </row>
    <row r="255" spans="1:28" s="340" customFormat="1">
      <c r="A255" s="711"/>
      <c r="B255" s="342" t="s">
        <v>187</v>
      </c>
      <c r="C255" s="343">
        <v>14275</v>
      </c>
      <c r="D255" s="344" t="s">
        <v>226</v>
      </c>
      <c r="E255" s="345" t="s">
        <v>227</v>
      </c>
      <c r="F255" s="344" t="s">
        <v>226</v>
      </c>
      <c r="G255" s="590">
        <v>46215</v>
      </c>
      <c r="H255" s="346"/>
      <c r="I255" s="346"/>
      <c r="J255" s="699" t="s">
        <v>173</v>
      </c>
      <c r="K255" s="700"/>
      <c r="L255" s="347"/>
      <c r="M255" s="348"/>
      <c r="N255" s="348"/>
      <c r="O255" s="348"/>
      <c r="P255" s="348"/>
      <c r="Q255" s="349"/>
      <c r="R255" s="348"/>
      <c r="S255" s="348"/>
      <c r="T255" s="349"/>
      <c r="U255" s="348"/>
      <c r="V255" s="349"/>
      <c r="W255" s="350"/>
      <c r="X255" s="351"/>
      <c r="Y255" s="352"/>
      <c r="Z255" s="353"/>
      <c r="AA255" s="354"/>
      <c r="AB255" s="339"/>
    </row>
    <row r="256" spans="1:28" s="340" customFormat="1">
      <c r="A256" s="711"/>
      <c r="B256" s="342" t="s">
        <v>187</v>
      </c>
      <c r="C256" s="343">
        <v>14275</v>
      </c>
      <c r="D256" s="344" t="s">
        <v>226</v>
      </c>
      <c r="E256" s="345" t="s">
        <v>227</v>
      </c>
      <c r="F256" s="344" t="s">
        <v>226</v>
      </c>
      <c r="G256" s="589">
        <v>46216</v>
      </c>
      <c r="H256" s="346"/>
      <c r="I256" s="386" t="s">
        <v>183</v>
      </c>
      <c r="J256" s="387">
        <v>0.76875000000000004</v>
      </c>
      <c r="K256" s="387">
        <v>0.25</v>
      </c>
      <c r="L256" s="388" t="s">
        <v>168</v>
      </c>
      <c r="M256" s="366">
        <v>8</v>
      </c>
      <c r="N256" s="366">
        <v>2</v>
      </c>
      <c r="O256" s="348">
        <v>6</v>
      </c>
      <c r="P256" s="348">
        <v>2</v>
      </c>
      <c r="Q256" s="349"/>
      <c r="R256" s="348"/>
      <c r="S256" s="348"/>
      <c r="T256" s="349"/>
      <c r="U256" s="348"/>
      <c r="V256" s="349"/>
      <c r="W256" s="350"/>
      <c r="X256" s="351"/>
      <c r="Y256" s="352"/>
      <c r="Z256" s="353"/>
      <c r="AA256" s="354"/>
      <c r="AB256" s="339"/>
    </row>
    <row r="257" spans="1:28" s="340" customFormat="1">
      <c r="A257" s="711"/>
      <c r="B257" s="342" t="s">
        <v>187</v>
      </c>
      <c r="C257" s="343">
        <v>14275</v>
      </c>
      <c r="D257" s="344" t="s">
        <v>226</v>
      </c>
      <c r="E257" s="345" t="s">
        <v>227</v>
      </c>
      <c r="F257" s="344" t="s">
        <v>226</v>
      </c>
      <c r="G257" s="589">
        <v>46217</v>
      </c>
      <c r="H257" s="346"/>
      <c r="I257" s="386" t="s">
        <v>183</v>
      </c>
      <c r="J257" s="389">
        <v>0.77222222222222225</v>
      </c>
      <c r="K257" s="389">
        <v>0.25069444444444444</v>
      </c>
      <c r="L257" s="388" t="s">
        <v>168</v>
      </c>
      <c r="M257" s="366">
        <v>8</v>
      </c>
      <c r="N257" s="366">
        <v>2</v>
      </c>
      <c r="O257" s="348">
        <v>6</v>
      </c>
      <c r="P257" s="348">
        <v>2</v>
      </c>
      <c r="Q257" s="356"/>
      <c r="R257" s="357"/>
      <c r="S257" s="357"/>
      <c r="T257" s="356"/>
      <c r="U257" s="357"/>
      <c r="V257" s="356"/>
      <c r="W257" s="358"/>
      <c r="X257" s="359"/>
      <c r="Y257" s="360"/>
      <c r="Z257" s="361"/>
      <c r="AA257" s="362"/>
      <c r="AB257" s="339"/>
    </row>
    <row r="258" spans="1:28" s="340" customFormat="1">
      <c r="A258" s="711"/>
      <c r="B258" s="342" t="s">
        <v>187</v>
      </c>
      <c r="C258" s="343">
        <v>14275</v>
      </c>
      <c r="D258" s="344" t="s">
        <v>226</v>
      </c>
      <c r="E258" s="345" t="s">
        <v>227</v>
      </c>
      <c r="F258" s="344" t="s">
        <v>226</v>
      </c>
      <c r="G258" s="589">
        <v>46218</v>
      </c>
      <c r="H258" s="346"/>
      <c r="I258" s="386" t="s">
        <v>183</v>
      </c>
      <c r="J258" s="390">
        <v>0.7715277777777777</v>
      </c>
      <c r="K258" s="390">
        <v>0.25069444444444444</v>
      </c>
      <c r="L258" s="388" t="s">
        <v>168</v>
      </c>
      <c r="M258" s="366">
        <v>8</v>
      </c>
      <c r="N258" s="366">
        <v>2</v>
      </c>
      <c r="O258" s="348">
        <v>6</v>
      </c>
      <c r="P258" s="348">
        <v>2</v>
      </c>
      <c r="Q258" s="349"/>
      <c r="R258" s="348"/>
      <c r="S258" s="348"/>
      <c r="T258" s="349"/>
      <c r="U258" s="348"/>
      <c r="V258" s="349"/>
      <c r="W258" s="350"/>
      <c r="X258" s="351"/>
      <c r="Y258" s="352"/>
      <c r="Z258" s="353"/>
      <c r="AA258" s="354"/>
      <c r="AB258" s="339"/>
    </row>
    <row r="259" spans="1:28" s="340" customFormat="1">
      <c r="A259" s="711"/>
      <c r="B259" s="342" t="s">
        <v>187</v>
      </c>
      <c r="C259" s="343">
        <v>14275</v>
      </c>
      <c r="D259" s="344" t="s">
        <v>226</v>
      </c>
      <c r="E259" s="345" t="s">
        <v>227</v>
      </c>
      <c r="F259" s="344" t="s">
        <v>226</v>
      </c>
      <c r="G259" s="589">
        <v>46219</v>
      </c>
      <c r="H259" s="346"/>
      <c r="I259" s="386" t="s">
        <v>183</v>
      </c>
      <c r="J259" s="305">
        <v>0.77013888888888893</v>
      </c>
      <c r="K259" s="305">
        <v>0.1673611111111111</v>
      </c>
      <c r="L259" s="388" t="s">
        <v>168</v>
      </c>
      <c r="M259" s="366">
        <v>8</v>
      </c>
      <c r="N259" s="366"/>
      <c r="O259" s="348">
        <v>6</v>
      </c>
      <c r="P259" s="348"/>
      <c r="Q259" s="349"/>
      <c r="R259" s="348"/>
      <c r="S259" s="348"/>
      <c r="T259" s="349"/>
      <c r="U259" s="348"/>
      <c r="V259" s="349"/>
      <c r="W259" s="350"/>
      <c r="X259" s="351"/>
      <c r="Y259" s="352"/>
      <c r="Z259" s="353"/>
      <c r="AA259" s="354"/>
      <c r="AB259" s="339"/>
    </row>
    <row r="260" spans="1:28" s="340" customFormat="1">
      <c r="A260" s="711"/>
      <c r="B260" s="342" t="s">
        <v>187</v>
      </c>
      <c r="C260" s="343">
        <v>14275</v>
      </c>
      <c r="D260" s="344" t="s">
        <v>226</v>
      </c>
      <c r="E260" s="345" t="s">
        <v>227</v>
      </c>
      <c r="F260" s="344" t="s">
        <v>226</v>
      </c>
      <c r="G260" s="589">
        <v>46220</v>
      </c>
      <c r="H260" s="346"/>
      <c r="I260" s="386" t="s">
        <v>183</v>
      </c>
      <c r="J260" s="305">
        <v>0.77083333333333337</v>
      </c>
      <c r="K260" s="305">
        <v>0.1673611111111111</v>
      </c>
      <c r="L260" s="388" t="s">
        <v>168</v>
      </c>
      <c r="M260" s="366">
        <v>8</v>
      </c>
      <c r="N260" s="366"/>
      <c r="O260" s="348">
        <v>6</v>
      </c>
      <c r="P260" s="348"/>
      <c r="Q260" s="349"/>
      <c r="R260" s="348"/>
      <c r="S260" s="348"/>
      <c r="T260" s="349"/>
      <c r="U260" s="348"/>
      <c r="V260" s="349"/>
      <c r="W260" s="350"/>
      <c r="X260" s="351"/>
      <c r="Y260" s="352"/>
      <c r="Z260" s="353"/>
      <c r="AA260" s="354"/>
      <c r="AB260" s="339"/>
    </row>
    <row r="261" spans="1:28" s="340" customFormat="1">
      <c r="A261" s="711"/>
      <c r="B261" s="342" t="s">
        <v>187</v>
      </c>
      <c r="C261" s="343">
        <v>14275</v>
      </c>
      <c r="D261" s="344" t="s">
        <v>226</v>
      </c>
      <c r="E261" s="345" t="s">
        <v>227</v>
      </c>
      <c r="F261" s="344" t="s">
        <v>226</v>
      </c>
      <c r="G261" s="589">
        <v>46221</v>
      </c>
      <c r="H261" s="346"/>
      <c r="I261" s="386" t="s">
        <v>183</v>
      </c>
      <c r="J261" s="305">
        <v>0.76597222222222228</v>
      </c>
      <c r="K261" s="305">
        <v>0.1673611111111111</v>
      </c>
      <c r="L261" s="388" t="s">
        <v>168</v>
      </c>
      <c r="M261" s="366">
        <v>8</v>
      </c>
      <c r="N261" s="366"/>
      <c r="O261" s="348">
        <v>6</v>
      </c>
      <c r="P261" s="348"/>
      <c r="Q261" s="349"/>
      <c r="R261" s="348"/>
      <c r="S261" s="348"/>
      <c r="T261" s="349"/>
      <c r="U261" s="348"/>
      <c r="V261" s="349"/>
      <c r="W261" s="350"/>
      <c r="X261" s="351"/>
      <c r="Y261" s="352"/>
      <c r="Z261" s="353"/>
      <c r="AA261" s="354"/>
      <c r="AB261" s="339"/>
    </row>
    <row r="262" spans="1:28" s="340" customFormat="1">
      <c r="A262" s="711"/>
      <c r="B262" s="342" t="s">
        <v>187</v>
      </c>
      <c r="C262" s="343">
        <v>14275</v>
      </c>
      <c r="D262" s="344" t="s">
        <v>226</v>
      </c>
      <c r="E262" s="345" t="s">
        <v>227</v>
      </c>
      <c r="F262" s="344" t="s">
        <v>226</v>
      </c>
      <c r="G262" s="590">
        <v>46222</v>
      </c>
      <c r="H262" s="346"/>
      <c r="I262" s="346"/>
      <c r="J262" s="699" t="s">
        <v>173</v>
      </c>
      <c r="K262" s="700"/>
      <c r="L262" s="347"/>
      <c r="M262" s="348"/>
      <c r="N262" s="348"/>
      <c r="O262" s="348"/>
      <c r="P262" s="348"/>
      <c r="Q262" s="349"/>
      <c r="R262" s="348"/>
      <c r="S262" s="348"/>
      <c r="T262" s="349"/>
      <c r="U262" s="348"/>
      <c r="V262" s="349"/>
      <c r="W262" s="350"/>
      <c r="X262" s="351"/>
      <c r="Y262" s="352"/>
      <c r="Z262" s="353"/>
      <c r="AA262" s="354"/>
      <c r="AB262" s="339"/>
    </row>
    <row r="263" spans="1:28" s="340" customFormat="1">
      <c r="A263" s="711"/>
      <c r="B263" s="342" t="s">
        <v>187</v>
      </c>
      <c r="C263" s="343">
        <v>14275</v>
      </c>
      <c r="D263" s="344" t="s">
        <v>226</v>
      </c>
      <c r="E263" s="345" t="s">
        <v>227</v>
      </c>
      <c r="F263" s="344" t="s">
        <v>226</v>
      </c>
      <c r="G263" s="589">
        <v>46223</v>
      </c>
      <c r="H263" s="346"/>
      <c r="I263" s="386" t="s">
        <v>183</v>
      </c>
      <c r="J263" s="295">
        <v>0.76875000000000004</v>
      </c>
      <c r="K263" s="295">
        <v>0.1673611111111111</v>
      </c>
      <c r="L263" s="388" t="s">
        <v>168</v>
      </c>
      <c r="M263" s="366">
        <v>8</v>
      </c>
      <c r="N263" s="366"/>
      <c r="O263" s="348">
        <v>6</v>
      </c>
      <c r="P263" s="357"/>
      <c r="Q263" s="356"/>
      <c r="R263" s="357"/>
      <c r="S263" s="357"/>
      <c r="T263" s="356"/>
      <c r="U263" s="357"/>
      <c r="V263" s="356"/>
      <c r="W263" s="350"/>
      <c r="X263" s="351"/>
      <c r="Y263" s="352"/>
      <c r="Z263" s="353"/>
      <c r="AA263" s="354"/>
      <c r="AB263" s="339"/>
    </row>
    <row r="264" spans="1:28" s="340" customFormat="1">
      <c r="A264" s="711"/>
      <c r="B264" s="342" t="s">
        <v>187</v>
      </c>
      <c r="C264" s="343">
        <v>14275</v>
      </c>
      <c r="D264" s="344" t="s">
        <v>226</v>
      </c>
      <c r="E264" s="345" t="s">
        <v>227</v>
      </c>
      <c r="F264" s="344" t="s">
        <v>226</v>
      </c>
      <c r="G264" s="589">
        <v>46224</v>
      </c>
      <c r="H264" s="346"/>
      <c r="I264" s="386" t="s">
        <v>183</v>
      </c>
      <c r="J264" s="295">
        <v>0.77013888888888893</v>
      </c>
      <c r="K264" s="295">
        <v>0.25069444444444444</v>
      </c>
      <c r="L264" s="388" t="s">
        <v>168</v>
      </c>
      <c r="M264" s="366">
        <v>8</v>
      </c>
      <c r="N264" s="366">
        <v>2</v>
      </c>
      <c r="O264" s="348">
        <v>6</v>
      </c>
      <c r="P264" s="348">
        <v>2</v>
      </c>
      <c r="Q264" s="364"/>
      <c r="R264" s="365"/>
      <c r="S264" s="365"/>
      <c r="T264" s="356"/>
      <c r="U264" s="357"/>
      <c r="V264" s="356"/>
      <c r="W264" s="358"/>
      <c r="X264" s="359"/>
      <c r="Y264" s="360"/>
      <c r="Z264" s="361"/>
      <c r="AA264" s="362"/>
      <c r="AB264" s="339"/>
    </row>
    <row r="265" spans="1:28" s="340" customFormat="1">
      <c r="A265" s="711"/>
      <c r="B265" s="342" t="s">
        <v>187</v>
      </c>
      <c r="C265" s="343">
        <v>14275</v>
      </c>
      <c r="D265" s="344" t="s">
        <v>226</v>
      </c>
      <c r="E265" s="345" t="s">
        <v>227</v>
      </c>
      <c r="F265" s="344" t="s">
        <v>226</v>
      </c>
      <c r="G265" s="589">
        <v>46225</v>
      </c>
      <c r="H265" s="346"/>
      <c r="I265" s="386" t="s">
        <v>183</v>
      </c>
      <c r="J265" s="295">
        <v>0.76527777777777772</v>
      </c>
      <c r="K265" s="295">
        <v>0.16666666666666666</v>
      </c>
      <c r="L265" s="388" t="s">
        <v>168</v>
      </c>
      <c r="M265" s="366">
        <v>8</v>
      </c>
      <c r="N265" s="366"/>
      <c r="O265" s="348">
        <v>6</v>
      </c>
      <c r="P265" s="348"/>
      <c r="Q265" s="349"/>
      <c r="R265" s="348"/>
      <c r="S265" s="348"/>
      <c r="T265" s="349"/>
      <c r="U265" s="348"/>
      <c r="V265" s="349"/>
      <c r="W265" s="350"/>
      <c r="X265" s="351"/>
      <c r="Y265" s="352"/>
      <c r="Z265" s="353"/>
      <c r="AA265" s="354"/>
      <c r="AB265" s="339"/>
    </row>
    <row r="266" spans="1:28" s="340" customFormat="1">
      <c r="A266" s="711"/>
      <c r="B266" s="342" t="s">
        <v>187</v>
      </c>
      <c r="C266" s="343">
        <v>14275</v>
      </c>
      <c r="D266" s="344" t="s">
        <v>226</v>
      </c>
      <c r="E266" s="345" t="s">
        <v>227</v>
      </c>
      <c r="F266" s="344" t="s">
        <v>226</v>
      </c>
      <c r="G266" s="589">
        <v>46226</v>
      </c>
      <c r="H266" s="346"/>
      <c r="I266" s="386" t="s">
        <v>183</v>
      </c>
      <c r="J266" s="295">
        <v>0.76944444444444449</v>
      </c>
      <c r="K266" s="295">
        <v>0.16666666666666666</v>
      </c>
      <c r="L266" s="388" t="s">
        <v>168</v>
      </c>
      <c r="M266" s="366">
        <v>8</v>
      </c>
      <c r="N266" s="366"/>
      <c r="O266" s="348">
        <v>6</v>
      </c>
      <c r="P266" s="367"/>
      <c r="Q266" s="349"/>
      <c r="R266" s="348"/>
      <c r="S266" s="348"/>
      <c r="T266" s="349"/>
      <c r="U266" s="348"/>
      <c r="V266" s="349"/>
      <c r="W266" s="350"/>
      <c r="X266" s="351"/>
      <c r="Y266" s="352"/>
      <c r="Z266" s="353"/>
      <c r="AA266" s="354"/>
      <c r="AB266" s="339"/>
    </row>
    <row r="267" spans="1:28" s="340" customFormat="1">
      <c r="A267" s="711"/>
      <c r="B267" s="342" t="s">
        <v>187</v>
      </c>
      <c r="C267" s="343">
        <v>14275</v>
      </c>
      <c r="D267" s="344" t="s">
        <v>226</v>
      </c>
      <c r="E267" s="345" t="s">
        <v>227</v>
      </c>
      <c r="F267" s="344" t="s">
        <v>226</v>
      </c>
      <c r="G267" s="589">
        <v>46227</v>
      </c>
      <c r="H267" s="346"/>
      <c r="I267" s="386" t="s">
        <v>183</v>
      </c>
      <c r="J267" s="295">
        <v>0.7729166666666667</v>
      </c>
      <c r="K267" s="318">
        <v>0.16666666666666666</v>
      </c>
      <c r="L267" s="388" t="s">
        <v>168</v>
      </c>
      <c r="M267" s="366">
        <v>8</v>
      </c>
      <c r="N267" s="366"/>
      <c r="O267" s="348">
        <v>6</v>
      </c>
      <c r="P267" s="366"/>
      <c r="Q267" s="368"/>
      <c r="R267" s="366"/>
      <c r="S267" s="366"/>
      <c r="T267" s="349"/>
      <c r="U267" s="348"/>
      <c r="V267" s="349"/>
      <c r="W267" s="350"/>
      <c r="X267" s="351"/>
      <c r="Y267" s="352"/>
      <c r="Z267" s="353"/>
      <c r="AA267" s="354"/>
      <c r="AB267" s="339"/>
    </row>
    <row r="268" spans="1:28" s="340" customFormat="1">
      <c r="A268" s="711"/>
      <c r="B268" s="342" t="s">
        <v>187</v>
      </c>
      <c r="C268" s="343">
        <v>14275</v>
      </c>
      <c r="D268" s="344" t="s">
        <v>226</v>
      </c>
      <c r="E268" s="345" t="s">
        <v>227</v>
      </c>
      <c r="F268" s="344" t="s">
        <v>226</v>
      </c>
      <c r="G268" s="589">
        <v>46228</v>
      </c>
      <c r="H268" s="346"/>
      <c r="I268" s="386" t="s">
        <v>183</v>
      </c>
      <c r="J268" s="295"/>
      <c r="K268" s="295"/>
      <c r="L268" s="347"/>
      <c r="M268" s="348"/>
      <c r="N268" s="348"/>
      <c r="O268" s="348"/>
      <c r="P268" s="348"/>
      <c r="Q268" s="349"/>
      <c r="R268" s="348"/>
      <c r="S268" s="320"/>
      <c r="T268" s="349"/>
      <c r="U268" s="348"/>
      <c r="V268" s="349"/>
      <c r="W268" s="350"/>
      <c r="X268" s="351"/>
      <c r="Y268" s="352"/>
      <c r="Z268" s="353"/>
      <c r="AA268" s="354"/>
      <c r="AB268" s="339"/>
    </row>
    <row r="269" spans="1:28" s="340" customFormat="1">
      <c r="A269" s="711"/>
      <c r="B269" s="342" t="s">
        <v>187</v>
      </c>
      <c r="C269" s="384"/>
      <c r="D269" s="344"/>
      <c r="E269" s="345"/>
      <c r="F269" s="344"/>
      <c r="G269" s="594"/>
      <c r="H269" s="346"/>
      <c r="I269" s="346"/>
      <c r="J269" s="369"/>
      <c r="K269" s="370"/>
      <c r="L269" s="371"/>
      <c r="M269" s="363"/>
      <c r="N269" s="363"/>
      <c r="O269" s="363"/>
      <c r="P269" s="363"/>
      <c r="Q269" s="372"/>
      <c r="R269" s="363"/>
      <c r="S269" s="324"/>
      <c r="T269" s="349"/>
      <c r="U269" s="348"/>
      <c r="V269" s="349"/>
      <c r="W269" s="350"/>
      <c r="X269" s="351"/>
      <c r="Y269" s="352"/>
      <c r="Z269" s="353"/>
      <c r="AA269" s="354"/>
      <c r="AB269" s="339"/>
    </row>
    <row r="270" spans="1:28" s="340" customFormat="1">
      <c r="A270" s="712"/>
      <c r="B270" s="325"/>
      <c r="C270" s="342"/>
      <c r="D270" s="325"/>
      <c r="E270" s="345"/>
      <c r="F270" s="325"/>
      <c r="G270" s="595"/>
      <c r="H270" s="374"/>
      <c r="I270" s="377"/>
      <c r="J270" s="375"/>
      <c r="K270" s="376"/>
      <c r="L270" s="377"/>
      <c r="M270" s="377">
        <f t="shared" ref="M270:AA270" si="14">SUM(M253:M269)</f>
        <v>88</v>
      </c>
      <c r="N270" s="377">
        <f t="shared" si="14"/>
        <v>8</v>
      </c>
      <c r="O270" s="377">
        <f t="shared" si="14"/>
        <v>66</v>
      </c>
      <c r="P270" s="377">
        <f t="shared" si="14"/>
        <v>8</v>
      </c>
      <c r="Q270" s="377">
        <f t="shared" si="14"/>
        <v>0</v>
      </c>
      <c r="R270" s="377">
        <f t="shared" si="14"/>
        <v>0</v>
      </c>
      <c r="S270" s="377">
        <f t="shared" si="14"/>
        <v>0</v>
      </c>
      <c r="T270" s="377">
        <f t="shared" si="14"/>
        <v>0</v>
      </c>
      <c r="U270" s="377">
        <f t="shared" si="14"/>
        <v>0</v>
      </c>
      <c r="V270" s="377">
        <f t="shared" si="14"/>
        <v>0</v>
      </c>
      <c r="W270" s="377">
        <f t="shared" si="14"/>
        <v>0</v>
      </c>
      <c r="X270" s="377">
        <f t="shared" si="14"/>
        <v>0</v>
      </c>
      <c r="Y270" s="377">
        <f t="shared" si="14"/>
        <v>0</v>
      </c>
      <c r="Z270" s="377">
        <f t="shared" si="14"/>
        <v>0</v>
      </c>
      <c r="AA270" s="377">
        <f t="shared" si="14"/>
        <v>0</v>
      </c>
      <c r="AB270" s="339"/>
    </row>
    <row r="271" spans="1:28" s="340" customFormat="1">
      <c r="A271" s="280" t="s">
        <v>170</v>
      </c>
      <c r="B271" s="280" t="s">
        <v>120</v>
      </c>
      <c r="C271" s="280" t="s">
        <v>152</v>
      </c>
      <c r="D271" s="280" t="s">
        <v>182</v>
      </c>
      <c r="E271" s="281" t="s">
        <v>153</v>
      </c>
      <c r="F271" s="280" t="s">
        <v>182</v>
      </c>
      <c r="G271" s="593"/>
      <c r="H271" s="333"/>
      <c r="I271" s="334" t="s">
        <v>181</v>
      </c>
      <c r="J271" s="335" t="s">
        <v>154</v>
      </c>
      <c r="K271" s="335" t="s">
        <v>155</v>
      </c>
      <c r="L271" s="336" t="s">
        <v>156</v>
      </c>
      <c r="M271" s="337" t="s">
        <v>157</v>
      </c>
      <c r="N271" s="336" t="s">
        <v>158</v>
      </c>
      <c r="O271" s="336" t="s">
        <v>159</v>
      </c>
      <c r="P271" s="336" t="s">
        <v>174</v>
      </c>
      <c r="Q271" s="336" t="s">
        <v>160</v>
      </c>
      <c r="R271" s="336" t="s">
        <v>161</v>
      </c>
      <c r="S271" s="336" t="s">
        <v>162</v>
      </c>
      <c r="T271" s="334" t="s">
        <v>163</v>
      </c>
      <c r="U271" s="334" t="s">
        <v>164</v>
      </c>
      <c r="V271" s="334" t="s">
        <v>165</v>
      </c>
      <c r="W271" s="336" t="s">
        <v>113</v>
      </c>
      <c r="X271" s="334" t="s">
        <v>121</v>
      </c>
      <c r="Y271" s="334" t="s">
        <v>166</v>
      </c>
      <c r="Z271" s="338" t="s">
        <v>175</v>
      </c>
      <c r="AA271" s="338" t="s">
        <v>167</v>
      </c>
      <c r="AB271" s="339"/>
    </row>
    <row r="272" spans="1:28" s="340" customFormat="1">
      <c r="A272" s="710"/>
      <c r="B272" s="342" t="s">
        <v>187</v>
      </c>
      <c r="C272" s="343">
        <v>14285</v>
      </c>
      <c r="D272" s="344" t="s">
        <v>225</v>
      </c>
      <c r="E272" s="345" t="s">
        <v>224</v>
      </c>
      <c r="F272" s="344" t="s">
        <v>225</v>
      </c>
      <c r="G272" s="589">
        <v>46214</v>
      </c>
      <c r="H272" s="346"/>
      <c r="I272" s="346"/>
      <c r="J272" s="295"/>
      <c r="K272" s="295"/>
      <c r="L272" s="347"/>
      <c r="M272" s="348"/>
      <c r="N272" s="348"/>
      <c r="O272" s="348"/>
      <c r="P272" s="348"/>
      <c r="Q272" s="349"/>
      <c r="R272" s="348"/>
      <c r="S272" s="348"/>
      <c r="T272" s="349"/>
      <c r="U272" s="348"/>
      <c r="V272" s="349"/>
      <c r="W272" s="350"/>
      <c r="X272" s="351"/>
      <c r="Y272" s="352"/>
      <c r="Z272" s="353"/>
      <c r="AA272" s="354"/>
      <c r="AB272" s="339"/>
    </row>
    <row r="273" spans="1:28" s="340" customFormat="1">
      <c r="A273" s="711"/>
      <c r="B273" s="342" t="s">
        <v>187</v>
      </c>
      <c r="C273" s="343">
        <v>14285</v>
      </c>
      <c r="D273" s="344" t="s">
        <v>225</v>
      </c>
      <c r="E273" s="345" t="s">
        <v>224</v>
      </c>
      <c r="F273" s="344" t="s">
        <v>225</v>
      </c>
      <c r="G273" s="590">
        <v>46215</v>
      </c>
      <c r="H273" s="346"/>
      <c r="I273" s="346"/>
      <c r="J273" s="699" t="s">
        <v>173</v>
      </c>
      <c r="K273" s="700"/>
      <c r="L273" s="347"/>
      <c r="M273" s="348"/>
      <c r="N273" s="348"/>
      <c r="O273" s="348"/>
      <c r="P273" s="348"/>
      <c r="Q273" s="349"/>
      <c r="R273" s="348"/>
      <c r="S273" s="348"/>
      <c r="T273" s="349"/>
      <c r="U273" s="348"/>
      <c r="V273" s="349"/>
      <c r="W273" s="350"/>
      <c r="X273" s="351"/>
      <c r="Y273" s="352"/>
      <c r="Z273" s="353"/>
      <c r="AA273" s="354"/>
      <c r="AB273" s="339"/>
    </row>
    <row r="274" spans="1:28" s="340" customFormat="1">
      <c r="A274" s="711"/>
      <c r="B274" s="342" t="s">
        <v>187</v>
      </c>
      <c r="C274" s="343">
        <v>14285</v>
      </c>
      <c r="D274" s="344" t="s">
        <v>225</v>
      </c>
      <c r="E274" s="345" t="s">
        <v>224</v>
      </c>
      <c r="F274" s="344" t="s">
        <v>225</v>
      </c>
      <c r="G274" s="589">
        <v>46216</v>
      </c>
      <c r="H274" s="346"/>
      <c r="I274" s="346" t="s">
        <v>183</v>
      </c>
      <c r="J274" s="382">
        <v>0.77430555555555558</v>
      </c>
      <c r="K274" s="382">
        <v>0.25069444444444444</v>
      </c>
      <c r="L274" s="347" t="s">
        <v>168</v>
      </c>
      <c r="M274" s="348">
        <v>8</v>
      </c>
      <c r="N274" s="348">
        <v>2</v>
      </c>
      <c r="O274" s="348">
        <v>6</v>
      </c>
      <c r="P274" s="348">
        <v>2</v>
      </c>
      <c r="Q274" s="349"/>
      <c r="R274" s="348"/>
      <c r="S274" s="348"/>
      <c r="T274" s="349"/>
      <c r="U274" s="348"/>
      <c r="V274" s="349"/>
      <c r="W274" s="350"/>
      <c r="X274" s="351"/>
      <c r="Y274" s="352"/>
      <c r="Z274" s="353"/>
      <c r="AA274" s="354"/>
      <c r="AB274" s="339"/>
    </row>
    <row r="275" spans="1:28" s="340" customFormat="1">
      <c r="A275" s="711"/>
      <c r="B275" s="342" t="s">
        <v>187</v>
      </c>
      <c r="C275" s="343">
        <v>14285</v>
      </c>
      <c r="D275" s="344" t="s">
        <v>225</v>
      </c>
      <c r="E275" s="345" t="s">
        <v>224</v>
      </c>
      <c r="F275" s="344" t="s">
        <v>225</v>
      </c>
      <c r="G275" s="589">
        <v>46217</v>
      </c>
      <c r="H275" s="346"/>
      <c r="I275" s="346" t="s">
        <v>183</v>
      </c>
      <c r="J275" s="305">
        <v>0.77430555555555547</v>
      </c>
      <c r="K275" s="305">
        <v>0.25069444444444444</v>
      </c>
      <c r="L275" s="347" t="s">
        <v>168</v>
      </c>
      <c r="M275" s="348">
        <v>8</v>
      </c>
      <c r="N275" s="348">
        <v>2</v>
      </c>
      <c r="O275" s="348">
        <v>6</v>
      </c>
      <c r="P275" s="348">
        <v>2</v>
      </c>
      <c r="Q275" s="356"/>
      <c r="R275" s="357"/>
      <c r="S275" s="357"/>
      <c r="T275" s="356"/>
      <c r="U275" s="357"/>
      <c r="V275" s="356"/>
      <c r="W275" s="358"/>
      <c r="X275" s="359"/>
      <c r="Y275" s="360"/>
      <c r="Z275" s="361"/>
      <c r="AA275" s="362"/>
      <c r="AB275" s="339"/>
    </row>
    <row r="276" spans="1:28" s="340" customFormat="1">
      <c r="A276" s="711"/>
      <c r="B276" s="342" t="s">
        <v>187</v>
      </c>
      <c r="C276" s="343">
        <v>14285</v>
      </c>
      <c r="D276" s="344" t="s">
        <v>225</v>
      </c>
      <c r="E276" s="345" t="s">
        <v>224</v>
      </c>
      <c r="F276" s="344" t="s">
        <v>225</v>
      </c>
      <c r="G276" s="589">
        <v>46218</v>
      </c>
      <c r="H276" s="346"/>
      <c r="I276" s="346" t="s">
        <v>183</v>
      </c>
      <c r="J276" s="305">
        <v>0.77500000000000002</v>
      </c>
      <c r="K276" s="305">
        <v>0.25069444444444444</v>
      </c>
      <c r="L276" s="347" t="s">
        <v>168</v>
      </c>
      <c r="M276" s="348">
        <v>8</v>
      </c>
      <c r="N276" s="348">
        <v>2</v>
      </c>
      <c r="O276" s="348">
        <v>6</v>
      </c>
      <c r="P276" s="348">
        <v>2</v>
      </c>
      <c r="Q276" s="349"/>
      <c r="R276" s="348"/>
      <c r="S276" s="348"/>
      <c r="T276" s="349"/>
      <c r="U276" s="348"/>
      <c r="V276" s="349"/>
      <c r="W276" s="350"/>
      <c r="X276" s="351"/>
      <c r="Y276" s="352"/>
      <c r="Z276" s="353"/>
      <c r="AA276" s="354"/>
      <c r="AB276" s="339"/>
    </row>
    <row r="277" spans="1:28" s="340" customFormat="1">
      <c r="A277" s="711"/>
      <c r="B277" s="342" t="s">
        <v>187</v>
      </c>
      <c r="C277" s="343">
        <v>14285</v>
      </c>
      <c r="D277" s="344" t="s">
        <v>225</v>
      </c>
      <c r="E277" s="345" t="s">
        <v>224</v>
      </c>
      <c r="F277" s="344" t="s">
        <v>225</v>
      </c>
      <c r="G277" s="589">
        <v>46219</v>
      </c>
      <c r="H277" s="346"/>
      <c r="I277" s="346" t="s">
        <v>183</v>
      </c>
      <c r="J277" s="305">
        <v>0.77777777777777779</v>
      </c>
      <c r="K277" s="305">
        <v>0.1673611111111111</v>
      </c>
      <c r="L277" s="347" t="s">
        <v>168</v>
      </c>
      <c r="M277" s="348">
        <v>8</v>
      </c>
      <c r="N277" s="348"/>
      <c r="O277" s="348">
        <v>6</v>
      </c>
      <c r="P277" s="348"/>
      <c r="Q277" s="349"/>
      <c r="R277" s="348"/>
      <c r="S277" s="348"/>
      <c r="T277" s="349"/>
      <c r="U277" s="348"/>
      <c r="V277" s="349"/>
      <c r="W277" s="350"/>
      <c r="X277" s="351"/>
      <c r="Y277" s="352"/>
      <c r="Z277" s="353"/>
      <c r="AA277" s="354"/>
      <c r="AB277" s="339"/>
    </row>
    <row r="278" spans="1:28" s="340" customFormat="1">
      <c r="A278" s="711"/>
      <c r="B278" s="342" t="s">
        <v>187</v>
      </c>
      <c r="C278" s="343">
        <v>14285</v>
      </c>
      <c r="D278" s="344" t="s">
        <v>225</v>
      </c>
      <c r="E278" s="345" t="s">
        <v>224</v>
      </c>
      <c r="F278" s="344" t="s">
        <v>225</v>
      </c>
      <c r="G278" s="589">
        <v>46220</v>
      </c>
      <c r="H278" s="346"/>
      <c r="I278" s="346" t="s">
        <v>183</v>
      </c>
      <c r="J278" s="305">
        <v>0.78125</v>
      </c>
      <c r="K278" s="305">
        <v>0.1673611111111111</v>
      </c>
      <c r="L278" s="347" t="s">
        <v>168</v>
      </c>
      <c r="M278" s="348">
        <v>8</v>
      </c>
      <c r="N278" s="348"/>
      <c r="O278" s="348">
        <v>6</v>
      </c>
      <c r="P278" s="348"/>
      <c r="Q278" s="349"/>
      <c r="R278" s="348"/>
      <c r="S278" s="348"/>
      <c r="T278" s="349"/>
      <c r="U278" s="348"/>
      <c r="V278" s="349"/>
      <c r="W278" s="350"/>
      <c r="X278" s="351"/>
      <c r="Y278" s="352"/>
      <c r="Z278" s="353"/>
      <c r="AA278" s="354"/>
      <c r="AB278" s="339"/>
    </row>
    <row r="279" spans="1:28" s="340" customFormat="1">
      <c r="A279" s="711"/>
      <c r="B279" s="342" t="s">
        <v>187</v>
      </c>
      <c r="C279" s="343">
        <v>14285</v>
      </c>
      <c r="D279" s="344" t="s">
        <v>225</v>
      </c>
      <c r="E279" s="345" t="s">
        <v>224</v>
      </c>
      <c r="F279" s="344" t="s">
        <v>225</v>
      </c>
      <c r="G279" s="589">
        <v>46221</v>
      </c>
      <c r="H279" s="346"/>
      <c r="I279" s="346" t="s">
        <v>183</v>
      </c>
      <c r="J279" s="305"/>
      <c r="K279" s="305"/>
      <c r="L279" s="347"/>
      <c r="M279" s="348"/>
      <c r="N279" s="348"/>
      <c r="O279" s="348"/>
      <c r="P279" s="348"/>
      <c r="Q279" s="349"/>
      <c r="R279" s="348"/>
      <c r="S279" s="348"/>
      <c r="T279" s="349"/>
      <c r="U279" s="348"/>
      <c r="V279" s="349"/>
      <c r="W279" s="350"/>
      <c r="X279" s="351"/>
      <c r="Y279" s="352"/>
      <c r="Z279" s="353"/>
      <c r="AA279" s="354"/>
      <c r="AB279" s="339"/>
    </row>
    <row r="280" spans="1:28" s="340" customFormat="1">
      <c r="A280" s="711"/>
      <c r="B280" s="342" t="s">
        <v>187</v>
      </c>
      <c r="C280" s="343">
        <v>14285</v>
      </c>
      <c r="D280" s="344" t="s">
        <v>225</v>
      </c>
      <c r="E280" s="345" t="s">
        <v>224</v>
      </c>
      <c r="F280" s="344" t="s">
        <v>225</v>
      </c>
      <c r="G280" s="590">
        <v>46222</v>
      </c>
      <c r="H280" s="346"/>
      <c r="I280" s="346"/>
      <c r="J280" s="699" t="s">
        <v>173</v>
      </c>
      <c r="K280" s="700"/>
      <c r="L280" s="347"/>
      <c r="M280" s="348"/>
      <c r="N280" s="348"/>
      <c r="O280" s="348"/>
      <c r="P280" s="348"/>
      <c r="Q280" s="349"/>
      <c r="R280" s="348"/>
      <c r="S280" s="348"/>
      <c r="T280" s="349"/>
      <c r="U280" s="348"/>
      <c r="V280" s="349"/>
      <c r="W280" s="350"/>
      <c r="X280" s="351"/>
      <c r="Y280" s="352"/>
      <c r="Z280" s="353"/>
      <c r="AA280" s="354"/>
      <c r="AB280" s="339"/>
    </row>
    <row r="281" spans="1:28" s="340" customFormat="1">
      <c r="A281" s="711"/>
      <c r="B281" s="342" t="s">
        <v>187</v>
      </c>
      <c r="C281" s="343">
        <v>14285</v>
      </c>
      <c r="D281" s="344" t="s">
        <v>225</v>
      </c>
      <c r="E281" s="345" t="s">
        <v>224</v>
      </c>
      <c r="F281" s="344" t="s">
        <v>225</v>
      </c>
      <c r="G281" s="589">
        <v>46223</v>
      </c>
      <c r="H281" s="346"/>
      <c r="I281" s="346" t="s">
        <v>183</v>
      </c>
      <c r="J281" s="295">
        <v>0.77083333333333337</v>
      </c>
      <c r="K281" s="295">
        <v>0.1673611111111111</v>
      </c>
      <c r="L281" s="347" t="s">
        <v>168</v>
      </c>
      <c r="M281" s="348">
        <v>8</v>
      </c>
      <c r="N281" s="348"/>
      <c r="O281" s="348">
        <v>6</v>
      </c>
      <c r="P281" s="357"/>
      <c r="Q281" s="356"/>
      <c r="R281" s="357"/>
      <c r="S281" s="357"/>
      <c r="T281" s="356"/>
      <c r="U281" s="357"/>
      <c r="V281" s="356"/>
      <c r="W281" s="350"/>
      <c r="X281" s="351"/>
      <c r="Y281" s="352"/>
      <c r="Z281" s="353"/>
      <c r="AA281" s="354"/>
      <c r="AB281" s="339"/>
    </row>
    <row r="282" spans="1:28" s="340" customFormat="1">
      <c r="A282" s="711"/>
      <c r="B282" s="342" t="s">
        <v>187</v>
      </c>
      <c r="C282" s="343">
        <v>14285</v>
      </c>
      <c r="D282" s="344" t="s">
        <v>225</v>
      </c>
      <c r="E282" s="345" t="s">
        <v>224</v>
      </c>
      <c r="F282" s="344" t="s">
        <v>225</v>
      </c>
      <c r="G282" s="589">
        <v>46224</v>
      </c>
      <c r="H282" s="346"/>
      <c r="I282" s="346" t="s">
        <v>183</v>
      </c>
      <c r="J282" s="295">
        <v>0.77500000000000002</v>
      </c>
      <c r="K282" s="295">
        <v>0.25069444444444444</v>
      </c>
      <c r="L282" s="347" t="s">
        <v>168</v>
      </c>
      <c r="M282" s="348">
        <v>8</v>
      </c>
      <c r="N282" s="348">
        <v>2</v>
      </c>
      <c r="O282" s="348">
        <v>6</v>
      </c>
      <c r="P282" s="348">
        <v>2</v>
      </c>
      <c r="Q282" s="364"/>
      <c r="R282" s="365"/>
      <c r="S282" s="365"/>
      <c r="T282" s="356"/>
      <c r="U282" s="357"/>
      <c r="V282" s="356"/>
      <c r="W282" s="358"/>
      <c r="X282" s="359"/>
      <c r="Y282" s="360"/>
      <c r="Z282" s="361"/>
      <c r="AA282" s="362"/>
      <c r="AB282" s="339"/>
    </row>
    <row r="283" spans="1:28" s="340" customFormat="1">
      <c r="A283" s="711"/>
      <c r="B283" s="342" t="s">
        <v>187</v>
      </c>
      <c r="C283" s="343">
        <v>14285</v>
      </c>
      <c r="D283" s="344" t="s">
        <v>225</v>
      </c>
      <c r="E283" s="345" t="s">
        <v>224</v>
      </c>
      <c r="F283" s="344" t="s">
        <v>225</v>
      </c>
      <c r="G283" s="589">
        <v>46225</v>
      </c>
      <c r="H283" s="346"/>
      <c r="I283" s="346" t="s">
        <v>183</v>
      </c>
      <c r="J283" s="295">
        <v>0.77638888888888891</v>
      </c>
      <c r="K283" s="295">
        <v>0.16666666666666666</v>
      </c>
      <c r="L283" s="347" t="s">
        <v>168</v>
      </c>
      <c r="M283" s="348">
        <v>8</v>
      </c>
      <c r="N283" s="348"/>
      <c r="O283" s="348">
        <v>6</v>
      </c>
      <c r="P283" s="348"/>
      <c r="Q283" s="349"/>
      <c r="R283" s="348"/>
      <c r="S283" s="348"/>
      <c r="T283" s="349"/>
      <c r="U283" s="348"/>
      <c r="V283" s="349"/>
      <c r="W283" s="350"/>
      <c r="X283" s="351"/>
      <c r="Y283" s="352"/>
      <c r="Z283" s="353"/>
      <c r="AA283" s="354"/>
      <c r="AB283" s="339"/>
    </row>
    <row r="284" spans="1:28" s="340" customFormat="1">
      <c r="A284" s="711"/>
      <c r="B284" s="342" t="s">
        <v>187</v>
      </c>
      <c r="C284" s="343">
        <v>14285</v>
      </c>
      <c r="D284" s="344" t="s">
        <v>225</v>
      </c>
      <c r="E284" s="345" t="s">
        <v>224</v>
      </c>
      <c r="F284" s="344" t="s">
        <v>225</v>
      </c>
      <c r="G284" s="589">
        <v>46226</v>
      </c>
      <c r="H284" s="346"/>
      <c r="I284" s="346" t="s">
        <v>183</v>
      </c>
      <c r="J284" s="295">
        <v>0.77569444444444446</v>
      </c>
      <c r="K284" s="295">
        <v>0.16666666666666666</v>
      </c>
      <c r="L284" s="347" t="s">
        <v>168</v>
      </c>
      <c r="M284" s="348">
        <v>8</v>
      </c>
      <c r="N284" s="348"/>
      <c r="O284" s="348">
        <v>6</v>
      </c>
      <c r="P284" s="367"/>
      <c r="Q284" s="349"/>
      <c r="R284" s="348"/>
      <c r="S284" s="348"/>
      <c r="T284" s="349"/>
      <c r="U284" s="348"/>
      <c r="V284" s="349"/>
      <c r="W284" s="350"/>
      <c r="X284" s="351"/>
      <c r="Y284" s="352"/>
      <c r="Z284" s="353"/>
      <c r="AA284" s="354"/>
      <c r="AB284" s="339"/>
    </row>
    <row r="285" spans="1:28" s="340" customFormat="1">
      <c r="A285" s="711"/>
      <c r="B285" s="342" t="s">
        <v>187</v>
      </c>
      <c r="C285" s="343">
        <v>14285</v>
      </c>
      <c r="D285" s="344" t="s">
        <v>225</v>
      </c>
      <c r="E285" s="345" t="s">
        <v>224</v>
      </c>
      <c r="F285" s="344" t="s">
        <v>225</v>
      </c>
      <c r="G285" s="589">
        <v>46227</v>
      </c>
      <c r="H285" s="346"/>
      <c r="I285" s="346" t="s">
        <v>183</v>
      </c>
      <c r="J285" s="391">
        <v>0.79166666666666663</v>
      </c>
      <c r="K285" s="318">
        <v>0.16666666666666666</v>
      </c>
      <c r="L285" s="347" t="s">
        <v>168</v>
      </c>
      <c r="M285" s="348">
        <v>8</v>
      </c>
      <c r="N285" s="348"/>
      <c r="O285" s="348">
        <v>6</v>
      </c>
      <c r="P285" s="366"/>
      <c r="Q285" s="368"/>
      <c r="R285" s="366"/>
      <c r="S285" s="366"/>
      <c r="T285" s="349"/>
      <c r="U285" s="348"/>
      <c r="V285" s="349"/>
      <c r="W285" s="350"/>
      <c r="X285" s="351"/>
      <c r="Y285" s="352"/>
      <c r="Z285" s="353"/>
      <c r="AA285" s="354"/>
      <c r="AB285" s="339"/>
    </row>
    <row r="286" spans="1:28" s="340" customFormat="1">
      <c r="A286" s="711"/>
      <c r="B286" s="342" t="s">
        <v>187</v>
      </c>
      <c r="C286" s="343">
        <v>14285</v>
      </c>
      <c r="D286" s="344" t="s">
        <v>225</v>
      </c>
      <c r="E286" s="345" t="s">
        <v>224</v>
      </c>
      <c r="F286" s="344" t="s">
        <v>225</v>
      </c>
      <c r="G286" s="589">
        <v>46228</v>
      </c>
      <c r="H286" s="346"/>
      <c r="I286" s="346" t="s">
        <v>183</v>
      </c>
      <c r="J286" s="295"/>
      <c r="K286" s="295"/>
      <c r="L286" s="347"/>
      <c r="M286" s="348"/>
      <c r="N286" s="348"/>
      <c r="O286" s="348"/>
      <c r="P286" s="348"/>
      <c r="Q286" s="349"/>
      <c r="R286" s="348"/>
      <c r="S286" s="320"/>
      <c r="T286" s="349"/>
      <c r="U286" s="348"/>
      <c r="V286" s="349"/>
      <c r="W286" s="350"/>
      <c r="X286" s="351"/>
      <c r="Y286" s="352"/>
      <c r="Z286" s="353"/>
      <c r="AA286" s="354"/>
      <c r="AB286" s="339"/>
    </row>
    <row r="287" spans="1:28" s="340" customFormat="1">
      <c r="A287" s="711"/>
      <c r="B287" s="342"/>
      <c r="C287" s="384"/>
      <c r="D287" s="345"/>
      <c r="E287" s="345"/>
      <c r="F287" s="345"/>
      <c r="G287" s="594"/>
      <c r="H287" s="346"/>
      <c r="I287" s="346"/>
      <c r="J287" s="369"/>
      <c r="K287" s="370"/>
      <c r="L287" s="371"/>
      <c r="M287" s="363"/>
      <c r="N287" s="363"/>
      <c r="O287" s="363"/>
      <c r="P287" s="363"/>
      <c r="Q287" s="372"/>
      <c r="R287" s="363"/>
      <c r="S287" s="324"/>
      <c r="T287" s="349"/>
      <c r="U287" s="348"/>
      <c r="V287" s="349"/>
      <c r="W287" s="350"/>
      <c r="X287" s="351"/>
      <c r="Y287" s="352"/>
      <c r="Z287" s="353"/>
      <c r="AA287" s="354"/>
      <c r="AB287" s="339"/>
    </row>
    <row r="288" spans="1:28" s="340" customFormat="1">
      <c r="A288" s="712"/>
      <c r="B288" s="325"/>
      <c r="C288" s="342"/>
      <c r="D288" s="325"/>
      <c r="E288" s="345"/>
      <c r="F288" s="325"/>
      <c r="G288" s="595"/>
      <c r="H288" s="374"/>
      <c r="I288" s="377"/>
      <c r="J288" s="375"/>
      <c r="K288" s="376"/>
      <c r="L288" s="377"/>
      <c r="M288" s="377">
        <f t="shared" ref="M288:AA288" si="15">SUM(M271:M287)</f>
        <v>80</v>
      </c>
      <c r="N288" s="377">
        <f t="shared" si="15"/>
        <v>8</v>
      </c>
      <c r="O288" s="377">
        <f t="shared" si="15"/>
        <v>60</v>
      </c>
      <c r="P288" s="377">
        <f t="shared" si="15"/>
        <v>8</v>
      </c>
      <c r="Q288" s="377">
        <f t="shared" si="15"/>
        <v>0</v>
      </c>
      <c r="R288" s="377">
        <f t="shared" si="15"/>
        <v>0</v>
      </c>
      <c r="S288" s="377">
        <f t="shared" si="15"/>
        <v>0</v>
      </c>
      <c r="T288" s="377">
        <f t="shared" si="15"/>
        <v>0</v>
      </c>
      <c r="U288" s="377">
        <f t="shared" si="15"/>
        <v>0</v>
      </c>
      <c r="V288" s="377">
        <f t="shared" si="15"/>
        <v>0</v>
      </c>
      <c r="W288" s="377">
        <f t="shared" si="15"/>
        <v>0</v>
      </c>
      <c r="X288" s="377">
        <f t="shared" si="15"/>
        <v>0</v>
      </c>
      <c r="Y288" s="377">
        <f t="shared" si="15"/>
        <v>0</v>
      </c>
      <c r="Z288" s="377">
        <f t="shared" si="15"/>
        <v>0</v>
      </c>
      <c r="AA288" s="392">
        <f t="shared" si="15"/>
        <v>0</v>
      </c>
      <c r="AB288" s="339"/>
    </row>
    <row r="289" spans="1:28" s="340" customFormat="1">
      <c r="A289" s="280" t="s">
        <v>170</v>
      </c>
      <c r="B289" s="280" t="s">
        <v>120</v>
      </c>
      <c r="C289" s="280" t="s">
        <v>152</v>
      </c>
      <c r="D289" s="280" t="s">
        <v>182</v>
      </c>
      <c r="E289" s="393" t="s">
        <v>153</v>
      </c>
      <c r="F289" s="280" t="s">
        <v>182</v>
      </c>
      <c r="G289" s="597" t="s">
        <v>401</v>
      </c>
      <c r="H289" s="394"/>
      <c r="I289" s="395" t="s">
        <v>181</v>
      </c>
      <c r="J289" s="396" t="s">
        <v>154</v>
      </c>
      <c r="K289" s="396" t="s">
        <v>155</v>
      </c>
      <c r="L289" s="397" t="s">
        <v>156</v>
      </c>
      <c r="M289" s="398" t="s">
        <v>157</v>
      </c>
      <c r="N289" s="397" t="s">
        <v>158</v>
      </c>
      <c r="O289" s="397" t="s">
        <v>159</v>
      </c>
      <c r="P289" s="397" t="s">
        <v>174</v>
      </c>
      <c r="Q289" s="397" t="s">
        <v>160</v>
      </c>
      <c r="R289" s="397" t="s">
        <v>161</v>
      </c>
      <c r="S289" s="397" t="s">
        <v>162</v>
      </c>
      <c r="T289" s="395" t="s">
        <v>163</v>
      </c>
      <c r="U289" s="395" t="s">
        <v>164</v>
      </c>
      <c r="V289" s="395" t="s">
        <v>165</v>
      </c>
      <c r="W289" s="397" t="s">
        <v>113</v>
      </c>
      <c r="X289" s="395" t="s">
        <v>121</v>
      </c>
      <c r="Y289" s="395" t="s">
        <v>166</v>
      </c>
      <c r="Z289" s="399" t="s">
        <v>175</v>
      </c>
      <c r="AA289" s="399" t="s">
        <v>167</v>
      </c>
      <c r="AB289" s="400"/>
    </row>
    <row r="290" spans="1:28" s="340" customFormat="1">
      <c r="A290" s="401"/>
      <c r="B290" s="402" t="s">
        <v>187</v>
      </c>
      <c r="C290" s="403">
        <v>12460</v>
      </c>
      <c r="D290" s="404" t="s">
        <v>371</v>
      </c>
      <c r="E290" s="405" t="s">
        <v>223</v>
      </c>
      <c r="F290" s="404" t="s">
        <v>371</v>
      </c>
      <c r="G290" s="589">
        <v>46214</v>
      </c>
      <c r="H290" s="406"/>
      <c r="I290" s="407" t="s">
        <v>186</v>
      </c>
      <c r="J290" s="295">
        <v>0.31041666666666667</v>
      </c>
      <c r="K290" s="295">
        <v>0.70902777777777781</v>
      </c>
      <c r="L290" s="347" t="s">
        <v>169</v>
      </c>
      <c r="M290" s="348">
        <v>8</v>
      </c>
      <c r="N290" s="348"/>
      <c r="O290" s="348"/>
      <c r="P290" s="348"/>
      <c r="Q290" s="349"/>
      <c r="R290" s="348"/>
      <c r="S290" s="348"/>
      <c r="T290" s="349"/>
      <c r="U290" s="348"/>
      <c r="V290" s="349"/>
      <c r="W290" s="350"/>
      <c r="X290" s="351"/>
      <c r="Y290" s="352"/>
      <c r="Z290" s="353"/>
      <c r="AA290" s="354"/>
      <c r="AB290" s="400"/>
    </row>
    <row r="291" spans="1:28" s="340" customFormat="1">
      <c r="A291" s="408"/>
      <c r="B291" s="402" t="s">
        <v>187</v>
      </c>
      <c r="C291" s="403">
        <v>12460</v>
      </c>
      <c r="D291" s="404" t="s">
        <v>371</v>
      </c>
      <c r="E291" s="405" t="s">
        <v>223</v>
      </c>
      <c r="F291" s="404" t="s">
        <v>371</v>
      </c>
      <c r="G291" s="590">
        <v>46215</v>
      </c>
      <c r="H291" s="406"/>
      <c r="I291" s="407"/>
      <c r="J291" s="699" t="s">
        <v>173</v>
      </c>
      <c r="K291" s="700"/>
      <c r="L291" s="347"/>
      <c r="M291" s="348"/>
      <c r="N291" s="348"/>
      <c r="O291" s="348"/>
      <c r="P291" s="348"/>
      <c r="Q291" s="349"/>
      <c r="R291" s="348"/>
      <c r="S291" s="348"/>
      <c r="T291" s="349"/>
      <c r="U291" s="348"/>
      <c r="V291" s="349"/>
      <c r="W291" s="350"/>
      <c r="X291" s="351"/>
      <c r="Y291" s="352"/>
      <c r="Z291" s="353"/>
      <c r="AA291" s="354"/>
      <c r="AB291" s="400"/>
    </row>
    <row r="292" spans="1:28" s="340" customFormat="1">
      <c r="A292" s="408"/>
      <c r="B292" s="402" t="s">
        <v>187</v>
      </c>
      <c r="C292" s="403">
        <v>12460</v>
      </c>
      <c r="D292" s="404" t="s">
        <v>371</v>
      </c>
      <c r="E292" s="405" t="s">
        <v>223</v>
      </c>
      <c r="F292" s="404" t="s">
        <v>371</v>
      </c>
      <c r="G292" s="589">
        <v>46216</v>
      </c>
      <c r="H292" s="406"/>
      <c r="I292" s="407" t="s">
        <v>183</v>
      </c>
      <c r="J292" s="382">
        <v>0.75972222222222219</v>
      </c>
      <c r="K292" s="382">
        <v>0.25</v>
      </c>
      <c r="L292" s="347" t="s">
        <v>168</v>
      </c>
      <c r="M292" s="348">
        <v>8</v>
      </c>
      <c r="N292" s="348">
        <v>2</v>
      </c>
      <c r="O292" s="348">
        <v>6</v>
      </c>
      <c r="P292" s="348">
        <v>2</v>
      </c>
      <c r="Q292" s="349"/>
      <c r="R292" s="348"/>
      <c r="S292" s="348"/>
      <c r="T292" s="349"/>
      <c r="U292" s="348"/>
      <c r="V292" s="349"/>
      <c r="W292" s="350"/>
      <c r="X292" s="351"/>
      <c r="Y292" s="352"/>
      <c r="Z292" s="353"/>
      <c r="AA292" s="354"/>
      <c r="AB292" s="400"/>
    </row>
    <row r="293" spans="1:28" s="340" customFormat="1">
      <c r="A293" s="408"/>
      <c r="B293" s="402" t="s">
        <v>187</v>
      </c>
      <c r="C293" s="403">
        <v>12460</v>
      </c>
      <c r="D293" s="404" t="s">
        <v>371</v>
      </c>
      <c r="E293" s="405" t="s">
        <v>223</v>
      </c>
      <c r="F293" s="404" t="s">
        <v>371</v>
      </c>
      <c r="G293" s="589">
        <v>46217</v>
      </c>
      <c r="H293" s="406"/>
      <c r="I293" s="407" t="s">
        <v>183</v>
      </c>
      <c r="J293" s="305">
        <v>0.77430555555555547</v>
      </c>
      <c r="K293" s="305">
        <v>0.25</v>
      </c>
      <c r="L293" s="347" t="s">
        <v>168</v>
      </c>
      <c r="M293" s="348">
        <v>8</v>
      </c>
      <c r="N293" s="348">
        <v>2</v>
      </c>
      <c r="O293" s="348">
        <v>6</v>
      </c>
      <c r="P293" s="348">
        <v>2</v>
      </c>
      <c r="Q293" s="356"/>
      <c r="R293" s="357"/>
      <c r="S293" s="357"/>
      <c r="T293" s="356"/>
      <c r="U293" s="357"/>
      <c r="V293" s="356"/>
      <c r="W293" s="358"/>
      <c r="X293" s="359"/>
      <c r="Y293" s="360"/>
      <c r="Z293" s="361"/>
      <c r="AA293" s="362"/>
      <c r="AB293" s="400"/>
    </row>
    <row r="294" spans="1:28" s="340" customFormat="1">
      <c r="A294" s="408"/>
      <c r="B294" s="402" t="s">
        <v>187</v>
      </c>
      <c r="C294" s="403">
        <v>12460</v>
      </c>
      <c r="D294" s="404" t="s">
        <v>371</v>
      </c>
      <c r="E294" s="405" t="s">
        <v>223</v>
      </c>
      <c r="F294" s="404" t="s">
        <v>371</v>
      </c>
      <c r="G294" s="589">
        <v>46218</v>
      </c>
      <c r="H294" s="406"/>
      <c r="I294" s="407" t="s">
        <v>183</v>
      </c>
      <c r="J294" s="305">
        <v>0.7715277777777777</v>
      </c>
      <c r="K294" s="305">
        <v>0.25</v>
      </c>
      <c r="L294" s="347" t="s">
        <v>168</v>
      </c>
      <c r="M294" s="348">
        <v>8</v>
      </c>
      <c r="N294" s="348">
        <v>2</v>
      </c>
      <c r="O294" s="348">
        <v>6</v>
      </c>
      <c r="P294" s="348">
        <v>2</v>
      </c>
      <c r="Q294" s="349"/>
      <c r="R294" s="348"/>
      <c r="S294" s="348"/>
      <c r="T294" s="349"/>
      <c r="U294" s="348"/>
      <c r="V294" s="349"/>
      <c r="W294" s="350"/>
      <c r="X294" s="351"/>
      <c r="Y294" s="352"/>
      <c r="Z294" s="353"/>
      <c r="AA294" s="354"/>
      <c r="AB294" s="400"/>
    </row>
    <row r="295" spans="1:28" s="340" customFormat="1">
      <c r="A295" s="408"/>
      <c r="B295" s="402" t="s">
        <v>187</v>
      </c>
      <c r="C295" s="403">
        <v>12460</v>
      </c>
      <c r="D295" s="404" t="s">
        <v>371</v>
      </c>
      <c r="E295" s="405" t="s">
        <v>223</v>
      </c>
      <c r="F295" s="404" t="s">
        <v>371</v>
      </c>
      <c r="G295" s="589">
        <v>46219</v>
      </c>
      <c r="H295" s="406"/>
      <c r="I295" s="407" t="s">
        <v>183</v>
      </c>
      <c r="J295" s="305">
        <v>0.77430555555555547</v>
      </c>
      <c r="K295" s="305">
        <v>0.16805555555555554</v>
      </c>
      <c r="L295" s="347" t="s">
        <v>168</v>
      </c>
      <c r="M295" s="348">
        <v>8</v>
      </c>
      <c r="N295" s="348"/>
      <c r="O295" s="348">
        <v>6</v>
      </c>
      <c r="P295" s="348"/>
      <c r="Q295" s="349"/>
      <c r="R295" s="348"/>
      <c r="S295" s="348"/>
      <c r="T295" s="349"/>
      <c r="U295" s="348"/>
      <c r="V295" s="349"/>
      <c r="W295" s="350"/>
      <c r="X295" s="351"/>
      <c r="Y295" s="352"/>
      <c r="Z295" s="353"/>
      <c r="AA295" s="354"/>
      <c r="AB295" s="400"/>
    </row>
    <row r="296" spans="1:28" s="340" customFormat="1">
      <c r="A296" s="408"/>
      <c r="B296" s="402" t="s">
        <v>187</v>
      </c>
      <c r="C296" s="403">
        <v>12460</v>
      </c>
      <c r="D296" s="404" t="s">
        <v>371</v>
      </c>
      <c r="E296" s="405" t="s">
        <v>223</v>
      </c>
      <c r="F296" s="404" t="s">
        <v>371</v>
      </c>
      <c r="G296" s="589">
        <v>46220</v>
      </c>
      <c r="H296" s="409"/>
      <c r="I296" s="407" t="s">
        <v>183</v>
      </c>
      <c r="J296" s="305">
        <v>0.77569444444444446</v>
      </c>
      <c r="K296" s="305">
        <v>0.25</v>
      </c>
      <c r="L296" s="347" t="s">
        <v>168</v>
      </c>
      <c r="M296" s="348">
        <v>8</v>
      </c>
      <c r="N296" s="348">
        <v>2</v>
      </c>
      <c r="O296" s="348">
        <v>6</v>
      </c>
      <c r="P296" s="348">
        <v>2</v>
      </c>
      <c r="Q296" s="349"/>
      <c r="R296" s="348"/>
      <c r="S296" s="348"/>
      <c r="T296" s="349"/>
      <c r="U296" s="348"/>
      <c r="V296" s="349"/>
      <c r="W296" s="350"/>
      <c r="X296" s="351"/>
      <c r="Y296" s="352"/>
      <c r="Z296" s="353"/>
      <c r="AA296" s="354"/>
      <c r="AB296" s="400"/>
    </row>
    <row r="297" spans="1:28" s="340" customFormat="1">
      <c r="A297" s="408"/>
      <c r="B297" s="402" t="s">
        <v>187</v>
      </c>
      <c r="C297" s="403">
        <v>12460</v>
      </c>
      <c r="D297" s="404" t="s">
        <v>371</v>
      </c>
      <c r="E297" s="405" t="s">
        <v>223</v>
      </c>
      <c r="F297" s="404" t="s">
        <v>371</v>
      </c>
      <c r="G297" s="589">
        <v>46221</v>
      </c>
      <c r="H297" s="406"/>
      <c r="I297" s="407" t="s">
        <v>183</v>
      </c>
      <c r="J297" s="305">
        <v>0.7729166666666667</v>
      </c>
      <c r="K297" s="305">
        <v>0.16666666666666666</v>
      </c>
      <c r="L297" s="347" t="s">
        <v>168</v>
      </c>
      <c r="M297" s="348">
        <v>8</v>
      </c>
      <c r="N297" s="348"/>
      <c r="O297" s="348">
        <v>6</v>
      </c>
      <c r="P297" s="348"/>
      <c r="Q297" s="349"/>
      <c r="R297" s="348"/>
      <c r="S297" s="348"/>
      <c r="T297" s="349"/>
      <c r="U297" s="348"/>
      <c r="V297" s="349"/>
      <c r="W297" s="350"/>
      <c r="X297" s="351"/>
      <c r="Y297" s="352"/>
      <c r="Z297" s="353"/>
      <c r="AA297" s="354"/>
      <c r="AB297" s="400"/>
    </row>
    <row r="298" spans="1:28" s="340" customFormat="1">
      <c r="A298" s="408"/>
      <c r="B298" s="402" t="s">
        <v>187</v>
      </c>
      <c r="C298" s="403">
        <v>12460</v>
      </c>
      <c r="D298" s="404" t="s">
        <v>371</v>
      </c>
      <c r="E298" s="405" t="s">
        <v>223</v>
      </c>
      <c r="F298" s="404" t="s">
        <v>371</v>
      </c>
      <c r="G298" s="590">
        <v>46222</v>
      </c>
      <c r="H298" s="406"/>
      <c r="I298" s="407"/>
      <c r="J298" s="713" t="s">
        <v>173</v>
      </c>
      <c r="K298" s="714"/>
      <c r="L298" s="347"/>
      <c r="M298" s="348"/>
      <c r="N298" s="348"/>
      <c r="O298" s="348"/>
      <c r="P298" s="348"/>
      <c r="Q298" s="349"/>
      <c r="R298" s="348"/>
      <c r="S298" s="348"/>
      <c r="T298" s="349"/>
      <c r="U298" s="348"/>
      <c r="V298" s="349"/>
      <c r="W298" s="350"/>
      <c r="X298" s="351"/>
      <c r="Y298" s="352"/>
      <c r="Z298" s="353"/>
      <c r="AA298" s="354"/>
      <c r="AB298" s="400"/>
    </row>
    <row r="299" spans="1:28" s="340" customFormat="1">
      <c r="A299" s="408"/>
      <c r="B299" s="402" t="s">
        <v>187</v>
      </c>
      <c r="C299" s="403">
        <v>12460</v>
      </c>
      <c r="D299" s="404" t="s">
        <v>371</v>
      </c>
      <c r="E299" s="405" t="s">
        <v>223</v>
      </c>
      <c r="F299" s="404" t="s">
        <v>371</v>
      </c>
      <c r="G299" s="589">
        <v>46223</v>
      </c>
      <c r="H299" s="406"/>
      <c r="I299" s="407" t="s">
        <v>183</v>
      </c>
      <c r="J299" s="378">
        <v>0.77083333333333337</v>
      </c>
      <c r="K299" s="378">
        <v>0.1673611111111111</v>
      </c>
      <c r="L299" s="347" t="s">
        <v>168</v>
      </c>
      <c r="M299" s="348">
        <v>8</v>
      </c>
      <c r="N299" s="348"/>
      <c r="O299" s="348">
        <v>6</v>
      </c>
      <c r="P299" s="357"/>
      <c r="Q299" s="356"/>
      <c r="R299" s="357"/>
      <c r="S299" s="357"/>
      <c r="T299" s="356"/>
      <c r="U299" s="357"/>
      <c r="V299" s="356"/>
      <c r="W299" s="350"/>
      <c r="X299" s="351"/>
      <c r="Y299" s="352"/>
      <c r="Z299" s="353"/>
      <c r="AA299" s="362"/>
      <c r="AB299" s="400"/>
    </row>
    <row r="300" spans="1:28" s="340" customFormat="1">
      <c r="A300" s="408"/>
      <c r="B300" s="402" t="s">
        <v>187</v>
      </c>
      <c r="C300" s="403">
        <v>12460</v>
      </c>
      <c r="D300" s="404" t="s">
        <v>371</v>
      </c>
      <c r="E300" s="405" t="s">
        <v>223</v>
      </c>
      <c r="F300" s="404" t="s">
        <v>371</v>
      </c>
      <c r="G300" s="589">
        <v>46224</v>
      </c>
      <c r="H300" s="406"/>
      <c r="I300" s="407" t="s">
        <v>183</v>
      </c>
      <c r="J300" s="295">
        <v>0.77013888888888893</v>
      </c>
      <c r="K300" s="295">
        <v>0.25</v>
      </c>
      <c r="L300" s="347" t="s">
        <v>168</v>
      </c>
      <c r="M300" s="348">
        <v>8</v>
      </c>
      <c r="N300" s="348">
        <v>2</v>
      </c>
      <c r="O300" s="348">
        <v>6</v>
      </c>
      <c r="P300" s="348">
        <v>2</v>
      </c>
      <c r="Q300" s="364"/>
      <c r="R300" s="365"/>
      <c r="S300" s="365"/>
      <c r="T300" s="356"/>
      <c r="U300" s="357"/>
      <c r="V300" s="356"/>
      <c r="W300" s="358"/>
      <c r="X300" s="359"/>
      <c r="Y300" s="360"/>
      <c r="Z300" s="361"/>
      <c r="AA300" s="362"/>
      <c r="AB300" s="400"/>
    </row>
    <row r="301" spans="1:28" s="340" customFormat="1">
      <c r="A301" s="408"/>
      <c r="B301" s="402" t="s">
        <v>187</v>
      </c>
      <c r="C301" s="403">
        <v>12460</v>
      </c>
      <c r="D301" s="404" t="s">
        <v>371</v>
      </c>
      <c r="E301" s="405" t="s">
        <v>223</v>
      </c>
      <c r="F301" s="404" t="s">
        <v>371</v>
      </c>
      <c r="G301" s="589">
        <v>46225</v>
      </c>
      <c r="H301" s="406"/>
      <c r="I301" s="407" t="s">
        <v>183</v>
      </c>
      <c r="J301" s="295">
        <v>0.7729166666666667</v>
      </c>
      <c r="K301" s="295">
        <v>0.16666666666666666</v>
      </c>
      <c r="L301" s="347" t="s">
        <v>168</v>
      </c>
      <c r="M301" s="348">
        <v>8</v>
      </c>
      <c r="N301" s="348"/>
      <c r="O301" s="348">
        <v>6</v>
      </c>
      <c r="P301" s="348"/>
      <c r="Q301" s="349"/>
      <c r="R301" s="348"/>
      <c r="S301" s="348"/>
      <c r="T301" s="349"/>
      <c r="U301" s="348"/>
      <c r="V301" s="349"/>
      <c r="W301" s="350"/>
      <c r="X301" s="351"/>
      <c r="Y301" s="352"/>
      <c r="Z301" s="353"/>
      <c r="AA301" s="354"/>
      <c r="AB301" s="400"/>
    </row>
    <row r="302" spans="1:28" s="340" customFormat="1">
      <c r="A302" s="408"/>
      <c r="B302" s="402" t="s">
        <v>187</v>
      </c>
      <c r="C302" s="403">
        <v>12460</v>
      </c>
      <c r="D302" s="404" t="s">
        <v>371</v>
      </c>
      <c r="E302" s="405" t="s">
        <v>223</v>
      </c>
      <c r="F302" s="404" t="s">
        <v>371</v>
      </c>
      <c r="G302" s="589">
        <v>46226</v>
      </c>
      <c r="H302" s="406"/>
      <c r="I302" s="407" t="s">
        <v>183</v>
      </c>
      <c r="J302" s="295">
        <v>0.77569444444444446</v>
      </c>
      <c r="K302" s="295">
        <v>0.16666666666666666</v>
      </c>
      <c r="L302" s="347" t="s">
        <v>168</v>
      </c>
      <c r="M302" s="348">
        <v>8</v>
      </c>
      <c r="N302" s="348"/>
      <c r="O302" s="348">
        <v>6</v>
      </c>
      <c r="P302" s="367"/>
      <c r="Q302" s="349"/>
      <c r="R302" s="348"/>
      <c r="S302" s="348"/>
      <c r="T302" s="349"/>
      <c r="U302" s="348"/>
      <c r="V302" s="349"/>
      <c r="W302" s="350"/>
      <c r="X302" s="351"/>
      <c r="Y302" s="352"/>
      <c r="Z302" s="353"/>
      <c r="AA302" s="354"/>
      <c r="AB302" s="400"/>
    </row>
    <row r="303" spans="1:28" s="340" customFormat="1">
      <c r="A303" s="408"/>
      <c r="B303" s="402" t="s">
        <v>187</v>
      </c>
      <c r="C303" s="403">
        <v>12460</v>
      </c>
      <c r="D303" s="404" t="s">
        <v>371</v>
      </c>
      <c r="E303" s="405" t="s">
        <v>223</v>
      </c>
      <c r="F303" s="404" t="s">
        <v>371</v>
      </c>
      <c r="G303" s="589">
        <v>46227</v>
      </c>
      <c r="H303" s="409"/>
      <c r="I303" s="407" t="s">
        <v>183</v>
      </c>
      <c r="J303" s="295">
        <v>0.77569444444444446</v>
      </c>
      <c r="K303" s="318">
        <v>0.16666666666666666</v>
      </c>
      <c r="L303" s="347" t="s">
        <v>168</v>
      </c>
      <c r="M303" s="348">
        <v>8</v>
      </c>
      <c r="N303" s="348"/>
      <c r="O303" s="348">
        <v>6</v>
      </c>
      <c r="P303" s="366"/>
      <c r="Q303" s="368"/>
      <c r="R303" s="366"/>
      <c r="S303" s="366"/>
      <c r="T303" s="349"/>
      <c r="U303" s="348"/>
      <c r="V303" s="349"/>
      <c r="W303" s="350"/>
      <c r="X303" s="351"/>
      <c r="Y303" s="352"/>
      <c r="Z303" s="353"/>
      <c r="AA303" s="354"/>
      <c r="AB303" s="400"/>
    </row>
    <row r="304" spans="1:28" s="340" customFormat="1">
      <c r="A304" s="408"/>
      <c r="B304" s="402" t="s">
        <v>187</v>
      </c>
      <c r="C304" s="403">
        <v>12460</v>
      </c>
      <c r="D304" s="404" t="s">
        <v>371</v>
      </c>
      <c r="E304" s="405" t="s">
        <v>223</v>
      </c>
      <c r="F304" s="404" t="s">
        <v>371</v>
      </c>
      <c r="G304" s="589">
        <v>46228</v>
      </c>
      <c r="H304" s="406"/>
      <c r="I304" s="407" t="s">
        <v>183</v>
      </c>
      <c r="J304" s="295"/>
      <c r="K304" s="295"/>
      <c r="L304" s="347"/>
      <c r="M304" s="348"/>
      <c r="N304" s="348"/>
      <c r="O304" s="348"/>
      <c r="P304" s="348"/>
      <c r="Q304" s="349"/>
      <c r="R304" s="348"/>
      <c r="S304" s="320"/>
      <c r="T304" s="349"/>
      <c r="U304" s="348"/>
      <c r="V304" s="349"/>
      <c r="W304" s="350"/>
      <c r="X304" s="351"/>
      <c r="Y304" s="352"/>
      <c r="Z304" s="353"/>
      <c r="AA304" s="354"/>
      <c r="AB304" s="400"/>
    </row>
    <row r="305" spans="1:28" s="340" customFormat="1">
      <c r="A305" s="408"/>
      <c r="B305" s="402"/>
      <c r="C305" s="403"/>
      <c r="D305" s="325"/>
      <c r="E305" s="410"/>
      <c r="F305" s="325"/>
      <c r="G305" s="594"/>
      <c r="H305" s="406"/>
      <c r="I305" s="407"/>
      <c r="J305" s="369"/>
      <c r="K305" s="370"/>
      <c r="L305" s="371"/>
      <c r="M305" s="363"/>
      <c r="N305" s="363"/>
      <c r="O305" s="363"/>
      <c r="P305" s="363"/>
      <c r="Q305" s="372"/>
      <c r="R305" s="363"/>
      <c r="S305" s="324"/>
      <c r="T305" s="349"/>
      <c r="U305" s="348"/>
      <c r="V305" s="349"/>
      <c r="W305" s="350"/>
      <c r="X305" s="351"/>
      <c r="Y305" s="352"/>
      <c r="Z305" s="353"/>
      <c r="AA305" s="354"/>
      <c r="AB305" s="400"/>
    </row>
    <row r="306" spans="1:28" s="340" customFormat="1">
      <c r="A306" s="411"/>
      <c r="B306" s="325"/>
      <c r="C306" s="412"/>
      <c r="D306" s="325"/>
      <c r="E306" s="413"/>
      <c r="F306" s="325"/>
      <c r="G306" s="598"/>
      <c r="H306" s="414"/>
      <c r="I306" s="415"/>
      <c r="J306" s="416"/>
      <c r="K306" s="376"/>
      <c r="L306" s="377"/>
      <c r="M306" s="377">
        <f t="shared" ref="M306:AA306" si="16">SUM(M289:M305)</f>
        <v>96</v>
      </c>
      <c r="N306" s="377">
        <f t="shared" si="16"/>
        <v>10</v>
      </c>
      <c r="O306" s="377">
        <f t="shared" si="16"/>
        <v>66</v>
      </c>
      <c r="P306" s="377">
        <f t="shared" si="16"/>
        <v>10</v>
      </c>
      <c r="Q306" s="377">
        <f t="shared" si="16"/>
        <v>0</v>
      </c>
      <c r="R306" s="377">
        <f t="shared" si="16"/>
        <v>0</v>
      </c>
      <c r="S306" s="377">
        <f t="shared" si="16"/>
        <v>0</v>
      </c>
      <c r="T306" s="377">
        <f t="shared" si="16"/>
        <v>0</v>
      </c>
      <c r="U306" s="377">
        <f t="shared" si="16"/>
        <v>0</v>
      </c>
      <c r="V306" s="377">
        <f t="shared" si="16"/>
        <v>0</v>
      </c>
      <c r="W306" s="377">
        <f t="shared" si="16"/>
        <v>0</v>
      </c>
      <c r="X306" s="377">
        <f t="shared" si="16"/>
        <v>0</v>
      </c>
      <c r="Y306" s="377">
        <f t="shared" si="16"/>
        <v>0</v>
      </c>
      <c r="Z306" s="377">
        <f t="shared" si="16"/>
        <v>0</v>
      </c>
      <c r="AA306" s="377">
        <f t="shared" si="16"/>
        <v>0</v>
      </c>
      <c r="AB306" s="400"/>
    </row>
    <row r="307" spans="1:28" s="340" customFormat="1">
      <c r="A307" s="280" t="s">
        <v>170</v>
      </c>
      <c r="B307" s="280" t="s">
        <v>120</v>
      </c>
      <c r="C307" s="280" t="s">
        <v>152</v>
      </c>
      <c r="D307" s="280" t="s">
        <v>182</v>
      </c>
      <c r="E307" s="281" t="s">
        <v>153</v>
      </c>
      <c r="F307" s="280" t="s">
        <v>182</v>
      </c>
      <c r="G307" s="593" t="s">
        <v>401</v>
      </c>
      <c r="H307" s="333"/>
      <c r="I307" s="334" t="s">
        <v>181</v>
      </c>
      <c r="J307" s="335" t="s">
        <v>154</v>
      </c>
      <c r="K307" s="335" t="s">
        <v>155</v>
      </c>
      <c r="L307" s="336" t="s">
        <v>156</v>
      </c>
      <c r="M307" s="337" t="s">
        <v>157</v>
      </c>
      <c r="N307" s="336" t="s">
        <v>158</v>
      </c>
      <c r="O307" s="336" t="s">
        <v>159</v>
      </c>
      <c r="P307" s="336" t="s">
        <v>174</v>
      </c>
      <c r="Q307" s="336" t="s">
        <v>160</v>
      </c>
      <c r="R307" s="336" t="s">
        <v>161</v>
      </c>
      <c r="S307" s="336" t="s">
        <v>162</v>
      </c>
      <c r="T307" s="334" t="s">
        <v>163</v>
      </c>
      <c r="U307" s="334" t="s">
        <v>164</v>
      </c>
      <c r="V307" s="334" t="s">
        <v>165</v>
      </c>
      <c r="W307" s="336" t="s">
        <v>113</v>
      </c>
      <c r="X307" s="334" t="s">
        <v>121</v>
      </c>
      <c r="Y307" s="334" t="s">
        <v>166</v>
      </c>
      <c r="Z307" s="338" t="s">
        <v>175</v>
      </c>
      <c r="AA307" s="338" t="s">
        <v>167</v>
      </c>
      <c r="AB307" s="339"/>
    </row>
    <row r="308" spans="1:28" s="340" customFormat="1">
      <c r="A308" s="341"/>
      <c r="B308" s="342" t="s">
        <v>187</v>
      </c>
      <c r="C308" s="343">
        <v>8571</v>
      </c>
      <c r="D308" s="344" t="s">
        <v>222</v>
      </c>
      <c r="E308" s="345" t="s">
        <v>221</v>
      </c>
      <c r="F308" s="344" t="s">
        <v>222</v>
      </c>
      <c r="G308" s="589">
        <v>46214</v>
      </c>
      <c r="H308" s="346"/>
      <c r="I308" s="346" t="s">
        <v>186</v>
      </c>
      <c r="J308" s="295">
        <v>0.30486111111111114</v>
      </c>
      <c r="K308" s="295">
        <v>0.70833333333333337</v>
      </c>
      <c r="L308" s="347" t="s">
        <v>169</v>
      </c>
      <c r="M308" s="348">
        <v>8</v>
      </c>
      <c r="N308" s="348"/>
      <c r="O308" s="348"/>
      <c r="P308" s="348"/>
      <c r="Q308" s="349"/>
      <c r="R308" s="348"/>
      <c r="S308" s="348"/>
      <c r="T308" s="349"/>
      <c r="U308" s="348"/>
      <c r="V308" s="349"/>
      <c r="W308" s="350"/>
      <c r="X308" s="351"/>
      <c r="Y308" s="352"/>
      <c r="Z308" s="353"/>
      <c r="AA308" s="354"/>
      <c r="AB308" s="339"/>
    </row>
    <row r="309" spans="1:28" s="340" customFormat="1">
      <c r="A309" s="355"/>
      <c r="B309" s="342" t="s">
        <v>187</v>
      </c>
      <c r="C309" s="343">
        <v>8571</v>
      </c>
      <c r="D309" s="344" t="s">
        <v>222</v>
      </c>
      <c r="E309" s="345" t="s">
        <v>221</v>
      </c>
      <c r="F309" s="344" t="s">
        <v>222</v>
      </c>
      <c r="G309" s="590">
        <v>46215</v>
      </c>
      <c r="H309" s="346"/>
      <c r="I309" s="346"/>
      <c r="J309" s="699" t="s">
        <v>173</v>
      </c>
      <c r="K309" s="700"/>
      <c r="L309" s="347"/>
      <c r="M309" s="348"/>
      <c r="N309" s="348"/>
      <c r="O309" s="348"/>
      <c r="P309" s="348"/>
      <c r="Q309" s="349"/>
      <c r="R309" s="348"/>
      <c r="S309" s="348"/>
      <c r="T309" s="349"/>
      <c r="U309" s="348"/>
      <c r="V309" s="349"/>
      <c r="W309" s="350"/>
      <c r="X309" s="351"/>
      <c r="Y309" s="352"/>
      <c r="Z309" s="353"/>
      <c r="AA309" s="354"/>
      <c r="AB309" s="339"/>
    </row>
    <row r="310" spans="1:28" s="340" customFormat="1">
      <c r="A310" s="355"/>
      <c r="B310" s="342" t="s">
        <v>187</v>
      </c>
      <c r="C310" s="342">
        <v>8571</v>
      </c>
      <c r="D310" s="344" t="s">
        <v>222</v>
      </c>
      <c r="E310" s="345" t="s">
        <v>221</v>
      </c>
      <c r="F310" s="344" t="s">
        <v>222</v>
      </c>
      <c r="G310" s="589">
        <v>46216</v>
      </c>
      <c r="H310" s="346"/>
      <c r="I310" s="346"/>
      <c r="J310" s="708"/>
      <c r="K310" s="709"/>
      <c r="L310" s="347"/>
      <c r="M310" s="348"/>
      <c r="N310" s="348"/>
      <c r="O310" s="348"/>
      <c r="P310" s="348"/>
      <c r="Q310" s="349"/>
      <c r="R310" s="348"/>
      <c r="S310" s="348"/>
      <c r="T310" s="349"/>
      <c r="U310" s="348"/>
      <c r="V310" s="349"/>
      <c r="W310" s="350"/>
      <c r="X310" s="351"/>
      <c r="Y310" s="352"/>
      <c r="Z310" s="353"/>
      <c r="AA310" s="354"/>
      <c r="AB310" s="339"/>
    </row>
    <row r="311" spans="1:28" s="340" customFormat="1">
      <c r="A311" s="355"/>
      <c r="B311" s="342" t="s">
        <v>187</v>
      </c>
      <c r="C311" s="342">
        <v>8571</v>
      </c>
      <c r="D311" s="344" t="s">
        <v>222</v>
      </c>
      <c r="E311" s="345" t="s">
        <v>221</v>
      </c>
      <c r="F311" s="344" t="s">
        <v>222</v>
      </c>
      <c r="G311" s="589">
        <v>46217</v>
      </c>
      <c r="H311" s="346"/>
      <c r="I311" s="346"/>
      <c r="J311" s="305"/>
      <c r="K311" s="305"/>
      <c r="L311" s="347"/>
      <c r="M311" s="348"/>
      <c r="N311" s="348"/>
      <c r="O311" s="357"/>
      <c r="P311" s="357"/>
      <c r="Q311" s="356"/>
      <c r="R311" s="357"/>
      <c r="S311" s="357"/>
      <c r="T311" s="356"/>
      <c r="U311" s="357"/>
      <c r="V311" s="356"/>
      <c r="W311" s="358"/>
      <c r="X311" s="359"/>
      <c r="Y311" s="360"/>
      <c r="Z311" s="361"/>
      <c r="AA311" s="362"/>
      <c r="AB311" s="339"/>
    </row>
    <row r="312" spans="1:28" s="340" customFormat="1">
      <c r="A312" s="355"/>
      <c r="B312" s="342" t="s">
        <v>187</v>
      </c>
      <c r="C312" s="342">
        <v>8571</v>
      </c>
      <c r="D312" s="344" t="s">
        <v>222</v>
      </c>
      <c r="E312" s="345" t="s">
        <v>221</v>
      </c>
      <c r="F312" s="344" t="s">
        <v>222</v>
      </c>
      <c r="G312" s="589">
        <v>46218</v>
      </c>
      <c r="H312" s="346"/>
      <c r="I312" s="346" t="s">
        <v>183</v>
      </c>
      <c r="J312" s="305">
        <v>0.77847222222222223</v>
      </c>
      <c r="K312" s="305">
        <v>0.25</v>
      </c>
      <c r="L312" s="347" t="s">
        <v>168</v>
      </c>
      <c r="M312" s="348">
        <v>8</v>
      </c>
      <c r="N312" s="348">
        <v>2</v>
      </c>
      <c r="O312" s="348">
        <v>6</v>
      </c>
      <c r="P312" s="348">
        <v>2</v>
      </c>
      <c r="Q312" s="349"/>
      <c r="R312" s="348"/>
      <c r="S312" s="348"/>
      <c r="T312" s="349"/>
      <c r="U312" s="348"/>
      <c r="V312" s="349"/>
      <c r="W312" s="350"/>
      <c r="X312" s="351"/>
      <c r="Y312" s="352"/>
      <c r="Z312" s="353"/>
      <c r="AA312" s="354"/>
      <c r="AB312" s="339"/>
    </row>
    <row r="313" spans="1:28" s="340" customFormat="1">
      <c r="A313" s="355"/>
      <c r="B313" s="342" t="s">
        <v>187</v>
      </c>
      <c r="C313" s="342">
        <v>8571</v>
      </c>
      <c r="D313" s="344" t="s">
        <v>222</v>
      </c>
      <c r="E313" s="345" t="s">
        <v>221</v>
      </c>
      <c r="F313" s="344" t="s">
        <v>222</v>
      </c>
      <c r="G313" s="589">
        <v>46219</v>
      </c>
      <c r="H313" s="346"/>
      <c r="I313" s="346" t="s">
        <v>183</v>
      </c>
      <c r="J313" s="305">
        <v>0.77777777777777779</v>
      </c>
      <c r="K313" s="305">
        <v>0.16666666666666666</v>
      </c>
      <c r="L313" s="347" t="s">
        <v>168</v>
      </c>
      <c r="M313" s="348">
        <v>8</v>
      </c>
      <c r="N313" s="348"/>
      <c r="O313" s="348">
        <v>6</v>
      </c>
      <c r="P313" s="348"/>
      <c r="Q313" s="349"/>
      <c r="R313" s="348"/>
      <c r="S313" s="348"/>
      <c r="T313" s="349"/>
      <c r="U313" s="348"/>
      <c r="V313" s="349"/>
      <c r="W313" s="350"/>
      <c r="X313" s="351"/>
      <c r="Y313" s="352"/>
      <c r="Z313" s="353"/>
      <c r="AA313" s="354"/>
      <c r="AB313" s="339"/>
    </row>
    <row r="314" spans="1:28" s="340" customFormat="1">
      <c r="A314" s="355"/>
      <c r="B314" s="342" t="s">
        <v>187</v>
      </c>
      <c r="C314" s="342">
        <v>8571</v>
      </c>
      <c r="D314" s="344" t="s">
        <v>222</v>
      </c>
      <c r="E314" s="345" t="s">
        <v>221</v>
      </c>
      <c r="F314" s="344" t="s">
        <v>222</v>
      </c>
      <c r="G314" s="589">
        <v>46220</v>
      </c>
      <c r="H314" s="346"/>
      <c r="I314" s="346" t="s">
        <v>183</v>
      </c>
      <c r="J314" s="305">
        <v>0.78125</v>
      </c>
      <c r="K314" s="305">
        <v>0.25</v>
      </c>
      <c r="L314" s="347" t="s">
        <v>168</v>
      </c>
      <c r="M314" s="348">
        <v>8</v>
      </c>
      <c r="N314" s="348">
        <v>2</v>
      </c>
      <c r="O314" s="348">
        <v>6</v>
      </c>
      <c r="P314" s="348">
        <v>2</v>
      </c>
      <c r="Q314" s="349"/>
      <c r="R314" s="348"/>
      <c r="S314" s="348"/>
      <c r="T314" s="349"/>
      <c r="U314" s="348"/>
      <c r="V314" s="349"/>
      <c r="W314" s="350"/>
      <c r="X314" s="351"/>
      <c r="Y314" s="352"/>
      <c r="Z314" s="353"/>
      <c r="AA314" s="354"/>
      <c r="AB314" s="339"/>
    </row>
    <row r="315" spans="1:28" s="340" customFormat="1">
      <c r="A315" s="355"/>
      <c r="B315" s="342" t="s">
        <v>187</v>
      </c>
      <c r="C315" s="342">
        <v>8571</v>
      </c>
      <c r="D315" s="344" t="s">
        <v>222</v>
      </c>
      <c r="E315" s="345" t="s">
        <v>221</v>
      </c>
      <c r="F315" s="344" t="s">
        <v>222</v>
      </c>
      <c r="G315" s="589">
        <v>46221</v>
      </c>
      <c r="H315" s="346"/>
      <c r="I315" s="346" t="s">
        <v>183</v>
      </c>
      <c r="J315" s="305"/>
      <c r="K315" s="305"/>
      <c r="L315" s="347"/>
      <c r="M315" s="348"/>
      <c r="N315" s="348"/>
      <c r="O315" s="348"/>
      <c r="P315" s="348"/>
      <c r="Q315" s="349"/>
      <c r="R315" s="348"/>
      <c r="S315" s="348"/>
      <c r="T315" s="349"/>
      <c r="U315" s="348"/>
      <c r="V315" s="349"/>
      <c r="W315" s="350"/>
      <c r="X315" s="351"/>
      <c r="Y315" s="352"/>
      <c r="Z315" s="353"/>
      <c r="AA315" s="354"/>
      <c r="AB315" s="339"/>
    </row>
    <row r="316" spans="1:28" s="340" customFormat="1">
      <c r="A316" s="355"/>
      <c r="B316" s="342" t="s">
        <v>187</v>
      </c>
      <c r="C316" s="342">
        <v>8571</v>
      </c>
      <c r="D316" s="344" t="s">
        <v>222</v>
      </c>
      <c r="E316" s="345" t="s">
        <v>221</v>
      </c>
      <c r="F316" s="344" t="s">
        <v>222</v>
      </c>
      <c r="G316" s="590">
        <v>46222</v>
      </c>
      <c r="H316" s="346"/>
      <c r="I316" s="346"/>
      <c r="J316" s="699" t="s">
        <v>173</v>
      </c>
      <c r="K316" s="700"/>
      <c r="L316" s="347"/>
      <c r="M316" s="348"/>
      <c r="N316" s="348"/>
      <c r="O316" s="348"/>
      <c r="P316" s="348"/>
      <c r="Q316" s="349"/>
      <c r="R316" s="348"/>
      <c r="S316" s="348"/>
      <c r="T316" s="349"/>
      <c r="U316" s="348"/>
      <c r="V316" s="349"/>
      <c r="W316" s="350"/>
      <c r="X316" s="351"/>
      <c r="Y316" s="352"/>
      <c r="Z316" s="353"/>
      <c r="AA316" s="354"/>
      <c r="AB316" s="339"/>
    </row>
    <row r="317" spans="1:28" s="340" customFormat="1">
      <c r="A317" s="355"/>
      <c r="B317" s="342" t="s">
        <v>187</v>
      </c>
      <c r="C317" s="342">
        <v>8571</v>
      </c>
      <c r="D317" s="344" t="s">
        <v>222</v>
      </c>
      <c r="E317" s="345" t="s">
        <v>221</v>
      </c>
      <c r="F317" s="344" t="s">
        <v>222</v>
      </c>
      <c r="G317" s="589">
        <v>46223</v>
      </c>
      <c r="H317" s="346"/>
      <c r="I317" s="346" t="s">
        <v>183</v>
      </c>
      <c r="J317" s="378">
        <v>0.77638888888888891</v>
      </c>
      <c r="K317" s="378">
        <v>0.16666666666666666</v>
      </c>
      <c r="L317" s="347" t="s">
        <v>168</v>
      </c>
      <c r="M317" s="348">
        <v>8</v>
      </c>
      <c r="N317" s="348"/>
      <c r="O317" s="348">
        <v>6</v>
      </c>
      <c r="P317" s="357"/>
      <c r="Q317" s="356"/>
      <c r="R317" s="357"/>
      <c r="S317" s="357"/>
      <c r="T317" s="356"/>
      <c r="U317" s="357"/>
      <c r="V317" s="356"/>
      <c r="W317" s="350"/>
      <c r="X317" s="351"/>
      <c r="Y317" s="352"/>
      <c r="Z317" s="353"/>
      <c r="AA317" s="354"/>
      <c r="AB317" s="339"/>
    </row>
    <row r="318" spans="1:28" s="340" customFormat="1">
      <c r="A318" s="355"/>
      <c r="B318" s="342" t="s">
        <v>187</v>
      </c>
      <c r="C318" s="342">
        <v>8571</v>
      </c>
      <c r="D318" s="344" t="s">
        <v>222</v>
      </c>
      <c r="E318" s="345" t="s">
        <v>221</v>
      </c>
      <c r="F318" s="344" t="s">
        <v>222</v>
      </c>
      <c r="G318" s="589">
        <v>46224</v>
      </c>
      <c r="H318" s="346"/>
      <c r="I318" s="346" t="s">
        <v>183</v>
      </c>
      <c r="J318" s="295">
        <v>0.77500000000000002</v>
      </c>
      <c r="K318" s="295">
        <v>0.16666666666666666</v>
      </c>
      <c r="L318" s="347" t="s">
        <v>168</v>
      </c>
      <c r="M318" s="348">
        <v>8</v>
      </c>
      <c r="N318" s="348"/>
      <c r="O318" s="348">
        <v>6</v>
      </c>
      <c r="P318" s="365"/>
      <c r="Q318" s="364"/>
      <c r="R318" s="365"/>
      <c r="S318" s="365"/>
      <c r="T318" s="356"/>
      <c r="U318" s="357"/>
      <c r="V318" s="356"/>
      <c r="W318" s="358"/>
      <c r="X318" s="359"/>
      <c r="Y318" s="360"/>
      <c r="Z318" s="361"/>
      <c r="AA318" s="362"/>
      <c r="AB318" s="339"/>
    </row>
    <row r="319" spans="1:28" s="340" customFormat="1">
      <c r="A319" s="355"/>
      <c r="B319" s="342" t="s">
        <v>187</v>
      </c>
      <c r="C319" s="342">
        <v>8571</v>
      </c>
      <c r="D319" s="344" t="s">
        <v>222</v>
      </c>
      <c r="E319" s="345" t="s">
        <v>221</v>
      </c>
      <c r="F319" s="344" t="s">
        <v>222</v>
      </c>
      <c r="G319" s="589">
        <v>46225</v>
      </c>
      <c r="H319" s="346"/>
      <c r="I319" s="346" t="s">
        <v>183</v>
      </c>
      <c r="J319" s="295">
        <v>0.78055555555555556</v>
      </c>
      <c r="K319" s="295">
        <v>0.16666666666666666</v>
      </c>
      <c r="L319" s="347" t="s">
        <v>168</v>
      </c>
      <c r="M319" s="348">
        <v>8</v>
      </c>
      <c r="N319" s="348"/>
      <c r="O319" s="348">
        <v>6</v>
      </c>
      <c r="P319" s="348"/>
      <c r="Q319" s="349"/>
      <c r="R319" s="348"/>
      <c r="S319" s="348"/>
      <c r="T319" s="349"/>
      <c r="U319" s="348"/>
      <c r="V319" s="349"/>
      <c r="W319" s="350"/>
      <c r="X319" s="351"/>
      <c r="Y319" s="352"/>
      <c r="Z319" s="353"/>
      <c r="AA319" s="354"/>
      <c r="AB319" s="339"/>
    </row>
    <row r="320" spans="1:28" s="340" customFormat="1">
      <c r="A320" s="355"/>
      <c r="B320" s="342" t="s">
        <v>187</v>
      </c>
      <c r="C320" s="342">
        <v>8571</v>
      </c>
      <c r="D320" s="344" t="s">
        <v>222</v>
      </c>
      <c r="E320" s="345" t="s">
        <v>221</v>
      </c>
      <c r="F320" s="344" t="s">
        <v>222</v>
      </c>
      <c r="G320" s="589">
        <v>46226</v>
      </c>
      <c r="H320" s="346"/>
      <c r="I320" s="346" t="s">
        <v>183</v>
      </c>
      <c r="J320" s="295">
        <v>0.78749999999999998</v>
      </c>
      <c r="K320" s="417">
        <v>0.16597222222222222</v>
      </c>
      <c r="L320" s="347" t="s">
        <v>168</v>
      </c>
      <c r="M320" s="348">
        <v>8</v>
      </c>
      <c r="N320" s="348"/>
      <c r="O320" s="348">
        <v>5.5</v>
      </c>
      <c r="P320" s="367"/>
      <c r="Q320" s="349"/>
      <c r="R320" s="348"/>
      <c r="S320" s="348"/>
      <c r="T320" s="349"/>
      <c r="U320" s="348"/>
      <c r="V320" s="349"/>
      <c r="W320" s="350"/>
      <c r="X320" s="351"/>
      <c r="Y320" s="352"/>
      <c r="Z320" s="353"/>
      <c r="AA320" s="354">
        <v>1</v>
      </c>
      <c r="AB320" s="339"/>
    </row>
    <row r="321" spans="1:28" s="340" customFormat="1">
      <c r="A321" s="355"/>
      <c r="B321" s="342" t="s">
        <v>187</v>
      </c>
      <c r="C321" s="342">
        <v>8571</v>
      </c>
      <c r="D321" s="344" t="s">
        <v>222</v>
      </c>
      <c r="E321" s="345" t="s">
        <v>221</v>
      </c>
      <c r="F321" s="344" t="s">
        <v>222</v>
      </c>
      <c r="G321" s="589">
        <v>46227</v>
      </c>
      <c r="H321" s="346"/>
      <c r="I321" s="346" t="s">
        <v>183</v>
      </c>
      <c r="J321" s="295">
        <v>0.7729166666666667</v>
      </c>
      <c r="K321" s="318">
        <v>0.16666666666666666</v>
      </c>
      <c r="L321" s="347" t="s">
        <v>168</v>
      </c>
      <c r="M321" s="348">
        <v>8</v>
      </c>
      <c r="N321" s="348"/>
      <c r="O321" s="348">
        <v>6</v>
      </c>
      <c r="P321" s="366"/>
      <c r="Q321" s="368"/>
      <c r="R321" s="366"/>
      <c r="S321" s="366"/>
      <c r="T321" s="349"/>
      <c r="U321" s="348"/>
      <c r="V321" s="349"/>
      <c r="W321" s="350"/>
      <c r="X321" s="351"/>
      <c r="Y321" s="352"/>
      <c r="Z321" s="353"/>
      <c r="AA321" s="354"/>
      <c r="AB321" s="339"/>
    </row>
    <row r="322" spans="1:28" s="340" customFormat="1">
      <c r="A322" s="355"/>
      <c r="B322" s="342" t="s">
        <v>187</v>
      </c>
      <c r="C322" s="342">
        <v>8571</v>
      </c>
      <c r="D322" s="344" t="s">
        <v>222</v>
      </c>
      <c r="E322" s="345" t="s">
        <v>221</v>
      </c>
      <c r="F322" s="344" t="s">
        <v>222</v>
      </c>
      <c r="G322" s="589">
        <v>46228</v>
      </c>
      <c r="H322" s="346"/>
      <c r="I322" s="346" t="s">
        <v>183</v>
      </c>
      <c r="J322" s="295"/>
      <c r="K322" s="295"/>
      <c r="L322" s="347"/>
      <c r="M322" s="348"/>
      <c r="N322" s="348"/>
      <c r="O322" s="348"/>
      <c r="P322" s="348"/>
      <c r="Q322" s="349"/>
      <c r="R322" s="348"/>
      <c r="S322" s="320"/>
      <c r="T322" s="349"/>
      <c r="U322" s="348"/>
      <c r="V322" s="349"/>
      <c r="W322" s="350"/>
      <c r="X322" s="351"/>
      <c r="Y322" s="352"/>
      <c r="Z322" s="353"/>
      <c r="AA322" s="354"/>
      <c r="AB322" s="339"/>
    </row>
    <row r="323" spans="1:28" s="340" customFormat="1">
      <c r="A323" s="355"/>
      <c r="B323" s="342" t="s">
        <v>187</v>
      </c>
      <c r="C323" s="384"/>
      <c r="D323" s="345"/>
      <c r="E323" s="418"/>
      <c r="F323" s="345"/>
      <c r="G323" s="594"/>
      <c r="H323" s="346"/>
      <c r="I323" s="346"/>
      <c r="J323" s="369"/>
      <c r="K323" s="370"/>
      <c r="L323" s="371"/>
      <c r="M323" s="363"/>
      <c r="N323" s="363"/>
      <c r="O323" s="363"/>
      <c r="P323" s="363"/>
      <c r="Q323" s="372"/>
      <c r="R323" s="363"/>
      <c r="S323" s="324"/>
      <c r="T323" s="349"/>
      <c r="U323" s="348"/>
      <c r="V323" s="349"/>
      <c r="W323" s="350"/>
      <c r="X323" s="351"/>
      <c r="Y323" s="352"/>
      <c r="Z323" s="353"/>
      <c r="AA323" s="354"/>
      <c r="AB323" s="339"/>
    </row>
    <row r="324" spans="1:28" s="340" customFormat="1">
      <c r="A324" s="373"/>
      <c r="B324" s="325"/>
      <c r="C324" s="342"/>
      <c r="D324" s="325"/>
      <c r="E324" s="345"/>
      <c r="F324" s="325"/>
      <c r="G324" s="595"/>
      <c r="H324" s="374"/>
      <c r="I324" s="377"/>
      <c r="J324" s="375"/>
      <c r="K324" s="376"/>
      <c r="L324" s="377"/>
      <c r="M324" s="377">
        <f t="shared" ref="M324:AA324" si="17">SUM(M307:M323)</f>
        <v>72</v>
      </c>
      <c r="N324" s="377">
        <f t="shared" si="17"/>
        <v>4</v>
      </c>
      <c r="O324" s="377">
        <f t="shared" si="17"/>
        <v>47.5</v>
      </c>
      <c r="P324" s="377">
        <f t="shared" si="17"/>
        <v>4</v>
      </c>
      <c r="Q324" s="377">
        <f t="shared" si="17"/>
        <v>0</v>
      </c>
      <c r="R324" s="377">
        <f t="shared" si="17"/>
        <v>0</v>
      </c>
      <c r="S324" s="377">
        <f t="shared" si="17"/>
        <v>0</v>
      </c>
      <c r="T324" s="377">
        <f t="shared" si="17"/>
        <v>0</v>
      </c>
      <c r="U324" s="377">
        <f t="shared" si="17"/>
        <v>0</v>
      </c>
      <c r="V324" s="377">
        <f t="shared" si="17"/>
        <v>0</v>
      </c>
      <c r="W324" s="377">
        <f t="shared" si="17"/>
        <v>0</v>
      </c>
      <c r="X324" s="377">
        <f t="shared" si="17"/>
        <v>0</v>
      </c>
      <c r="Y324" s="377">
        <f t="shared" si="17"/>
        <v>0</v>
      </c>
      <c r="Z324" s="377">
        <f t="shared" si="17"/>
        <v>0</v>
      </c>
      <c r="AA324" s="377">
        <f t="shared" si="17"/>
        <v>1</v>
      </c>
      <c r="AB324" s="339"/>
    </row>
    <row r="325" spans="1:28" s="340" customFormat="1">
      <c r="A325" s="280" t="s">
        <v>170</v>
      </c>
      <c r="B325" s="280" t="s">
        <v>120</v>
      </c>
      <c r="C325" s="280" t="s">
        <v>152</v>
      </c>
      <c r="D325" s="280" t="s">
        <v>182</v>
      </c>
      <c r="E325" s="281" t="s">
        <v>153</v>
      </c>
      <c r="F325" s="280" t="s">
        <v>182</v>
      </c>
      <c r="G325" s="593" t="s">
        <v>401</v>
      </c>
      <c r="H325" s="333"/>
      <c r="I325" s="334" t="s">
        <v>181</v>
      </c>
      <c r="J325" s="335" t="s">
        <v>154</v>
      </c>
      <c r="K325" s="335" t="s">
        <v>155</v>
      </c>
      <c r="L325" s="336" t="s">
        <v>156</v>
      </c>
      <c r="M325" s="337" t="s">
        <v>157</v>
      </c>
      <c r="N325" s="336" t="s">
        <v>158</v>
      </c>
      <c r="O325" s="336" t="s">
        <v>159</v>
      </c>
      <c r="P325" s="336" t="s">
        <v>174</v>
      </c>
      <c r="Q325" s="336" t="s">
        <v>160</v>
      </c>
      <c r="R325" s="336" t="s">
        <v>161</v>
      </c>
      <c r="S325" s="336" t="s">
        <v>162</v>
      </c>
      <c r="T325" s="334" t="s">
        <v>163</v>
      </c>
      <c r="U325" s="334" t="s">
        <v>164</v>
      </c>
      <c r="V325" s="334" t="s">
        <v>165</v>
      </c>
      <c r="W325" s="336" t="s">
        <v>113</v>
      </c>
      <c r="X325" s="334" t="s">
        <v>121</v>
      </c>
      <c r="Y325" s="334" t="s">
        <v>166</v>
      </c>
      <c r="Z325" s="338" t="s">
        <v>175</v>
      </c>
      <c r="AA325" s="338" t="s">
        <v>167</v>
      </c>
      <c r="AB325" s="339"/>
    </row>
    <row r="326" spans="1:28" s="340" customFormat="1">
      <c r="A326" s="341"/>
      <c r="B326" s="342" t="s">
        <v>187</v>
      </c>
      <c r="C326" s="345">
        <v>12471</v>
      </c>
      <c r="D326" s="344" t="s">
        <v>220</v>
      </c>
      <c r="E326" s="345" t="s">
        <v>219</v>
      </c>
      <c r="F326" s="344" t="s">
        <v>220</v>
      </c>
      <c r="G326" s="589">
        <v>46214</v>
      </c>
      <c r="H326" s="346"/>
      <c r="I326" s="346"/>
      <c r="J326" s="295"/>
      <c r="K326" s="295"/>
      <c r="L326" s="347"/>
      <c r="M326" s="348"/>
      <c r="N326" s="348"/>
      <c r="O326" s="348"/>
      <c r="P326" s="348"/>
      <c r="Q326" s="349"/>
      <c r="R326" s="348"/>
      <c r="S326" s="348"/>
      <c r="T326" s="349"/>
      <c r="U326" s="348"/>
      <c r="V326" s="349"/>
      <c r="W326" s="350"/>
      <c r="X326" s="351"/>
      <c r="Y326" s="352"/>
      <c r="Z326" s="353"/>
      <c r="AA326" s="354"/>
      <c r="AB326" s="339"/>
    </row>
    <row r="327" spans="1:28" s="340" customFormat="1">
      <c r="A327" s="355"/>
      <c r="B327" s="342" t="s">
        <v>187</v>
      </c>
      <c r="C327" s="345">
        <v>12471</v>
      </c>
      <c r="D327" s="344" t="s">
        <v>220</v>
      </c>
      <c r="E327" s="345" t="s">
        <v>219</v>
      </c>
      <c r="F327" s="344" t="s">
        <v>220</v>
      </c>
      <c r="G327" s="590">
        <v>46215</v>
      </c>
      <c r="H327" s="346"/>
      <c r="I327" s="346"/>
      <c r="J327" s="699" t="s">
        <v>173</v>
      </c>
      <c r="K327" s="700"/>
      <c r="L327" s="347"/>
      <c r="M327" s="348"/>
      <c r="N327" s="348"/>
      <c r="O327" s="348"/>
      <c r="P327" s="348"/>
      <c r="Q327" s="349"/>
      <c r="R327" s="348"/>
      <c r="S327" s="348"/>
      <c r="T327" s="349"/>
      <c r="U327" s="348"/>
      <c r="V327" s="349"/>
      <c r="W327" s="350"/>
      <c r="X327" s="351"/>
      <c r="Y327" s="352"/>
      <c r="Z327" s="353"/>
      <c r="AA327" s="354"/>
      <c r="AB327" s="339"/>
    </row>
    <row r="328" spans="1:28" s="340" customFormat="1">
      <c r="A328" s="355"/>
      <c r="B328" s="342" t="s">
        <v>187</v>
      </c>
      <c r="C328" s="383">
        <v>12471</v>
      </c>
      <c r="D328" s="344" t="s">
        <v>220</v>
      </c>
      <c r="E328" s="345" t="s">
        <v>219</v>
      </c>
      <c r="F328" s="344" t="s">
        <v>220</v>
      </c>
      <c r="G328" s="589">
        <v>46216</v>
      </c>
      <c r="H328" s="346"/>
      <c r="I328" s="346" t="s">
        <v>183</v>
      </c>
      <c r="J328" s="382">
        <v>0.75972222222222219</v>
      </c>
      <c r="K328" s="382">
        <v>0.25</v>
      </c>
      <c r="L328" s="347" t="s">
        <v>168</v>
      </c>
      <c r="M328" s="348">
        <v>8</v>
      </c>
      <c r="N328" s="348">
        <v>2</v>
      </c>
      <c r="O328" s="348">
        <v>6</v>
      </c>
      <c r="P328" s="348">
        <v>2</v>
      </c>
      <c r="Q328" s="349"/>
      <c r="R328" s="348"/>
      <c r="S328" s="348"/>
      <c r="T328" s="349"/>
      <c r="U328" s="348"/>
      <c r="V328" s="349"/>
      <c r="W328" s="350"/>
      <c r="X328" s="351"/>
      <c r="Y328" s="352"/>
      <c r="Z328" s="353"/>
      <c r="AA328" s="354"/>
      <c r="AB328" s="339"/>
    </row>
    <row r="329" spans="1:28" s="340" customFormat="1">
      <c r="A329" s="355"/>
      <c r="B329" s="342" t="s">
        <v>187</v>
      </c>
      <c r="C329" s="383">
        <v>12471</v>
      </c>
      <c r="D329" s="344" t="s">
        <v>220</v>
      </c>
      <c r="E329" s="345" t="s">
        <v>219</v>
      </c>
      <c r="F329" s="344" t="s">
        <v>220</v>
      </c>
      <c r="G329" s="589">
        <v>46217</v>
      </c>
      <c r="H329" s="346"/>
      <c r="I329" s="346" t="s">
        <v>183</v>
      </c>
      <c r="J329" s="382">
        <v>0.77361111111111114</v>
      </c>
      <c r="K329" s="382">
        <v>0.25069444444444444</v>
      </c>
      <c r="L329" s="347" t="s">
        <v>168</v>
      </c>
      <c r="M329" s="348">
        <v>8</v>
      </c>
      <c r="N329" s="348">
        <v>2</v>
      </c>
      <c r="O329" s="348">
        <v>6</v>
      </c>
      <c r="P329" s="348">
        <v>2</v>
      </c>
      <c r="Q329" s="356"/>
      <c r="R329" s="357"/>
      <c r="S329" s="357"/>
      <c r="T329" s="356"/>
      <c r="U329" s="357"/>
      <c r="V329" s="356"/>
      <c r="W329" s="358"/>
      <c r="X329" s="359"/>
      <c r="Y329" s="360"/>
      <c r="Z329" s="361"/>
      <c r="AA329" s="362"/>
      <c r="AB329" s="339"/>
    </row>
    <row r="330" spans="1:28" s="340" customFormat="1">
      <c r="A330" s="355"/>
      <c r="B330" s="342" t="s">
        <v>187</v>
      </c>
      <c r="C330" s="383">
        <v>12471</v>
      </c>
      <c r="D330" s="344" t="s">
        <v>220</v>
      </c>
      <c r="E330" s="345" t="s">
        <v>219</v>
      </c>
      <c r="F330" s="344" t="s">
        <v>220</v>
      </c>
      <c r="G330" s="589">
        <v>46218</v>
      </c>
      <c r="H330" s="346"/>
      <c r="I330" s="346" t="s">
        <v>183</v>
      </c>
      <c r="J330" s="382">
        <v>0.7715277777777777</v>
      </c>
      <c r="K330" s="382">
        <v>0.25069444444444444</v>
      </c>
      <c r="L330" s="347" t="s">
        <v>168</v>
      </c>
      <c r="M330" s="348">
        <v>8</v>
      </c>
      <c r="N330" s="348">
        <v>2</v>
      </c>
      <c r="O330" s="348">
        <v>6</v>
      </c>
      <c r="P330" s="348">
        <v>2</v>
      </c>
      <c r="Q330" s="349"/>
      <c r="R330" s="348"/>
      <c r="S330" s="348"/>
      <c r="T330" s="349"/>
      <c r="U330" s="348"/>
      <c r="V330" s="349"/>
      <c r="W330" s="350"/>
      <c r="X330" s="351"/>
      <c r="Y330" s="352"/>
      <c r="Z330" s="353"/>
      <c r="AA330" s="354"/>
      <c r="AB330" s="339"/>
    </row>
    <row r="331" spans="1:28" s="340" customFormat="1">
      <c r="A331" s="355"/>
      <c r="B331" s="342" t="s">
        <v>187</v>
      </c>
      <c r="C331" s="383">
        <v>12471</v>
      </c>
      <c r="D331" s="344" t="s">
        <v>220</v>
      </c>
      <c r="E331" s="345" t="s">
        <v>219</v>
      </c>
      <c r="F331" s="344" t="s">
        <v>220</v>
      </c>
      <c r="G331" s="589">
        <v>46219</v>
      </c>
      <c r="H331" s="346"/>
      <c r="I331" s="346" t="s">
        <v>183</v>
      </c>
      <c r="J331" s="382">
        <v>0.77361111111111114</v>
      </c>
      <c r="K331" s="382">
        <v>0.1673611111111111</v>
      </c>
      <c r="L331" s="347" t="s">
        <v>168</v>
      </c>
      <c r="M331" s="348">
        <v>8</v>
      </c>
      <c r="N331" s="348"/>
      <c r="O331" s="348">
        <v>6</v>
      </c>
      <c r="P331" s="348"/>
      <c r="Q331" s="349"/>
      <c r="R331" s="348"/>
      <c r="S331" s="348"/>
      <c r="T331" s="349"/>
      <c r="U331" s="348"/>
      <c r="V331" s="349"/>
      <c r="W331" s="350"/>
      <c r="X331" s="351"/>
      <c r="Y331" s="352"/>
      <c r="Z331" s="353"/>
      <c r="AA331" s="354"/>
      <c r="AB331" s="339"/>
    </row>
    <row r="332" spans="1:28" s="340" customFormat="1">
      <c r="A332" s="355"/>
      <c r="B332" s="342" t="s">
        <v>187</v>
      </c>
      <c r="C332" s="383">
        <v>12471</v>
      </c>
      <c r="D332" s="344" t="s">
        <v>220</v>
      </c>
      <c r="E332" s="345" t="s">
        <v>219</v>
      </c>
      <c r="F332" s="344" t="s">
        <v>220</v>
      </c>
      <c r="G332" s="589">
        <v>46220</v>
      </c>
      <c r="H332" s="346"/>
      <c r="I332" s="346" t="s">
        <v>183</v>
      </c>
      <c r="J332" s="382">
        <v>0.77500000000000002</v>
      </c>
      <c r="K332" s="382">
        <v>0.1673611111111111</v>
      </c>
      <c r="L332" s="347" t="s">
        <v>168</v>
      </c>
      <c r="M332" s="348">
        <v>8</v>
      </c>
      <c r="N332" s="348"/>
      <c r="O332" s="348">
        <v>6</v>
      </c>
      <c r="P332" s="348"/>
      <c r="Q332" s="349"/>
      <c r="R332" s="348"/>
      <c r="S332" s="348"/>
      <c r="T332" s="349"/>
      <c r="U332" s="348"/>
      <c r="V332" s="349"/>
      <c r="W332" s="350"/>
      <c r="X332" s="351"/>
      <c r="Y332" s="352"/>
      <c r="Z332" s="353"/>
      <c r="AA332" s="354"/>
      <c r="AB332" s="339"/>
    </row>
    <row r="333" spans="1:28" s="340" customFormat="1">
      <c r="A333" s="355"/>
      <c r="B333" s="342" t="s">
        <v>187</v>
      </c>
      <c r="C333" s="383">
        <v>12471</v>
      </c>
      <c r="D333" s="344" t="s">
        <v>220</v>
      </c>
      <c r="E333" s="345" t="s">
        <v>219</v>
      </c>
      <c r="F333" s="344" t="s">
        <v>220</v>
      </c>
      <c r="G333" s="589">
        <v>46221</v>
      </c>
      <c r="H333" s="346"/>
      <c r="I333" s="346" t="s">
        <v>183</v>
      </c>
      <c r="J333" s="305">
        <v>0.7729166666666667</v>
      </c>
      <c r="K333" s="305">
        <v>0.16666666666666666</v>
      </c>
      <c r="L333" s="347" t="s">
        <v>168</v>
      </c>
      <c r="M333" s="348">
        <v>8</v>
      </c>
      <c r="N333" s="348"/>
      <c r="O333" s="348">
        <v>6</v>
      </c>
      <c r="P333" s="348"/>
      <c r="Q333" s="349"/>
      <c r="R333" s="348"/>
      <c r="S333" s="348"/>
      <c r="T333" s="349"/>
      <c r="U333" s="348"/>
      <c r="V333" s="349"/>
      <c r="W333" s="350"/>
      <c r="X333" s="351"/>
      <c r="Y333" s="352"/>
      <c r="Z333" s="353"/>
      <c r="AA333" s="354"/>
      <c r="AB333" s="339"/>
    </row>
    <row r="334" spans="1:28" s="340" customFormat="1">
      <c r="A334" s="355"/>
      <c r="B334" s="342" t="s">
        <v>187</v>
      </c>
      <c r="C334" s="383">
        <v>12471</v>
      </c>
      <c r="D334" s="344" t="s">
        <v>220</v>
      </c>
      <c r="E334" s="345" t="s">
        <v>219</v>
      </c>
      <c r="F334" s="344" t="s">
        <v>220</v>
      </c>
      <c r="G334" s="590">
        <v>46222</v>
      </c>
      <c r="H334" s="346"/>
      <c r="I334" s="346"/>
      <c r="J334" s="699" t="s">
        <v>173</v>
      </c>
      <c r="K334" s="700"/>
      <c r="L334" s="347"/>
      <c r="M334" s="348"/>
      <c r="N334" s="348"/>
      <c r="O334" s="346"/>
      <c r="P334" s="348"/>
      <c r="Q334" s="349"/>
      <c r="R334" s="348"/>
      <c r="S334" s="348"/>
      <c r="T334" s="349"/>
      <c r="U334" s="348"/>
      <c r="V334" s="349"/>
      <c r="W334" s="350"/>
      <c r="X334" s="351"/>
      <c r="Y334" s="352"/>
      <c r="Z334" s="353"/>
      <c r="AA334" s="354"/>
      <c r="AB334" s="339"/>
    </row>
    <row r="335" spans="1:28" s="340" customFormat="1">
      <c r="A335" s="355"/>
      <c r="B335" s="342" t="s">
        <v>187</v>
      </c>
      <c r="C335" s="383">
        <v>12471</v>
      </c>
      <c r="D335" s="344" t="s">
        <v>220</v>
      </c>
      <c r="E335" s="345" t="s">
        <v>219</v>
      </c>
      <c r="F335" s="344" t="s">
        <v>220</v>
      </c>
      <c r="G335" s="589">
        <v>46223</v>
      </c>
      <c r="H335" s="346"/>
      <c r="I335" s="346" t="s">
        <v>183</v>
      </c>
      <c r="J335" s="295">
        <v>0.76875000000000004</v>
      </c>
      <c r="K335" s="295">
        <v>0.1673611111111111</v>
      </c>
      <c r="L335" s="347" t="s">
        <v>168</v>
      </c>
      <c r="M335" s="348">
        <v>8</v>
      </c>
      <c r="N335" s="348"/>
      <c r="O335" s="348">
        <v>6</v>
      </c>
      <c r="P335" s="357"/>
      <c r="Q335" s="356"/>
      <c r="R335" s="357"/>
      <c r="S335" s="357"/>
      <c r="T335" s="356"/>
      <c r="U335" s="357"/>
      <c r="V335" s="356"/>
      <c r="W335" s="350"/>
      <c r="X335" s="351"/>
      <c r="Y335" s="352"/>
      <c r="Z335" s="353"/>
      <c r="AA335" s="354"/>
      <c r="AB335" s="339"/>
    </row>
    <row r="336" spans="1:28" s="340" customFormat="1">
      <c r="A336" s="355"/>
      <c r="B336" s="342" t="s">
        <v>187</v>
      </c>
      <c r="C336" s="383">
        <v>12471</v>
      </c>
      <c r="D336" s="344" t="s">
        <v>220</v>
      </c>
      <c r="E336" s="345" t="s">
        <v>219</v>
      </c>
      <c r="F336" s="344" t="s">
        <v>220</v>
      </c>
      <c r="G336" s="589">
        <v>46224</v>
      </c>
      <c r="H336" s="346"/>
      <c r="I336" s="346" t="s">
        <v>183</v>
      </c>
      <c r="J336" s="295">
        <v>0.77013888888888893</v>
      </c>
      <c r="K336" s="295">
        <v>0.25069444444444444</v>
      </c>
      <c r="L336" s="347" t="s">
        <v>168</v>
      </c>
      <c r="M336" s="348">
        <v>8</v>
      </c>
      <c r="N336" s="343">
        <v>2</v>
      </c>
      <c r="O336" s="348">
        <v>6</v>
      </c>
      <c r="P336" s="348">
        <v>2</v>
      </c>
      <c r="Q336" s="364"/>
      <c r="R336" s="365"/>
      <c r="S336" s="365"/>
      <c r="T336" s="356"/>
      <c r="U336" s="357"/>
      <c r="V336" s="356"/>
      <c r="W336" s="358"/>
      <c r="X336" s="359"/>
      <c r="Y336" s="360"/>
      <c r="Z336" s="361"/>
      <c r="AA336" s="362"/>
      <c r="AB336" s="339"/>
    </row>
    <row r="337" spans="1:28" s="340" customFormat="1">
      <c r="A337" s="355"/>
      <c r="B337" s="342" t="s">
        <v>187</v>
      </c>
      <c r="C337" s="383">
        <v>12471</v>
      </c>
      <c r="D337" s="344" t="s">
        <v>220</v>
      </c>
      <c r="E337" s="345" t="s">
        <v>219</v>
      </c>
      <c r="F337" s="344" t="s">
        <v>220</v>
      </c>
      <c r="G337" s="589">
        <v>46225</v>
      </c>
      <c r="H337" s="346"/>
      <c r="I337" s="346" t="s">
        <v>183</v>
      </c>
      <c r="J337" s="295">
        <v>0.76527777777777772</v>
      </c>
      <c r="K337" s="295">
        <v>0.16666666666666666</v>
      </c>
      <c r="L337" s="347" t="s">
        <v>168</v>
      </c>
      <c r="M337" s="348">
        <v>8</v>
      </c>
      <c r="N337" s="348"/>
      <c r="O337" s="348">
        <v>6</v>
      </c>
      <c r="P337" s="348"/>
      <c r="Q337" s="349"/>
      <c r="R337" s="348"/>
      <c r="S337" s="348"/>
      <c r="T337" s="349"/>
      <c r="U337" s="348"/>
      <c r="V337" s="349"/>
      <c r="W337" s="350"/>
      <c r="X337" s="351"/>
      <c r="Y337" s="352"/>
      <c r="Z337" s="353"/>
      <c r="AA337" s="354"/>
      <c r="AB337" s="339"/>
    </row>
    <row r="338" spans="1:28" s="340" customFormat="1">
      <c r="A338" s="355"/>
      <c r="B338" s="342" t="s">
        <v>187</v>
      </c>
      <c r="C338" s="383">
        <v>12471</v>
      </c>
      <c r="D338" s="344" t="s">
        <v>220</v>
      </c>
      <c r="E338" s="345" t="s">
        <v>219</v>
      </c>
      <c r="F338" s="344" t="s">
        <v>220</v>
      </c>
      <c r="G338" s="589">
        <v>46226</v>
      </c>
      <c r="H338" s="346"/>
      <c r="I338" s="346" t="s">
        <v>183</v>
      </c>
      <c r="J338" s="295">
        <v>0.76944444444444449</v>
      </c>
      <c r="K338" s="295">
        <v>0.16666666666666666</v>
      </c>
      <c r="L338" s="347" t="s">
        <v>168</v>
      </c>
      <c r="M338" s="348">
        <v>8</v>
      </c>
      <c r="N338" s="348"/>
      <c r="O338" s="348">
        <v>6</v>
      </c>
      <c r="P338" s="367"/>
      <c r="Q338" s="349"/>
      <c r="R338" s="348"/>
      <c r="S338" s="348"/>
      <c r="T338" s="349"/>
      <c r="U338" s="348"/>
      <c r="V338" s="349"/>
      <c r="W338" s="350"/>
      <c r="X338" s="351"/>
      <c r="Y338" s="352"/>
      <c r="Z338" s="353"/>
      <c r="AA338" s="354"/>
      <c r="AB338" s="339"/>
    </row>
    <row r="339" spans="1:28" s="340" customFormat="1">
      <c r="A339" s="355"/>
      <c r="B339" s="342" t="s">
        <v>187</v>
      </c>
      <c r="C339" s="383">
        <v>12471</v>
      </c>
      <c r="D339" s="344" t="s">
        <v>220</v>
      </c>
      <c r="E339" s="345" t="s">
        <v>219</v>
      </c>
      <c r="F339" s="344" t="s">
        <v>220</v>
      </c>
      <c r="G339" s="589">
        <v>46227</v>
      </c>
      <c r="H339" s="346"/>
      <c r="I339" s="346" t="s">
        <v>183</v>
      </c>
      <c r="J339" s="295">
        <v>0.7729166666666667</v>
      </c>
      <c r="K339" s="318">
        <v>0.16666666666666666</v>
      </c>
      <c r="L339" s="347" t="s">
        <v>168</v>
      </c>
      <c r="M339" s="348">
        <v>8</v>
      </c>
      <c r="N339" s="348"/>
      <c r="O339" s="348">
        <v>6</v>
      </c>
      <c r="P339" s="366"/>
      <c r="Q339" s="368"/>
      <c r="R339" s="366"/>
      <c r="S339" s="366"/>
      <c r="T339" s="349"/>
      <c r="U339" s="348"/>
      <c r="V339" s="349"/>
      <c r="W339" s="350"/>
      <c r="X339" s="351"/>
      <c r="Y339" s="352"/>
      <c r="Z339" s="353"/>
      <c r="AA339" s="354"/>
      <c r="AB339" s="339"/>
    </row>
    <row r="340" spans="1:28" s="340" customFormat="1">
      <c r="A340" s="355"/>
      <c r="B340" s="342" t="s">
        <v>187</v>
      </c>
      <c r="C340" s="383">
        <v>12471</v>
      </c>
      <c r="D340" s="344" t="s">
        <v>220</v>
      </c>
      <c r="E340" s="345" t="s">
        <v>219</v>
      </c>
      <c r="F340" s="344" t="s">
        <v>220</v>
      </c>
      <c r="G340" s="589">
        <v>46228</v>
      </c>
      <c r="H340" s="346"/>
      <c r="I340" s="346" t="s">
        <v>183</v>
      </c>
      <c r="J340" s="295"/>
      <c r="K340" s="295"/>
      <c r="L340" s="347"/>
      <c r="M340" s="348"/>
      <c r="N340" s="348"/>
      <c r="O340" s="348"/>
      <c r="P340" s="348"/>
      <c r="Q340" s="349"/>
      <c r="R340" s="348"/>
      <c r="S340" s="320"/>
      <c r="T340" s="349"/>
      <c r="U340" s="348"/>
      <c r="V340" s="349"/>
      <c r="W340" s="350"/>
      <c r="X340" s="351"/>
      <c r="Y340" s="352"/>
      <c r="Z340" s="353"/>
      <c r="AA340" s="354"/>
      <c r="AB340" s="339"/>
    </row>
    <row r="341" spans="1:28" s="340" customFormat="1">
      <c r="A341" s="355"/>
      <c r="B341" s="342" t="s">
        <v>187</v>
      </c>
      <c r="C341" s="384"/>
      <c r="D341" s="345"/>
      <c r="E341" s="345"/>
      <c r="F341" s="345"/>
      <c r="G341" s="594"/>
      <c r="H341" s="346"/>
      <c r="I341" s="346"/>
      <c r="J341" s="369"/>
      <c r="K341" s="370"/>
      <c r="L341" s="371"/>
      <c r="M341" s="363"/>
      <c r="N341" s="363"/>
      <c r="O341" s="363"/>
      <c r="P341" s="363"/>
      <c r="Q341" s="372"/>
      <c r="R341" s="363"/>
      <c r="S341" s="324"/>
      <c r="T341" s="349"/>
      <c r="U341" s="348"/>
      <c r="V341" s="349"/>
      <c r="W341" s="350"/>
      <c r="X341" s="351"/>
      <c r="Y341" s="352"/>
      <c r="Z341" s="353"/>
      <c r="AA341" s="354"/>
      <c r="AB341" s="339"/>
    </row>
    <row r="342" spans="1:28" s="340" customFormat="1">
      <c r="A342" s="373"/>
      <c r="B342" s="325"/>
      <c r="C342" s="342"/>
      <c r="D342" s="325"/>
      <c r="E342" s="345"/>
      <c r="F342" s="325"/>
      <c r="G342" s="595"/>
      <c r="H342" s="374"/>
      <c r="I342" s="377"/>
      <c r="J342" s="375"/>
      <c r="K342" s="376"/>
      <c r="L342" s="377"/>
      <c r="M342" s="377">
        <f t="shared" ref="M342:AA342" si="18">SUM(M325:M341)</f>
        <v>88</v>
      </c>
      <c r="N342" s="377">
        <f t="shared" si="18"/>
        <v>8</v>
      </c>
      <c r="O342" s="377">
        <f t="shared" si="18"/>
        <v>66</v>
      </c>
      <c r="P342" s="377">
        <f t="shared" si="18"/>
        <v>8</v>
      </c>
      <c r="Q342" s="377">
        <f t="shared" si="18"/>
        <v>0</v>
      </c>
      <c r="R342" s="377">
        <f t="shared" si="18"/>
        <v>0</v>
      </c>
      <c r="S342" s="377">
        <f t="shared" si="18"/>
        <v>0</v>
      </c>
      <c r="T342" s="377">
        <f t="shared" si="18"/>
        <v>0</v>
      </c>
      <c r="U342" s="377">
        <f t="shared" si="18"/>
        <v>0</v>
      </c>
      <c r="V342" s="377">
        <f t="shared" si="18"/>
        <v>0</v>
      </c>
      <c r="W342" s="377">
        <f t="shared" si="18"/>
        <v>0</v>
      </c>
      <c r="X342" s="377">
        <f t="shared" si="18"/>
        <v>0</v>
      </c>
      <c r="Y342" s="377">
        <f t="shared" si="18"/>
        <v>0</v>
      </c>
      <c r="Z342" s="377">
        <f t="shared" si="18"/>
        <v>0</v>
      </c>
      <c r="AA342" s="392">
        <f t="shared" si="18"/>
        <v>0</v>
      </c>
      <c r="AB342" s="339"/>
    </row>
    <row r="343" spans="1:28" s="340" customFormat="1">
      <c r="A343" s="280" t="s">
        <v>170</v>
      </c>
      <c r="B343" s="280" t="s">
        <v>120</v>
      </c>
      <c r="C343" s="280" t="s">
        <v>152</v>
      </c>
      <c r="D343" s="280" t="s">
        <v>182</v>
      </c>
      <c r="E343" s="281" t="s">
        <v>153</v>
      </c>
      <c r="F343" s="280" t="s">
        <v>182</v>
      </c>
      <c r="G343" s="593" t="s">
        <v>401</v>
      </c>
      <c r="H343" s="333"/>
      <c r="I343" s="334" t="s">
        <v>181</v>
      </c>
      <c r="J343" s="419" t="s">
        <v>154</v>
      </c>
      <c r="K343" s="419" t="s">
        <v>155</v>
      </c>
      <c r="L343" s="334" t="s">
        <v>156</v>
      </c>
      <c r="M343" s="420" t="s">
        <v>157</v>
      </c>
      <c r="N343" s="334" t="s">
        <v>158</v>
      </c>
      <c r="O343" s="334" t="s">
        <v>159</v>
      </c>
      <c r="P343" s="334" t="s">
        <v>174</v>
      </c>
      <c r="Q343" s="334" t="s">
        <v>160</v>
      </c>
      <c r="R343" s="334" t="s">
        <v>161</v>
      </c>
      <c r="S343" s="334" t="s">
        <v>162</v>
      </c>
      <c r="T343" s="334" t="s">
        <v>163</v>
      </c>
      <c r="U343" s="334" t="s">
        <v>164</v>
      </c>
      <c r="V343" s="334" t="s">
        <v>165</v>
      </c>
      <c r="W343" s="336" t="s">
        <v>113</v>
      </c>
      <c r="X343" s="334" t="s">
        <v>121</v>
      </c>
      <c r="Y343" s="334" t="s">
        <v>166</v>
      </c>
      <c r="Z343" s="338" t="s">
        <v>175</v>
      </c>
      <c r="AA343" s="338" t="s">
        <v>167</v>
      </c>
      <c r="AB343" s="339"/>
    </row>
    <row r="344" spans="1:28" s="340" customFormat="1">
      <c r="A344" s="341"/>
      <c r="B344" s="342" t="s">
        <v>187</v>
      </c>
      <c r="C344" s="348">
        <v>32436</v>
      </c>
      <c r="D344" s="344" t="s">
        <v>372</v>
      </c>
      <c r="E344" s="348" t="s">
        <v>218</v>
      </c>
      <c r="F344" s="344" t="s">
        <v>372</v>
      </c>
      <c r="G344" s="589">
        <v>46214</v>
      </c>
      <c r="H344" s="346"/>
      <c r="I344" s="346"/>
      <c r="J344" s="295"/>
      <c r="K344" s="295"/>
      <c r="L344" s="347"/>
      <c r="M344" s="348"/>
      <c r="N344" s="348"/>
      <c r="O344" s="348"/>
      <c r="P344" s="348"/>
      <c r="Q344" s="349"/>
      <c r="R344" s="348"/>
      <c r="S344" s="348"/>
      <c r="T344" s="349"/>
      <c r="U344" s="348"/>
      <c r="V344" s="349"/>
      <c r="W344" s="350"/>
      <c r="X344" s="351"/>
      <c r="Y344" s="352"/>
      <c r="Z344" s="353"/>
      <c r="AA344" s="354"/>
      <c r="AB344" s="339"/>
    </row>
    <row r="345" spans="1:28" s="340" customFormat="1">
      <c r="A345" s="355"/>
      <c r="B345" s="342" t="s">
        <v>187</v>
      </c>
      <c r="C345" s="348">
        <v>32436</v>
      </c>
      <c r="D345" s="344" t="s">
        <v>372</v>
      </c>
      <c r="E345" s="348" t="s">
        <v>218</v>
      </c>
      <c r="F345" s="344" t="s">
        <v>372</v>
      </c>
      <c r="G345" s="590">
        <v>46215</v>
      </c>
      <c r="H345" s="346"/>
      <c r="I345" s="346"/>
      <c r="J345" s="699" t="s">
        <v>173</v>
      </c>
      <c r="K345" s="700"/>
      <c r="L345" s="347"/>
      <c r="M345" s="348"/>
      <c r="N345" s="348"/>
      <c r="O345" s="348"/>
      <c r="P345" s="348"/>
      <c r="Q345" s="349"/>
      <c r="R345" s="348"/>
      <c r="S345" s="348"/>
      <c r="T345" s="349"/>
      <c r="U345" s="348"/>
      <c r="V345" s="349"/>
      <c r="W345" s="350"/>
      <c r="X345" s="351"/>
      <c r="Y345" s="352"/>
      <c r="Z345" s="353"/>
      <c r="AA345" s="354"/>
      <c r="AB345" s="339"/>
    </row>
    <row r="346" spans="1:28" s="340" customFormat="1">
      <c r="A346" s="355"/>
      <c r="B346" s="342" t="s">
        <v>187</v>
      </c>
      <c r="C346" s="348">
        <v>32436</v>
      </c>
      <c r="D346" s="344" t="s">
        <v>372</v>
      </c>
      <c r="E346" s="348" t="s">
        <v>218</v>
      </c>
      <c r="F346" s="344" t="s">
        <v>372</v>
      </c>
      <c r="G346" s="589">
        <v>46216</v>
      </c>
      <c r="H346" s="346"/>
      <c r="I346" s="346" t="s">
        <v>183</v>
      </c>
      <c r="J346" s="382">
        <v>0.76875000000000004</v>
      </c>
      <c r="K346" s="382">
        <v>0.25</v>
      </c>
      <c r="L346" s="347" t="s">
        <v>168</v>
      </c>
      <c r="M346" s="348">
        <v>8</v>
      </c>
      <c r="N346" s="348">
        <v>2</v>
      </c>
      <c r="O346" s="348">
        <v>6</v>
      </c>
      <c r="P346" s="348">
        <v>2</v>
      </c>
      <c r="Q346" s="349"/>
      <c r="R346" s="348"/>
      <c r="S346" s="348"/>
      <c r="T346" s="349"/>
      <c r="U346" s="348"/>
      <c r="V346" s="349"/>
      <c r="W346" s="350"/>
      <c r="X346" s="351"/>
      <c r="Y346" s="352"/>
      <c r="Z346" s="353"/>
      <c r="AA346" s="354"/>
      <c r="AB346" s="339"/>
    </row>
    <row r="347" spans="1:28" s="340" customFormat="1">
      <c r="A347" s="355"/>
      <c r="B347" s="342" t="s">
        <v>187</v>
      </c>
      <c r="C347" s="348">
        <v>32436</v>
      </c>
      <c r="D347" s="344" t="s">
        <v>372</v>
      </c>
      <c r="E347" s="348" t="s">
        <v>218</v>
      </c>
      <c r="F347" s="344" t="s">
        <v>372</v>
      </c>
      <c r="G347" s="589">
        <v>46217</v>
      </c>
      <c r="H347" s="346"/>
      <c r="I347" s="346" t="s">
        <v>183</v>
      </c>
      <c r="J347" s="305">
        <v>0.76527777777777783</v>
      </c>
      <c r="K347" s="305">
        <v>0.25</v>
      </c>
      <c r="L347" s="347" t="s">
        <v>168</v>
      </c>
      <c r="M347" s="348">
        <v>8</v>
      </c>
      <c r="N347" s="348">
        <v>2</v>
      </c>
      <c r="O347" s="348">
        <v>6</v>
      </c>
      <c r="P347" s="348">
        <v>2</v>
      </c>
      <c r="Q347" s="356"/>
      <c r="R347" s="357"/>
      <c r="S347" s="357"/>
      <c r="T347" s="356"/>
      <c r="U347" s="357"/>
      <c r="V347" s="356"/>
      <c r="W347" s="358"/>
      <c r="X347" s="359"/>
      <c r="Y347" s="360"/>
      <c r="Z347" s="361"/>
      <c r="AA347" s="362"/>
      <c r="AB347" s="339"/>
    </row>
    <row r="348" spans="1:28" s="340" customFormat="1">
      <c r="A348" s="355"/>
      <c r="B348" s="342" t="s">
        <v>187</v>
      </c>
      <c r="C348" s="348">
        <v>32436</v>
      </c>
      <c r="D348" s="344" t="s">
        <v>372</v>
      </c>
      <c r="E348" s="348" t="s">
        <v>218</v>
      </c>
      <c r="F348" s="344" t="s">
        <v>372</v>
      </c>
      <c r="G348" s="589">
        <v>46218</v>
      </c>
      <c r="H348" s="346"/>
      <c r="I348" s="346" t="s">
        <v>183</v>
      </c>
      <c r="J348" s="305">
        <v>0.77083333333333337</v>
      </c>
      <c r="K348" s="305">
        <v>0.25</v>
      </c>
      <c r="L348" s="347" t="s">
        <v>168</v>
      </c>
      <c r="M348" s="348">
        <v>8</v>
      </c>
      <c r="N348" s="348">
        <v>2</v>
      </c>
      <c r="O348" s="348">
        <v>6</v>
      </c>
      <c r="P348" s="348">
        <v>2</v>
      </c>
      <c r="Q348" s="349"/>
      <c r="R348" s="348"/>
      <c r="S348" s="348"/>
      <c r="T348" s="349"/>
      <c r="U348" s="348"/>
      <c r="V348" s="349"/>
      <c r="W348" s="350"/>
      <c r="X348" s="351"/>
      <c r="Y348" s="352"/>
      <c r="Z348" s="353"/>
      <c r="AA348" s="354"/>
      <c r="AB348" s="339"/>
    </row>
    <row r="349" spans="1:28" s="340" customFormat="1">
      <c r="A349" s="355"/>
      <c r="B349" s="342" t="s">
        <v>187</v>
      </c>
      <c r="C349" s="348">
        <v>32436</v>
      </c>
      <c r="D349" s="344" t="s">
        <v>372</v>
      </c>
      <c r="E349" s="348" t="s">
        <v>218</v>
      </c>
      <c r="F349" s="344" t="s">
        <v>372</v>
      </c>
      <c r="G349" s="589">
        <v>46219</v>
      </c>
      <c r="H349" s="346"/>
      <c r="I349" s="346" t="s">
        <v>183</v>
      </c>
      <c r="J349" s="305">
        <v>0.76874999999999993</v>
      </c>
      <c r="K349" s="305">
        <v>0.1673611111111111</v>
      </c>
      <c r="L349" s="347" t="s">
        <v>168</v>
      </c>
      <c r="M349" s="348">
        <v>8</v>
      </c>
      <c r="N349" s="348"/>
      <c r="O349" s="348">
        <v>6</v>
      </c>
      <c r="P349" s="348"/>
      <c r="Q349" s="349"/>
      <c r="R349" s="348"/>
      <c r="S349" s="348"/>
      <c r="T349" s="349"/>
      <c r="U349" s="348"/>
      <c r="V349" s="349"/>
      <c r="W349" s="350"/>
      <c r="X349" s="351"/>
      <c r="Y349" s="352"/>
      <c r="Z349" s="353"/>
      <c r="AA349" s="354"/>
      <c r="AB349" s="339"/>
    </row>
    <row r="350" spans="1:28" s="340" customFormat="1">
      <c r="A350" s="355"/>
      <c r="B350" s="342" t="s">
        <v>187</v>
      </c>
      <c r="C350" s="348">
        <v>32436</v>
      </c>
      <c r="D350" s="344" t="s">
        <v>372</v>
      </c>
      <c r="E350" s="348" t="s">
        <v>218</v>
      </c>
      <c r="F350" s="344" t="s">
        <v>372</v>
      </c>
      <c r="G350" s="589">
        <v>46220</v>
      </c>
      <c r="H350" s="346"/>
      <c r="I350" s="346" t="s">
        <v>183</v>
      </c>
      <c r="J350" s="305">
        <v>0.76180555555555551</v>
      </c>
      <c r="K350" s="305">
        <v>0.1673611111111111</v>
      </c>
      <c r="L350" s="347" t="s">
        <v>168</v>
      </c>
      <c r="M350" s="348">
        <v>8</v>
      </c>
      <c r="N350" s="348"/>
      <c r="O350" s="348">
        <v>6</v>
      </c>
      <c r="P350" s="348"/>
      <c r="Q350" s="349"/>
      <c r="R350" s="348"/>
      <c r="S350" s="348"/>
      <c r="T350" s="349"/>
      <c r="U350" s="348"/>
      <c r="V350" s="349"/>
      <c r="W350" s="350"/>
      <c r="X350" s="351"/>
      <c r="Y350" s="352"/>
      <c r="Z350" s="353"/>
      <c r="AA350" s="354"/>
      <c r="AB350" s="339"/>
    </row>
    <row r="351" spans="1:28" s="340" customFormat="1">
      <c r="A351" s="355"/>
      <c r="B351" s="342" t="s">
        <v>187</v>
      </c>
      <c r="C351" s="348">
        <v>32436</v>
      </c>
      <c r="D351" s="344" t="s">
        <v>372</v>
      </c>
      <c r="E351" s="348" t="s">
        <v>218</v>
      </c>
      <c r="F351" s="344" t="s">
        <v>372</v>
      </c>
      <c r="G351" s="589">
        <v>46221</v>
      </c>
      <c r="H351" s="346"/>
      <c r="I351" s="346" t="s">
        <v>183</v>
      </c>
      <c r="J351" s="305"/>
      <c r="K351" s="305"/>
      <c r="L351" s="347"/>
      <c r="M351" s="348"/>
      <c r="N351" s="348"/>
      <c r="O351" s="348"/>
      <c r="P351" s="348"/>
      <c r="Q351" s="349"/>
      <c r="R351" s="348"/>
      <c r="S351" s="348"/>
      <c r="T351" s="349"/>
      <c r="U351" s="348"/>
      <c r="V351" s="349"/>
      <c r="W351" s="350"/>
      <c r="X351" s="351"/>
      <c r="Y351" s="352"/>
      <c r="Z351" s="353"/>
      <c r="AA351" s="354"/>
      <c r="AB351" s="339"/>
    </row>
    <row r="352" spans="1:28" s="340" customFormat="1">
      <c r="A352" s="355"/>
      <c r="B352" s="342" t="s">
        <v>187</v>
      </c>
      <c r="C352" s="348">
        <v>32436</v>
      </c>
      <c r="D352" s="344" t="s">
        <v>372</v>
      </c>
      <c r="E352" s="348" t="s">
        <v>218</v>
      </c>
      <c r="F352" s="344" t="s">
        <v>372</v>
      </c>
      <c r="G352" s="590">
        <v>46222</v>
      </c>
      <c r="H352" s="346"/>
      <c r="I352" s="346"/>
      <c r="J352" s="699" t="s">
        <v>173</v>
      </c>
      <c r="K352" s="700"/>
      <c r="L352" s="347"/>
      <c r="M352" s="348"/>
      <c r="N352" s="348"/>
      <c r="O352" s="348"/>
      <c r="P352" s="348"/>
      <c r="Q352" s="349"/>
      <c r="R352" s="348"/>
      <c r="S352" s="348"/>
      <c r="T352" s="349"/>
      <c r="U352" s="348"/>
      <c r="V352" s="349"/>
      <c r="W352" s="350"/>
      <c r="X352" s="351"/>
      <c r="Y352" s="352"/>
      <c r="Z352" s="353"/>
      <c r="AA352" s="354"/>
      <c r="AB352" s="339"/>
    </row>
    <row r="353" spans="1:28" s="340" customFormat="1">
      <c r="A353" s="355"/>
      <c r="B353" s="342" t="s">
        <v>187</v>
      </c>
      <c r="C353" s="348">
        <v>32436</v>
      </c>
      <c r="D353" s="344" t="s">
        <v>372</v>
      </c>
      <c r="E353" s="348" t="s">
        <v>218</v>
      </c>
      <c r="F353" s="344" t="s">
        <v>372</v>
      </c>
      <c r="G353" s="589">
        <v>46223</v>
      </c>
      <c r="H353" s="346"/>
      <c r="I353" s="346" t="s">
        <v>183</v>
      </c>
      <c r="J353" s="295">
        <v>0.76249999999999996</v>
      </c>
      <c r="K353" s="295">
        <v>0.1673611111111111</v>
      </c>
      <c r="L353" s="347" t="s">
        <v>168</v>
      </c>
      <c r="M353" s="348">
        <v>8</v>
      </c>
      <c r="N353" s="348"/>
      <c r="O353" s="348">
        <v>6</v>
      </c>
      <c r="P353" s="357"/>
      <c r="Q353" s="356"/>
      <c r="R353" s="357"/>
      <c r="S353" s="357"/>
      <c r="T353" s="356"/>
      <c r="U353" s="357"/>
      <c r="V353" s="356"/>
      <c r="W353" s="350"/>
      <c r="X353" s="351"/>
      <c r="Y353" s="352"/>
      <c r="Z353" s="353"/>
      <c r="AA353" s="354"/>
      <c r="AB353" s="339"/>
    </row>
    <row r="354" spans="1:28" s="340" customFormat="1">
      <c r="A354" s="355"/>
      <c r="B354" s="342" t="s">
        <v>187</v>
      </c>
      <c r="C354" s="348">
        <v>32436</v>
      </c>
      <c r="D354" s="344" t="s">
        <v>372</v>
      </c>
      <c r="E354" s="348" t="s">
        <v>218</v>
      </c>
      <c r="F354" s="344" t="s">
        <v>372</v>
      </c>
      <c r="G354" s="589">
        <v>46224</v>
      </c>
      <c r="H354" s="346"/>
      <c r="I354" s="346" t="s">
        <v>183</v>
      </c>
      <c r="J354" s="295">
        <v>0.76458333333333328</v>
      </c>
      <c r="K354" s="295">
        <v>0.25</v>
      </c>
      <c r="L354" s="347" t="s">
        <v>168</v>
      </c>
      <c r="M354" s="348">
        <v>8</v>
      </c>
      <c r="N354" s="348">
        <v>2</v>
      </c>
      <c r="O354" s="348">
        <v>6</v>
      </c>
      <c r="P354" s="348">
        <v>2</v>
      </c>
      <c r="Q354" s="364"/>
      <c r="R354" s="365"/>
      <c r="S354" s="365"/>
      <c r="T354" s="356"/>
      <c r="U354" s="357"/>
      <c r="V354" s="356"/>
      <c r="W354" s="358"/>
      <c r="X354" s="359"/>
      <c r="Y354" s="360"/>
      <c r="Z354" s="361"/>
      <c r="AA354" s="362"/>
      <c r="AB354" s="339"/>
    </row>
    <row r="355" spans="1:28" s="340" customFormat="1">
      <c r="A355" s="355"/>
      <c r="B355" s="342" t="s">
        <v>187</v>
      </c>
      <c r="C355" s="348">
        <v>32436</v>
      </c>
      <c r="D355" s="344" t="s">
        <v>372</v>
      </c>
      <c r="E355" s="348" t="s">
        <v>218</v>
      </c>
      <c r="F355" s="344" t="s">
        <v>372</v>
      </c>
      <c r="G355" s="589">
        <v>46225</v>
      </c>
      <c r="H355" s="346"/>
      <c r="I355" s="346" t="s">
        <v>183</v>
      </c>
      <c r="J355" s="295">
        <v>0.76527777777777772</v>
      </c>
      <c r="K355" s="295">
        <v>0.16666666666666666</v>
      </c>
      <c r="L355" s="347" t="s">
        <v>168</v>
      </c>
      <c r="M355" s="348">
        <v>8</v>
      </c>
      <c r="N355" s="348"/>
      <c r="O355" s="348">
        <v>6</v>
      </c>
      <c r="P355" s="348"/>
      <c r="Q355" s="349"/>
      <c r="R355" s="348"/>
      <c r="S355" s="348"/>
      <c r="T355" s="349"/>
      <c r="U355" s="348"/>
      <c r="V355" s="349"/>
      <c r="W355" s="350"/>
      <c r="X355" s="351"/>
      <c r="Y355" s="352"/>
      <c r="Z355" s="353"/>
      <c r="AA355" s="354"/>
      <c r="AB355" s="339"/>
    </row>
    <row r="356" spans="1:28" s="340" customFormat="1">
      <c r="A356" s="355"/>
      <c r="B356" s="342" t="s">
        <v>187</v>
      </c>
      <c r="C356" s="348">
        <v>32436</v>
      </c>
      <c r="D356" s="344" t="s">
        <v>372</v>
      </c>
      <c r="E356" s="348" t="s">
        <v>218</v>
      </c>
      <c r="F356" s="344" t="s">
        <v>372</v>
      </c>
      <c r="G356" s="589">
        <v>46226</v>
      </c>
      <c r="H356" s="346"/>
      <c r="I356" s="346" t="s">
        <v>183</v>
      </c>
      <c r="J356" s="421">
        <v>0.7631944444444444</v>
      </c>
      <c r="K356" s="295">
        <v>0.16666666666666666</v>
      </c>
      <c r="L356" s="347" t="s">
        <v>168</v>
      </c>
      <c r="M356" s="348">
        <v>8</v>
      </c>
      <c r="N356" s="348"/>
      <c r="O356" s="348">
        <v>6</v>
      </c>
      <c r="P356" s="367"/>
      <c r="Q356" s="349"/>
      <c r="R356" s="348"/>
      <c r="S356" s="348"/>
      <c r="T356" s="349"/>
      <c r="U356" s="348"/>
      <c r="V356" s="349"/>
      <c r="W356" s="350"/>
      <c r="X356" s="351"/>
      <c r="Y356" s="352"/>
      <c r="Z356" s="353"/>
      <c r="AA356" s="354"/>
      <c r="AB356" s="339"/>
    </row>
    <row r="357" spans="1:28" s="340" customFormat="1">
      <c r="A357" s="355"/>
      <c r="B357" s="342" t="s">
        <v>187</v>
      </c>
      <c r="C357" s="348">
        <v>32436</v>
      </c>
      <c r="D357" s="344" t="s">
        <v>372</v>
      </c>
      <c r="E357" s="348" t="s">
        <v>218</v>
      </c>
      <c r="F357" s="344" t="s">
        <v>372</v>
      </c>
      <c r="G357" s="589">
        <v>46227</v>
      </c>
      <c r="H357" s="346"/>
      <c r="I357" s="346" t="s">
        <v>183</v>
      </c>
      <c r="J357" s="295">
        <v>0.76458333333333328</v>
      </c>
      <c r="K357" s="318">
        <v>0.16666666666666666</v>
      </c>
      <c r="L357" s="347" t="s">
        <v>168</v>
      </c>
      <c r="M357" s="348">
        <v>8</v>
      </c>
      <c r="N357" s="348"/>
      <c r="O357" s="348">
        <v>6</v>
      </c>
      <c r="P357" s="366"/>
      <c r="Q357" s="368"/>
      <c r="R357" s="366"/>
      <c r="S357" s="366"/>
      <c r="T357" s="349"/>
      <c r="U357" s="348"/>
      <c r="V357" s="349"/>
      <c r="W357" s="350"/>
      <c r="X357" s="351"/>
      <c r="Y357" s="352"/>
      <c r="Z357" s="353"/>
      <c r="AA357" s="354"/>
      <c r="AB357" s="339"/>
    </row>
    <row r="358" spans="1:28" s="340" customFormat="1">
      <c r="A358" s="355"/>
      <c r="B358" s="342" t="s">
        <v>187</v>
      </c>
      <c r="C358" s="348">
        <v>32436</v>
      </c>
      <c r="D358" s="344" t="s">
        <v>372</v>
      </c>
      <c r="E358" s="348" t="s">
        <v>218</v>
      </c>
      <c r="F358" s="344" t="s">
        <v>372</v>
      </c>
      <c r="G358" s="589">
        <v>46228</v>
      </c>
      <c r="H358" s="346"/>
      <c r="I358" s="346" t="s">
        <v>183</v>
      </c>
      <c r="J358" s="295"/>
      <c r="K358" s="295"/>
      <c r="L358" s="347"/>
      <c r="M358" s="348"/>
      <c r="N358" s="348"/>
      <c r="O358" s="348"/>
      <c r="P358" s="348"/>
      <c r="Q358" s="349"/>
      <c r="R358" s="348"/>
      <c r="S358" s="320"/>
      <c r="T358" s="349"/>
      <c r="U358" s="348"/>
      <c r="V358" s="349"/>
      <c r="W358" s="350"/>
      <c r="X358" s="351"/>
      <c r="Y358" s="352"/>
      <c r="Z358" s="353"/>
      <c r="AA358" s="354"/>
      <c r="AB358" s="339"/>
    </row>
    <row r="359" spans="1:28" s="340" customFormat="1">
      <c r="A359" s="355"/>
      <c r="B359" s="342"/>
      <c r="C359" s="348"/>
      <c r="D359" s="344"/>
      <c r="E359" s="348"/>
      <c r="F359" s="344"/>
      <c r="G359" s="594"/>
      <c r="H359" s="346"/>
      <c r="I359" s="346"/>
      <c r="J359" s="369"/>
      <c r="K359" s="370"/>
      <c r="L359" s="371"/>
      <c r="M359" s="363"/>
      <c r="N359" s="363"/>
      <c r="O359" s="363"/>
      <c r="P359" s="363"/>
      <c r="Q359" s="372"/>
      <c r="R359" s="363"/>
      <c r="S359" s="324"/>
      <c r="T359" s="349"/>
      <c r="U359" s="348"/>
      <c r="V359" s="349"/>
      <c r="W359" s="350"/>
      <c r="X359" s="351"/>
      <c r="Y359" s="352"/>
      <c r="Z359" s="353"/>
      <c r="AA359" s="354"/>
      <c r="AB359" s="339"/>
    </row>
    <row r="360" spans="1:28" s="340" customFormat="1">
      <c r="A360" s="373"/>
      <c r="B360" s="325"/>
      <c r="C360" s="342"/>
      <c r="D360" s="325"/>
      <c r="E360" s="345"/>
      <c r="F360" s="325"/>
      <c r="G360" s="595"/>
      <c r="H360" s="374"/>
      <c r="I360" s="377"/>
      <c r="J360" s="375"/>
      <c r="K360" s="376"/>
      <c r="L360" s="377"/>
      <c r="M360" s="377">
        <f t="shared" ref="M360:AA360" si="19">SUM(M343:M359)</f>
        <v>80</v>
      </c>
      <c r="N360" s="377">
        <f t="shared" si="19"/>
        <v>8</v>
      </c>
      <c r="O360" s="377">
        <f t="shared" si="19"/>
        <v>60</v>
      </c>
      <c r="P360" s="377">
        <f t="shared" si="19"/>
        <v>8</v>
      </c>
      <c r="Q360" s="377">
        <f t="shared" si="19"/>
        <v>0</v>
      </c>
      <c r="R360" s="377">
        <f t="shared" si="19"/>
        <v>0</v>
      </c>
      <c r="S360" s="377">
        <f t="shared" si="19"/>
        <v>0</v>
      </c>
      <c r="T360" s="377">
        <f t="shared" si="19"/>
        <v>0</v>
      </c>
      <c r="U360" s="377">
        <f t="shared" si="19"/>
        <v>0</v>
      </c>
      <c r="V360" s="377">
        <f t="shared" si="19"/>
        <v>0</v>
      </c>
      <c r="W360" s="377">
        <f t="shared" si="19"/>
        <v>0</v>
      </c>
      <c r="X360" s="377">
        <f t="shared" si="19"/>
        <v>0</v>
      </c>
      <c r="Y360" s="377">
        <f t="shared" si="19"/>
        <v>0</v>
      </c>
      <c r="Z360" s="377">
        <f t="shared" si="19"/>
        <v>0</v>
      </c>
      <c r="AA360" s="392">
        <f t="shared" si="19"/>
        <v>0</v>
      </c>
      <c r="AB360" s="339"/>
    </row>
    <row r="361" spans="1:28" s="340" customFormat="1">
      <c r="A361" s="280" t="s">
        <v>170</v>
      </c>
      <c r="B361" s="280" t="s">
        <v>120</v>
      </c>
      <c r="C361" s="280" t="s">
        <v>152</v>
      </c>
      <c r="D361" s="280" t="s">
        <v>182</v>
      </c>
      <c r="E361" s="281" t="s">
        <v>153</v>
      </c>
      <c r="F361" s="280" t="s">
        <v>182</v>
      </c>
      <c r="G361" s="593" t="s">
        <v>401</v>
      </c>
      <c r="H361" s="333"/>
      <c r="I361" s="334" t="s">
        <v>181</v>
      </c>
      <c r="J361" s="419" t="s">
        <v>154</v>
      </c>
      <c r="K361" s="419" t="s">
        <v>155</v>
      </c>
      <c r="L361" s="334" t="s">
        <v>156</v>
      </c>
      <c r="M361" s="420" t="s">
        <v>157</v>
      </c>
      <c r="N361" s="334" t="s">
        <v>158</v>
      </c>
      <c r="O361" s="334" t="s">
        <v>159</v>
      </c>
      <c r="P361" s="334" t="s">
        <v>174</v>
      </c>
      <c r="Q361" s="334" t="s">
        <v>160</v>
      </c>
      <c r="R361" s="334" t="s">
        <v>161</v>
      </c>
      <c r="S361" s="334" t="s">
        <v>162</v>
      </c>
      <c r="T361" s="334" t="s">
        <v>163</v>
      </c>
      <c r="U361" s="334" t="s">
        <v>164</v>
      </c>
      <c r="V361" s="334" t="s">
        <v>165</v>
      </c>
      <c r="W361" s="336" t="s">
        <v>113</v>
      </c>
      <c r="X361" s="334" t="s">
        <v>121</v>
      </c>
      <c r="Y361" s="334" t="s">
        <v>166</v>
      </c>
      <c r="Z361" s="338" t="s">
        <v>175</v>
      </c>
      <c r="AA361" s="338" t="s">
        <v>167</v>
      </c>
      <c r="AB361" s="339"/>
    </row>
    <row r="362" spans="1:28" s="340" customFormat="1">
      <c r="A362" s="341"/>
      <c r="B362" s="342" t="s">
        <v>187</v>
      </c>
      <c r="C362" s="343">
        <v>32515</v>
      </c>
      <c r="D362" s="344" t="s">
        <v>373</v>
      </c>
      <c r="E362" s="383" t="s">
        <v>217</v>
      </c>
      <c r="F362" s="344" t="s">
        <v>373</v>
      </c>
      <c r="G362" s="589">
        <v>46214</v>
      </c>
      <c r="H362" s="346"/>
      <c r="I362" s="422"/>
      <c r="J362" s="295"/>
      <c r="K362" s="295"/>
      <c r="L362" s="347"/>
      <c r="M362" s="348"/>
      <c r="N362" s="348"/>
      <c r="O362" s="348"/>
      <c r="P362" s="348"/>
      <c r="Q362" s="349"/>
      <c r="R362" s="348"/>
      <c r="S362" s="348"/>
      <c r="T362" s="349"/>
      <c r="U362" s="348"/>
      <c r="V362" s="349"/>
      <c r="W362" s="350"/>
      <c r="X362" s="351"/>
      <c r="Y362" s="352"/>
      <c r="Z362" s="353"/>
      <c r="AA362" s="354"/>
      <c r="AB362" s="339"/>
    </row>
    <row r="363" spans="1:28" s="340" customFormat="1">
      <c r="A363" s="355"/>
      <c r="B363" s="342" t="s">
        <v>187</v>
      </c>
      <c r="C363" s="343">
        <v>32515</v>
      </c>
      <c r="D363" s="344" t="s">
        <v>373</v>
      </c>
      <c r="E363" s="383" t="s">
        <v>217</v>
      </c>
      <c r="F363" s="344" t="s">
        <v>373</v>
      </c>
      <c r="G363" s="590">
        <v>46215</v>
      </c>
      <c r="H363" s="346"/>
      <c r="I363" s="346"/>
      <c r="J363" s="699" t="s">
        <v>173</v>
      </c>
      <c r="K363" s="700"/>
      <c r="L363" s="347"/>
      <c r="M363" s="348"/>
      <c r="N363" s="348"/>
      <c r="O363" s="348"/>
      <c r="P363" s="348"/>
      <c r="Q363" s="349"/>
      <c r="R363" s="348"/>
      <c r="S363" s="348"/>
      <c r="T363" s="349"/>
      <c r="U363" s="348"/>
      <c r="V363" s="349"/>
      <c r="W363" s="350"/>
      <c r="X363" s="351"/>
      <c r="Y363" s="352"/>
      <c r="Z363" s="353"/>
      <c r="AA363" s="354"/>
      <c r="AB363" s="339"/>
    </row>
    <row r="364" spans="1:28" s="340" customFormat="1">
      <c r="A364" s="355"/>
      <c r="B364" s="342" t="s">
        <v>187</v>
      </c>
      <c r="C364" s="343">
        <v>32515</v>
      </c>
      <c r="D364" s="344" t="s">
        <v>373</v>
      </c>
      <c r="E364" s="383" t="s">
        <v>217</v>
      </c>
      <c r="F364" s="344" t="s">
        <v>373</v>
      </c>
      <c r="G364" s="589">
        <v>46216</v>
      </c>
      <c r="H364" s="346"/>
      <c r="I364" s="346" t="s">
        <v>183</v>
      </c>
      <c r="J364" s="382">
        <v>0.75555555555555554</v>
      </c>
      <c r="K364" s="382">
        <v>0.25</v>
      </c>
      <c r="L364" s="347" t="s">
        <v>168</v>
      </c>
      <c r="M364" s="348">
        <v>8</v>
      </c>
      <c r="N364" s="348">
        <v>2</v>
      </c>
      <c r="O364" s="348">
        <v>6</v>
      </c>
      <c r="P364" s="348">
        <v>2</v>
      </c>
      <c r="Q364" s="349"/>
      <c r="R364" s="348"/>
      <c r="S364" s="348"/>
      <c r="T364" s="349"/>
      <c r="U364" s="348"/>
      <c r="V364" s="349"/>
      <c r="W364" s="350"/>
      <c r="X364" s="351"/>
      <c r="Y364" s="352"/>
      <c r="Z364" s="353"/>
      <c r="AA364" s="354"/>
      <c r="AB364" s="339"/>
    </row>
    <row r="365" spans="1:28" s="340" customFormat="1">
      <c r="A365" s="355"/>
      <c r="B365" s="342" t="s">
        <v>187</v>
      </c>
      <c r="C365" s="343">
        <v>32515</v>
      </c>
      <c r="D365" s="344" t="s">
        <v>373</v>
      </c>
      <c r="E365" s="383" t="s">
        <v>217</v>
      </c>
      <c r="F365" s="344" t="s">
        <v>373</v>
      </c>
      <c r="G365" s="589">
        <v>46217</v>
      </c>
      <c r="H365" s="346"/>
      <c r="I365" s="346" t="s">
        <v>183</v>
      </c>
      <c r="J365" s="305">
        <v>0.77569444444444446</v>
      </c>
      <c r="K365" s="305">
        <v>0.25</v>
      </c>
      <c r="L365" s="347" t="s">
        <v>168</v>
      </c>
      <c r="M365" s="348">
        <v>8</v>
      </c>
      <c r="N365" s="348">
        <v>2</v>
      </c>
      <c r="O365" s="348">
        <v>6</v>
      </c>
      <c r="P365" s="348">
        <v>2</v>
      </c>
      <c r="Q365" s="356"/>
      <c r="R365" s="357"/>
      <c r="S365" s="357"/>
      <c r="T365" s="356"/>
      <c r="U365" s="357"/>
      <c r="V365" s="356"/>
      <c r="W365" s="358"/>
      <c r="X365" s="359"/>
      <c r="Y365" s="360"/>
      <c r="Z365" s="361"/>
      <c r="AA365" s="362"/>
      <c r="AB365" s="339"/>
    </row>
    <row r="366" spans="1:28" s="340" customFormat="1">
      <c r="A366" s="355"/>
      <c r="B366" s="342" t="s">
        <v>187</v>
      </c>
      <c r="C366" s="343">
        <v>32515</v>
      </c>
      <c r="D366" s="344" t="s">
        <v>373</v>
      </c>
      <c r="E366" s="383" t="s">
        <v>217</v>
      </c>
      <c r="F366" s="344" t="s">
        <v>373</v>
      </c>
      <c r="G366" s="589">
        <v>46218</v>
      </c>
      <c r="H366" s="346"/>
      <c r="I366" s="346" t="s">
        <v>183</v>
      </c>
      <c r="J366" s="305">
        <v>0.77569444444444446</v>
      </c>
      <c r="K366" s="305">
        <v>0.25</v>
      </c>
      <c r="L366" s="347" t="s">
        <v>168</v>
      </c>
      <c r="M366" s="348">
        <v>8</v>
      </c>
      <c r="N366" s="348">
        <v>2</v>
      </c>
      <c r="O366" s="348">
        <v>6</v>
      </c>
      <c r="P366" s="348">
        <v>2</v>
      </c>
      <c r="Q366" s="349"/>
      <c r="R366" s="348"/>
      <c r="S366" s="348"/>
      <c r="T366" s="349"/>
      <c r="U366" s="348"/>
      <c r="V366" s="349"/>
      <c r="W366" s="350"/>
      <c r="X366" s="351"/>
      <c r="Y366" s="352"/>
      <c r="Z366" s="353"/>
      <c r="AA366" s="354"/>
      <c r="AB366" s="339"/>
    </row>
    <row r="367" spans="1:28" s="340" customFormat="1">
      <c r="A367" s="355"/>
      <c r="B367" s="342" t="s">
        <v>187</v>
      </c>
      <c r="C367" s="343">
        <v>32515</v>
      </c>
      <c r="D367" s="344" t="s">
        <v>373</v>
      </c>
      <c r="E367" s="383" t="s">
        <v>217</v>
      </c>
      <c r="F367" s="344" t="s">
        <v>373</v>
      </c>
      <c r="G367" s="589">
        <v>46219</v>
      </c>
      <c r="H367" s="346"/>
      <c r="I367" s="346" t="s">
        <v>183</v>
      </c>
      <c r="J367" s="305">
        <v>0.77430555555555547</v>
      </c>
      <c r="K367" s="305">
        <v>0.1673611111111111</v>
      </c>
      <c r="L367" s="347" t="s">
        <v>168</v>
      </c>
      <c r="M367" s="348">
        <v>8</v>
      </c>
      <c r="N367" s="348"/>
      <c r="O367" s="348">
        <v>6</v>
      </c>
      <c r="P367" s="348"/>
      <c r="Q367" s="349"/>
      <c r="R367" s="348"/>
      <c r="S367" s="348"/>
      <c r="T367" s="349"/>
      <c r="U367" s="348"/>
      <c r="V367" s="349"/>
      <c r="W367" s="350"/>
      <c r="X367" s="351"/>
      <c r="Y367" s="352"/>
      <c r="Z367" s="353"/>
      <c r="AA367" s="354"/>
      <c r="AB367" s="339"/>
    </row>
    <row r="368" spans="1:28" s="340" customFormat="1">
      <c r="A368" s="355"/>
      <c r="B368" s="342" t="s">
        <v>187</v>
      </c>
      <c r="C368" s="343">
        <v>32515</v>
      </c>
      <c r="D368" s="344" t="s">
        <v>373</v>
      </c>
      <c r="E368" s="383" t="s">
        <v>217</v>
      </c>
      <c r="F368" s="344" t="s">
        <v>373</v>
      </c>
      <c r="G368" s="589">
        <v>46220</v>
      </c>
      <c r="H368" s="346"/>
      <c r="I368" s="346" t="s">
        <v>183</v>
      </c>
      <c r="J368" s="305">
        <v>0.7729166666666667</v>
      </c>
      <c r="K368" s="305">
        <v>0.1673611111111111</v>
      </c>
      <c r="L368" s="347" t="s">
        <v>168</v>
      </c>
      <c r="M368" s="348">
        <v>8</v>
      </c>
      <c r="N368" s="348"/>
      <c r="O368" s="348">
        <v>6</v>
      </c>
      <c r="P368" s="348"/>
      <c r="Q368" s="349"/>
      <c r="R368" s="348"/>
      <c r="S368" s="348"/>
      <c r="T368" s="349"/>
      <c r="U368" s="348"/>
      <c r="V368" s="349"/>
      <c r="W368" s="350"/>
      <c r="X368" s="351"/>
      <c r="Y368" s="352"/>
      <c r="Z368" s="353"/>
      <c r="AA368" s="354"/>
      <c r="AB368" s="339"/>
    </row>
    <row r="369" spans="1:28" s="340" customFormat="1">
      <c r="A369" s="355"/>
      <c r="B369" s="342" t="s">
        <v>187</v>
      </c>
      <c r="C369" s="343">
        <v>32515</v>
      </c>
      <c r="D369" s="344" t="s">
        <v>373</v>
      </c>
      <c r="E369" s="383" t="s">
        <v>217</v>
      </c>
      <c r="F369" s="344" t="s">
        <v>373</v>
      </c>
      <c r="G369" s="589">
        <v>46221</v>
      </c>
      <c r="H369" s="346"/>
      <c r="I369" s="346" t="s">
        <v>183</v>
      </c>
      <c r="J369" s="305"/>
      <c r="K369" s="305"/>
      <c r="L369" s="347"/>
      <c r="M369" s="348"/>
      <c r="N369" s="348"/>
      <c r="O369" s="348"/>
      <c r="P369" s="348"/>
      <c r="Q369" s="349"/>
      <c r="R369" s="348"/>
      <c r="S369" s="348"/>
      <c r="T369" s="349"/>
      <c r="U369" s="348"/>
      <c r="V369" s="349"/>
      <c r="W369" s="350"/>
      <c r="X369" s="351"/>
      <c r="Y369" s="352"/>
      <c r="Z369" s="353"/>
      <c r="AA369" s="354"/>
      <c r="AB369" s="339"/>
    </row>
    <row r="370" spans="1:28" s="340" customFormat="1">
      <c r="A370" s="355"/>
      <c r="B370" s="342" t="s">
        <v>187</v>
      </c>
      <c r="C370" s="343">
        <v>32515</v>
      </c>
      <c r="D370" s="344" t="s">
        <v>373</v>
      </c>
      <c r="E370" s="383" t="s">
        <v>217</v>
      </c>
      <c r="F370" s="344" t="s">
        <v>373</v>
      </c>
      <c r="G370" s="590">
        <v>46222</v>
      </c>
      <c r="H370" s="346"/>
      <c r="I370" s="422"/>
      <c r="J370" s="699" t="s">
        <v>173</v>
      </c>
      <c r="K370" s="700"/>
      <c r="L370" s="347"/>
      <c r="M370" s="348"/>
      <c r="N370" s="348"/>
      <c r="O370" s="348"/>
      <c r="P370" s="348"/>
      <c r="Q370" s="349"/>
      <c r="R370" s="348"/>
      <c r="S370" s="348"/>
      <c r="T370" s="349"/>
      <c r="U370" s="348"/>
      <c r="V370" s="349"/>
      <c r="W370" s="350"/>
      <c r="X370" s="351"/>
      <c r="Y370" s="352"/>
      <c r="Z370" s="353"/>
      <c r="AA370" s="354"/>
      <c r="AB370" s="339"/>
    </row>
    <row r="371" spans="1:28" s="340" customFormat="1">
      <c r="A371" s="355"/>
      <c r="B371" s="342" t="s">
        <v>187</v>
      </c>
      <c r="C371" s="343">
        <v>32515</v>
      </c>
      <c r="D371" s="344" t="s">
        <v>373</v>
      </c>
      <c r="E371" s="383" t="s">
        <v>217</v>
      </c>
      <c r="F371" s="344" t="s">
        <v>373</v>
      </c>
      <c r="G371" s="589">
        <v>46223</v>
      </c>
      <c r="H371" s="346"/>
      <c r="I371" s="346" t="s">
        <v>183</v>
      </c>
      <c r="J371" s="295">
        <v>0.77569444444444446</v>
      </c>
      <c r="K371" s="295">
        <v>0.1673611111111111</v>
      </c>
      <c r="L371" s="347" t="s">
        <v>168</v>
      </c>
      <c r="M371" s="348">
        <v>8</v>
      </c>
      <c r="N371" s="348"/>
      <c r="O371" s="348">
        <v>6</v>
      </c>
      <c r="P371" s="357"/>
      <c r="Q371" s="356"/>
      <c r="R371" s="357"/>
      <c r="S371" s="357"/>
      <c r="T371" s="356"/>
      <c r="U371" s="357"/>
      <c r="V371" s="356"/>
      <c r="W371" s="350"/>
      <c r="X371" s="351"/>
      <c r="Y371" s="352"/>
      <c r="Z371" s="353"/>
      <c r="AA371" s="354"/>
      <c r="AB371" s="339"/>
    </row>
    <row r="372" spans="1:28" s="340" customFormat="1">
      <c r="A372" s="355"/>
      <c r="B372" s="342" t="s">
        <v>187</v>
      </c>
      <c r="C372" s="343">
        <v>32515</v>
      </c>
      <c r="D372" s="344" t="s">
        <v>373</v>
      </c>
      <c r="E372" s="383" t="s">
        <v>217</v>
      </c>
      <c r="F372" s="344" t="s">
        <v>373</v>
      </c>
      <c r="G372" s="589">
        <v>46224</v>
      </c>
      <c r="H372" s="346"/>
      <c r="I372" s="346" t="s">
        <v>183</v>
      </c>
      <c r="J372" s="295">
        <v>0.77569444444444446</v>
      </c>
      <c r="K372" s="295">
        <v>0.25069444444444444</v>
      </c>
      <c r="L372" s="347" t="s">
        <v>168</v>
      </c>
      <c r="M372" s="348">
        <v>8</v>
      </c>
      <c r="N372" s="348">
        <v>2</v>
      </c>
      <c r="O372" s="348">
        <v>6</v>
      </c>
      <c r="P372" s="348">
        <v>2</v>
      </c>
      <c r="Q372" s="364"/>
      <c r="R372" s="365"/>
      <c r="S372" s="365"/>
      <c r="T372" s="356"/>
      <c r="U372" s="357"/>
      <c r="V372" s="356"/>
      <c r="W372" s="358"/>
      <c r="X372" s="359"/>
      <c r="Y372" s="360"/>
      <c r="Z372" s="361"/>
      <c r="AA372" s="362"/>
      <c r="AB372" s="339"/>
    </row>
    <row r="373" spans="1:28" s="340" customFormat="1">
      <c r="A373" s="355"/>
      <c r="B373" s="342" t="s">
        <v>187</v>
      </c>
      <c r="C373" s="343">
        <v>32515</v>
      </c>
      <c r="D373" s="344" t="s">
        <v>373</v>
      </c>
      <c r="E373" s="383" t="s">
        <v>217</v>
      </c>
      <c r="F373" s="344" t="s">
        <v>373</v>
      </c>
      <c r="G373" s="589">
        <v>46225</v>
      </c>
      <c r="H373" s="346"/>
      <c r="I373" s="346" t="s">
        <v>183</v>
      </c>
      <c r="J373" s="295">
        <v>0.77708333333333335</v>
      </c>
      <c r="K373" s="295">
        <v>0.25138888888888888</v>
      </c>
      <c r="L373" s="347" t="s">
        <v>168</v>
      </c>
      <c r="M373" s="348">
        <v>8</v>
      </c>
      <c r="N373" s="348">
        <v>2</v>
      </c>
      <c r="O373" s="348">
        <v>6</v>
      </c>
      <c r="P373" s="348">
        <v>2</v>
      </c>
      <c r="Q373" s="349"/>
      <c r="R373" s="348"/>
      <c r="S373" s="348"/>
      <c r="T373" s="349"/>
      <c r="U373" s="348"/>
      <c r="V373" s="349"/>
      <c r="W373" s="350"/>
      <c r="X373" s="351"/>
      <c r="Y373" s="352"/>
      <c r="Z373" s="353"/>
      <c r="AA373" s="354"/>
      <c r="AB373" s="339"/>
    </row>
    <row r="374" spans="1:28" s="340" customFormat="1">
      <c r="A374" s="355"/>
      <c r="B374" s="342" t="s">
        <v>187</v>
      </c>
      <c r="C374" s="343">
        <v>32515</v>
      </c>
      <c r="D374" s="344" t="s">
        <v>373</v>
      </c>
      <c r="E374" s="383" t="s">
        <v>217</v>
      </c>
      <c r="F374" s="344" t="s">
        <v>373</v>
      </c>
      <c r="G374" s="589">
        <v>46226</v>
      </c>
      <c r="H374" s="346"/>
      <c r="I374" s="346" t="s">
        <v>183</v>
      </c>
      <c r="J374" s="295">
        <v>0.75486111111111109</v>
      </c>
      <c r="K374" s="295">
        <v>0.16805555555555557</v>
      </c>
      <c r="L374" s="347" t="s">
        <v>168</v>
      </c>
      <c r="M374" s="348">
        <v>8</v>
      </c>
      <c r="N374" s="348"/>
      <c r="O374" s="348">
        <v>6</v>
      </c>
      <c r="P374" s="367"/>
      <c r="Q374" s="349"/>
      <c r="R374" s="348"/>
      <c r="S374" s="348"/>
      <c r="T374" s="349"/>
      <c r="U374" s="348"/>
      <c r="V374" s="349"/>
      <c r="W374" s="350"/>
      <c r="X374" s="351"/>
      <c r="Y374" s="352"/>
      <c r="Z374" s="353"/>
      <c r="AA374" s="354"/>
      <c r="AB374" s="339"/>
    </row>
    <row r="375" spans="1:28" s="340" customFormat="1">
      <c r="A375" s="355"/>
      <c r="B375" s="342" t="s">
        <v>187</v>
      </c>
      <c r="C375" s="343">
        <v>32515</v>
      </c>
      <c r="D375" s="344" t="s">
        <v>373</v>
      </c>
      <c r="E375" s="383" t="s">
        <v>217</v>
      </c>
      <c r="F375" s="344" t="s">
        <v>373</v>
      </c>
      <c r="G375" s="589">
        <v>46227</v>
      </c>
      <c r="H375" s="346"/>
      <c r="I375" s="346" t="s">
        <v>183</v>
      </c>
      <c r="J375" s="295">
        <v>0.77500000000000002</v>
      </c>
      <c r="K375" s="318">
        <v>0.16666666666666666</v>
      </c>
      <c r="L375" s="347" t="s">
        <v>168</v>
      </c>
      <c r="M375" s="348">
        <v>8</v>
      </c>
      <c r="N375" s="348"/>
      <c r="O375" s="348">
        <v>6</v>
      </c>
      <c r="P375" s="366"/>
      <c r="Q375" s="368"/>
      <c r="R375" s="366"/>
      <c r="S375" s="366"/>
      <c r="T375" s="349"/>
      <c r="U375" s="348"/>
      <c r="V375" s="349"/>
      <c r="W375" s="350"/>
      <c r="X375" s="351"/>
      <c r="Y375" s="352"/>
      <c r="Z375" s="353"/>
      <c r="AA375" s="354"/>
      <c r="AB375" s="339"/>
    </row>
    <row r="376" spans="1:28" s="340" customFormat="1">
      <c r="A376" s="355"/>
      <c r="B376" s="342" t="s">
        <v>187</v>
      </c>
      <c r="C376" s="343">
        <v>32515</v>
      </c>
      <c r="D376" s="344" t="s">
        <v>373</v>
      </c>
      <c r="E376" s="383" t="s">
        <v>217</v>
      </c>
      <c r="F376" s="344" t="s">
        <v>373</v>
      </c>
      <c r="G376" s="589">
        <v>46228</v>
      </c>
      <c r="H376" s="346"/>
      <c r="I376" s="346" t="s">
        <v>183</v>
      </c>
      <c r="J376" s="295"/>
      <c r="K376" s="295"/>
      <c r="L376" s="347"/>
      <c r="M376" s="348"/>
      <c r="N376" s="348"/>
      <c r="O376" s="348"/>
      <c r="P376" s="348"/>
      <c r="Q376" s="349"/>
      <c r="R376" s="348"/>
      <c r="S376" s="320"/>
      <c r="T376" s="349"/>
      <c r="U376" s="348"/>
      <c r="V376" s="349"/>
      <c r="W376" s="350"/>
      <c r="X376" s="351"/>
      <c r="Y376" s="352"/>
      <c r="Z376" s="353"/>
      <c r="AA376" s="354"/>
      <c r="AB376" s="339"/>
    </row>
    <row r="377" spans="1:28" s="340" customFormat="1">
      <c r="A377" s="355"/>
      <c r="B377" s="342"/>
      <c r="C377" s="343"/>
      <c r="D377" s="344"/>
      <c r="E377" s="383"/>
      <c r="F377" s="344"/>
      <c r="G377" s="594"/>
      <c r="H377" s="346"/>
      <c r="I377" s="422"/>
      <c r="J377" s="369"/>
      <c r="K377" s="370"/>
      <c r="L377" s="371"/>
      <c r="M377" s="363"/>
      <c r="N377" s="363"/>
      <c r="O377" s="363"/>
      <c r="P377" s="363"/>
      <c r="Q377" s="372"/>
      <c r="R377" s="363"/>
      <c r="S377" s="324"/>
      <c r="T377" s="349"/>
      <c r="U377" s="348"/>
      <c r="V377" s="349"/>
      <c r="W377" s="350"/>
      <c r="X377" s="351"/>
      <c r="Y377" s="352"/>
      <c r="Z377" s="353"/>
      <c r="AA377" s="354"/>
      <c r="AB377" s="339"/>
    </row>
    <row r="378" spans="1:28" s="340" customFormat="1">
      <c r="A378" s="373"/>
      <c r="B378" s="325"/>
      <c r="C378" s="342"/>
      <c r="D378" s="325"/>
      <c r="E378" s="345"/>
      <c r="F378" s="325"/>
      <c r="G378" s="595"/>
      <c r="H378" s="374"/>
      <c r="I378" s="377"/>
      <c r="J378" s="375"/>
      <c r="K378" s="376"/>
      <c r="L378" s="377"/>
      <c r="M378" s="377">
        <f t="shared" ref="M378:AA378" si="20">SUM(M361:M377)</f>
        <v>80</v>
      </c>
      <c r="N378" s="377">
        <f t="shared" si="20"/>
        <v>10</v>
      </c>
      <c r="O378" s="377">
        <f t="shared" si="20"/>
        <v>60</v>
      </c>
      <c r="P378" s="377">
        <f t="shared" si="20"/>
        <v>10</v>
      </c>
      <c r="Q378" s="377">
        <f t="shared" si="20"/>
        <v>0</v>
      </c>
      <c r="R378" s="377">
        <f t="shared" si="20"/>
        <v>0</v>
      </c>
      <c r="S378" s="377">
        <f t="shared" si="20"/>
        <v>0</v>
      </c>
      <c r="T378" s="377">
        <f t="shared" si="20"/>
        <v>0</v>
      </c>
      <c r="U378" s="377">
        <f t="shared" si="20"/>
        <v>0</v>
      </c>
      <c r="V378" s="377">
        <f t="shared" si="20"/>
        <v>0</v>
      </c>
      <c r="W378" s="377">
        <f t="shared" si="20"/>
        <v>0</v>
      </c>
      <c r="X378" s="377">
        <f t="shared" si="20"/>
        <v>0</v>
      </c>
      <c r="Y378" s="377">
        <f t="shared" si="20"/>
        <v>0</v>
      </c>
      <c r="Z378" s="377">
        <f t="shared" si="20"/>
        <v>0</v>
      </c>
      <c r="AA378" s="377">
        <f t="shared" si="20"/>
        <v>0</v>
      </c>
      <c r="AB378" s="339"/>
    </row>
    <row r="379" spans="1:28" s="340" customFormat="1">
      <c r="A379" s="280" t="s">
        <v>170</v>
      </c>
      <c r="B379" s="280" t="s">
        <v>120</v>
      </c>
      <c r="C379" s="280" t="s">
        <v>152</v>
      </c>
      <c r="D379" s="280" t="s">
        <v>182</v>
      </c>
      <c r="E379" s="393" t="s">
        <v>153</v>
      </c>
      <c r="F379" s="280" t="s">
        <v>182</v>
      </c>
      <c r="G379" s="593" t="s">
        <v>401</v>
      </c>
      <c r="H379" s="394"/>
      <c r="I379" s="395" t="s">
        <v>181</v>
      </c>
      <c r="J379" s="396" t="s">
        <v>154</v>
      </c>
      <c r="K379" s="396" t="s">
        <v>155</v>
      </c>
      <c r="L379" s="397" t="s">
        <v>156</v>
      </c>
      <c r="M379" s="398" t="s">
        <v>157</v>
      </c>
      <c r="N379" s="397" t="s">
        <v>158</v>
      </c>
      <c r="O379" s="397" t="s">
        <v>159</v>
      </c>
      <c r="P379" s="397" t="s">
        <v>174</v>
      </c>
      <c r="Q379" s="397" t="s">
        <v>160</v>
      </c>
      <c r="R379" s="397" t="s">
        <v>161</v>
      </c>
      <c r="S379" s="397" t="s">
        <v>162</v>
      </c>
      <c r="T379" s="395" t="s">
        <v>163</v>
      </c>
      <c r="U379" s="395" t="s">
        <v>164</v>
      </c>
      <c r="V379" s="395" t="s">
        <v>165</v>
      </c>
      <c r="W379" s="397" t="s">
        <v>113</v>
      </c>
      <c r="X379" s="395" t="s">
        <v>121</v>
      </c>
      <c r="Y379" s="395" t="s">
        <v>166</v>
      </c>
      <c r="Z379" s="399" t="s">
        <v>175</v>
      </c>
      <c r="AA379" s="399" t="s">
        <v>167</v>
      </c>
      <c r="AB379" s="400"/>
    </row>
    <row r="380" spans="1:28" s="340" customFormat="1">
      <c r="A380" s="401"/>
      <c r="B380" s="402" t="s">
        <v>187</v>
      </c>
      <c r="C380" s="403">
        <v>32242</v>
      </c>
      <c r="D380" s="404" t="s">
        <v>374</v>
      </c>
      <c r="E380" s="423" t="s">
        <v>216</v>
      </c>
      <c r="F380" s="404" t="s">
        <v>374</v>
      </c>
      <c r="G380" s="589">
        <v>46214</v>
      </c>
      <c r="H380" s="406"/>
      <c r="I380" s="407"/>
      <c r="J380" s="295"/>
      <c r="K380" s="295"/>
      <c r="L380" s="347"/>
      <c r="M380" s="348"/>
      <c r="N380" s="348"/>
      <c r="O380" s="348"/>
      <c r="P380" s="348"/>
      <c r="Q380" s="349"/>
      <c r="R380" s="348"/>
      <c r="S380" s="348"/>
      <c r="T380" s="349"/>
      <c r="U380" s="348"/>
      <c r="V380" s="349"/>
      <c r="W380" s="350"/>
      <c r="X380" s="351"/>
      <c r="Y380" s="352"/>
      <c r="Z380" s="353"/>
      <c r="AA380" s="354"/>
      <c r="AB380" s="400"/>
    </row>
    <row r="381" spans="1:28" s="340" customFormat="1">
      <c r="A381" s="408"/>
      <c r="B381" s="402" t="s">
        <v>187</v>
      </c>
      <c r="C381" s="403">
        <v>32242</v>
      </c>
      <c r="D381" s="404" t="s">
        <v>374</v>
      </c>
      <c r="E381" s="423" t="s">
        <v>216</v>
      </c>
      <c r="F381" s="404" t="s">
        <v>374</v>
      </c>
      <c r="G381" s="590">
        <v>46215</v>
      </c>
      <c r="H381" s="406"/>
      <c r="I381" s="407"/>
      <c r="J381" s="295"/>
      <c r="K381" s="421"/>
      <c r="L381" s="347"/>
      <c r="M381" s="348"/>
      <c r="N381" s="348"/>
      <c r="O381" s="348"/>
      <c r="P381" s="348"/>
      <c r="Q381" s="349"/>
      <c r="R381" s="348"/>
      <c r="S381" s="348"/>
      <c r="T381" s="349"/>
      <c r="U381" s="348"/>
      <c r="V381" s="349"/>
      <c r="W381" s="350"/>
      <c r="X381" s="351"/>
      <c r="Y381" s="352"/>
      <c r="Z381" s="353"/>
      <c r="AA381" s="354"/>
      <c r="AB381" s="400"/>
    </row>
    <row r="382" spans="1:28" s="340" customFormat="1">
      <c r="A382" s="408"/>
      <c r="B382" s="402" t="s">
        <v>187</v>
      </c>
      <c r="C382" s="403">
        <v>32242</v>
      </c>
      <c r="D382" s="404" t="s">
        <v>374</v>
      </c>
      <c r="E382" s="423" t="s">
        <v>216</v>
      </c>
      <c r="F382" s="404" t="s">
        <v>374</v>
      </c>
      <c r="G382" s="589">
        <v>46216</v>
      </c>
      <c r="H382" s="406"/>
      <c r="I382" s="407"/>
      <c r="J382" s="708"/>
      <c r="K382" s="709"/>
      <c r="L382" s="347"/>
      <c r="M382" s="348"/>
      <c r="N382" s="348"/>
      <c r="O382" s="348"/>
      <c r="P382" s="348"/>
      <c r="Q382" s="349"/>
      <c r="R382" s="348"/>
      <c r="S382" s="348"/>
      <c r="T382" s="349"/>
      <c r="U382" s="348"/>
      <c r="V382" s="349"/>
      <c r="W382" s="350"/>
      <c r="X382" s="351"/>
      <c r="Y382" s="352"/>
      <c r="Z382" s="353"/>
      <c r="AA382" s="354"/>
      <c r="AB382" s="400"/>
    </row>
    <row r="383" spans="1:28" s="340" customFormat="1">
      <c r="A383" s="408"/>
      <c r="B383" s="402" t="s">
        <v>187</v>
      </c>
      <c r="C383" s="403">
        <v>32242</v>
      </c>
      <c r="D383" s="404" t="s">
        <v>374</v>
      </c>
      <c r="E383" s="423" t="s">
        <v>216</v>
      </c>
      <c r="F383" s="404" t="s">
        <v>374</v>
      </c>
      <c r="G383" s="589">
        <v>46217</v>
      </c>
      <c r="H383" s="406"/>
      <c r="I383" s="407"/>
      <c r="J383" s="305"/>
      <c r="K383" s="305"/>
      <c r="L383" s="424"/>
      <c r="M383" s="357"/>
      <c r="N383" s="357"/>
      <c r="O383" s="357"/>
      <c r="P383" s="357"/>
      <c r="Q383" s="356"/>
      <c r="R383" s="357"/>
      <c r="S383" s="357"/>
      <c r="T383" s="356"/>
      <c r="U383" s="357"/>
      <c r="V383" s="356"/>
      <c r="W383" s="358"/>
      <c r="X383" s="359"/>
      <c r="Y383" s="360"/>
      <c r="Z383" s="361"/>
      <c r="AA383" s="362"/>
      <c r="AB383" s="400"/>
    </row>
    <row r="384" spans="1:28" s="340" customFormat="1">
      <c r="A384" s="408"/>
      <c r="B384" s="402" t="s">
        <v>187</v>
      </c>
      <c r="C384" s="403">
        <v>32242</v>
      </c>
      <c r="D384" s="404" t="s">
        <v>374</v>
      </c>
      <c r="E384" s="423" t="s">
        <v>216</v>
      </c>
      <c r="F384" s="404" t="s">
        <v>374</v>
      </c>
      <c r="G384" s="589">
        <v>46218</v>
      </c>
      <c r="H384" s="406"/>
      <c r="I384" s="407"/>
      <c r="J384" s="305"/>
      <c r="K384" s="305"/>
      <c r="L384" s="347"/>
      <c r="M384" s="348"/>
      <c r="N384" s="348"/>
      <c r="O384" s="348"/>
      <c r="P384" s="348"/>
      <c r="Q384" s="349"/>
      <c r="R384" s="348"/>
      <c r="S384" s="348"/>
      <c r="T384" s="349"/>
      <c r="U384" s="348"/>
      <c r="V384" s="349"/>
      <c r="W384" s="350"/>
      <c r="X384" s="351"/>
      <c r="Y384" s="352"/>
      <c r="Z384" s="353"/>
      <c r="AA384" s="354"/>
      <c r="AB384" s="400"/>
    </row>
    <row r="385" spans="1:28" s="340" customFormat="1">
      <c r="A385" s="408"/>
      <c r="B385" s="402" t="s">
        <v>187</v>
      </c>
      <c r="C385" s="403">
        <v>32242</v>
      </c>
      <c r="D385" s="404" t="s">
        <v>374</v>
      </c>
      <c r="E385" s="423" t="s">
        <v>216</v>
      </c>
      <c r="F385" s="404" t="s">
        <v>374</v>
      </c>
      <c r="G385" s="589">
        <v>46219</v>
      </c>
      <c r="H385" s="406"/>
      <c r="I385" s="407"/>
      <c r="J385" s="305"/>
      <c r="K385" s="305"/>
      <c r="L385" s="347"/>
      <c r="M385" s="348"/>
      <c r="N385" s="348"/>
      <c r="O385" s="348"/>
      <c r="P385" s="348"/>
      <c r="Q385" s="349"/>
      <c r="R385" s="348"/>
      <c r="S385" s="348"/>
      <c r="T385" s="349"/>
      <c r="U385" s="348"/>
      <c r="V385" s="349"/>
      <c r="W385" s="350"/>
      <c r="X385" s="351"/>
      <c r="Y385" s="352"/>
      <c r="Z385" s="353"/>
      <c r="AA385" s="354"/>
      <c r="AB385" s="400"/>
    </row>
    <row r="386" spans="1:28" s="340" customFormat="1">
      <c r="A386" s="408"/>
      <c r="B386" s="402" t="s">
        <v>187</v>
      </c>
      <c r="C386" s="403">
        <v>32242</v>
      </c>
      <c r="D386" s="404" t="s">
        <v>374</v>
      </c>
      <c r="E386" s="423" t="s">
        <v>216</v>
      </c>
      <c r="F386" s="404" t="s">
        <v>374</v>
      </c>
      <c r="G386" s="589">
        <v>46220</v>
      </c>
      <c r="H386" s="406"/>
      <c r="I386" s="407"/>
      <c r="J386" s="305"/>
      <c r="K386" s="305"/>
      <c r="L386" s="347"/>
      <c r="M386" s="348"/>
      <c r="N386" s="348"/>
      <c r="O386" s="348"/>
      <c r="P386" s="348"/>
      <c r="Q386" s="349"/>
      <c r="R386" s="348"/>
      <c r="S386" s="348"/>
      <c r="T386" s="349"/>
      <c r="U386" s="348"/>
      <c r="V386" s="349"/>
      <c r="W386" s="350"/>
      <c r="X386" s="351"/>
      <c r="Y386" s="352"/>
      <c r="Z386" s="353"/>
      <c r="AA386" s="354"/>
      <c r="AB386" s="400"/>
    </row>
    <row r="387" spans="1:28" s="340" customFormat="1">
      <c r="A387" s="408"/>
      <c r="B387" s="402" t="s">
        <v>187</v>
      </c>
      <c r="C387" s="403">
        <v>32242</v>
      </c>
      <c r="D387" s="404" t="s">
        <v>374</v>
      </c>
      <c r="E387" s="423" t="s">
        <v>216</v>
      </c>
      <c r="F387" s="404" t="s">
        <v>374</v>
      </c>
      <c r="G387" s="589">
        <v>46221</v>
      </c>
      <c r="H387" s="406"/>
      <c r="I387" s="407"/>
      <c r="J387" s="305"/>
      <c r="K387" s="305"/>
      <c r="L387" s="347"/>
      <c r="M387" s="348"/>
      <c r="N387" s="348"/>
      <c r="O387" s="348"/>
      <c r="P387" s="348"/>
      <c r="Q387" s="349"/>
      <c r="R387" s="348"/>
      <c r="S387" s="348"/>
      <c r="T387" s="349"/>
      <c r="U387" s="348"/>
      <c r="V387" s="349"/>
      <c r="W387" s="350"/>
      <c r="X387" s="351"/>
      <c r="Y387" s="352"/>
      <c r="Z387" s="353"/>
      <c r="AA387" s="354"/>
      <c r="AB387" s="400"/>
    </row>
    <row r="388" spans="1:28" s="340" customFormat="1">
      <c r="A388" s="408"/>
      <c r="B388" s="402" t="s">
        <v>187</v>
      </c>
      <c r="C388" s="403">
        <v>32242</v>
      </c>
      <c r="D388" s="404" t="s">
        <v>374</v>
      </c>
      <c r="E388" s="423" t="s">
        <v>216</v>
      </c>
      <c r="F388" s="404" t="s">
        <v>374</v>
      </c>
      <c r="G388" s="590">
        <v>46222</v>
      </c>
      <c r="H388" s="406"/>
      <c r="I388" s="407"/>
      <c r="J388" s="305"/>
      <c r="K388" s="305"/>
      <c r="L388" s="347"/>
      <c r="M388" s="348"/>
      <c r="N388" s="348"/>
      <c r="O388" s="348"/>
      <c r="P388" s="348"/>
      <c r="Q388" s="349"/>
      <c r="R388" s="348"/>
      <c r="S388" s="348"/>
      <c r="T388" s="349"/>
      <c r="U388" s="348"/>
      <c r="V388" s="349"/>
      <c r="W388" s="350"/>
      <c r="X388" s="351"/>
      <c r="Y388" s="352"/>
      <c r="Z388" s="353"/>
      <c r="AA388" s="354"/>
      <c r="AB388" s="400"/>
    </row>
    <row r="389" spans="1:28" s="340" customFormat="1">
      <c r="A389" s="408"/>
      <c r="B389" s="402" t="s">
        <v>187</v>
      </c>
      <c r="C389" s="403">
        <v>32242</v>
      </c>
      <c r="D389" s="404" t="s">
        <v>374</v>
      </c>
      <c r="E389" s="423" t="s">
        <v>216</v>
      </c>
      <c r="F389" s="404" t="s">
        <v>374</v>
      </c>
      <c r="G389" s="589">
        <v>46223</v>
      </c>
      <c r="H389" s="406"/>
      <c r="I389" s="407"/>
      <c r="J389" s="708"/>
      <c r="K389" s="709"/>
      <c r="L389" s="424"/>
      <c r="M389" s="357"/>
      <c r="N389" s="357"/>
      <c r="O389" s="357"/>
      <c r="P389" s="357"/>
      <c r="Q389" s="356"/>
      <c r="R389" s="357"/>
      <c r="S389" s="357"/>
      <c r="T389" s="356"/>
      <c r="U389" s="357"/>
      <c r="V389" s="356"/>
      <c r="W389" s="350"/>
      <c r="X389" s="351"/>
      <c r="Y389" s="352"/>
      <c r="Z389" s="353"/>
      <c r="AA389" s="354"/>
      <c r="AB389" s="400"/>
    </row>
    <row r="390" spans="1:28" s="340" customFormat="1">
      <c r="A390" s="408"/>
      <c r="B390" s="402" t="s">
        <v>187</v>
      </c>
      <c r="C390" s="403">
        <v>32242</v>
      </c>
      <c r="D390" s="404" t="s">
        <v>374</v>
      </c>
      <c r="E390" s="423" t="s">
        <v>216</v>
      </c>
      <c r="F390" s="404" t="s">
        <v>374</v>
      </c>
      <c r="G390" s="589">
        <v>46224</v>
      </c>
      <c r="H390" s="406"/>
      <c r="I390" s="407"/>
      <c r="J390" s="295"/>
      <c r="K390" s="295"/>
      <c r="L390" s="424"/>
      <c r="M390" s="357"/>
      <c r="N390" s="365"/>
      <c r="O390" s="365"/>
      <c r="P390" s="365"/>
      <c r="Q390" s="364"/>
      <c r="R390" s="365"/>
      <c r="S390" s="365"/>
      <c r="T390" s="356"/>
      <c r="U390" s="357"/>
      <c r="V390" s="356"/>
      <c r="W390" s="358"/>
      <c r="X390" s="359"/>
      <c r="Y390" s="360"/>
      <c r="Z390" s="361"/>
      <c r="AA390" s="362"/>
      <c r="AB390" s="400"/>
    </row>
    <row r="391" spans="1:28" s="340" customFormat="1">
      <c r="A391" s="408"/>
      <c r="B391" s="402" t="s">
        <v>187</v>
      </c>
      <c r="C391" s="403">
        <v>32242</v>
      </c>
      <c r="D391" s="404" t="s">
        <v>374</v>
      </c>
      <c r="E391" s="423" t="s">
        <v>216</v>
      </c>
      <c r="F391" s="404" t="s">
        <v>374</v>
      </c>
      <c r="G391" s="589">
        <v>46225</v>
      </c>
      <c r="H391" s="406"/>
      <c r="I391" s="407"/>
      <c r="J391" s="295"/>
      <c r="K391" s="295"/>
      <c r="L391" s="347"/>
      <c r="M391" s="348"/>
      <c r="N391" s="366"/>
      <c r="O391" s="348"/>
      <c r="P391" s="348"/>
      <c r="Q391" s="349"/>
      <c r="R391" s="348"/>
      <c r="S391" s="348"/>
      <c r="T391" s="349"/>
      <c r="U391" s="348"/>
      <c r="V391" s="349"/>
      <c r="W391" s="350"/>
      <c r="X391" s="351"/>
      <c r="Y391" s="352"/>
      <c r="Z391" s="353"/>
      <c r="AA391" s="354"/>
      <c r="AB391" s="400"/>
    </row>
    <row r="392" spans="1:28" s="340" customFormat="1">
      <c r="A392" s="408"/>
      <c r="B392" s="402" t="s">
        <v>187</v>
      </c>
      <c r="C392" s="403">
        <v>32242</v>
      </c>
      <c r="D392" s="404" t="s">
        <v>374</v>
      </c>
      <c r="E392" s="423" t="s">
        <v>216</v>
      </c>
      <c r="F392" s="404" t="s">
        <v>374</v>
      </c>
      <c r="G392" s="589">
        <v>46226</v>
      </c>
      <c r="H392" s="406"/>
      <c r="I392" s="407"/>
      <c r="J392" s="295"/>
      <c r="K392" s="295"/>
      <c r="L392" s="347"/>
      <c r="M392" s="425"/>
      <c r="N392" s="366"/>
      <c r="O392" s="367"/>
      <c r="P392" s="367"/>
      <c r="Q392" s="349"/>
      <c r="R392" s="348"/>
      <c r="S392" s="348"/>
      <c r="T392" s="349"/>
      <c r="U392" s="348"/>
      <c r="V392" s="349"/>
      <c r="W392" s="350"/>
      <c r="X392" s="351"/>
      <c r="Y392" s="352"/>
      <c r="Z392" s="353"/>
      <c r="AA392" s="354"/>
      <c r="AB392" s="400"/>
    </row>
    <row r="393" spans="1:28" s="340" customFormat="1">
      <c r="A393" s="408"/>
      <c r="B393" s="402" t="s">
        <v>187</v>
      </c>
      <c r="C393" s="403">
        <v>32242</v>
      </c>
      <c r="D393" s="404" t="s">
        <v>374</v>
      </c>
      <c r="E393" s="423" t="s">
        <v>216</v>
      </c>
      <c r="F393" s="404" t="s">
        <v>374</v>
      </c>
      <c r="G393" s="589">
        <v>46227</v>
      </c>
      <c r="H393" s="406"/>
      <c r="I393" s="407"/>
      <c r="J393" s="295"/>
      <c r="K393" s="318"/>
      <c r="L393" s="347"/>
      <c r="M393" s="426"/>
      <c r="N393" s="366"/>
      <c r="O393" s="366"/>
      <c r="P393" s="366"/>
      <c r="Q393" s="368"/>
      <c r="R393" s="366"/>
      <c r="S393" s="366"/>
      <c r="T393" s="349"/>
      <c r="U393" s="348"/>
      <c r="V393" s="349"/>
      <c r="W393" s="350"/>
      <c r="X393" s="351"/>
      <c r="Y393" s="352"/>
      <c r="Z393" s="353"/>
      <c r="AA393" s="354"/>
      <c r="AB393" s="400"/>
    </row>
    <row r="394" spans="1:28" s="340" customFormat="1">
      <c r="A394" s="408"/>
      <c r="B394" s="402" t="s">
        <v>187</v>
      </c>
      <c r="C394" s="403">
        <v>32242</v>
      </c>
      <c r="D394" s="404" t="s">
        <v>374</v>
      </c>
      <c r="E394" s="423" t="s">
        <v>216</v>
      </c>
      <c r="F394" s="404" t="s">
        <v>374</v>
      </c>
      <c r="G394" s="589">
        <v>46228</v>
      </c>
      <c r="H394" s="406"/>
      <c r="I394" s="407"/>
      <c r="J394" s="295"/>
      <c r="K394" s="295"/>
      <c r="L394" s="347"/>
      <c r="M394" s="348"/>
      <c r="N394" s="348"/>
      <c r="O394" s="348"/>
      <c r="P394" s="348"/>
      <c r="Q394" s="349"/>
      <c r="R394" s="348"/>
      <c r="S394" s="320"/>
      <c r="T394" s="349"/>
      <c r="U394" s="348"/>
      <c r="V394" s="349"/>
      <c r="W394" s="350"/>
      <c r="X394" s="351"/>
      <c r="Y394" s="352"/>
      <c r="Z394" s="353"/>
      <c r="AA394" s="354"/>
      <c r="AB394" s="400"/>
    </row>
    <row r="395" spans="1:28" s="340" customFormat="1">
      <c r="A395" s="408"/>
      <c r="B395" s="402"/>
      <c r="C395" s="403"/>
      <c r="D395" s="404"/>
      <c r="E395" s="405"/>
      <c r="F395" s="404"/>
      <c r="G395" s="594"/>
      <c r="H395" s="406"/>
      <c r="I395" s="407"/>
      <c r="J395" s="369"/>
      <c r="K395" s="370"/>
      <c r="L395" s="371"/>
      <c r="M395" s="363"/>
      <c r="N395" s="363"/>
      <c r="O395" s="363"/>
      <c r="P395" s="363"/>
      <c r="Q395" s="372"/>
      <c r="R395" s="363"/>
      <c r="S395" s="324"/>
      <c r="T395" s="349"/>
      <c r="U395" s="348"/>
      <c r="V395" s="349"/>
      <c r="W395" s="350"/>
      <c r="X395" s="351"/>
      <c r="Y395" s="352"/>
      <c r="Z395" s="353"/>
      <c r="AA395" s="354"/>
      <c r="AB395" s="400"/>
    </row>
    <row r="396" spans="1:28" s="340" customFormat="1">
      <c r="A396" s="411"/>
      <c r="B396" s="325"/>
      <c r="C396" s="412"/>
      <c r="D396" s="404"/>
      <c r="E396" s="413"/>
      <c r="F396" s="404"/>
      <c r="G396" s="595"/>
      <c r="H396" s="414"/>
      <c r="I396" s="415"/>
      <c r="J396" s="416"/>
      <c r="K396" s="376"/>
      <c r="L396" s="377"/>
      <c r="M396" s="377">
        <f t="shared" ref="M396:AA396" si="21">SUM(M379:M395)</f>
        <v>0</v>
      </c>
      <c r="N396" s="377">
        <f t="shared" si="21"/>
        <v>0</v>
      </c>
      <c r="O396" s="377">
        <f t="shared" si="21"/>
        <v>0</v>
      </c>
      <c r="P396" s="377">
        <f t="shared" si="21"/>
        <v>0</v>
      </c>
      <c r="Q396" s="377">
        <f t="shared" si="21"/>
        <v>0</v>
      </c>
      <c r="R396" s="377">
        <f t="shared" si="21"/>
        <v>0</v>
      </c>
      <c r="S396" s="377">
        <f t="shared" si="21"/>
        <v>0</v>
      </c>
      <c r="T396" s="377">
        <f t="shared" si="21"/>
        <v>0</v>
      </c>
      <c r="U396" s="377">
        <f t="shared" si="21"/>
        <v>0</v>
      </c>
      <c r="V396" s="377">
        <f t="shared" si="21"/>
        <v>0</v>
      </c>
      <c r="W396" s="377">
        <f t="shared" si="21"/>
        <v>0</v>
      </c>
      <c r="X396" s="377">
        <f t="shared" si="21"/>
        <v>0</v>
      </c>
      <c r="Y396" s="377">
        <f t="shared" si="21"/>
        <v>0</v>
      </c>
      <c r="Z396" s="377">
        <f t="shared" si="21"/>
        <v>0</v>
      </c>
      <c r="AA396" s="377">
        <f t="shared" si="21"/>
        <v>0</v>
      </c>
      <c r="AB396" s="400"/>
    </row>
    <row r="397" spans="1:28" s="340" customFormat="1">
      <c r="A397" s="280" t="s">
        <v>170</v>
      </c>
      <c r="B397" s="280" t="s">
        <v>120</v>
      </c>
      <c r="C397" s="280" t="s">
        <v>152</v>
      </c>
      <c r="D397" s="280" t="s">
        <v>182</v>
      </c>
      <c r="E397" s="281" t="s">
        <v>153</v>
      </c>
      <c r="F397" s="280" t="s">
        <v>182</v>
      </c>
      <c r="G397" s="593" t="s">
        <v>401</v>
      </c>
      <c r="H397" s="333"/>
      <c r="I397" s="334" t="s">
        <v>181</v>
      </c>
      <c r="J397" s="335" t="s">
        <v>154</v>
      </c>
      <c r="K397" s="335" t="s">
        <v>155</v>
      </c>
      <c r="L397" s="336" t="s">
        <v>156</v>
      </c>
      <c r="M397" s="337" t="s">
        <v>157</v>
      </c>
      <c r="N397" s="336" t="s">
        <v>158</v>
      </c>
      <c r="O397" s="336" t="s">
        <v>159</v>
      </c>
      <c r="P397" s="336" t="s">
        <v>174</v>
      </c>
      <c r="Q397" s="336" t="s">
        <v>160</v>
      </c>
      <c r="R397" s="336" t="s">
        <v>161</v>
      </c>
      <c r="S397" s="336" t="s">
        <v>162</v>
      </c>
      <c r="T397" s="334" t="s">
        <v>163</v>
      </c>
      <c r="U397" s="334" t="s">
        <v>164</v>
      </c>
      <c r="V397" s="334" t="s">
        <v>165</v>
      </c>
      <c r="W397" s="336" t="s">
        <v>113</v>
      </c>
      <c r="X397" s="334" t="s">
        <v>121</v>
      </c>
      <c r="Y397" s="334" t="s">
        <v>166</v>
      </c>
      <c r="Z397" s="338" t="s">
        <v>175</v>
      </c>
      <c r="AA397" s="338" t="s">
        <v>167</v>
      </c>
      <c r="AB397" s="339"/>
    </row>
    <row r="398" spans="1:28" s="340" customFormat="1">
      <c r="A398" s="710"/>
      <c r="B398" s="342" t="s">
        <v>187</v>
      </c>
      <c r="C398" s="383">
        <v>12956</v>
      </c>
      <c r="D398" s="344" t="s">
        <v>215</v>
      </c>
      <c r="E398" s="345" t="s">
        <v>214</v>
      </c>
      <c r="F398" s="344" t="s">
        <v>215</v>
      </c>
      <c r="G398" s="589">
        <v>46214</v>
      </c>
      <c r="H398" s="346"/>
      <c r="I398" s="346"/>
      <c r="J398" s="295"/>
      <c r="K398" s="295"/>
      <c r="L398" s="347"/>
      <c r="M398" s="348"/>
      <c r="N398" s="348"/>
      <c r="O398" s="348"/>
      <c r="P398" s="348"/>
      <c r="Q398" s="349"/>
      <c r="R398" s="348"/>
      <c r="S398" s="348"/>
      <c r="T398" s="349"/>
      <c r="U398" s="348"/>
      <c r="V398" s="349"/>
      <c r="W398" s="350"/>
      <c r="X398" s="351"/>
      <c r="Y398" s="352"/>
      <c r="Z398" s="353"/>
      <c r="AA398" s="354"/>
      <c r="AB398" s="339"/>
    </row>
    <row r="399" spans="1:28" s="340" customFormat="1">
      <c r="A399" s="711"/>
      <c r="B399" s="342" t="s">
        <v>187</v>
      </c>
      <c r="C399" s="383">
        <v>12956</v>
      </c>
      <c r="D399" s="344" t="s">
        <v>215</v>
      </c>
      <c r="E399" s="345" t="s">
        <v>214</v>
      </c>
      <c r="F399" s="344" t="s">
        <v>215</v>
      </c>
      <c r="G399" s="590">
        <v>46215</v>
      </c>
      <c r="H399" s="346"/>
      <c r="I399" s="346"/>
      <c r="J399" s="699" t="s">
        <v>173</v>
      </c>
      <c r="K399" s="700"/>
      <c r="L399" s="347"/>
      <c r="M399" s="348"/>
      <c r="N399" s="348"/>
      <c r="O399" s="348"/>
      <c r="P399" s="348"/>
      <c r="Q399" s="349"/>
      <c r="R399" s="348"/>
      <c r="S399" s="348"/>
      <c r="T399" s="349"/>
      <c r="U399" s="348"/>
      <c r="V399" s="349"/>
      <c r="W399" s="350"/>
      <c r="X399" s="351"/>
      <c r="Y399" s="352"/>
      <c r="Z399" s="353"/>
      <c r="AA399" s="354"/>
      <c r="AB399" s="339"/>
    </row>
    <row r="400" spans="1:28" s="340" customFormat="1">
      <c r="A400" s="711"/>
      <c r="B400" s="342" t="s">
        <v>187</v>
      </c>
      <c r="C400" s="383">
        <v>12956</v>
      </c>
      <c r="D400" s="344" t="s">
        <v>215</v>
      </c>
      <c r="E400" s="345" t="s">
        <v>214</v>
      </c>
      <c r="F400" s="344" t="s">
        <v>215</v>
      </c>
      <c r="G400" s="589">
        <v>46216</v>
      </c>
      <c r="H400" s="346"/>
      <c r="I400" s="346" t="s">
        <v>186</v>
      </c>
      <c r="J400" s="305">
        <v>0.32222222222222224</v>
      </c>
      <c r="K400" s="305">
        <v>0.79236111111111107</v>
      </c>
      <c r="L400" s="347" t="s">
        <v>169</v>
      </c>
      <c r="M400" s="348">
        <v>8</v>
      </c>
      <c r="N400" s="348">
        <v>2</v>
      </c>
      <c r="O400" s="348"/>
      <c r="P400" s="348"/>
      <c r="Q400" s="349"/>
      <c r="R400" s="348"/>
      <c r="S400" s="348"/>
      <c r="T400" s="349"/>
      <c r="U400" s="348"/>
      <c r="V400" s="349"/>
      <c r="W400" s="350"/>
      <c r="X400" s="351"/>
      <c r="Y400" s="352"/>
      <c r="Z400" s="353"/>
      <c r="AA400" s="354"/>
      <c r="AB400" s="339"/>
    </row>
    <row r="401" spans="1:28" s="340" customFormat="1">
      <c r="A401" s="711"/>
      <c r="B401" s="342" t="s">
        <v>187</v>
      </c>
      <c r="C401" s="383">
        <v>12956</v>
      </c>
      <c r="D401" s="344" t="s">
        <v>215</v>
      </c>
      <c r="E401" s="345" t="s">
        <v>214</v>
      </c>
      <c r="F401" s="344" t="s">
        <v>215</v>
      </c>
      <c r="G401" s="589">
        <v>46217</v>
      </c>
      <c r="H401" s="346"/>
      <c r="I401" s="346" t="s">
        <v>186</v>
      </c>
      <c r="J401" s="305">
        <v>0.32083333333333336</v>
      </c>
      <c r="K401" s="305">
        <v>0.79305555555555562</v>
      </c>
      <c r="L401" s="347" t="s">
        <v>169</v>
      </c>
      <c r="M401" s="348">
        <v>8</v>
      </c>
      <c r="N401" s="348">
        <v>2</v>
      </c>
      <c r="O401" s="348"/>
      <c r="P401" s="348"/>
      <c r="Q401" s="356"/>
      <c r="R401" s="357"/>
      <c r="S401" s="357"/>
      <c r="T401" s="356"/>
      <c r="U401" s="357"/>
      <c r="V401" s="356"/>
      <c r="W401" s="358"/>
      <c r="X401" s="359"/>
      <c r="Y401" s="360"/>
      <c r="Z401" s="361"/>
      <c r="AA401" s="362"/>
      <c r="AB401" s="339"/>
    </row>
    <row r="402" spans="1:28" s="340" customFormat="1">
      <c r="A402" s="711"/>
      <c r="B402" s="342" t="s">
        <v>187</v>
      </c>
      <c r="C402" s="383">
        <v>12956</v>
      </c>
      <c r="D402" s="344" t="s">
        <v>215</v>
      </c>
      <c r="E402" s="345" t="s">
        <v>214</v>
      </c>
      <c r="F402" s="344" t="s">
        <v>215</v>
      </c>
      <c r="G402" s="589">
        <v>46218</v>
      </c>
      <c r="H402" s="346"/>
      <c r="I402" s="346" t="s">
        <v>186</v>
      </c>
      <c r="J402" s="305">
        <v>0.32013888888888892</v>
      </c>
      <c r="K402" s="305">
        <v>0.70972222222222225</v>
      </c>
      <c r="L402" s="347" t="s">
        <v>169</v>
      </c>
      <c r="M402" s="348">
        <v>8</v>
      </c>
      <c r="N402" s="348"/>
      <c r="O402" s="348"/>
      <c r="P402" s="348"/>
      <c r="Q402" s="349"/>
      <c r="R402" s="348"/>
      <c r="S402" s="348"/>
      <c r="T402" s="349"/>
      <c r="U402" s="348"/>
      <c r="V402" s="349"/>
      <c r="W402" s="350"/>
      <c r="X402" s="351"/>
      <c r="Y402" s="352"/>
      <c r="Z402" s="353"/>
      <c r="AA402" s="354"/>
      <c r="AB402" s="339"/>
    </row>
    <row r="403" spans="1:28" s="340" customFormat="1">
      <c r="A403" s="711"/>
      <c r="B403" s="342" t="s">
        <v>187</v>
      </c>
      <c r="C403" s="383">
        <v>12956</v>
      </c>
      <c r="D403" s="344" t="s">
        <v>215</v>
      </c>
      <c r="E403" s="345" t="s">
        <v>214</v>
      </c>
      <c r="F403" s="344" t="s">
        <v>215</v>
      </c>
      <c r="G403" s="589">
        <v>46219</v>
      </c>
      <c r="H403" s="346"/>
      <c r="I403" s="346" t="s">
        <v>186</v>
      </c>
      <c r="J403" s="305">
        <v>0.31458333333333333</v>
      </c>
      <c r="K403" s="305">
        <v>0.7104166666666667</v>
      </c>
      <c r="L403" s="347" t="s">
        <v>169</v>
      </c>
      <c r="M403" s="348">
        <v>8</v>
      </c>
      <c r="N403" s="348"/>
      <c r="O403" s="348"/>
      <c r="P403" s="348"/>
      <c r="Q403" s="349"/>
      <c r="R403" s="348"/>
      <c r="S403" s="348"/>
      <c r="T403" s="349"/>
      <c r="U403" s="348"/>
      <c r="V403" s="349"/>
      <c r="W403" s="350"/>
      <c r="X403" s="351"/>
      <c r="Y403" s="352"/>
      <c r="Z403" s="353"/>
      <c r="AA403" s="354"/>
      <c r="AB403" s="339"/>
    </row>
    <row r="404" spans="1:28" s="340" customFormat="1">
      <c r="A404" s="711"/>
      <c r="B404" s="342" t="s">
        <v>187</v>
      </c>
      <c r="C404" s="383">
        <v>12956</v>
      </c>
      <c r="D404" s="344" t="s">
        <v>215</v>
      </c>
      <c r="E404" s="345" t="s">
        <v>214</v>
      </c>
      <c r="F404" s="344" t="s">
        <v>215</v>
      </c>
      <c r="G404" s="589">
        <v>46220</v>
      </c>
      <c r="H404" s="346"/>
      <c r="I404" s="346" t="s">
        <v>186</v>
      </c>
      <c r="J404" s="305">
        <v>0.31805555555555554</v>
      </c>
      <c r="K404" s="305">
        <v>0.7104166666666667</v>
      </c>
      <c r="L404" s="347" t="s">
        <v>169</v>
      </c>
      <c r="M404" s="348">
        <v>8</v>
      </c>
      <c r="N404" s="348"/>
      <c r="O404" s="348"/>
      <c r="P404" s="348"/>
      <c r="Q404" s="349"/>
      <c r="R404" s="348"/>
      <c r="S404" s="348"/>
      <c r="T404" s="349"/>
      <c r="U404" s="348"/>
      <c r="V404" s="349"/>
      <c r="W404" s="350"/>
      <c r="X404" s="351"/>
      <c r="Y404" s="352"/>
      <c r="Z404" s="353"/>
      <c r="AA404" s="354"/>
      <c r="AB404" s="339"/>
    </row>
    <row r="405" spans="1:28" s="340" customFormat="1">
      <c r="A405" s="711"/>
      <c r="B405" s="342" t="s">
        <v>187</v>
      </c>
      <c r="C405" s="383">
        <v>12956</v>
      </c>
      <c r="D405" s="344" t="s">
        <v>215</v>
      </c>
      <c r="E405" s="345" t="s">
        <v>214</v>
      </c>
      <c r="F405" s="344" t="s">
        <v>215</v>
      </c>
      <c r="G405" s="589">
        <v>46221</v>
      </c>
      <c r="H405" s="346"/>
      <c r="I405" s="346" t="s">
        <v>186</v>
      </c>
      <c r="J405" s="305"/>
      <c r="K405" s="305"/>
      <c r="L405" s="347"/>
      <c r="M405" s="348"/>
      <c r="N405" s="348"/>
      <c r="O405" s="348"/>
      <c r="P405" s="348"/>
      <c r="Q405" s="349"/>
      <c r="R405" s="348"/>
      <c r="S405" s="348"/>
      <c r="T405" s="349"/>
      <c r="U405" s="348"/>
      <c r="V405" s="349"/>
      <c r="W405" s="350"/>
      <c r="X405" s="351"/>
      <c r="Y405" s="352"/>
      <c r="Z405" s="353"/>
      <c r="AA405" s="354"/>
      <c r="AB405" s="339"/>
    </row>
    <row r="406" spans="1:28" s="340" customFormat="1">
      <c r="A406" s="711"/>
      <c r="B406" s="342" t="s">
        <v>187</v>
      </c>
      <c r="C406" s="383">
        <v>12956</v>
      </c>
      <c r="D406" s="344" t="s">
        <v>215</v>
      </c>
      <c r="E406" s="345" t="s">
        <v>214</v>
      </c>
      <c r="F406" s="344" t="s">
        <v>215</v>
      </c>
      <c r="G406" s="590">
        <v>46222</v>
      </c>
      <c r="H406" s="346"/>
      <c r="I406" s="346"/>
      <c r="J406" s="699" t="s">
        <v>173</v>
      </c>
      <c r="K406" s="700"/>
      <c r="L406" s="347"/>
      <c r="M406" s="348"/>
      <c r="N406" s="348"/>
      <c r="O406" s="348"/>
      <c r="P406" s="348"/>
      <c r="Q406" s="349"/>
      <c r="R406" s="348"/>
      <c r="S406" s="348"/>
      <c r="T406" s="349"/>
      <c r="U406" s="348"/>
      <c r="V406" s="349"/>
      <c r="W406" s="350"/>
      <c r="X406" s="351"/>
      <c r="Y406" s="352"/>
      <c r="Z406" s="353"/>
      <c r="AA406" s="354"/>
      <c r="AB406" s="339"/>
    </row>
    <row r="407" spans="1:28" s="340" customFormat="1">
      <c r="A407" s="711"/>
      <c r="B407" s="342" t="s">
        <v>187</v>
      </c>
      <c r="C407" s="383">
        <v>12956</v>
      </c>
      <c r="D407" s="344" t="s">
        <v>215</v>
      </c>
      <c r="E407" s="345" t="s">
        <v>214</v>
      </c>
      <c r="F407" s="344" t="s">
        <v>215</v>
      </c>
      <c r="G407" s="589">
        <v>46223</v>
      </c>
      <c r="H407" s="346"/>
      <c r="I407" s="346" t="s">
        <v>186</v>
      </c>
      <c r="J407" s="295">
        <v>0.32083333333333336</v>
      </c>
      <c r="K407" s="295">
        <v>0.71111111111111114</v>
      </c>
      <c r="L407" s="347" t="s">
        <v>169</v>
      </c>
      <c r="M407" s="348">
        <v>8</v>
      </c>
      <c r="N407" s="357"/>
      <c r="O407" s="357"/>
      <c r="P407" s="357"/>
      <c r="Q407" s="356"/>
      <c r="R407" s="357"/>
      <c r="S407" s="357"/>
      <c r="T407" s="356"/>
      <c r="U407" s="357"/>
      <c r="V407" s="356"/>
      <c r="W407" s="350"/>
      <c r="X407" s="351"/>
      <c r="Y407" s="352"/>
      <c r="Z407" s="353"/>
      <c r="AA407" s="354"/>
      <c r="AB407" s="339"/>
    </row>
    <row r="408" spans="1:28" s="340" customFormat="1">
      <c r="A408" s="711"/>
      <c r="B408" s="342" t="s">
        <v>187</v>
      </c>
      <c r="C408" s="383">
        <v>12956</v>
      </c>
      <c r="D408" s="344" t="s">
        <v>215</v>
      </c>
      <c r="E408" s="345" t="s">
        <v>214</v>
      </c>
      <c r="F408" s="344" t="s">
        <v>215</v>
      </c>
      <c r="G408" s="589">
        <v>46224</v>
      </c>
      <c r="H408" s="346"/>
      <c r="I408" s="346" t="s">
        <v>186</v>
      </c>
      <c r="J408" s="295">
        <v>0.31666666666666665</v>
      </c>
      <c r="K408" s="295">
        <v>0.79166666666666663</v>
      </c>
      <c r="L408" s="347" t="s">
        <v>169</v>
      </c>
      <c r="M408" s="348">
        <v>8</v>
      </c>
      <c r="N408" s="348">
        <v>2</v>
      </c>
      <c r="O408" s="363"/>
      <c r="P408" s="363"/>
      <c r="Q408" s="364"/>
      <c r="R408" s="365"/>
      <c r="S408" s="365"/>
      <c r="T408" s="356"/>
      <c r="U408" s="357"/>
      <c r="V408" s="356"/>
      <c r="W408" s="358"/>
      <c r="X408" s="359"/>
      <c r="Y408" s="360"/>
      <c r="Z408" s="361"/>
      <c r="AA408" s="362"/>
      <c r="AB408" s="339"/>
    </row>
    <row r="409" spans="1:28" s="340" customFormat="1">
      <c r="A409" s="711"/>
      <c r="B409" s="342" t="s">
        <v>187</v>
      </c>
      <c r="C409" s="383">
        <v>12956</v>
      </c>
      <c r="D409" s="344" t="s">
        <v>215</v>
      </c>
      <c r="E409" s="345" t="s">
        <v>214</v>
      </c>
      <c r="F409" s="344" t="s">
        <v>215</v>
      </c>
      <c r="G409" s="589">
        <v>46225</v>
      </c>
      <c r="H409" s="346"/>
      <c r="I409" s="346" t="s">
        <v>186</v>
      </c>
      <c r="J409" s="295">
        <v>0.31944444444444442</v>
      </c>
      <c r="K409" s="295">
        <v>0.79305555555555551</v>
      </c>
      <c r="L409" s="347" t="s">
        <v>169</v>
      </c>
      <c r="M409" s="348">
        <v>8</v>
      </c>
      <c r="N409" s="348">
        <v>2</v>
      </c>
      <c r="O409" s="348"/>
      <c r="P409" s="348"/>
      <c r="Q409" s="349"/>
      <c r="R409" s="348"/>
      <c r="S409" s="348"/>
      <c r="T409" s="349"/>
      <c r="U409" s="348"/>
      <c r="V409" s="349"/>
      <c r="W409" s="350"/>
      <c r="X409" s="351"/>
      <c r="Y409" s="352"/>
      <c r="Z409" s="353"/>
      <c r="AA409" s="354"/>
      <c r="AB409" s="339"/>
    </row>
    <row r="410" spans="1:28" s="340" customFormat="1">
      <c r="A410" s="711"/>
      <c r="B410" s="342" t="s">
        <v>187</v>
      </c>
      <c r="C410" s="383">
        <v>12956</v>
      </c>
      <c r="D410" s="344" t="s">
        <v>215</v>
      </c>
      <c r="E410" s="345" t="s">
        <v>214</v>
      </c>
      <c r="F410" s="344" t="s">
        <v>215</v>
      </c>
      <c r="G410" s="589">
        <v>46226</v>
      </c>
      <c r="H410" s="346"/>
      <c r="I410" s="346" t="s">
        <v>186</v>
      </c>
      <c r="J410" s="295">
        <v>0.31805555555555554</v>
      </c>
      <c r="K410" s="295">
        <v>0.7944444444444444</v>
      </c>
      <c r="L410" s="347" t="s">
        <v>169</v>
      </c>
      <c r="M410" s="348">
        <v>8</v>
      </c>
      <c r="N410" s="348">
        <v>2</v>
      </c>
      <c r="O410" s="367"/>
      <c r="P410" s="367"/>
      <c r="Q410" s="349"/>
      <c r="R410" s="348"/>
      <c r="S410" s="348"/>
      <c r="T410" s="349"/>
      <c r="U410" s="348"/>
      <c r="V410" s="349"/>
      <c r="W410" s="350"/>
      <c r="X410" s="351"/>
      <c r="Y410" s="352"/>
      <c r="Z410" s="353"/>
      <c r="AA410" s="354"/>
      <c r="AB410" s="339"/>
    </row>
    <row r="411" spans="1:28" s="340" customFormat="1">
      <c r="A411" s="711"/>
      <c r="B411" s="342" t="s">
        <v>187</v>
      </c>
      <c r="C411" s="383">
        <v>12956</v>
      </c>
      <c r="D411" s="344" t="s">
        <v>215</v>
      </c>
      <c r="E411" s="345" t="s">
        <v>214</v>
      </c>
      <c r="F411" s="344" t="s">
        <v>215</v>
      </c>
      <c r="G411" s="589">
        <v>46227</v>
      </c>
      <c r="H411" s="346"/>
      <c r="I411" s="346" t="s">
        <v>186</v>
      </c>
      <c r="J411" s="295">
        <v>0.32013888888888886</v>
      </c>
      <c r="K411" s="318">
        <v>0.79305555555555551</v>
      </c>
      <c r="L411" s="347" t="s">
        <v>169</v>
      </c>
      <c r="M411" s="348">
        <v>8</v>
      </c>
      <c r="N411" s="348">
        <v>2</v>
      </c>
      <c r="O411" s="366"/>
      <c r="P411" s="366"/>
      <c r="Q411" s="368"/>
      <c r="R411" s="366"/>
      <c r="S411" s="366"/>
      <c r="T411" s="349"/>
      <c r="U411" s="348"/>
      <c r="V411" s="349"/>
      <c r="W411" s="350"/>
      <c r="X411" s="351"/>
      <c r="Y411" s="352"/>
      <c r="Z411" s="353"/>
      <c r="AA411" s="354"/>
      <c r="AB411" s="339"/>
    </row>
    <row r="412" spans="1:28" s="340" customFormat="1">
      <c r="A412" s="711"/>
      <c r="B412" s="342" t="s">
        <v>187</v>
      </c>
      <c r="C412" s="383">
        <v>12956</v>
      </c>
      <c r="D412" s="344" t="s">
        <v>215</v>
      </c>
      <c r="E412" s="345" t="s">
        <v>214</v>
      </c>
      <c r="F412" s="344" t="s">
        <v>215</v>
      </c>
      <c r="G412" s="589">
        <v>46228</v>
      </c>
      <c r="H412" s="346"/>
      <c r="I412" s="346" t="s">
        <v>186</v>
      </c>
      <c r="J412" s="295"/>
      <c r="K412" s="295"/>
      <c r="L412" s="347"/>
      <c r="M412" s="348"/>
      <c r="N412" s="348"/>
      <c r="O412" s="348"/>
      <c r="P412" s="348"/>
      <c r="Q412" s="349"/>
      <c r="R412" s="348"/>
      <c r="S412" s="320"/>
      <c r="T412" s="349"/>
      <c r="U412" s="348"/>
      <c r="V412" s="349"/>
      <c r="W412" s="350"/>
      <c r="X412" s="351"/>
      <c r="Y412" s="352"/>
      <c r="Z412" s="353"/>
      <c r="AA412" s="354"/>
      <c r="AB412" s="339"/>
    </row>
    <row r="413" spans="1:28" s="340" customFormat="1">
      <c r="A413" s="711"/>
      <c r="B413" s="342"/>
      <c r="C413" s="383"/>
      <c r="D413" s="344"/>
      <c r="E413" s="345"/>
      <c r="F413" s="344"/>
      <c r="G413" s="594"/>
      <c r="H413" s="346"/>
      <c r="I413" s="346"/>
      <c r="J413" s="369"/>
      <c r="K413" s="370"/>
      <c r="L413" s="371"/>
      <c r="M413" s="363"/>
      <c r="N413" s="363"/>
      <c r="O413" s="363"/>
      <c r="P413" s="363"/>
      <c r="Q413" s="372"/>
      <c r="R413" s="363"/>
      <c r="S413" s="324"/>
      <c r="T413" s="349"/>
      <c r="U413" s="348"/>
      <c r="V413" s="349"/>
      <c r="W413" s="350"/>
      <c r="X413" s="351"/>
      <c r="Y413" s="352"/>
      <c r="Z413" s="353"/>
      <c r="AA413" s="354"/>
      <c r="AB413" s="339"/>
    </row>
    <row r="414" spans="1:28" s="340" customFormat="1">
      <c r="A414" s="712"/>
      <c r="B414" s="325"/>
      <c r="C414" s="342"/>
      <c r="D414" s="325"/>
      <c r="E414" s="345"/>
      <c r="F414" s="325"/>
      <c r="G414" s="595"/>
      <c r="H414" s="374"/>
      <c r="I414" s="377"/>
      <c r="J414" s="375"/>
      <c r="K414" s="376"/>
      <c r="L414" s="377"/>
      <c r="M414" s="377">
        <f t="shared" ref="M414:AA414" si="22">SUM(M397:M413)</f>
        <v>80</v>
      </c>
      <c r="N414" s="377">
        <f t="shared" si="22"/>
        <v>12</v>
      </c>
      <c r="O414" s="377">
        <f t="shared" si="22"/>
        <v>0</v>
      </c>
      <c r="P414" s="377">
        <f t="shared" si="22"/>
        <v>0</v>
      </c>
      <c r="Q414" s="377">
        <f t="shared" si="22"/>
        <v>0</v>
      </c>
      <c r="R414" s="377">
        <f t="shared" si="22"/>
        <v>0</v>
      </c>
      <c r="S414" s="377">
        <f t="shared" si="22"/>
        <v>0</v>
      </c>
      <c r="T414" s="377">
        <f t="shared" si="22"/>
        <v>0</v>
      </c>
      <c r="U414" s="377">
        <f t="shared" si="22"/>
        <v>0</v>
      </c>
      <c r="V414" s="377">
        <f t="shared" si="22"/>
        <v>0</v>
      </c>
      <c r="W414" s="377">
        <f t="shared" si="22"/>
        <v>0</v>
      </c>
      <c r="X414" s="377">
        <f t="shared" si="22"/>
        <v>0</v>
      </c>
      <c r="Y414" s="377">
        <f t="shared" si="22"/>
        <v>0</v>
      </c>
      <c r="Z414" s="377">
        <f t="shared" si="22"/>
        <v>0</v>
      </c>
      <c r="AA414" s="377">
        <f t="shared" si="22"/>
        <v>0</v>
      </c>
      <c r="AB414" s="339"/>
    </row>
    <row r="415" spans="1:28" s="340" customFormat="1">
      <c r="A415" s="280" t="s">
        <v>170</v>
      </c>
      <c r="B415" s="280" t="s">
        <v>120</v>
      </c>
      <c r="C415" s="280" t="s">
        <v>152</v>
      </c>
      <c r="D415" s="280" t="s">
        <v>182</v>
      </c>
      <c r="E415" s="281" t="s">
        <v>153</v>
      </c>
      <c r="F415" s="280" t="s">
        <v>182</v>
      </c>
      <c r="G415" s="593" t="s">
        <v>401</v>
      </c>
      <c r="H415" s="333"/>
      <c r="I415" s="334" t="s">
        <v>181</v>
      </c>
      <c r="J415" s="335" t="s">
        <v>154</v>
      </c>
      <c r="K415" s="335" t="s">
        <v>155</v>
      </c>
      <c r="L415" s="336" t="s">
        <v>156</v>
      </c>
      <c r="M415" s="337" t="s">
        <v>157</v>
      </c>
      <c r="N415" s="336" t="s">
        <v>158</v>
      </c>
      <c r="O415" s="336" t="s">
        <v>159</v>
      </c>
      <c r="P415" s="336" t="s">
        <v>174</v>
      </c>
      <c r="Q415" s="336" t="s">
        <v>160</v>
      </c>
      <c r="R415" s="336" t="s">
        <v>161</v>
      </c>
      <c r="S415" s="336" t="s">
        <v>162</v>
      </c>
      <c r="T415" s="334" t="s">
        <v>163</v>
      </c>
      <c r="U415" s="334" t="s">
        <v>164</v>
      </c>
      <c r="V415" s="334" t="s">
        <v>165</v>
      </c>
      <c r="W415" s="336" t="s">
        <v>113</v>
      </c>
      <c r="X415" s="334" t="s">
        <v>121</v>
      </c>
      <c r="Y415" s="334" t="s">
        <v>166</v>
      </c>
      <c r="Z415" s="338" t="s">
        <v>175</v>
      </c>
      <c r="AA415" s="338" t="s">
        <v>167</v>
      </c>
      <c r="AB415" s="339"/>
    </row>
    <row r="416" spans="1:28" s="340" customFormat="1">
      <c r="A416" s="710"/>
      <c r="B416" s="342" t="s">
        <v>187</v>
      </c>
      <c r="C416" s="345">
        <v>12164</v>
      </c>
      <c r="D416" s="344" t="s">
        <v>213</v>
      </c>
      <c r="E416" s="345" t="s">
        <v>212</v>
      </c>
      <c r="F416" s="344" t="s">
        <v>213</v>
      </c>
      <c r="G416" s="589">
        <v>46214</v>
      </c>
      <c r="H416" s="346"/>
      <c r="I416" s="346"/>
      <c r="J416" s="295"/>
      <c r="K416" s="295"/>
      <c r="L416" s="347"/>
      <c r="M416" s="348"/>
      <c r="N416" s="348"/>
      <c r="O416" s="348"/>
      <c r="P416" s="348"/>
      <c r="Q416" s="349"/>
      <c r="R416" s="348"/>
      <c r="S416" s="348"/>
      <c r="T416" s="349"/>
      <c r="U416" s="348"/>
      <c r="V416" s="349"/>
      <c r="W416" s="350"/>
      <c r="X416" s="351"/>
      <c r="Y416" s="352"/>
      <c r="Z416" s="353"/>
      <c r="AA416" s="354"/>
      <c r="AB416" s="339"/>
    </row>
    <row r="417" spans="1:28" s="340" customFormat="1">
      <c r="A417" s="711"/>
      <c r="B417" s="342" t="s">
        <v>187</v>
      </c>
      <c r="C417" s="345">
        <v>12164</v>
      </c>
      <c r="D417" s="344" t="s">
        <v>213</v>
      </c>
      <c r="E417" s="345" t="s">
        <v>212</v>
      </c>
      <c r="F417" s="344" t="s">
        <v>213</v>
      </c>
      <c r="G417" s="590">
        <v>46215</v>
      </c>
      <c r="H417" s="346"/>
      <c r="I417" s="346"/>
      <c r="J417" s="699" t="s">
        <v>173</v>
      </c>
      <c r="K417" s="700"/>
      <c r="L417" s="347"/>
      <c r="M417" s="348"/>
      <c r="N417" s="348"/>
      <c r="O417" s="348"/>
      <c r="P417" s="348"/>
      <c r="Q417" s="349"/>
      <c r="R417" s="348"/>
      <c r="S417" s="348"/>
      <c r="T417" s="349"/>
      <c r="U417" s="348"/>
      <c r="V417" s="349"/>
      <c r="W417" s="350"/>
      <c r="X417" s="351"/>
      <c r="Y417" s="352"/>
      <c r="Z417" s="353"/>
      <c r="AA417" s="354"/>
      <c r="AB417" s="339"/>
    </row>
    <row r="418" spans="1:28" s="340" customFormat="1">
      <c r="A418" s="711"/>
      <c r="B418" s="342" t="s">
        <v>187</v>
      </c>
      <c r="C418" s="383">
        <v>12164</v>
      </c>
      <c r="D418" s="344" t="s">
        <v>213</v>
      </c>
      <c r="E418" s="345" t="s">
        <v>212</v>
      </c>
      <c r="F418" s="344" t="s">
        <v>213</v>
      </c>
      <c r="G418" s="589">
        <v>46216</v>
      </c>
      <c r="H418" s="346"/>
      <c r="I418" s="346" t="s">
        <v>186</v>
      </c>
      <c r="J418" s="305">
        <v>0.3215277777777778</v>
      </c>
      <c r="K418" s="305">
        <v>0.71180555555555558</v>
      </c>
      <c r="L418" s="347" t="s">
        <v>169</v>
      </c>
      <c r="M418" s="348">
        <v>8</v>
      </c>
      <c r="N418" s="348"/>
      <c r="O418" s="348"/>
      <c r="P418" s="348"/>
      <c r="Q418" s="349"/>
      <c r="R418" s="348"/>
      <c r="S418" s="348"/>
      <c r="T418" s="349"/>
      <c r="U418" s="348"/>
      <c r="V418" s="349"/>
      <c r="W418" s="350"/>
      <c r="X418" s="351"/>
      <c r="Y418" s="352"/>
      <c r="Z418" s="353"/>
      <c r="AA418" s="354"/>
      <c r="AB418" s="339"/>
    </row>
    <row r="419" spans="1:28" s="340" customFormat="1">
      <c r="A419" s="711"/>
      <c r="B419" s="342" t="s">
        <v>187</v>
      </c>
      <c r="C419" s="383">
        <v>12164</v>
      </c>
      <c r="D419" s="344" t="s">
        <v>213</v>
      </c>
      <c r="E419" s="345" t="s">
        <v>212</v>
      </c>
      <c r="F419" s="344" t="s">
        <v>213</v>
      </c>
      <c r="G419" s="589">
        <v>46217</v>
      </c>
      <c r="H419" s="346"/>
      <c r="I419" s="346" t="s">
        <v>186</v>
      </c>
      <c r="J419" s="305">
        <v>0.32013888888888886</v>
      </c>
      <c r="K419" s="305">
        <v>0.71250000000000002</v>
      </c>
      <c r="L419" s="347" t="s">
        <v>169</v>
      </c>
      <c r="M419" s="348">
        <v>8</v>
      </c>
      <c r="N419" s="348"/>
      <c r="O419" s="348"/>
      <c r="P419" s="348"/>
      <c r="Q419" s="356"/>
      <c r="R419" s="357"/>
      <c r="S419" s="357"/>
      <c r="T419" s="356"/>
      <c r="U419" s="357"/>
      <c r="V419" s="356"/>
      <c r="W419" s="358"/>
      <c r="X419" s="359"/>
      <c r="Y419" s="360"/>
      <c r="Z419" s="361"/>
      <c r="AA419" s="362"/>
      <c r="AB419" s="339"/>
    </row>
    <row r="420" spans="1:28" s="340" customFormat="1">
      <c r="A420" s="711"/>
      <c r="B420" s="342" t="s">
        <v>187</v>
      </c>
      <c r="C420" s="383">
        <v>12164</v>
      </c>
      <c r="D420" s="344" t="s">
        <v>213</v>
      </c>
      <c r="E420" s="345" t="s">
        <v>212</v>
      </c>
      <c r="F420" s="344" t="s">
        <v>213</v>
      </c>
      <c r="G420" s="589">
        <v>46218</v>
      </c>
      <c r="H420" s="346"/>
      <c r="I420" s="346" t="s">
        <v>186</v>
      </c>
      <c r="J420" s="305">
        <v>0.32013888888888892</v>
      </c>
      <c r="K420" s="305">
        <v>0.71319444444444446</v>
      </c>
      <c r="L420" s="347" t="s">
        <v>169</v>
      </c>
      <c r="M420" s="348">
        <v>8</v>
      </c>
      <c r="N420" s="348"/>
      <c r="O420" s="348"/>
      <c r="P420" s="348"/>
      <c r="Q420" s="349"/>
      <c r="R420" s="348"/>
      <c r="S420" s="348"/>
      <c r="T420" s="349"/>
      <c r="U420" s="348"/>
      <c r="V420" s="349"/>
      <c r="W420" s="350"/>
      <c r="X420" s="351"/>
      <c r="Y420" s="352"/>
      <c r="Z420" s="353"/>
      <c r="AA420" s="354"/>
      <c r="AB420" s="339"/>
    </row>
    <row r="421" spans="1:28" s="340" customFormat="1">
      <c r="A421" s="711"/>
      <c r="B421" s="342" t="s">
        <v>187</v>
      </c>
      <c r="C421" s="383">
        <v>12164</v>
      </c>
      <c r="D421" s="344" t="s">
        <v>213</v>
      </c>
      <c r="E421" s="345" t="s">
        <v>212</v>
      </c>
      <c r="F421" s="344" t="s">
        <v>213</v>
      </c>
      <c r="G421" s="589">
        <v>46219</v>
      </c>
      <c r="H421" s="346"/>
      <c r="I421" s="346" t="s">
        <v>186</v>
      </c>
      <c r="J421" s="305">
        <v>0.31458333333333333</v>
      </c>
      <c r="K421" s="305">
        <v>0.71319444444444446</v>
      </c>
      <c r="L421" s="347" t="s">
        <v>169</v>
      </c>
      <c r="M421" s="348">
        <v>8</v>
      </c>
      <c r="N421" s="348"/>
      <c r="O421" s="348"/>
      <c r="P421" s="348"/>
      <c r="Q421" s="349"/>
      <c r="R421" s="348"/>
      <c r="S421" s="348"/>
      <c r="T421" s="349"/>
      <c r="U421" s="348"/>
      <c r="V421" s="349"/>
      <c r="W421" s="350"/>
      <c r="X421" s="351"/>
      <c r="Y421" s="352"/>
      <c r="Z421" s="353"/>
      <c r="AA421" s="354"/>
      <c r="AB421" s="339"/>
    </row>
    <row r="422" spans="1:28" s="340" customFormat="1">
      <c r="A422" s="711"/>
      <c r="B422" s="342" t="s">
        <v>187</v>
      </c>
      <c r="C422" s="383">
        <v>12164</v>
      </c>
      <c r="D422" s="344" t="s">
        <v>213</v>
      </c>
      <c r="E422" s="345" t="s">
        <v>212</v>
      </c>
      <c r="F422" s="344" t="s">
        <v>213</v>
      </c>
      <c r="G422" s="589">
        <v>46220</v>
      </c>
      <c r="H422" s="346"/>
      <c r="I422" s="346" t="s">
        <v>186</v>
      </c>
      <c r="J422" s="305">
        <v>0.31805555555555554</v>
      </c>
      <c r="K422" s="305">
        <v>0.71250000000000002</v>
      </c>
      <c r="L422" s="347" t="s">
        <v>169</v>
      </c>
      <c r="M422" s="348">
        <v>8</v>
      </c>
      <c r="N422" s="348"/>
      <c r="O422" s="348"/>
      <c r="P422" s="348"/>
      <c r="Q422" s="349"/>
      <c r="R422" s="348"/>
      <c r="S422" s="348"/>
      <c r="T422" s="349"/>
      <c r="U422" s="348"/>
      <c r="V422" s="349"/>
      <c r="W422" s="350"/>
      <c r="X422" s="351"/>
      <c r="Y422" s="352"/>
      <c r="Z422" s="353"/>
      <c r="AA422" s="354"/>
      <c r="AB422" s="339"/>
    </row>
    <row r="423" spans="1:28" s="340" customFormat="1">
      <c r="A423" s="711"/>
      <c r="B423" s="342" t="s">
        <v>187</v>
      </c>
      <c r="C423" s="383">
        <v>12164</v>
      </c>
      <c r="D423" s="344" t="s">
        <v>213</v>
      </c>
      <c r="E423" s="345" t="s">
        <v>212</v>
      </c>
      <c r="F423" s="344" t="s">
        <v>213</v>
      </c>
      <c r="G423" s="589">
        <v>46221</v>
      </c>
      <c r="H423" s="346"/>
      <c r="I423" s="346" t="s">
        <v>186</v>
      </c>
      <c r="J423" s="305"/>
      <c r="K423" s="305"/>
      <c r="L423" s="347"/>
      <c r="M423" s="348"/>
      <c r="N423" s="348"/>
      <c r="O423" s="348"/>
      <c r="P423" s="348"/>
      <c r="Q423" s="349"/>
      <c r="R423" s="348"/>
      <c r="S423" s="348"/>
      <c r="T423" s="349"/>
      <c r="U423" s="348"/>
      <c r="V423" s="349"/>
      <c r="W423" s="350"/>
      <c r="X423" s="351"/>
      <c r="Y423" s="352"/>
      <c r="Z423" s="353"/>
      <c r="AA423" s="354"/>
      <c r="AB423" s="339"/>
    </row>
    <row r="424" spans="1:28" s="340" customFormat="1">
      <c r="A424" s="711"/>
      <c r="B424" s="342" t="s">
        <v>187</v>
      </c>
      <c r="C424" s="383">
        <v>12164</v>
      </c>
      <c r="D424" s="344" t="s">
        <v>213</v>
      </c>
      <c r="E424" s="345" t="s">
        <v>212</v>
      </c>
      <c r="F424" s="344" t="s">
        <v>213</v>
      </c>
      <c r="G424" s="590">
        <v>46222</v>
      </c>
      <c r="H424" s="346"/>
      <c r="I424" s="346"/>
      <c r="J424" s="699" t="s">
        <v>173</v>
      </c>
      <c r="K424" s="700"/>
      <c r="L424" s="347"/>
      <c r="M424" s="348"/>
      <c r="N424" s="348"/>
      <c r="O424" s="348"/>
      <c r="P424" s="348"/>
      <c r="Q424" s="349"/>
      <c r="R424" s="348"/>
      <c r="S424" s="348"/>
      <c r="T424" s="349"/>
      <c r="U424" s="348"/>
      <c r="V424" s="349"/>
      <c r="W424" s="350"/>
      <c r="X424" s="351"/>
      <c r="Y424" s="352"/>
      <c r="Z424" s="353"/>
      <c r="AA424" s="354"/>
      <c r="AB424" s="339"/>
    </row>
    <row r="425" spans="1:28" s="340" customFormat="1">
      <c r="A425" s="711"/>
      <c r="B425" s="342" t="s">
        <v>187</v>
      </c>
      <c r="C425" s="383">
        <v>12164</v>
      </c>
      <c r="D425" s="344" t="s">
        <v>213</v>
      </c>
      <c r="E425" s="345" t="s">
        <v>212</v>
      </c>
      <c r="F425" s="344" t="s">
        <v>213</v>
      </c>
      <c r="G425" s="589">
        <v>46223</v>
      </c>
      <c r="H425" s="346"/>
      <c r="I425" s="346" t="s">
        <v>186</v>
      </c>
      <c r="J425" s="295">
        <v>0.32083333333333336</v>
      </c>
      <c r="K425" s="295">
        <v>0.71180555555555558</v>
      </c>
      <c r="L425" s="347" t="s">
        <v>169</v>
      </c>
      <c r="M425" s="348">
        <v>8</v>
      </c>
      <c r="N425" s="357"/>
      <c r="O425" s="357"/>
      <c r="P425" s="357"/>
      <c r="Q425" s="356"/>
      <c r="R425" s="357"/>
      <c r="S425" s="357"/>
      <c r="T425" s="356"/>
      <c r="U425" s="357"/>
      <c r="V425" s="356"/>
      <c r="W425" s="350"/>
      <c r="X425" s="351"/>
      <c r="Y425" s="352"/>
      <c r="Z425" s="353"/>
      <c r="AA425" s="354"/>
      <c r="AB425" s="339"/>
    </row>
    <row r="426" spans="1:28" s="340" customFormat="1">
      <c r="A426" s="711"/>
      <c r="B426" s="342" t="s">
        <v>187</v>
      </c>
      <c r="C426" s="383">
        <v>12164</v>
      </c>
      <c r="D426" s="344" t="s">
        <v>213</v>
      </c>
      <c r="E426" s="345" t="s">
        <v>212</v>
      </c>
      <c r="F426" s="344" t="s">
        <v>213</v>
      </c>
      <c r="G426" s="589">
        <v>46224</v>
      </c>
      <c r="H426" s="346"/>
      <c r="I426" s="346" t="s">
        <v>186</v>
      </c>
      <c r="J426" s="295">
        <v>0.31736111111111109</v>
      </c>
      <c r="K426" s="295">
        <v>0.71180555555555558</v>
      </c>
      <c r="L426" s="347" t="s">
        <v>169</v>
      </c>
      <c r="M426" s="348">
        <v>8</v>
      </c>
      <c r="N426" s="363"/>
      <c r="O426" s="363"/>
      <c r="P426" s="363"/>
      <c r="Q426" s="364"/>
      <c r="R426" s="365"/>
      <c r="S426" s="365"/>
      <c r="T426" s="356"/>
      <c r="U426" s="357"/>
      <c r="V426" s="356"/>
      <c r="W426" s="358"/>
      <c r="X426" s="359"/>
      <c r="Y426" s="360"/>
      <c r="Z426" s="361"/>
      <c r="AA426" s="362"/>
      <c r="AB426" s="339"/>
    </row>
    <row r="427" spans="1:28" s="340" customFormat="1">
      <c r="A427" s="711"/>
      <c r="B427" s="342" t="s">
        <v>187</v>
      </c>
      <c r="C427" s="383">
        <v>12164</v>
      </c>
      <c r="D427" s="344" t="s">
        <v>213</v>
      </c>
      <c r="E427" s="345" t="s">
        <v>212</v>
      </c>
      <c r="F427" s="344" t="s">
        <v>213</v>
      </c>
      <c r="G427" s="589">
        <v>46225</v>
      </c>
      <c r="H427" s="346"/>
      <c r="I427" s="346" t="s">
        <v>186</v>
      </c>
      <c r="J427" s="295">
        <v>0.31874999999999998</v>
      </c>
      <c r="K427" s="295">
        <v>0.79305555555555551</v>
      </c>
      <c r="L427" s="347" t="s">
        <v>169</v>
      </c>
      <c r="M427" s="348">
        <v>8</v>
      </c>
      <c r="N427" s="366">
        <v>2</v>
      </c>
      <c r="O427" s="348"/>
      <c r="P427" s="348"/>
      <c r="Q427" s="349"/>
      <c r="R427" s="348"/>
      <c r="S427" s="348"/>
      <c r="T427" s="349"/>
      <c r="U427" s="348"/>
      <c r="V427" s="349"/>
      <c r="W427" s="350"/>
      <c r="X427" s="351"/>
      <c r="Y427" s="352"/>
      <c r="Z427" s="353"/>
      <c r="AA427" s="354"/>
      <c r="AB427" s="339"/>
    </row>
    <row r="428" spans="1:28" s="340" customFormat="1">
      <c r="A428" s="711"/>
      <c r="B428" s="342" t="s">
        <v>187</v>
      </c>
      <c r="C428" s="383">
        <v>12164</v>
      </c>
      <c r="D428" s="344" t="s">
        <v>213</v>
      </c>
      <c r="E428" s="345" t="s">
        <v>212</v>
      </c>
      <c r="F428" s="344" t="s">
        <v>213</v>
      </c>
      <c r="G428" s="589">
        <v>46226</v>
      </c>
      <c r="H428" s="346"/>
      <c r="I428" s="346" t="s">
        <v>186</v>
      </c>
      <c r="J428" s="295">
        <v>0.31805555555555554</v>
      </c>
      <c r="K428" s="295">
        <v>0.7944444444444444</v>
      </c>
      <c r="L428" s="347" t="s">
        <v>169</v>
      </c>
      <c r="M428" s="348">
        <v>8</v>
      </c>
      <c r="N428" s="366">
        <v>2</v>
      </c>
      <c r="O428" s="367"/>
      <c r="P428" s="367"/>
      <c r="Q428" s="349"/>
      <c r="R428" s="348"/>
      <c r="S428" s="348"/>
      <c r="T428" s="349"/>
      <c r="U428" s="348"/>
      <c r="V428" s="349"/>
      <c r="W428" s="350"/>
      <c r="X428" s="351"/>
      <c r="Y428" s="352"/>
      <c r="Z428" s="353"/>
      <c r="AA428" s="354"/>
      <c r="AB428" s="339"/>
    </row>
    <row r="429" spans="1:28" s="340" customFormat="1">
      <c r="A429" s="711"/>
      <c r="B429" s="342" t="s">
        <v>187</v>
      </c>
      <c r="C429" s="383">
        <v>12164</v>
      </c>
      <c r="D429" s="344" t="s">
        <v>213</v>
      </c>
      <c r="E429" s="345" t="s">
        <v>212</v>
      </c>
      <c r="F429" s="344" t="s">
        <v>213</v>
      </c>
      <c r="G429" s="589">
        <v>46227</v>
      </c>
      <c r="H429" s="346"/>
      <c r="I429" s="346" t="s">
        <v>186</v>
      </c>
      <c r="J429" s="295">
        <v>0.32013888888888886</v>
      </c>
      <c r="K429" s="318">
        <v>0.79305555555555551</v>
      </c>
      <c r="L429" s="347" t="s">
        <v>169</v>
      </c>
      <c r="M429" s="348">
        <v>8</v>
      </c>
      <c r="N429" s="366">
        <v>2</v>
      </c>
      <c r="O429" s="366"/>
      <c r="P429" s="366"/>
      <c r="Q429" s="368"/>
      <c r="R429" s="366"/>
      <c r="S429" s="366"/>
      <c r="T429" s="349"/>
      <c r="U429" s="348"/>
      <c r="V429" s="349"/>
      <c r="W429" s="350"/>
      <c r="X429" s="351"/>
      <c r="Y429" s="352"/>
      <c r="Z429" s="353"/>
      <c r="AA429" s="354"/>
      <c r="AB429" s="339"/>
    </row>
    <row r="430" spans="1:28" s="340" customFormat="1">
      <c r="A430" s="711"/>
      <c r="B430" s="342" t="s">
        <v>187</v>
      </c>
      <c r="C430" s="383">
        <v>12164</v>
      </c>
      <c r="D430" s="344" t="s">
        <v>213</v>
      </c>
      <c r="E430" s="345" t="s">
        <v>212</v>
      </c>
      <c r="F430" s="344" t="s">
        <v>213</v>
      </c>
      <c r="G430" s="589">
        <v>46228</v>
      </c>
      <c r="H430" s="346"/>
      <c r="I430" s="346" t="s">
        <v>186</v>
      </c>
      <c r="J430" s="295"/>
      <c r="K430" s="295"/>
      <c r="L430" s="347"/>
      <c r="M430" s="348"/>
      <c r="N430" s="348"/>
      <c r="O430" s="348"/>
      <c r="P430" s="348"/>
      <c r="Q430" s="349"/>
      <c r="R430" s="348"/>
      <c r="S430" s="320"/>
      <c r="T430" s="349"/>
      <c r="U430" s="348"/>
      <c r="V430" s="349"/>
      <c r="W430" s="350"/>
      <c r="X430" s="351"/>
      <c r="Y430" s="352"/>
      <c r="Z430" s="353"/>
      <c r="AA430" s="354"/>
      <c r="AB430" s="339"/>
    </row>
    <row r="431" spans="1:28" s="340" customFormat="1">
      <c r="A431" s="711"/>
      <c r="B431" s="342"/>
      <c r="C431" s="383"/>
      <c r="D431" s="345"/>
      <c r="E431" s="345"/>
      <c r="F431" s="345"/>
      <c r="G431" s="594"/>
      <c r="H431" s="346"/>
      <c r="I431" s="346"/>
      <c r="J431" s="369"/>
      <c r="K431" s="370"/>
      <c r="L431" s="371"/>
      <c r="M431" s="363"/>
      <c r="N431" s="363"/>
      <c r="O431" s="363"/>
      <c r="P431" s="363"/>
      <c r="Q431" s="372"/>
      <c r="R431" s="363"/>
      <c r="S431" s="324"/>
      <c r="T431" s="349"/>
      <c r="U431" s="348"/>
      <c r="V431" s="349"/>
      <c r="W431" s="350"/>
      <c r="X431" s="351"/>
      <c r="Y431" s="352"/>
      <c r="Z431" s="353"/>
      <c r="AA431" s="354"/>
      <c r="AB431" s="339"/>
    </row>
    <row r="432" spans="1:28" s="340" customFormat="1">
      <c r="A432" s="712"/>
      <c r="B432" s="325"/>
      <c r="C432" s="342"/>
      <c r="D432" s="325"/>
      <c r="E432" s="345"/>
      <c r="F432" s="325"/>
      <c r="G432" s="595"/>
      <c r="H432" s="374"/>
      <c r="I432" s="377"/>
      <c r="J432" s="375"/>
      <c r="K432" s="376"/>
      <c r="L432" s="377"/>
      <c r="M432" s="377">
        <f t="shared" ref="M432:AA432" si="23">SUM(M415:M431)</f>
        <v>80</v>
      </c>
      <c r="N432" s="377">
        <f t="shared" si="23"/>
        <v>6</v>
      </c>
      <c r="O432" s="377">
        <f t="shared" si="23"/>
        <v>0</v>
      </c>
      <c r="P432" s="377">
        <f t="shared" si="23"/>
        <v>0</v>
      </c>
      <c r="Q432" s="377">
        <f t="shared" si="23"/>
        <v>0</v>
      </c>
      <c r="R432" s="377">
        <f t="shared" si="23"/>
        <v>0</v>
      </c>
      <c r="S432" s="377">
        <f t="shared" si="23"/>
        <v>0</v>
      </c>
      <c r="T432" s="377">
        <f t="shared" si="23"/>
        <v>0</v>
      </c>
      <c r="U432" s="377">
        <f t="shared" si="23"/>
        <v>0</v>
      </c>
      <c r="V432" s="377">
        <f t="shared" si="23"/>
        <v>0</v>
      </c>
      <c r="W432" s="377">
        <f t="shared" si="23"/>
        <v>0</v>
      </c>
      <c r="X432" s="377">
        <f t="shared" si="23"/>
        <v>0</v>
      </c>
      <c r="Y432" s="377">
        <f t="shared" si="23"/>
        <v>0</v>
      </c>
      <c r="Z432" s="377">
        <f t="shared" si="23"/>
        <v>0</v>
      </c>
      <c r="AA432" s="377">
        <f t="shared" si="23"/>
        <v>0</v>
      </c>
      <c r="AB432" s="339"/>
    </row>
    <row r="433" spans="1:28" s="340" customFormat="1">
      <c r="A433" s="280" t="s">
        <v>170</v>
      </c>
      <c r="B433" s="280" t="s">
        <v>120</v>
      </c>
      <c r="C433" s="280" t="s">
        <v>152</v>
      </c>
      <c r="D433" s="280" t="s">
        <v>182</v>
      </c>
      <c r="E433" s="281" t="s">
        <v>153</v>
      </c>
      <c r="F433" s="280" t="s">
        <v>182</v>
      </c>
      <c r="G433" s="593" t="s">
        <v>401</v>
      </c>
      <c r="H433" s="333"/>
      <c r="I433" s="334" t="s">
        <v>181</v>
      </c>
      <c r="J433" s="335" t="s">
        <v>154</v>
      </c>
      <c r="K433" s="335" t="s">
        <v>155</v>
      </c>
      <c r="L433" s="336" t="s">
        <v>156</v>
      </c>
      <c r="M433" s="337" t="s">
        <v>157</v>
      </c>
      <c r="N433" s="336" t="s">
        <v>158</v>
      </c>
      <c r="O433" s="336" t="s">
        <v>159</v>
      </c>
      <c r="P433" s="336" t="s">
        <v>174</v>
      </c>
      <c r="Q433" s="336" t="s">
        <v>160</v>
      </c>
      <c r="R433" s="336" t="s">
        <v>161</v>
      </c>
      <c r="S433" s="336" t="s">
        <v>162</v>
      </c>
      <c r="T433" s="334" t="s">
        <v>163</v>
      </c>
      <c r="U433" s="334" t="s">
        <v>164</v>
      </c>
      <c r="V433" s="334" t="s">
        <v>165</v>
      </c>
      <c r="W433" s="336" t="s">
        <v>113</v>
      </c>
      <c r="X433" s="334" t="s">
        <v>121</v>
      </c>
      <c r="Y433" s="334" t="s">
        <v>166</v>
      </c>
      <c r="Z433" s="338" t="s">
        <v>175</v>
      </c>
      <c r="AA433" s="338" t="s">
        <v>167</v>
      </c>
      <c r="AB433" s="339"/>
    </row>
    <row r="434" spans="1:28" s="340" customFormat="1">
      <c r="A434" s="710"/>
      <c r="B434" s="342" t="s">
        <v>187</v>
      </c>
      <c r="C434" s="427">
        <v>30356</v>
      </c>
      <c r="D434" s="344" t="s">
        <v>211</v>
      </c>
      <c r="E434" s="345" t="s">
        <v>210</v>
      </c>
      <c r="F434" s="344" t="s">
        <v>211</v>
      </c>
      <c r="G434" s="589">
        <v>46214</v>
      </c>
      <c r="H434" s="346"/>
      <c r="I434" s="346"/>
      <c r="J434" s="295"/>
      <c r="K434" s="295"/>
      <c r="L434" s="347"/>
      <c r="M434" s="348"/>
      <c r="N434" s="348"/>
      <c r="O434" s="348"/>
      <c r="P434" s="348"/>
      <c r="Q434" s="349"/>
      <c r="R434" s="348"/>
      <c r="S434" s="348"/>
      <c r="T434" s="349"/>
      <c r="U434" s="348"/>
      <c r="V434" s="349"/>
      <c r="W434" s="350"/>
      <c r="X434" s="351"/>
      <c r="Y434" s="352"/>
      <c r="Z434" s="353"/>
      <c r="AA434" s="354"/>
      <c r="AB434" s="339"/>
    </row>
    <row r="435" spans="1:28" s="340" customFormat="1">
      <c r="A435" s="711"/>
      <c r="B435" s="342" t="s">
        <v>187</v>
      </c>
      <c r="C435" s="427">
        <v>30356</v>
      </c>
      <c r="D435" s="344" t="s">
        <v>211</v>
      </c>
      <c r="E435" s="345" t="s">
        <v>210</v>
      </c>
      <c r="F435" s="344" t="s">
        <v>211</v>
      </c>
      <c r="G435" s="590">
        <v>46215</v>
      </c>
      <c r="H435" s="346"/>
      <c r="I435" s="346"/>
      <c r="J435" s="699" t="s">
        <v>173</v>
      </c>
      <c r="K435" s="700"/>
      <c r="L435" s="347"/>
      <c r="M435" s="348"/>
      <c r="N435" s="348"/>
      <c r="O435" s="348"/>
      <c r="P435" s="348"/>
      <c r="Q435" s="349"/>
      <c r="R435" s="348"/>
      <c r="S435" s="348"/>
      <c r="T435" s="349"/>
      <c r="U435" s="348"/>
      <c r="V435" s="349"/>
      <c r="W435" s="350"/>
      <c r="X435" s="351"/>
      <c r="Y435" s="352"/>
      <c r="Z435" s="353"/>
      <c r="AA435" s="354"/>
      <c r="AB435" s="339"/>
    </row>
    <row r="436" spans="1:28" s="340" customFormat="1">
      <c r="A436" s="711"/>
      <c r="B436" s="342" t="s">
        <v>187</v>
      </c>
      <c r="C436" s="428">
        <v>30356</v>
      </c>
      <c r="D436" s="344" t="s">
        <v>211</v>
      </c>
      <c r="E436" s="345" t="s">
        <v>210</v>
      </c>
      <c r="F436" s="344" t="s">
        <v>211</v>
      </c>
      <c r="G436" s="589">
        <v>46216</v>
      </c>
      <c r="H436" s="346"/>
      <c r="I436" s="346" t="s">
        <v>186</v>
      </c>
      <c r="J436" s="305">
        <v>0.31180555555555556</v>
      </c>
      <c r="K436" s="305">
        <v>0.71111111111111114</v>
      </c>
      <c r="L436" s="347" t="s">
        <v>169</v>
      </c>
      <c r="M436" s="348">
        <v>8</v>
      </c>
      <c r="N436" s="348"/>
      <c r="O436" s="348"/>
      <c r="P436" s="348"/>
      <c r="Q436" s="349"/>
      <c r="R436" s="348"/>
      <c r="S436" s="348"/>
      <c r="T436" s="349"/>
      <c r="U436" s="348"/>
      <c r="V436" s="349"/>
      <c r="W436" s="350"/>
      <c r="X436" s="351"/>
      <c r="Y436" s="352"/>
      <c r="Z436" s="353"/>
      <c r="AA436" s="354"/>
      <c r="AB436" s="339"/>
    </row>
    <row r="437" spans="1:28" s="340" customFormat="1">
      <c r="A437" s="711"/>
      <c r="B437" s="342" t="s">
        <v>187</v>
      </c>
      <c r="C437" s="428">
        <v>30356</v>
      </c>
      <c r="D437" s="344" t="s">
        <v>211</v>
      </c>
      <c r="E437" s="345" t="s">
        <v>210</v>
      </c>
      <c r="F437" s="344" t="s">
        <v>211</v>
      </c>
      <c r="G437" s="589">
        <v>46217</v>
      </c>
      <c r="H437" s="346"/>
      <c r="I437" s="346" t="s">
        <v>186</v>
      </c>
      <c r="J437" s="305">
        <v>0.32847222222222222</v>
      </c>
      <c r="K437" s="305">
        <v>0.71111111111111114</v>
      </c>
      <c r="L437" s="347" t="s">
        <v>169</v>
      </c>
      <c r="M437" s="348">
        <v>8</v>
      </c>
      <c r="N437" s="348"/>
      <c r="O437" s="348"/>
      <c r="P437" s="348"/>
      <c r="Q437" s="356"/>
      <c r="R437" s="357"/>
      <c r="S437" s="357"/>
      <c r="T437" s="356"/>
      <c r="U437" s="357"/>
      <c r="V437" s="356"/>
      <c r="W437" s="358"/>
      <c r="X437" s="359"/>
      <c r="Y437" s="360"/>
      <c r="Z437" s="361"/>
      <c r="AA437" s="362"/>
      <c r="AB437" s="339"/>
    </row>
    <row r="438" spans="1:28" s="340" customFormat="1">
      <c r="A438" s="711"/>
      <c r="B438" s="342" t="s">
        <v>187</v>
      </c>
      <c r="C438" s="428">
        <v>30356</v>
      </c>
      <c r="D438" s="344" t="s">
        <v>211</v>
      </c>
      <c r="E438" s="345" t="s">
        <v>210</v>
      </c>
      <c r="F438" s="344" t="s">
        <v>211</v>
      </c>
      <c r="G438" s="589">
        <v>46218</v>
      </c>
      <c r="H438" s="346"/>
      <c r="I438" s="346" t="s">
        <v>186</v>
      </c>
      <c r="J438" s="305">
        <v>0.31875000000000003</v>
      </c>
      <c r="K438" s="305">
        <v>0.71111111111111114</v>
      </c>
      <c r="L438" s="347" t="s">
        <v>169</v>
      </c>
      <c r="M438" s="348">
        <v>8</v>
      </c>
      <c r="N438" s="348"/>
      <c r="O438" s="348"/>
      <c r="P438" s="348"/>
      <c r="Q438" s="349"/>
      <c r="R438" s="348"/>
      <c r="S438" s="348"/>
      <c r="T438" s="349"/>
      <c r="U438" s="348"/>
      <c r="V438" s="349"/>
      <c r="W438" s="350"/>
      <c r="X438" s="351"/>
      <c r="Y438" s="352"/>
      <c r="Z438" s="353"/>
      <c r="AA438" s="354"/>
      <c r="AB438" s="339"/>
    </row>
    <row r="439" spans="1:28" s="340" customFormat="1">
      <c r="A439" s="711"/>
      <c r="B439" s="342" t="s">
        <v>187</v>
      </c>
      <c r="C439" s="428">
        <v>30356</v>
      </c>
      <c r="D439" s="344" t="s">
        <v>211</v>
      </c>
      <c r="E439" s="345" t="s">
        <v>210</v>
      </c>
      <c r="F439" s="344" t="s">
        <v>211</v>
      </c>
      <c r="G439" s="589">
        <v>46219</v>
      </c>
      <c r="H439" s="346"/>
      <c r="I439" s="346" t="s">
        <v>186</v>
      </c>
      <c r="J439" s="305">
        <v>0.32222222222222224</v>
      </c>
      <c r="K439" s="305">
        <v>0.7104166666666667</v>
      </c>
      <c r="L439" s="347" t="s">
        <v>169</v>
      </c>
      <c r="M439" s="348">
        <v>8</v>
      </c>
      <c r="N439" s="348"/>
      <c r="O439" s="348"/>
      <c r="P439" s="348"/>
      <c r="Q439" s="349"/>
      <c r="R439" s="348"/>
      <c r="S439" s="348"/>
      <c r="T439" s="349"/>
      <c r="U439" s="348"/>
      <c r="V439" s="349"/>
      <c r="W439" s="350"/>
      <c r="X439" s="351"/>
      <c r="Y439" s="352"/>
      <c r="Z439" s="353"/>
      <c r="AA439" s="354"/>
      <c r="AB439" s="339"/>
    </row>
    <row r="440" spans="1:28" s="340" customFormat="1">
      <c r="A440" s="711"/>
      <c r="B440" s="342" t="s">
        <v>187</v>
      </c>
      <c r="C440" s="428">
        <v>30356</v>
      </c>
      <c r="D440" s="344" t="s">
        <v>211</v>
      </c>
      <c r="E440" s="345" t="s">
        <v>210</v>
      </c>
      <c r="F440" s="344" t="s">
        <v>211</v>
      </c>
      <c r="G440" s="589">
        <v>46220</v>
      </c>
      <c r="H440" s="346"/>
      <c r="I440" s="346" t="s">
        <v>186</v>
      </c>
      <c r="J440" s="305">
        <v>0.31805555555555554</v>
      </c>
      <c r="K440" s="305">
        <v>0.71111111111111114</v>
      </c>
      <c r="L440" s="429" t="s">
        <v>169</v>
      </c>
      <c r="M440" s="429">
        <v>8</v>
      </c>
      <c r="N440" s="348"/>
      <c r="O440" s="348"/>
      <c r="P440" s="348"/>
      <c r="Q440" s="349"/>
      <c r="R440" s="348"/>
      <c r="S440" s="348"/>
      <c r="T440" s="349"/>
      <c r="U440" s="348"/>
      <c r="V440" s="349"/>
      <c r="W440" s="350"/>
      <c r="X440" s="351"/>
      <c r="Y440" s="352"/>
      <c r="Z440" s="353"/>
      <c r="AA440" s="354"/>
      <c r="AB440" s="339"/>
    </row>
    <row r="441" spans="1:28" s="340" customFormat="1">
      <c r="A441" s="711"/>
      <c r="B441" s="342" t="s">
        <v>187</v>
      </c>
      <c r="C441" s="428">
        <v>30356</v>
      </c>
      <c r="D441" s="344" t="s">
        <v>211</v>
      </c>
      <c r="E441" s="345" t="s">
        <v>210</v>
      </c>
      <c r="F441" s="344" t="s">
        <v>211</v>
      </c>
      <c r="G441" s="589">
        <v>46221</v>
      </c>
      <c r="H441" s="346"/>
      <c r="I441" s="346" t="s">
        <v>186</v>
      </c>
      <c r="J441" s="305"/>
      <c r="K441" s="305"/>
      <c r="L441" s="347"/>
      <c r="M441" s="348"/>
      <c r="N441" s="348"/>
      <c r="O441" s="348"/>
      <c r="P441" s="348"/>
      <c r="Q441" s="349"/>
      <c r="R441" s="348"/>
      <c r="S441" s="348"/>
      <c r="T441" s="349"/>
      <c r="U441" s="348"/>
      <c r="V441" s="349"/>
      <c r="W441" s="350"/>
      <c r="X441" s="351"/>
      <c r="Y441" s="352"/>
      <c r="Z441" s="353"/>
      <c r="AA441" s="354"/>
      <c r="AB441" s="339"/>
    </row>
    <row r="442" spans="1:28" s="340" customFormat="1">
      <c r="A442" s="711"/>
      <c r="B442" s="342" t="s">
        <v>187</v>
      </c>
      <c r="C442" s="428">
        <v>30356</v>
      </c>
      <c r="D442" s="344" t="s">
        <v>211</v>
      </c>
      <c r="E442" s="345" t="s">
        <v>210</v>
      </c>
      <c r="F442" s="344" t="s">
        <v>211</v>
      </c>
      <c r="G442" s="590">
        <v>46222</v>
      </c>
      <c r="H442" s="346"/>
      <c r="I442" s="346"/>
      <c r="J442" s="699" t="s">
        <v>173</v>
      </c>
      <c r="K442" s="700"/>
      <c r="L442" s="347"/>
      <c r="M442" s="348"/>
      <c r="N442" s="348"/>
      <c r="O442" s="348"/>
      <c r="P442" s="348"/>
      <c r="Q442" s="349"/>
      <c r="R442" s="348"/>
      <c r="S442" s="348"/>
      <c r="T442" s="349"/>
      <c r="U442" s="348"/>
      <c r="V442" s="349"/>
      <c r="W442" s="350"/>
      <c r="X442" s="351"/>
      <c r="Y442" s="352"/>
      <c r="Z442" s="353"/>
      <c r="AA442" s="354"/>
      <c r="AB442" s="339"/>
    </row>
    <row r="443" spans="1:28" s="340" customFormat="1">
      <c r="A443" s="711"/>
      <c r="B443" s="342" t="s">
        <v>187</v>
      </c>
      <c r="C443" s="428">
        <v>30356</v>
      </c>
      <c r="D443" s="344" t="s">
        <v>211</v>
      </c>
      <c r="E443" s="345" t="s">
        <v>210</v>
      </c>
      <c r="F443" s="344" t="s">
        <v>211</v>
      </c>
      <c r="G443" s="589">
        <v>46223</v>
      </c>
      <c r="H443" s="346"/>
      <c r="I443" s="346" t="s">
        <v>186</v>
      </c>
      <c r="J443" s="295">
        <v>0.31527777777777777</v>
      </c>
      <c r="K443" s="295">
        <v>0.7104166666666667</v>
      </c>
      <c r="L443" s="347" t="s">
        <v>169</v>
      </c>
      <c r="M443" s="348">
        <v>8</v>
      </c>
      <c r="N443" s="357"/>
      <c r="O443" s="357"/>
      <c r="P443" s="357"/>
      <c r="Q443" s="356"/>
      <c r="R443" s="357"/>
      <c r="S443" s="357"/>
      <c r="T443" s="356"/>
      <c r="U443" s="357"/>
      <c r="V443" s="349"/>
      <c r="W443" s="350"/>
      <c r="X443" s="351"/>
      <c r="Y443" s="352"/>
      <c r="Z443" s="353"/>
      <c r="AA443" s="354"/>
      <c r="AB443" s="339"/>
    </row>
    <row r="444" spans="1:28" s="340" customFormat="1">
      <c r="A444" s="711"/>
      <c r="B444" s="342" t="s">
        <v>187</v>
      </c>
      <c r="C444" s="428">
        <v>30356</v>
      </c>
      <c r="D444" s="344" t="s">
        <v>211</v>
      </c>
      <c r="E444" s="345" t="s">
        <v>210</v>
      </c>
      <c r="F444" s="344" t="s">
        <v>211</v>
      </c>
      <c r="G444" s="589">
        <v>46224</v>
      </c>
      <c r="H444" s="346"/>
      <c r="I444" s="346" t="s">
        <v>186</v>
      </c>
      <c r="J444" s="295">
        <v>0.31805555555555554</v>
      </c>
      <c r="K444" s="295">
        <v>0.70972222222222225</v>
      </c>
      <c r="L444" s="347" t="s">
        <v>169</v>
      </c>
      <c r="M444" s="348">
        <v>8</v>
      </c>
      <c r="N444" s="363"/>
      <c r="O444" s="363"/>
      <c r="P444" s="363"/>
      <c r="Q444" s="364"/>
      <c r="R444" s="365"/>
      <c r="S444" s="365"/>
      <c r="T444" s="356"/>
      <c r="U444" s="357"/>
      <c r="V444" s="356"/>
      <c r="W444" s="358"/>
      <c r="X444" s="359"/>
      <c r="Y444" s="360"/>
      <c r="Z444" s="361"/>
      <c r="AA444" s="362"/>
      <c r="AB444" s="339"/>
    </row>
    <row r="445" spans="1:28" s="340" customFormat="1">
      <c r="A445" s="711"/>
      <c r="B445" s="342" t="s">
        <v>187</v>
      </c>
      <c r="C445" s="428">
        <v>30356</v>
      </c>
      <c r="D445" s="344" t="s">
        <v>211</v>
      </c>
      <c r="E445" s="345" t="s">
        <v>210</v>
      </c>
      <c r="F445" s="344" t="s">
        <v>211</v>
      </c>
      <c r="G445" s="589">
        <v>46225</v>
      </c>
      <c r="H445" s="346"/>
      <c r="I445" s="346" t="s">
        <v>186</v>
      </c>
      <c r="J445" s="295">
        <v>0.31180555555555556</v>
      </c>
      <c r="K445" s="295">
        <v>0.79305555555555551</v>
      </c>
      <c r="L445" s="347" t="s">
        <v>169</v>
      </c>
      <c r="M445" s="348">
        <v>8</v>
      </c>
      <c r="N445" s="366">
        <v>2</v>
      </c>
      <c r="O445" s="348"/>
      <c r="P445" s="348"/>
      <c r="Q445" s="349"/>
      <c r="R445" s="348"/>
      <c r="S445" s="348"/>
      <c r="T445" s="349"/>
      <c r="U445" s="348"/>
      <c r="V445" s="349"/>
      <c r="W445" s="350"/>
      <c r="X445" s="351"/>
      <c r="Y445" s="352"/>
      <c r="Z445" s="353"/>
      <c r="AA445" s="354"/>
      <c r="AB445" s="339"/>
    </row>
    <row r="446" spans="1:28" s="340" customFormat="1">
      <c r="A446" s="711"/>
      <c r="B446" s="342" t="s">
        <v>187</v>
      </c>
      <c r="C446" s="428">
        <v>30356</v>
      </c>
      <c r="D446" s="344" t="s">
        <v>211</v>
      </c>
      <c r="E446" s="345" t="s">
        <v>210</v>
      </c>
      <c r="F446" s="344" t="s">
        <v>211</v>
      </c>
      <c r="G446" s="589">
        <v>46226</v>
      </c>
      <c r="H446" s="346"/>
      <c r="I446" s="346" t="s">
        <v>186</v>
      </c>
      <c r="J446" s="295">
        <v>0.31944444444444442</v>
      </c>
      <c r="K446" s="295">
        <v>0.79305555555555551</v>
      </c>
      <c r="L446" s="347" t="s">
        <v>169</v>
      </c>
      <c r="M446" s="348">
        <v>8</v>
      </c>
      <c r="N446" s="366">
        <v>2</v>
      </c>
      <c r="O446" s="367"/>
      <c r="P446" s="367"/>
      <c r="Q446" s="349"/>
      <c r="R446" s="348"/>
      <c r="S446" s="348"/>
      <c r="T446" s="349"/>
      <c r="U446" s="348"/>
      <c r="V446" s="349"/>
      <c r="W446" s="350"/>
      <c r="X446" s="351"/>
      <c r="Y446" s="352"/>
      <c r="Z446" s="353"/>
      <c r="AA446" s="354"/>
      <c r="AB446" s="339"/>
    </row>
    <row r="447" spans="1:28" s="340" customFormat="1">
      <c r="A447" s="711"/>
      <c r="B447" s="342" t="s">
        <v>187</v>
      </c>
      <c r="C447" s="428">
        <v>30356</v>
      </c>
      <c r="D447" s="344" t="s">
        <v>211</v>
      </c>
      <c r="E447" s="345" t="s">
        <v>210</v>
      </c>
      <c r="F447" s="344" t="s">
        <v>211</v>
      </c>
      <c r="G447" s="589">
        <v>46227</v>
      </c>
      <c r="H447" s="346"/>
      <c r="I447" s="346" t="s">
        <v>186</v>
      </c>
      <c r="J447" s="295">
        <v>0.31527777777777777</v>
      </c>
      <c r="K447" s="318">
        <v>0.79236111111111107</v>
      </c>
      <c r="L447" s="347" t="s">
        <v>169</v>
      </c>
      <c r="M447" s="348">
        <v>8</v>
      </c>
      <c r="N447" s="366">
        <v>2</v>
      </c>
      <c r="O447" s="366"/>
      <c r="P447" s="366"/>
      <c r="Q447" s="368"/>
      <c r="R447" s="366"/>
      <c r="S447" s="366"/>
      <c r="T447" s="349"/>
      <c r="U447" s="348"/>
      <c r="V447" s="349"/>
      <c r="W447" s="350"/>
      <c r="X447" s="351"/>
      <c r="Y447" s="352"/>
      <c r="Z447" s="353"/>
      <c r="AA447" s="354"/>
      <c r="AB447" s="339"/>
    </row>
    <row r="448" spans="1:28" s="340" customFormat="1">
      <c r="A448" s="711"/>
      <c r="B448" s="342" t="s">
        <v>187</v>
      </c>
      <c r="C448" s="428">
        <v>30356</v>
      </c>
      <c r="D448" s="344" t="s">
        <v>211</v>
      </c>
      <c r="E448" s="345" t="s">
        <v>210</v>
      </c>
      <c r="F448" s="344" t="s">
        <v>211</v>
      </c>
      <c r="G448" s="589">
        <v>46228</v>
      </c>
      <c r="H448" s="346"/>
      <c r="I448" s="346" t="s">
        <v>186</v>
      </c>
      <c r="J448" s="295"/>
      <c r="K448" s="295"/>
      <c r="L448" s="347"/>
      <c r="M448" s="348"/>
      <c r="N448" s="348"/>
      <c r="O448" s="348"/>
      <c r="P448" s="348"/>
      <c r="Q448" s="349"/>
      <c r="R448" s="348"/>
      <c r="S448" s="320"/>
      <c r="T448" s="349"/>
      <c r="U448" s="348"/>
      <c r="V448" s="349"/>
      <c r="W448" s="350"/>
      <c r="X448" s="351"/>
      <c r="Y448" s="352"/>
      <c r="Z448" s="353"/>
      <c r="AA448" s="354"/>
      <c r="AB448" s="339"/>
    </row>
    <row r="449" spans="1:28" s="340" customFormat="1">
      <c r="A449" s="711"/>
      <c r="B449" s="342"/>
      <c r="C449" s="428"/>
      <c r="D449" s="345"/>
      <c r="E449" s="345"/>
      <c r="F449" s="345"/>
      <c r="G449" s="594"/>
      <c r="H449" s="346"/>
      <c r="I449" s="346"/>
      <c r="J449" s="369"/>
      <c r="K449" s="370"/>
      <c r="L449" s="371"/>
      <c r="M449" s="363"/>
      <c r="N449" s="363"/>
      <c r="O449" s="363"/>
      <c r="P449" s="363"/>
      <c r="Q449" s="372"/>
      <c r="R449" s="363"/>
      <c r="S449" s="324"/>
      <c r="T449" s="349"/>
      <c r="U449" s="348"/>
      <c r="V449" s="349"/>
      <c r="W449" s="350"/>
      <c r="X449" s="351"/>
      <c r="Y449" s="352"/>
      <c r="Z449" s="353"/>
      <c r="AA449" s="354"/>
      <c r="AB449" s="339"/>
    </row>
    <row r="450" spans="1:28" s="340" customFormat="1">
      <c r="A450" s="712"/>
      <c r="B450" s="325"/>
      <c r="C450" s="342"/>
      <c r="D450" s="325"/>
      <c r="E450" s="345"/>
      <c r="F450" s="325"/>
      <c r="G450" s="595"/>
      <c r="H450" s="374"/>
      <c r="I450" s="377"/>
      <c r="J450" s="375"/>
      <c r="K450" s="376"/>
      <c r="L450" s="377"/>
      <c r="M450" s="377">
        <f t="shared" ref="M450:AA450" si="24">SUM(M433:M449)</f>
        <v>80</v>
      </c>
      <c r="N450" s="377">
        <f t="shared" si="24"/>
        <v>6</v>
      </c>
      <c r="O450" s="377">
        <f t="shared" si="24"/>
        <v>0</v>
      </c>
      <c r="P450" s="377">
        <f t="shared" si="24"/>
        <v>0</v>
      </c>
      <c r="Q450" s="377">
        <f t="shared" si="24"/>
        <v>0</v>
      </c>
      <c r="R450" s="377">
        <f t="shared" si="24"/>
        <v>0</v>
      </c>
      <c r="S450" s="377">
        <f t="shared" si="24"/>
        <v>0</v>
      </c>
      <c r="T450" s="377">
        <f t="shared" si="24"/>
        <v>0</v>
      </c>
      <c r="U450" s="377">
        <f t="shared" si="24"/>
        <v>0</v>
      </c>
      <c r="V450" s="377">
        <f t="shared" si="24"/>
        <v>0</v>
      </c>
      <c r="W450" s="377">
        <f t="shared" si="24"/>
        <v>0</v>
      </c>
      <c r="X450" s="377">
        <f t="shared" si="24"/>
        <v>0</v>
      </c>
      <c r="Y450" s="377">
        <f t="shared" si="24"/>
        <v>0</v>
      </c>
      <c r="Z450" s="377">
        <f t="shared" si="24"/>
        <v>0</v>
      </c>
      <c r="AA450" s="377">
        <f t="shared" si="24"/>
        <v>0</v>
      </c>
      <c r="AB450" s="339"/>
    </row>
    <row r="451" spans="1:28" s="340" customFormat="1">
      <c r="A451" s="280" t="s">
        <v>170</v>
      </c>
      <c r="B451" s="280" t="s">
        <v>120</v>
      </c>
      <c r="C451" s="280" t="s">
        <v>152</v>
      </c>
      <c r="D451" s="280" t="s">
        <v>182</v>
      </c>
      <c r="E451" s="281" t="s">
        <v>153</v>
      </c>
      <c r="F451" s="280" t="s">
        <v>182</v>
      </c>
      <c r="G451" s="593" t="s">
        <v>401</v>
      </c>
      <c r="H451" s="333"/>
      <c r="I451" s="334" t="s">
        <v>181</v>
      </c>
      <c r="J451" s="335" t="s">
        <v>154</v>
      </c>
      <c r="K451" s="335" t="s">
        <v>155</v>
      </c>
      <c r="L451" s="336" t="s">
        <v>156</v>
      </c>
      <c r="M451" s="337" t="s">
        <v>157</v>
      </c>
      <c r="N451" s="336" t="s">
        <v>158</v>
      </c>
      <c r="O451" s="336" t="s">
        <v>159</v>
      </c>
      <c r="P451" s="336" t="s">
        <v>174</v>
      </c>
      <c r="Q451" s="336" t="s">
        <v>160</v>
      </c>
      <c r="R451" s="336" t="s">
        <v>161</v>
      </c>
      <c r="S451" s="336" t="s">
        <v>162</v>
      </c>
      <c r="T451" s="334" t="s">
        <v>163</v>
      </c>
      <c r="U451" s="334" t="s">
        <v>164</v>
      </c>
      <c r="V451" s="334" t="s">
        <v>165</v>
      </c>
      <c r="W451" s="336" t="s">
        <v>113</v>
      </c>
      <c r="X451" s="334" t="s">
        <v>121</v>
      </c>
      <c r="Y451" s="334" t="s">
        <v>166</v>
      </c>
      <c r="Z451" s="338" t="s">
        <v>175</v>
      </c>
      <c r="AA451" s="338" t="s">
        <v>167</v>
      </c>
      <c r="AB451" s="339"/>
    </row>
    <row r="452" spans="1:28" s="340" customFormat="1">
      <c r="A452" s="710"/>
      <c r="B452" s="342" t="s">
        <v>187</v>
      </c>
      <c r="C452" s="384">
        <v>30261</v>
      </c>
      <c r="D452" s="344" t="s">
        <v>209</v>
      </c>
      <c r="E452" s="345" t="s">
        <v>208</v>
      </c>
      <c r="F452" s="344" t="s">
        <v>209</v>
      </c>
      <c r="G452" s="589">
        <v>46214</v>
      </c>
      <c r="H452" s="346"/>
      <c r="I452" s="346"/>
      <c r="J452" s="295"/>
      <c r="K452" s="295"/>
      <c r="L452" s="347"/>
      <c r="M452" s="348"/>
      <c r="N452" s="348"/>
      <c r="O452" s="348"/>
      <c r="P452" s="348"/>
      <c r="Q452" s="349"/>
      <c r="R452" s="348"/>
      <c r="S452" s="348"/>
      <c r="T452" s="349"/>
      <c r="U452" s="348"/>
      <c r="V452" s="349"/>
      <c r="W452" s="350"/>
      <c r="X452" s="351"/>
      <c r="Y452" s="352"/>
      <c r="Z452" s="353"/>
      <c r="AA452" s="354"/>
      <c r="AB452" s="339"/>
    </row>
    <row r="453" spans="1:28" s="340" customFormat="1">
      <c r="A453" s="711"/>
      <c r="B453" s="342" t="s">
        <v>187</v>
      </c>
      <c r="C453" s="384">
        <v>30261</v>
      </c>
      <c r="D453" s="344" t="s">
        <v>209</v>
      </c>
      <c r="E453" s="345" t="s">
        <v>208</v>
      </c>
      <c r="F453" s="344" t="s">
        <v>209</v>
      </c>
      <c r="G453" s="590">
        <v>46215</v>
      </c>
      <c r="H453" s="346"/>
      <c r="I453" s="346"/>
      <c r="L453" s="347"/>
      <c r="M453" s="348"/>
      <c r="N453" s="348"/>
      <c r="O453" s="348"/>
      <c r="P453" s="348"/>
      <c r="Q453" s="349"/>
      <c r="R453" s="348"/>
      <c r="S453" s="348"/>
      <c r="T453" s="349"/>
      <c r="U453" s="348"/>
      <c r="V453" s="349"/>
      <c r="W453" s="350"/>
      <c r="X453" s="351"/>
      <c r="Y453" s="352"/>
      <c r="Z453" s="353"/>
      <c r="AA453" s="354"/>
      <c r="AB453" s="339"/>
    </row>
    <row r="454" spans="1:28" s="340" customFormat="1">
      <c r="A454" s="711"/>
      <c r="B454" s="342" t="s">
        <v>187</v>
      </c>
      <c r="C454" s="384">
        <v>30261</v>
      </c>
      <c r="D454" s="344" t="s">
        <v>209</v>
      </c>
      <c r="E454" s="345" t="s">
        <v>208</v>
      </c>
      <c r="F454" s="344" t="s">
        <v>209</v>
      </c>
      <c r="G454" s="589">
        <v>46216</v>
      </c>
      <c r="H454" s="346"/>
      <c r="I454" s="346" t="s">
        <v>186</v>
      </c>
      <c r="J454" s="305">
        <v>0.31597222222222221</v>
      </c>
      <c r="K454" s="305">
        <v>0.71180555555555558</v>
      </c>
      <c r="L454" s="347" t="s">
        <v>169</v>
      </c>
      <c r="M454" s="348">
        <v>8</v>
      </c>
      <c r="N454" s="348"/>
      <c r="O454" s="348"/>
      <c r="P454" s="348"/>
      <c r="Q454" s="349"/>
      <c r="R454" s="348"/>
      <c r="S454" s="348"/>
      <c r="T454" s="349"/>
      <c r="U454" s="348"/>
      <c r="V454" s="349"/>
      <c r="W454" s="350"/>
      <c r="X454" s="351"/>
      <c r="Y454" s="352"/>
      <c r="Z454" s="353"/>
      <c r="AA454" s="354"/>
      <c r="AB454" s="339"/>
    </row>
    <row r="455" spans="1:28" s="340" customFormat="1">
      <c r="A455" s="711"/>
      <c r="B455" s="342" t="s">
        <v>187</v>
      </c>
      <c r="C455" s="384">
        <v>30261</v>
      </c>
      <c r="D455" s="344" t="s">
        <v>209</v>
      </c>
      <c r="E455" s="345" t="s">
        <v>208</v>
      </c>
      <c r="F455" s="344" t="s">
        <v>209</v>
      </c>
      <c r="G455" s="589">
        <v>46217</v>
      </c>
      <c r="H455" s="346"/>
      <c r="I455" s="346" t="s">
        <v>186</v>
      </c>
      <c r="J455" s="305">
        <v>0.31597222222222221</v>
      </c>
      <c r="K455" s="305">
        <v>0.71111111111111114</v>
      </c>
      <c r="L455" s="347" t="s">
        <v>169</v>
      </c>
      <c r="M455" s="348">
        <v>8</v>
      </c>
      <c r="N455" s="348"/>
      <c r="O455" s="348"/>
      <c r="P455" s="348"/>
      <c r="Q455" s="356"/>
      <c r="R455" s="357"/>
      <c r="S455" s="357"/>
      <c r="T455" s="356"/>
      <c r="U455" s="357"/>
      <c r="V455" s="356"/>
      <c r="W455" s="358"/>
      <c r="X455" s="359"/>
      <c r="Y455" s="360"/>
      <c r="Z455" s="361"/>
      <c r="AA455" s="362"/>
      <c r="AB455" s="339"/>
    </row>
    <row r="456" spans="1:28" s="340" customFormat="1">
      <c r="A456" s="711"/>
      <c r="B456" s="342" t="s">
        <v>187</v>
      </c>
      <c r="C456" s="384">
        <v>30261</v>
      </c>
      <c r="D456" s="344" t="s">
        <v>209</v>
      </c>
      <c r="E456" s="345" t="s">
        <v>208</v>
      </c>
      <c r="F456" s="344" t="s">
        <v>209</v>
      </c>
      <c r="G456" s="589">
        <v>46218</v>
      </c>
      <c r="H456" s="346"/>
      <c r="I456" s="346" t="s">
        <v>186</v>
      </c>
      <c r="J456" s="305">
        <v>0.32013888888888892</v>
      </c>
      <c r="K456" s="305">
        <v>0.71319444444444446</v>
      </c>
      <c r="L456" s="347" t="s">
        <v>169</v>
      </c>
      <c r="M456" s="348">
        <v>8</v>
      </c>
      <c r="N456" s="348"/>
      <c r="O456" s="348"/>
      <c r="P456" s="348"/>
      <c r="Q456" s="349"/>
      <c r="R456" s="348"/>
      <c r="S456" s="348"/>
      <c r="T456" s="349"/>
      <c r="U456" s="348"/>
      <c r="V456" s="349"/>
      <c r="W456" s="350"/>
      <c r="X456" s="351"/>
      <c r="Y456" s="352"/>
      <c r="Z456" s="353"/>
      <c r="AA456" s="354"/>
      <c r="AB456" s="339"/>
    </row>
    <row r="457" spans="1:28" s="340" customFormat="1">
      <c r="A457" s="711"/>
      <c r="B457" s="342" t="s">
        <v>187</v>
      </c>
      <c r="C457" s="384">
        <v>30261</v>
      </c>
      <c r="D457" s="344" t="s">
        <v>209</v>
      </c>
      <c r="E457" s="345" t="s">
        <v>208</v>
      </c>
      <c r="F457" s="344" t="s">
        <v>209</v>
      </c>
      <c r="G457" s="589">
        <v>46219</v>
      </c>
      <c r="H457" s="346"/>
      <c r="I457" s="346" t="s">
        <v>186</v>
      </c>
      <c r="J457" s="305">
        <v>0.31458333333333333</v>
      </c>
      <c r="K457" s="305">
        <v>0.71458333333333324</v>
      </c>
      <c r="L457" s="347" t="s">
        <v>169</v>
      </c>
      <c r="M457" s="348">
        <v>8</v>
      </c>
      <c r="N457" s="348"/>
      <c r="O457" s="348"/>
      <c r="P457" s="348"/>
      <c r="Q457" s="349"/>
      <c r="R457" s="348"/>
      <c r="S457" s="348"/>
      <c r="T457" s="349"/>
      <c r="U457" s="348"/>
      <c r="V457" s="349"/>
      <c r="W457" s="350"/>
      <c r="X457" s="351"/>
      <c r="Y457" s="352"/>
      <c r="Z457" s="353"/>
      <c r="AA457" s="354"/>
      <c r="AB457" s="339"/>
    </row>
    <row r="458" spans="1:28" s="340" customFormat="1">
      <c r="A458" s="711"/>
      <c r="B458" s="342" t="s">
        <v>187</v>
      </c>
      <c r="C458" s="384">
        <v>30261</v>
      </c>
      <c r="D458" s="344" t="s">
        <v>209</v>
      </c>
      <c r="E458" s="345" t="s">
        <v>208</v>
      </c>
      <c r="F458" s="344" t="s">
        <v>209</v>
      </c>
      <c r="G458" s="589">
        <v>46220</v>
      </c>
      <c r="H458" s="346"/>
      <c r="I458" s="346" t="s">
        <v>186</v>
      </c>
      <c r="J458" s="305">
        <v>0.31736111111111115</v>
      </c>
      <c r="K458" s="305">
        <v>0.71250000000000002</v>
      </c>
      <c r="L458" s="347" t="s">
        <v>169</v>
      </c>
      <c r="M458" s="348">
        <v>8</v>
      </c>
      <c r="N458" s="348"/>
      <c r="O458" s="348"/>
      <c r="P458" s="348"/>
      <c r="Q458" s="349"/>
      <c r="R458" s="348"/>
      <c r="S458" s="348"/>
      <c r="T458" s="349"/>
      <c r="U458" s="348"/>
      <c r="V458" s="349"/>
      <c r="W458" s="350"/>
      <c r="X458" s="351"/>
      <c r="Y458" s="352"/>
      <c r="Z458" s="353"/>
      <c r="AA458" s="354"/>
      <c r="AB458" s="339"/>
    </row>
    <row r="459" spans="1:28" s="340" customFormat="1">
      <c r="A459" s="711"/>
      <c r="B459" s="342" t="s">
        <v>187</v>
      </c>
      <c r="C459" s="384">
        <v>30261</v>
      </c>
      <c r="D459" s="344" t="s">
        <v>209</v>
      </c>
      <c r="E459" s="345" t="s">
        <v>208</v>
      </c>
      <c r="F459" s="344" t="s">
        <v>209</v>
      </c>
      <c r="G459" s="589">
        <v>46221</v>
      </c>
      <c r="H459" s="346"/>
      <c r="I459" s="346" t="s">
        <v>186</v>
      </c>
      <c r="J459" s="305"/>
      <c r="K459" s="305"/>
      <c r="L459" s="347"/>
      <c r="M459" s="348"/>
      <c r="N459" s="348"/>
      <c r="O459" s="348"/>
      <c r="P459" s="348"/>
      <c r="Q459" s="349"/>
      <c r="R459" s="348"/>
      <c r="S459" s="348"/>
      <c r="T459" s="349"/>
      <c r="U459" s="348"/>
      <c r="V459" s="349"/>
      <c r="W459" s="350"/>
      <c r="X459" s="351"/>
      <c r="Y459" s="352"/>
      <c r="Z459" s="353"/>
      <c r="AA459" s="354"/>
      <c r="AB459" s="339"/>
    </row>
    <row r="460" spans="1:28" s="340" customFormat="1">
      <c r="A460" s="711"/>
      <c r="B460" s="342" t="s">
        <v>187</v>
      </c>
      <c r="C460" s="384">
        <v>30261</v>
      </c>
      <c r="D460" s="344" t="s">
        <v>209</v>
      </c>
      <c r="E460" s="345" t="s">
        <v>208</v>
      </c>
      <c r="F460" s="344" t="s">
        <v>209</v>
      </c>
      <c r="G460" s="590">
        <v>46222</v>
      </c>
      <c r="H460" s="346"/>
      <c r="I460" s="346"/>
      <c r="J460" s="699" t="s">
        <v>173</v>
      </c>
      <c r="K460" s="700"/>
      <c r="L460" s="347"/>
      <c r="M460" s="348"/>
      <c r="N460" s="348"/>
      <c r="O460" s="348"/>
      <c r="P460" s="348"/>
      <c r="Q460" s="349"/>
      <c r="R460" s="348"/>
      <c r="S460" s="348"/>
      <c r="T460" s="349"/>
      <c r="U460" s="348"/>
      <c r="V460" s="349"/>
      <c r="W460" s="350"/>
      <c r="X460" s="351"/>
      <c r="Y460" s="352"/>
      <c r="Z460" s="353"/>
      <c r="AA460" s="354"/>
      <c r="AB460" s="339"/>
    </row>
    <row r="461" spans="1:28" s="340" customFormat="1">
      <c r="A461" s="711"/>
      <c r="B461" s="342" t="s">
        <v>187</v>
      </c>
      <c r="C461" s="384">
        <v>30261</v>
      </c>
      <c r="D461" s="344" t="s">
        <v>209</v>
      </c>
      <c r="E461" s="345" t="s">
        <v>208</v>
      </c>
      <c r="F461" s="344" t="s">
        <v>209</v>
      </c>
      <c r="G461" s="589">
        <v>46223</v>
      </c>
      <c r="H461" s="346"/>
      <c r="I461" s="346" t="s">
        <v>186</v>
      </c>
      <c r="J461" s="295">
        <v>0.32083333333333336</v>
      </c>
      <c r="K461" s="295">
        <v>0.71180555555555558</v>
      </c>
      <c r="L461" s="347" t="s">
        <v>169</v>
      </c>
      <c r="M461" s="348">
        <v>8</v>
      </c>
      <c r="N461" s="357"/>
      <c r="O461" s="357"/>
      <c r="P461" s="357"/>
      <c r="Q461" s="356"/>
      <c r="R461" s="357"/>
      <c r="S461" s="357"/>
      <c r="T461" s="356"/>
      <c r="U461" s="357"/>
      <c r="V461" s="349"/>
      <c r="W461" s="350"/>
      <c r="X461" s="351"/>
      <c r="Y461" s="352"/>
      <c r="Z461" s="353"/>
      <c r="AA461" s="354"/>
      <c r="AB461" s="339"/>
    </row>
    <row r="462" spans="1:28" s="340" customFormat="1">
      <c r="A462" s="711"/>
      <c r="B462" s="342" t="s">
        <v>187</v>
      </c>
      <c r="C462" s="384">
        <v>30261</v>
      </c>
      <c r="D462" s="344" t="s">
        <v>209</v>
      </c>
      <c r="E462" s="345" t="s">
        <v>208</v>
      </c>
      <c r="F462" s="344" t="s">
        <v>209</v>
      </c>
      <c r="G462" s="589">
        <v>46224</v>
      </c>
      <c r="H462" s="346"/>
      <c r="I462" s="346" t="s">
        <v>186</v>
      </c>
      <c r="J462" s="295">
        <v>0.31666666666666665</v>
      </c>
      <c r="K462" s="295">
        <v>0.71250000000000002</v>
      </c>
      <c r="L462" s="347" t="s">
        <v>169</v>
      </c>
      <c r="M462" s="348">
        <v>8</v>
      </c>
      <c r="N462" s="363"/>
      <c r="O462" s="363"/>
      <c r="P462" s="363"/>
      <c r="Q462" s="364"/>
      <c r="R462" s="365"/>
      <c r="S462" s="365"/>
      <c r="T462" s="356"/>
      <c r="U462" s="357"/>
      <c r="V462" s="356"/>
      <c r="W462" s="358"/>
      <c r="X462" s="359"/>
      <c r="Y462" s="360"/>
      <c r="Z462" s="361"/>
      <c r="AA462" s="362"/>
      <c r="AB462" s="339"/>
    </row>
    <row r="463" spans="1:28" s="340" customFormat="1">
      <c r="A463" s="711"/>
      <c r="B463" s="342" t="s">
        <v>187</v>
      </c>
      <c r="C463" s="384">
        <v>30261</v>
      </c>
      <c r="D463" s="344" t="s">
        <v>209</v>
      </c>
      <c r="E463" s="345" t="s">
        <v>208</v>
      </c>
      <c r="F463" s="344" t="s">
        <v>209</v>
      </c>
      <c r="G463" s="589">
        <v>46225</v>
      </c>
      <c r="H463" s="346"/>
      <c r="I463" s="346" t="s">
        <v>186</v>
      </c>
      <c r="J463" s="295">
        <v>0.31666666666666665</v>
      </c>
      <c r="K463" s="295">
        <v>0.79374999999999996</v>
      </c>
      <c r="L463" s="347" t="s">
        <v>169</v>
      </c>
      <c r="M463" s="348">
        <v>8</v>
      </c>
      <c r="N463" s="366">
        <v>2</v>
      </c>
      <c r="O463" s="348"/>
      <c r="P463" s="348"/>
      <c r="Q463" s="349"/>
      <c r="R463" s="348"/>
      <c r="S463" s="348"/>
      <c r="T463" s="349"/>
      <c r="U463" s="348"/>
      <c r="V463" s="349"/>
      <c r="W463" s="350"/>
      <c r="X463" s="351"/>
      <c r="Y463" s="352"/>
      <c r="Z463" s="353"/>
      <c r="AA463" s="354"/>
      <c r="AB463" s="339"/>
    </row>
    <row r="464" spans="1:28" s="340" customFormat="1">
      <c r="A464" s="711"/>
      <c r="B464" s="342" t="s">
        <v>187</v>
      </c>
      <c r="C464" s="384">
        <v>30261</v>
      </c>
      <c r="D464" s="344" t="s">
        <v>209</v>
      </c>
      <c r="E464" s="345" t="s">
        <v>208</v>
      </c>
      <c r="F464" s="344" t="s">
        <v>209</v>
      </c>
      <c r="G464" s="589">
        <v>46226</v>
      </c>
      <c r="H464" s="346"/>
      <c r="I464" s="346" t="s">
        <v>186</v>
      </c>
      <c r="J464" s="295">
        <v>0.31805555555555554</v>
      </c>
      <c r="K464" s="295">
        <v>0.79374999999999996</v>
      </c>
      <c r="L464" s="347" t="s">
        <v>169</v>
      </c>
      <c r="M464" s="348">
        <v>8</v>
      </c>
      <c r="N464" s="366">
        <v>2</v>
      </c>
      <c r="O464" s="367"/>
      <c r="P464" s="367"/>
      <c r="Q464" s="349"/>
      <c r="R464" s="348"/>
      <c r="S464" s="348"/>
      <c r="T464" s="349"/>
      <c r="U464" s="348"/>
      <c r="V464" s="349"/>
      <c r="W464" s="350"/>
      <c r="X464" s="351"/>
      <c r="Y464" s="352"/>
      <c r="Z464" s="353"/>
      <c r="AA464" s="354"/>
      <c r="AB464" s="339"/>
    </row>
    <row r="465" spans="1:28" s="340" customFormat="1">
      <c r="A465" s="711"/>
      <c r="B465" s="342" t="s">
        <v>187</v>
      </c>
      <c r="C465" s="384">
        <v>30261</v>
      </c>
      <c r="D465" s="344" t="s">
        <v>209</v>
      </c>
      <c r="E465" s="345" t="s">
        <v>208</v>
      </c>
      <c r="F465" s="344" t="s">
        <v>209</v>
      </c>
      <c r="G465" s="589">
        <v>46227</v>
      </c>
      <c r="H465" s="346"/>
      <c r="I465" s="346" t="s">
        <v>186</v>
      </c>
      <c r="J465" s="295">
        <v>0.32500000000000001</v>
      </c>
      <c r="K465" s="318">
        <v>0.79374999999999996</v>
      </c>
      <c r="L465" s="347" t="s">
        <v>169</v>
      </c>
      <c r="M465" s="348">
        <v>8</v>
      </c>
      <c r="N465" s="366">
        <v>2</v>
      </c>
      <c r="O465" s="366"/>
      <c r="P465" s="366"/>
      <c r="Q465" s="368"/>
      <c r="R465" s="366"/>
      <c r="S465" s="366"/>
      <c r="T465" s="349"/>
      <c r="U465" s="348"/>
      <c r="V465" s="349"/>
      <c r="W465" s="350"/>
      <c r="X465" s="351"/>
      <c r="Y465" s="352"/>
      <c r="Z465" s="353"/>
      <c r="AA465" s="354"/>
      <c r="AB465" s="339"/>
    </row>
    <row r="466" spans="1:28" s="340" customFormat="1">
      <c r="A466" s="711"/>
      <c r="B466" s="342" t="s">
        <v>187</v>
      </c>
      <c r="C466" s="384">
        <v>30261</v>
      </c>
      <c r="D466" s="344" t="s">
        <v>209</v>
      </c>
      <c r="E466" s="345" t="s">
        <v>208</v>
      </c>
      <c r="F466" s="344" t="s">
        <v>209</v>
      </c>
      <c r="G466" s="589">
        <v>46228</v>
      </c>
      <c r="H466" s="346"/>
      <c r="I466" s="346" t="s">
        <v>186</v>
      </c>
      <c r="J466" s="295"/>
      <c r="K466" s="295"/>
      <c r="L466" s="347"/>
      <c r="M466" s="348"/>
      <c r="N466" s="348"/>
      <c r="O466" s="348"/>
      <c r="P466" s="348"/>
      <c r="Q466" s="349"/>
      <c r="R466" s="348"/>
      <c r="S466" s="320"/>
      <c r="T466" s="349"/>
      <c r="U466" s="348"/>
      <c r="V466" s="349"/>
      <c r="W466" s="350"/>
      <c r="X466" s="351"/>
      <c r="Y466" s="352"/>
      <c r="Z466" s="353"/>
      <c r="AA466" s="354"/>
      <c r="AB466" s="339"/>
    </row>
    <row r="467" spans="1:28" s="340" customFormat="1">
      <c r="A467" s="711"/>
      <c r="B467" s="342"/>
      <c r="C467" s="384"/>
      <c r="D467" s="345"/>
      <c r="E467" s="345"/>
      <c r="F467" s="345"/>
      <c r="G467" s="594"/>
      <c r="H467" s="346"/>
      <c r="I467" s="385"/>
      <c r="J467" s="369"/>
      <c r="K467" s="370"/>
      <c r="L467" s="371"/>
      <c r="M467" s="363"/>
      <c r="N467" s="363"/>
      <c r="O467" s="363"/>
      <c r="P467" s="363"/>
      <c r="Q467" s="372"/>
      <c r="R467" s="363"/>
      <c r="S467" s="324"/>
      <c r="T467" s="349"/>
      <c r="U467" s="348"/>
      <c r="V467" s="349"/>
      <c r="W467" s="350"/>
      <c r="X467" s="351"/>
      <c r="Y467" s="352"/>
      <c r="Z467" s="353"/>
      <c r="AA467" s="354"/>
      <c r="AB467" s="339"/>
    </row>
    <row r="468" spans="1:28" s="340" customFormat="1">
      <c r="A468" s="712"/>
      <c r="B468" s="325"/>
      <c r="C468" s="342"/>
      <c r="D468" s="325"/>
      <c r="E468" s="345"/>
      <c r="F468" s="325"/>
      <c r="G468" s="594"/>
      <c r="H468" s="374"/>
      <c r="I468" s="377"/>
      <c r="J468" s="375"/>
      <c r="K468" s="376"/>
      <c r="L468" s="377"/>
      <c r="M468" s="377">
        <f t="shared" ref="M468:AA468" si="25">SUM(M451:M467)</f>
        <v>80</v>
      </c>
      <c r="N468" s="377">
        <f t="shared" si="25"/>
        <v>6</v>
      </c>
      <c r="O468" s="377">
        <f t="shared" si="25"/>
        <v>0</v>
      </c>
      <c r="P468" s="377">
        <f t="shared" si="25"/>
        <v>0</v>
      </c>
      <c r="Q468" s="377">
        <f t="shared" si="25"/>
        <v>0</v>
      </c>
      <c r="R468" s="377">
        <f t="shared" si="25"/>
        <v>0</v>
      </c>
      <c r="S468" s="377">
        <f t="shared" si="25"/>
        <v>0</v>
      </c>
      <c r="T468" s="377">
        <f t="shared" si="25"/>
        <v>0</v>
      </c>
      <c r="U468" s="377">
        <f t="shared" si="25"/>
        <v>0</v>
      </c>
      <c r="V468" s="377">
        <f t="shared" si="25"/>
        <v>0</v>
      </c>
      <c r="W468" s="377">
        <f t="shared" si="25"/>
        <v>0</v>
      </c>
      <c r="X468" s="377">
        <f t="shared" si="25"/>
        <v>0</v>
      </c>
      <c r="Y468" s="377">
        <f t="shared" si="25"/>
        <v>0</v>
      </c>
      <c r="Z468" s="377">
        <f t="shared" si="25"/>
        <v>0</v>
      </c>
      <c r="AA468" s="377">
        <f t="shared" si="25"/>
        <v>0</v>
      </c>
      <c r="AB468" s="339"/>
    </row>
    <row r="469" spans="1:28" s="340" customFormat="1">
      <c r="A469" s="280" t="s">
        <v>170</v>
      </c>
      <c r="B469" s="280" t="s">
        <v>120</v>
      </c>
      <c r="C469" s="280" t="s">
        <v>152</v>
      </c>
      <c r="D469" s="280" t="s">
        <v>182</v>
      </c>
      <c r="E469" s="281" t="s">
        <v>153</v>
      </c>
      <c r="F469" s="280" t="s">
        <v>182</v>
      </c>
      <c r="G469" s="593" t="s">
        <v>401</v>
      </c>
      <c r="H469" s="333"/>
      <c r="I469" s="334" t="s">
        <v>181</v>
      </c>
      <c r="J469" s="335" t="s">
        <v>154</v>
      </c>
      <c r="K469" s="335" t="s">
        <v>155</v>
      </c>
      <c r="L469" s="336" t="s">
        <v>156</v>
      </c>
      <c r="M469" s="337" t="s">
        <v>157</v>
      </c>
      <c r="N469" s="336" t="s">
        <v>158</v>
      </c>
      <c r="O469" s="336" t="s">
        <v>159</v>
      </c>
      <c r="P469" s="336" t="s">
        <v>174</v>
      </c>
      <c r="Q469" s="336" t="s">
        <v>160</v>
      </c>
      <c r="R469" s="336" t="s">
        <v>161</v>
      </c>
      <c r="S469" s="336" t="s">
        <v>162</v>
      </c>
      <c r="T469" s="334" t="s">
        <v>163</v>
      </c>
      <c r="U469" s="334" t="s">
        <v>164</v>
      </c>
      <c r="V469" s="334" t="s">
        <v>165</v>
      </c>
      <c r="W469" s="336" t="s">
        <v>113</v>
      </c>
      <c r="X469" s="334" t="s">
        <v>121</v>
      </c>
      <c r="Y469" s="334" t="s">
        <v>166</v>
      </c>
      <c r="Z469" s="338" t="s">
        <v>175</v>
      </c>
      <c r="AA469" s="338" t="s">
        <v>167</v>
      </c>
      <c r="AB469" s="339"/>
    </row>
    <row r="470" spans="1:28" s="340" customFormat="1">
      <c r="A470" s="710"/>
      <c r="B470" s="342" t="s">
        <v>187</v>
      </c>
      <c r="C470" s="418">
        <v>30679</v>
      </c>
      <c r="D470" s="344" t="s">
        <v>207</v>
      </c>
      <c r="E470" s="384" t="s">
        <v>206</v>
      </c>
      <c r="F470" s="344" t="s">
        <v>207</v>
      </c>
      <c r="G470" s="589">
        <v>46214</v>
      </c>
      <c r="H470" s="346"/>
      <c r="I470" s="346" t="s">
        <v>186</v>
      </c>
      <c r="J470" s="295">
        <v>0.32361111111111113</v>
      </c>
      <c r="K470" s="295">
        <v>0.70902777777777781</v>
      </c>
      <c r="L470" s="347" t="s">
        <v>169</v>
      </c>
      <c r="M470" s="348">
        <v>8</v>
      </c>
      <c r="N470" s="348"/>
      <c r="O470" s="348"/>
      <c r="P470" s="348"/>
      <c r="Q470" s="349"/>
      <c r="R470" s="348"/>
      <c r="S470" s="348"/>
      <c r="T470" s="349"/>
      <c r="U470" s="348"/>
      <c r="V470" s="349"/>
      <c r="W470" s="350"/>
      <c r="X470" s="351"/>
      <c r="Y470" s="352"/>
      <c r="Z470" s="353"/>
      <c r="AA470" s="354"/>
      <c r="AB470" s="339"/>
    </row>
    <row r="471" spans="1:28" s="340" customFormat="1">
      <c r="A471" s="711"/>
      <c r="B471" s="342" t="s">
        <v>187</v>
      </c>
      <c r="C471" s="418">
        <v>30679</v>
      </c>
      <c r="D471" s="344" t="s">
        <v>207</v>
      </c>
      <c r="E471" s="383" t="s">
        <v>206</v>
      </c>
      <c r="F471" s="344" t="s">
        <v>207</v>
      </c>
      <c r="G471" s="590">
        <v>46215</v>
      </c>
      <c r="H471" s="346"/>
      <c r="I471" s="346"/>
      <c r="J471" s="699" t="s">
        <v>173</v>
      </c>
      <c r="K471" s="700"/>
      <c r="L471" s="347"/>
      <c r="M471" s="348"/>
      <c r="N471" s="348"/>
      <c r="O471" s="348"/>
      <c r="P471" s="348"/>
      <c r="Q471" s="349"/>
      <c r="R471" s="348"/>
      <c r="S471" s="348"/>
      <c r="T471" s="349"/>
      <c r="U471" s="348"/>
      <c r="V471" s="349"/>
      <c r="W471" s="350"/>
      <c r="X471" s="351"/>
      <c r="Y471" s="352"/>
      <c r="Z471" s="353"/>
      <c r="AA471" s="354"/>
      <c r="AB471" s="339"/>
    </row>
    <row r="472" spans="1:28" s="340" customFormat="1">
      <c r="A472" s="711"/>
      <c r="B472" s="342" t="s">
        <v>187</v>
      </c>
      <c r="C472" s="418">
        <v>30679</v>
      </c>
      <c r="D472" s="344" t="s">
        <v>207</v>
      </c>
      <c r="E472" s="383" t="s">
        <v>206</v>
      </c>
      <c r="F472" s="344" t="s">
        <v>207</v>
      </c>
      <c r="G472" s="589">
        <v>46216</v>
      </c>
      <c r="H472" s="346"/>
      <c r="I472" s="346" t="s">
        <v>183</v>
      </c>
      <c r="J472" s="305">
        <v>0.77361111111111114</v>
      </c>
      <c r="K472" s="305">
        <v>0.16666666666666666</v>
      </c>
      <c r="L472" s="347" t="s">
        <v>168</v>
      </c>
      <c r="M472" s="348">
        <v>8</v>
      </c>
      <c r="N472" s="348"/>
      <c r="O472" s="348">
        <v>6</v>
      </c>
      <c r="P472" s="348"/>
      <c r="Q472" s="349"/>
      <c r="R472" s="348"/>
      <c r="S472" s="348"/>
      <c r="T472" s="349"/>
      <c r="U472" s="348"/>
      <c r="V472" s="349"/>
      <c r="W472" s="350"/>
      <c r="X472" s="351"/>
      <c r="Y472" s="352"/>
      <c r="Z472" s="353"/>
      <c r="AA472" s="354"/>
      <c r="AB472" s="339"/>
    </row>
    <row r="473" spans="1:28" s="340" customFormat="1">
      <c r="A473" s="711"/>
      <c r="B473" s="342" t="s">
        <v>187</v>
      </c>
      <c r="C473" s="418">
        <v>30679</v>
      </c>
      <c r="D473" s="344" t="s">
        <v>207</v>
      </c>
      <c r="E473" s="383" t="s">
        <v>206</v>
      </c>
      <c r="F473" s="344" t="s">
        <v>207</v>
      </c>
      <c r="G473" s="589">
        <v>46217</v>
      </c>
      <c r="H473" s="346"/>
      <c r="I473" s="346" t="s">
        <v>183</v>
      </c>
      <c r="J473" s="305">
        <v>0.77430555555555547</v>
      </c>
      <c r="K473" s="305">
        <v>0.25069444444444444</v>
      </c>
      <c r="L473" s="347" t="s">
        <v>168</v>
      </c>
      <c r="M473" s="348">
        <v>8</v>
      </c>
      <c r="N473" s="348">
        <v>2</v>
      </c>
      <c r="O473" s="348">
        <v>6</v>
      </c>
      <c r="P473" s="348">
        <v>2</v>
      </c>
      <c r="Q473" s="356"/>
      <c r="R473" s="357"/>
      <c r="S473" s="357"/>
      <c r="T473" s="356"/>
      <c r="U473" s="357"/>
      <c r="V473" s="356"/>
      <c r="W473" s="358"/>
      <c r="X473" s="359"/>
      <c r="Y473" s="360"/>
      <c r="Z473" s="361"/>
      <c r="AA473" s="362"/>
      <c r="AB473" s="339"/>
    </row>
    <row r="474" spans="1:28" s="340" customFormat="1">
      <c r="A474" s="711"/>
      <c r="B474" s="342" t="s">
        <v>187</v>
      </c>
      <c r="C474" s="418">
        <v>30679</v>
      </c>
      <c r="D474" s="344" t="s">
        <v>207</v>
      </c>
      <c r="E474" s="383" t="s">
        <v>206</v>
      </c>
      <c r="F474" s="344" t="s">
        <v>207</v>
      </c>
      <c r="G474" s="589">
        <v>46218</v>
      </c>
      <c r="H474" s="346"/>
      <c r="I474" s="346" t="s">
        <v>183</v>
      </c>
      <c r="J474" s="305">
        <v>0.77847222222222223</v>
      </c>
      <c r="K474" s="305">
        <v>0.1673611111111111</v>
      </c>
      <c r="L474" s="347" t="s">
        <v>168</v>
      </c>
      <c r="M474" s="348">
        <v>8</v>
      </c>
      <c r="N474" s="348"/>
      <c r="O474" s="348">
        <v>6</v>
      </c>
      <c r="P474" s="348"/>
      <c r="Q474" s="349"/>
      <c r="R474" s="348"/>
      <c r="S474" s="348"/>
      <c r="T474" s="349"/>
      <c r="U474" s="348"/>
      <c r="V474" s="349"/>
      <c r="W474" s="350"/>
      <c r="X474" s="351"/>
      <c r="Y474" s="352"/>
      <c r="Z474" s="353"/>
      <c r="AA474" s="354"/>
      <c r="AB474" s="339"/>
    </row>
    <row r="475" spans="1:28" s="340" customFormat="1">
      <c r="A475" s="711"/>
      <c r="B475" s="342" t="s">
        <v>187</v>
      </c>
      <c r="C475" s="418">
        <v>30679</v>
      </c>
      <c r="D475" s="344" t="s">
        <v>207</v>
      </c>
      <c r="E475" s="383" t="s">
        <v>206</v>
      </c>
      <c r="F475" s="344" t="s">
        <v>207</v>
      </c>
      <c r="G475" s="589">
        <v>46219</v>
      </c>
      <c r="H475" s="346"/>
      <c r="I475" s="346" t="s">
        <v>183</v>
      </c>
      <c r="J475" s="305"/>
      <c r="K475" s="305"/>
      <c r="L475" s="347"/>
      <c r="M475" s="348"/>
      <c r="N475" s="348"/>
      <c r="O475" s="348"/>
      <c r="P475" s="348"/>
      <c r="Q475" s="349"/>
      <c r="R475" s="348"/>
      <c r="S475" s="348"/>
      <c r="T475" s="349"/>
      <c r="U475" s="348"/>
      <c r="V475" s="349"/>
      <c r="W475" s="350"/>
      <c r="X475" s="351"/>
      <c r="Y475" s="352"/>
      <c r="Z475" s="353"/>
      <c r="AA475" s="354"/>
      <c r="AB475" s="339"/>
    </row>
    <row r="476" spans="1:28" s="340" customFormat="1">
      <c r="A476" s="711"/>
      <c r="B476" s="342" t="s">
        <v>187</v>
      </c>
      <c r="C476" s="418">
        <v>30679</v>
      </c>
      <c r="D476" s="344" t="s">
        <v>207</v>
      </c>
      <c r="E476" s="383" t="s">
        <v>206</v>
      </c>
      <c r="F476" s="344" t="s">
        <v>207</v>
      </c>
      <c r="G476" s="589">
        <v>46220</v>
      </c>
      <c r="H476" s="346"/>
      <c r="I476" s="346" t="s">
        <v>183</v>
      </c>
      <c r="J476" s="305">
        <v>0.77083333333333337</v>
      </c>
      <c r="K476" s="305">
        <v>0.1673611111111111</v>
      </c>
      <c r="L476" s="347" t="s">
        <v>168</v>
      </c>
      <c r="M476" s="348">
        <v>8</v>
      </c>
      <c r="N476" s="348"/>
      <c r="O476" s="348">
        <v>6</v>
      </c>
      <c r="P476" s="348"/>
      <c r="Q476" s="349"/>
      <c r="R476" s="348"/>
      <c r="S476" s="348"/>
      <c r="T476" s="349"/>
      <c r="U476" s="348"/>
      <c r="V476" s="349"/>
      <c r="W476" s="350"/>
      <c r="X476" s="351"/>
      <c r="Y476" s="352"/>
      <c r="Z476" s="353"/>
      <c r="AA476" s="354"/>
      <c r="AB476" s="339"/>
    </row>
    <row r="477" spans="1:28" s="340" customFormat="1">
      <c r="A477" s="711"/>
      <c r="B477" s="342" t="s">
        <v>187</v>
      </c>
      <c r="C477" s="418">
        <v>30679</v>
      </c>
      <c r="D477" s="344" t="s">
        <v>207</v>
      </c>
      <c r="E477" s="383" t="s">
        <v>206</v>
      </c>
      <c r="F477" s="344" t="s">
        <v>207</v>
      </c>
      <c r="G477" s="589">
        <v>46221</v>
      </c>
      <c r="H477" s="346"/>
      <c r="I477" s="346" t="s">
        <v>183</v>
      </c>
      <c r="J477" s="305">
        <v>0.7729166666666667</v>
      </c>
      <c r="K477" s="305">
        <v>0.16666666666666666</v>
      </c>
      <c r="L477" s="347" t="s">
        <v>168</v>
      </c>
      <c r="M477" s="348">
        <v>8</v>
      </c>
      <c r="N477" s="348"/>
      <c r="O477" s="348">
        <v>6</v>
      </c>
      <c r="P477" s="348"/>
      <c r="Q477" s="349"/>
      <c r="R477" s="348"/>
      <c r="S477" s="348"/>
      <c r="T477" s="349"/>
      <c r="U477" s="348"/>
      <c r="V477" s="349"/>
      <c r="W477" s="350"/>
      <c r="X477" s="351"/>
      <c r="Y477" s="352"/>
      <c r="Z477" s="353"/>
      <c r="AA477" s="354"/>
      <c r="AB477" s="339"/>
    </row>
    <row r="478" spans="1:28" s="340" customFormat="1">
      <c r="A478" s="711"/>
      <c r="B478" s="342" t="s">
        <v>187</v>
      </c>
      <c r="C478" s="418">
        <v>30679</v>
      </c>
      <c r="D478" s="344" t="s">
        <v>207</v>
      </c>
      <c r="E478" s="383" t="s">
        <v>206</v>
      </c>
      <c r="F478" s="344" t="s">
        <v>207</v>
      </c>
      <c r="G478" s="590">
        <v>46222</v>
      </c>
      <c r="H478" s="346"/>
      <c r="I478" s="346"/>
      <c r="J478" s="699" t="s">
        <v>173</v>
      </c>
      <c r="K478" s="700"/>
      <c r="L478" s="347"/>
      <c r="M478" s="348"/>
      <c r="N478" s="348"/>
      <c r="O478" s="348"/>
      <c r="P478" s="348"/>
      <c r="Q478" s="349"/>
      <c r="R478" s="348"/>
      <c r="S478" s="348"/>
      <c r="T478" s="349"/>
      <c r="U478" s="348"/>
      <c r="V478" s="349"/>
      <c r="W478" s="350"/>
      <c r="X478" s="351"/>
      <c r="Y478" s="352"/>
      <c r="Z478" s="353"/>
      <c r="AA478" s="354"/>
      <c r="AB478" s="339"/>
    </row>
    <row r="479" spans="1:28" s="340" customFormat="1">
      <c r="A479" s="711"/>
      <c r="B479" s="342" t="s">
        <v>187</v>
      </c>
      <c r="C479" s="418">
        <v>30679</v>
      </c>
      <c r="D479" s="344" t="s">
        <v>207</v>
      </c>
      <c r="E479" s="383" t="s">
        <v>206</v>
      </c>
      <c r="F479" s="344" t="s">
        <v>207</v>
      </c>
      <c r="G479" s="589">
        <v>46223</v>
      </c>
      <c r="H479" s="346"/>
      <c r="I479" s="346" t="s">
        <v>183</v>
      </c>
      <c r="J479" s="295">
        <v>0.77083333333333337</v>
      </c>
      <c r="K479" s="295">
        <v>0.16666666666666666</v>
      </c>
      <c r="L479" s="347" t="s">
        <v>168</v>
      </c>
      <c r="M479" s="348">
        <v>8</v>
      </c>
      <c r="N479" s="348"/>
      <c r="O479" s="348">
        <v>6</v>
      </c>
      <c r="P479" s="348"/>
      <c r="Q479" s="356"/>
      <c r="R479" s="357"/>
      <c r="S479" s="357"/>
      <c r="T479" s="356"/>
      <c r="U479" s="356"/>
      <c r="V479" s="356"/>
      <c r="W479" s="350"/>
      <c r="X479" s="351"/>
      <c r="Y479" s="352"/>
      <c r="Z479" s="353"/>
      <c r="AA479" s="354"/>
      <c r="AB479" s="339"/>
    </row>
    <row r="480" spans="1:28" s="340" customFormat="1">
      <c r="A480" s="711"/>
      <c r="B480" s="342" t="s">
        <v>187</v>
      </c>
      <c r="C480" s="418">
        <v>30679</v>
      </c>
      <c r="D480" s="344" t="s">
        <v>207</v>
      </c>
      <c r="E480" s="383" t="s">
        <v>206</v>
      </c>
      <c r="F480" s="344" t="s">
        <v>207</v>
      </c>
      <c r="G480" s="589">
        <v>46224</v>
      </c>
      <c r="H480" s="346"/>
      <c r="I480" s="346" t="s">
        <v>183</v>
      </c>
      <c r="J480" s="295">
        <v>0.77569444444444446</v>
      </c>
      <c r="K480" s="295">
        <v>0.16666666666666666</v>
      </c>
      <c r="L480" s="347" t="s">
        <v>168</v>
      </c>
      <c r="M480" s="348">
        <v>8</v>
      </c>
      <c r="N480" s="348"/>
      <c r="O480" s="348">
        <v>6</v>
      </c>
      <c r="P480" s="348"/>
      <c r="Q480" s="364"/>
      <c r="R480" s="365"/>
      <c r="S480" s="365"/>
      <c r="T480" s="356"/>
      <c r="U480" s="357"/>
      <c r="V480" s="356"/>
      <c r="W480" s="358"/>
      <c r="X480" s="359"/>
      <c r="Y480" s="360"/>
      <c r="Z480" s="361"/>
      <c r="AA480" s="362"/>
      <c r="AB480" s="339"/>
    </row>
    <row r="481" spans="1:28" s="340" customFormat="1">
      <c r="A481" s="711"/>
      <c r="B481" s="342" t="s">
        <v>187</v>
      </c>
      <c r="C481" s="418">
        <v>30679</v>
      </c>
      <c r="D481" s="344" t="s">
        <v>207</v>
      </c>
      <c r="E481" s="383" t="s">
        <v>206</v>
      </c>
      <c r="F481" s="344" t="s">
        <v>207</v>
      </c>
      <c r="G481" s="589">
        <v>46225</v>
      </c>
      <c r="H481" s="346"/>
      <c r="I481" s="346" t="s">
        <v>183</v>
      </c>
      <c r="J481" s="295">
        <v>0.77638888888888891</v>
      </c>
      <c r="K481" s="295">
        <v>0.25</v>
      </c>
      <c r="L481" s="347" t="s">
        <v>168</v>
      </c>
      <c r="M481" s="348">
        <v>8</v>
      </c>
      <c r="N481" s="348">
        <v>2</v>
      </c>
      <c r="O481" s="348">
        <v>6</v>
      </c>
      <c r="P481" s="348">
        <v>2</v>
      </c>
      <c r="Q481" s="349"/>
      <c r="R481" s="348"/>
      <c r="S481" s="348"/>
      <c r="T481" s="349"/>
      <c r="U481" s="348"/>
      <c r="V481" s="349"/>
      <c r="W481" s="350"/>
      <c r="X481" s="351"/>
      <c r="Y481" s="352"/>
      <c r="Z481" s="353"/>
      <c r="AA481" s="354"/>
      <c r="AB481" s="339"/>
    </row>
    <row r="482" spans="1:28" s="340" customFormat="1">
      <c r="A482" s="711"/>
      <c r="B482" s="342" t="s">
        <v>187</v>
      </c>
      <c r="C482" s="418">
        <v>30679</v>
      </c>
      <c r="D482" s="344" t="s">
        <v>207</v>
      </c>
      <c r="E482" s="383" t="s">
        <v>206</v>
      </c>
      <c r="F482" s="344" t="s">
        <v>207</v>
      </c>
      <c r="G482" s="589">
        <v>46226</v>
      </c>
      <c r="H482" s="346"/>
      <c r="I482" s="346" t="s">
        <v>183</v>
      </c>
      <c r="J482" s="295">
        <v>0.77777777777777779</v>
      </c>
      <c r="K482" s="295">
        <v>0.25</v>
      </c>
      <c r="L482" s="347" t="s">
        <v>168</v>
      </c>
      <c r="M482" s="348">
        <v>8</v>
      </c>
      <c r="N482" s="348">
        <v>2</v>
      </c>
      <c r="O482" s="348">
        <v>6</v>
      </c>
      <c r="P482" s="348">
        <v>2</v>
      </c>
      <c r="Q482" s="349"/>
      <c r="R482" s="348"/>
      <c r="S482" s="348"/>
      <c r="T482" s="349"/>
      <c r="U482" s="348"/>
      <c r="V482" s="349"/>
      <c r="W482" s="350"/>
      <c r="X482" s="351"/>
      <c r="Y482" s="352"/>
      <c r="Z482" s="353"/>
      <c r="AA482" s="354"/>
      <c r="AB482" s="339"/>
    </row>
    <row r="483" spans="1:28" s="340" customFormat="1">
      <c r="A483" s="711"/>
      <c r="B483" s="342" t="s">
        <v>187</v>
      </c>
      <c r="C483" s="418">
        <v>30679</v>
      </c>
      <c r="D483" s="344" t="s">
        <v>207</v>
      </c>
      <c r="E483" s="383" t="s">
        <v>206</v>
      </c>
      <c r="F483" s="344" t="s">
        <v>207</v>
      </c>
      <c r="G483" s="589">
        <v>46227</v>
      </c>
      <c r="H483" s="346"/>
      <c r="I483" s="346" t="s">
        <v>183</v>
      </c>
      <c r="J483" s="295">
        <v>0.77569444444444446</v>
      </c>
      <c r="K483" s="318">
        <v>0.16666666666666666</v>
      </c>
      <c r="L483" s="347" t="s">
        <v>168</v>
      </c>
      <c r="M483" s="348">
        <v>8</v>
      </c>
      <c r="N483" s="348"/>
      <c r="O483" s="348">
        <v>6</v>
      </c>
      <c r="P483" s="348"/>
      <c r="Q483" s="368"/>
      <c r="R483" s="366"/>
      <c r="S483" s="366"/>
      <c r="T483" s="349"/>
      <c r="U483" s="348"/>
      <c r="V483" s="349"/>
      <c r="W483" s="350"/>
      <c r="X483" s="351"/>
      <c r="Y483" s="352"/>
      <c r="Z483" s="353"/>
      <c r="AA483" s="354"/>
      <c r="AB483" s="339"/>
    </row>
    <row r="484" spans="1:28" s="340" customFormat="1">
      <c r="A484" s="711"/>
      <c r="B484" s="342" t="s">
        <v>187</v>
      </c>
      <c r="C484" s="418">
        <v>30679</v>
      </c>
      <c r="D484" s="344" t="s">
        <v>207</v>
      </c>
      <c r="E484" s="383" t="s">
        <v>206</v>
      </c>
      <c r="F484" s="344" t="s">
        <v>207</v>
      </c>
      <c r="G484" s="589">
        <v>46228</v>
      </c>
      <c r="H484" s="346"/>
      <c r="I484" s="346" t="s">
        <v>183</v>
      </c>
      <c r="J484" s="295"/>
      <c r="K484" s="295"/>
      <c r="L484" s="347"/>
      <c r="M484" s="348"/>
      <c r="N484" s="348"/>
      <c r="O484" s="348"/>
      <c r="P484" s="348"/>
      <c r="Q484" s="349"/>
      <c r="R484" s="348"/>
      <c r="S484" s="320"/>
      <c r="T484" s="349"/>
      <c r="U484" s="348"/>
      <c r="V484" s="349"/>
      <c r="W484" s="350"/>
      <c r="X484" s="351"/>
      <c r="Y484" s="352"/>
      <c r="Z484" s="353"/>
      <c r="AA484" s="354"/>
      <c r="AB484" s="339"/>
    </row>
    <row r="485" spans="1:28" s="340" customFormat="1">
      <c r="A485" s="711"/>
      <c r="B485" s="342"/>
      <c r="C485" s="418"/>
      <c r="D485" s="344"/>
      <c r="E485" s="383"/>
      <c r="F485" s="344"/>
      <c r="G485" s="594"/>
      <c r="H485" s="346"/>
      <c r="I485" s="346"/>
      <c r="J485" s="369"/>
      <c r="K485" s="370"/>
      <c r="L485" s="371"/>
      <c r="M485" s="363"/>
      <c r="N485" s="363"/>
      <c r="O485" s="363"/>
      <c r="P485" s="363"/>
      <c r="Q485" s="372"/>
      <c r="R485" s="363"/>
      <c r="S485" s="324"/>
      <c r="T485" s="349"/>
      <c r="U485" s="348"/>
      <c r="V485" s="349"/>
      <c r="W485" s="350"/>
      <c r="X485" s="351"/>
      <c r="Y485" s="352"/>
      <c r="Z485" s="353"/>
      <c r="AA485" s="354"/>
      <c r="AB485" s="339"/>
    </row>
    <row r="486" spans="1:28" s="340" customFormat="1">
      <c r="A486" s="712"/>
      <c r="B486" s="342"/>
      <c r="C486" s="418"/>
      <c r="D486" s="344"/>
      <c r="E486" s="383"/>
      <c r="F486" s="344"/>
      <c r="G486" s="595"/>
      <c r="H486" s="374"/>
      <c r="I486" s="346"/>
      <c r="J486" s="430"/>
      <c r="K486" s="431"/>
      <c r="L486" s="432"/>
      <c r="M486" s="432">
        <f t="shared" ref="M486:S486" si="26">SUM(M470:M485)</f>
        <v>88</v>
      </c>
      <c r="N486" s="432">
        <f t="shared" si="26"/>
        <v>6</v>
      </c>
      <c r="O486" s="432">
        <f t="shared" si="26"/>
        <v>60</v>
      </c>
      <c r="P486" s="432">
        <f t="shared" si="26"/>
        <v>6</v>
      </c>
      <c r="Q486" s="432">
        <f t="shared" si="26"/>
        <v>0</v>
      </c>
      <c r="R486" s="432">
        <f t="shared" si="26"/>
        <v>0</v>
      </c>
      <c r="S486" s="432">
        <f t="shared" si="26"/>
        <v>0</v>
      </c>
      <c r="T486" s="377">
        <f t="shared" ref="T486:AA486" si="27">SUM(T469:T485)</f>
        <v>0</v>
      </c>
      <c r="U486" s="377">
        <f t="shared" si="27"/>
        <v>0</v>
      </c>
      <c r="V486" s="377">
        <f t="shared" si="27"/>
        <v>0</v>
      </c>
      <c r="W486" s="377">
        <f t="shared" si="27"/>
        <v>0</v>
      </c>
      <c r="X486" s="377">
        <f t="shared" si="27"/>
        <v>0</v>
      </c>
      <c r="Y486" s="377">
        <f t="shared" si="27"/>
        <v>0</v>
      </c>
      <c r="Z486" s="377">
        <f t="shared" si="27"/>
        <v>0</v>
      </c>
      <c r="AA486" s="377">
        <f t="shared" si="27"/>
        <v>0</v>
      </c>
      <c r="AB486" s="339"/>
    </row>
    <row r="487" spans="1:28" s="340" customFormat="1">
      <c r="A487" s="280" t="s">
        <v>170</v>
      </c>
      <c r="B487" s="280" t="s">
        <v>120</v>
      </c>
      <c r="C487" s="280" t="s">
        <v>152</v>
      </c>
      <c r="D487" s="280" t="s">
        <v>182</v>
      </c>
      <c r="E487" s="281" t="s">
        <v>153</v>
      </c>
      <c r="F487" s="280" t="s">
        <v>182</v>
      </c>
      <c r="G487" s="593" t="s">
        <v>401</v>
      </c>
      <c r="H487" s="333"/>
      <c r="I487" s="334" t="s">
        <v>181</v>
      </c>
      <c r="J487" s="335" t="s">
        <v>154</v>
      </c>
      <c r="K487" s="335" t="s">
        <v>155</v>
      </c>
      <c r="L487" s="336" t="s">
        <v>156</v>
      </c>
      <c r="M487" s="337" t="s">
        <v>157</v>
      </c>
      <c r="N487" s="336" t="s">
        <v>158</v>
      </c>
      <c r="O487" s="336" t="s">
        <v>159</v>
      </c>
      <c r="P487" s="336" t="s">
        <v>174</v>
      </c>
      <c r="Q487" s="336" t="s">
        <v>160</v>
      </c>
      <c r="R487" s="336" t="s">
        <v>161</v>
      </c>
      <c r="S487" s="336" t="s">
        <v>162</v>
      </c>
      <c r="T487" s="334" t="s">
        <v>163</v>
      </c>
      <c r="U487" s="334" t="s">
        <v>164</v>
      </c>
      <c r="V487" s="334" t="s">
        <v>165</v>
      </c>
      <c r="W487" s="336" t="s">
        <v>113</v>
      </c>
      <c r="X487" s="334" t="s">
        <v>121</v>
      </c>
      <c r="Y487" s="334" t="s">
        <v>166</v>
      </c>
      <c r="Z487" s="338" t="s">
        <v>175</v>
      </c>
      <c r="AA487" s="338" t="s">
        <v>167</v>
      </c>
      <c r="AB487" s="339"/>
    </row>
    <row r="488" spans="1:28" s="340" customFormat="1">
      <c r="A488" s="710"/>
      <c r="B488" s="342" t="s">
        <v>187</v>
      </c>
      <c r="C488" s="384">
        <v>30254</v>
      </c>
      <c r="D488" s="344" t="s">
        <v>205</v>
      </c>
      <c r="E488" s="345" t="s">
        <v>204</v>
      </c>
      <c r="F488" s="344" t="s">
        <v>205</v>
      </c>
      <c r="G488" s="589">
        <v>46214</v>
      </c>
      <c r="H488" s="346"/>
      <c r="I488" s="346"/>
      <c r="J488" s="295"/>
      <c r="K488" s="295"/>
      <c r="L488" s="347"/>
      <c r="M488" s="348"/>
      <c r="N488" s="348"/>
      <c r="O488" s="348"/>
      <c r="P488" s="348"/>
      <c r="Q488" s="349"/>
      <c r="R488" s="348"/>
      <c r="S488" s="348"/>
      <c r="T488" s="349"/>
      <c r="U488" s="348"/>
      <c r="V488" s="349"/>
      <c r="W488" s="350"/>
      <c r="X488" s="351"/>
      <c r="Y488" s="352"/>
      <c r="Z488" s="353"/>
      <c r="AA488" s="354"/>
      <c r="AB488" s="339"/>
    </row>
    <row r="489" spans="1:28" s="340" customFormat="1">
      <c r="A489" s="711"/>
      <c r="B489" s="342" t="s">
        <v>187</v>
      </c>
      <c r="C489" s="384">
        <v>30254</v>
      </c>
      <c r="D489" s="344" t="s">
        <v>205</v>
      </c>
      <c r="E489" s="345" t="s">
        <v>204</v>
      </c>
      <c r="F489" s="344" t="s">
        <v>205</v>
      </c>
      <c r="G489" s="590">
        <v>46215</v>
      </c>
      <c r="H489" s="346"/>
      <c r="I489" s="346"/>
      <c r="J489" s="699" t="s">
        <v>173</v>
      </c>
      <c r="K489" s="700"/>
      <c r="L489" s="347"/>
      <c r="M489" s="348"/>
      <c r="N489" s="348"/>
      <c r="O489" s="348"/>
      <c r="P489" s="348"/>
      <c r="Q489" s="349"/>
      <c r="R489" s="348"/>
      <c r="S489" s="348"/>
      <c r="T489" s="349"/>
      <c r="U489" s="348"/>
      <c r="V489" s="349"/>
      <c r="W489" s="350"/>
      <c r="X489" s="351"/>
      <c r="Y489" s="352"/>
      <c r="Z489" s="353"/>
      <c r="AA489" s="354"/>
      <c r="AB489" s="339"/>
    </row>
    <row r="490" spans="1:28" s="340" customFormat="1">
      <c r="A490" s="711"/>
      <c r="B490" s="342" t="s">
        <v>187</v>
      </c>
      <c r="C490" s="384">
        <v>30254</v>
      </c>
      <c r="D490" s="344" t="s">
        <v>205</v>
      </c>
      <c r="E490" s="345" t="s">
        <v>204</v>
      </c>
      <c r="F490" s="344" t="s">
        <v>205</v>
      </c>
      <c r="G490" s="589">
        <v>46216</v>
      </c>
      <c r="H490" s="346"/>
      <c r="I490" s="346" t="s">
        <v>183</v>
      </c>
      <c r="J490" s="305">
        <v>0.75486111111111109</v>
      </c>
      <c r="K490" s="305">
        <v>0.1673611111111111</v>
      </c>
      <c r="L490" s="347" t="s">
        <v>168</v>
      </c>
      <c r="M490" s="348">
        <v>8</v>
      </c>
      <c r="N490" s="348"/>
      <c r="O490" s="348">
        <v>6</v>
      </c>
      <c r="P490" s="348"/>
      <c r="Q490" s="349"/>
      <c r="R490" s="348"/>
      <c r="S490" s="348"/>
      <c r="T490" s="349"/>
      <c r="U490" s="348"/>
      <c r="V490" s="349"/>
      <c r="W490" s="350"/>
      <c r="X490" s="351"/>
      <c r="Y490" s="352"/>
      <c r="Z490" s="353"/>
      <c r="AA490" s="354"/>
      <c r="AB490" s="339"/>
    </row>
    <row r="491" spans="1:28" s="340" customFormat="1">
      <c r="A491" s="711"/>
      <c r="B491" s="342" t="s">
        <v>187</v>
      </c>
      <c r="C491" s="384">
        <v>30254</v>
      </c>
      <c r="D491" s="344" t="s">
        <v>205</v>
      </c>
      <c r="E491" s="345" t="s">
        <v>204</v>
      </c>
      <c r="F491" s="344" t="s">
        <v>205</v>
      </c>
      <c r="G491" s="589">
        <v>46217</v>
      </c>
      <c r="H491" s="346"/>
      <c r="I491" s="346" t="s">
        <v>183</v>
      </c>
      <c r="J491" s="305">
        <v>0.7631944444444444</v>
      </c>
      <c r="K491" s="305">
        <v>0.16666666666666666</v>
      </c>
      <c r="L491" s="347" t="s">
        <v>168</v>
      </c>
      <c r="M491" s="348">
        <v>8</v>
      </c>
      <c r="N491" s="348"/>
      <c r="O491" s="348">
        <v>6</v>
      </c>
      <c r="P491" s="357"/>
      <c r="Q491" s="356"/>
      <c r="R491" s="357"/>
      <c r="S491" s="357"/>
      <c r="T491" s="356"/>
      <c r="U491" s="357"/>
      <c r="V491" s="356"/>
      <c r="W491" s="358"/>
      <c r="X491" s="359"/>
      <c r="Y491" s="360"/>
      <c r="Z491" s="361"/>
      <c r="AA491" s="362"/>
      <c r="AB491" s="339"/>
    </row>
    <row r="492" spans="1:28" s="340" customFormat="1">
      <c r="A492" s="711"/>
      <c r="B492" s="342" t="s">
        <v>187</v>
      </c>
      <c r="C492" s="384">
        <v>30254</v>
      </c>
      <c r="D492" s="344" t="s">
        <v>205</v>
      </c>
      <c r="E492" s="345" t="s">
        <v>204</v>
      </c>
      <c r="F492" s="344" t="s">
        <v>205</v>
      </c>
      <c r="G492" s="589">
        <v>46218</v>
      </c>
      <c r="H492" s="346"/>
      <c r="I492" s="346" t="s">
        <v>183</v>
      </c>
      <c r="J492" s="305">
        <v>0.75416666666666676</v>
      </c>
      <c r="K492" s="305">
        <v>0.1673611111111111</v>
      </c>
      <c r="L492" s="347" t="s">
        <v>168</v>
      </c>
      <c r="M492" s="348">
        <v>8</v>
      </c>
      <c r="N492" s="348"/>
      <c r="O492" s="348">
        <v>6</v>
      </c>
      <c r="P492" s="348"/>
      <c r="Q492" s="349"/>
      <c r="R492" s="348"/>
      <c r="S492" s="348"/>
      <c r="T492" s="349"/>
      <c r="U492" s="348"/>
      <c r="V492" s="349"/>
      <c r="W492" s="350"/>
      <c r="X492" s="351"/>
      <c r="Y492" s="352"/>
      <c r="Z492" s="353"/>
      <c r="AA492" s="354"/>
      <c r="AB492" s="339"/>
    </row>
    <row r="493" spans="1:28" s="340" customFormat="1">
      <c r="A493" s="711"/>
      <c r="B493" s="342" t="s">
        <v>187</v>
      </c>
      <c r="C493" s="384">
        <v>30254</v>
      </c>
      <c r="D493" s="344" t="s">
        <v>205</v>
      </c>
      <c r="E493" s="345" t="s">
        <v>204</v>
      </c>
      <c r="F493" s="344" t="s">
        <v>205</v>
      </c>
      <c r="G493" s="589">
        <v>46219</v>
      </c>
      <c r="H493" s="346"/>
      <c r="I493" s="346" t="s">
        <v>183</v>
      </c>
      <c r="J493" s="305">
        <v>0.76458333333333339</v>
      </c>
      <c r="K493" s="305">
        <v>0.1673611111111111</v>
      </c>
      <c r="L493" s="347" t="s">
        <v>168</v>
      </c>
      <c r="M493" s="348">
        <v>8</v>
      </c>
      <c r="N493" s="348"/>
      <c r="O493" s="348">
        <v>6</v>
      </c>
      <c r="P493" s="348"/>
      <c r="Q493" s="349"/>
      <c r="R493" s="348"/>
      <c r="S493" s="348"/>
      <c r="T493" s="349"/>
      <c r="U493" s="348"/>
      <c r="V493" s="349"/>
      <c r="W493" s="350"/>
      <c r="X493" s="351"/>
      <c r="Y493" s="352"/>
      <c r="Z493" s="353"/>
      <c r="AA493" s="354"/>
      <c r="AB493" s="339"/>
    </row>
    <row r="494" spans="1:28" s="340" customFormat="1">
      <c r="A494" s="711"/>
      <c r="B494" s="342" t="s">
        <v>187</v>
      </c>
      <c r="C494" s="384">
        <v>30254</v>
      </c>
      <c r="D494" s="344" t="s">
        <v>205</v>
      </c>
      <c r="E494" s="345" t="s">
        <v>204</v>
      </c>
      <c r="F494" s="344" t="s">
        <v>205</v>
      </c>
      <c r="G494" s="589">
        <v>46220</v>
      </c>
      <c r="H494" s="346"/>
      <c r="I494" s="346" t="s">
        <v>183</v>
      </c>
      <c r="J494" s="305">
        <v>0.76597222222222228</v>
      </c>
      <c r="K494" s="305">
        <v>0.1673611111111111</v>
      </c>
      <c r="L494" s="347" t="s">
        <v>168</v>
      </c>
      <c r="M494" s="348">
        <v>8</v>
      </c>
      <c r="N494" s="348"/>
      <c r="O494" s="348">
        <v>6</v>
      </c>
      <c r="P494" s="348"/>
      <c r="Q494" s="349"/>
      <c r="R494" s="348"/>
      <c r="S494" s="348"/>
      <c r="T494" s="349"/>
      <c r="U494" s="348"/>
      <c r="V494" s="349"/>
      <c r="W494" s="350"/>
      <c r="X494" s="351"/>
      <c r="Y494" s="352"/>
      <c r="Z494" s="353"/>
      <c r="AA494" s="354"/>
      <c r="AB494" s="339"/>
    </row>
    <row r="495" spans="1:28" s="340" customFormat="1">
      <c r="A495" s="711"/>
      <c r="B495" s="342" t="s">
        <v>187</v>
      </c>
      <c r="C495" s="384">
        <v>30254</v>
      </c>
      <c r="D495" s="344" t="s">
        <v>205</v>
      </c>
      <c r="E495" s="345" t="s">
        <v>204</v>
      </c>
      <c r="F495" s="344" t="s">
        <v>205</v>
      </c>
      <c r="G495" s="589">
        <v>46221</v>
      </c>
      <c r="H495" s="346"/>
      <c r="I495" s="346" t="s">
        <v>183</v>
      </c>
      <c r="J495" s="305"/>
      <c r="K495" s="305"/>
      <c r="L495" s="347"/>
      <c r="M495" s="348"/>
      <c r="N495" s="348"/>
      <c r="O495" s="348"/>
      <c r="P495" s="348"/>
      <c r="Q495" s="349"/>
      <c r="R495" s="348"/>
      <c r="S495" s="348"/>
      <c r="T495" s="349"/>
      <c r="U495" s="348"/>
      <c r="V495" s="349"/>
      <c r="W495" s="350"/>
      <c r="X495" s="351"/>
      <c r="Y495" s="352"/>
      <c r="Z495" s="353"/>
      <c r="AA495" s="354"/>
      <c r="AB495" s="339"/>
    </row>
    <row r="496" spans="1:28" s="340" customFormat="1">
      <c r="A496" s="711"/>
      <c r="B496" s="342" t="s">
        <v>187</v>
      </c>
      <c r="C496" s="384">
        <v>30254</v>
      </c>
      <c r="D496" s="344" t="s">
        <v>205</v>
      </c>
      <c r="E496" s="345" t="s">
        <v>204</v>
      </c>
      <c r="F496" s="344" t="s">
        <v>205</v>
      </c>
      <c r="G496" s="590">
        <v>46222</v>
      </c>
      <c r="H496" s="346"/>
      <c r="I496" s="346"/>
      <c r="J496" s="699" t="s">
        <v>173</v>
      </c>
      <c r="K496" s="700"/>
      <c r="L496" s="347"/>
      <c r="M496" s="348"/>
      <c r="N496" s="348"/>
      <c r="O496" s="348"/>
      <c r="P496" s="348"/>
      <c r="Q496" s="349"/>
      <c r="R496" s="348"/>
      <c r="S496" s="348"/>
      <c r="T496" s="349"/>
      <c r="U496" s="348"/>
      <c r="V496" s="349"/>
      <c r="W496" s="350"/>
      <c r="X496" s="351"/>
      <c r="Y496" s="352"/>
      <c r="Z496" s="353"/>
      <c r="AA496" s="354"/>
      <c r="AB496" s="339"/>
    </row>
    <row r="497" spans="1:28" s="340" customFormat="1">
      <c r="A497" s="711"/>
      <c r="B497" s="342" t="s">
        <v>187</v>
      </c>
      <c r="C497" s="384">
        <v>30254</v>
      </c>
      <c r="D497" s="344" t="s">
        <v>205</v>
      </c>
      <c r="E497" s="345" t="s">
        <v>204</v>
      </c>
      <c r="F497" s="344" t="s">
        <v>205</v>
      </c>
      <c r="G497" s="589">
        <v>46223</v>
      </c>
      <c r="H497" s="346"/>
      <c r="I497" s="346" t="s">
        <v>183</v>
      </c>
      <c r="J497" s="295">
        <v>0.77500000000000002</v>
      </c>
      <c r="K497" s="295">
        <v>0.16805555555555557</v>
      </c>
      <c r="L497" s="347" t="s">
        <v>168</v>
      </c>
      <c r="M497" s="348">
        <v>8</v>
      </c>
      <c r="N497" s="348"/>
      <c r="O497" s="348">
        <v>6</v>
      </c>
      <c r="P497" s="357"/>
      <c r="Q497" s="356"/>
      <c r="R497" s="357"/>
      <c r="S497" s="357"/>
      <c r="T497" s="356"/>
      <c r="U497" s="357"/>
      <c r="V497" s="356"/>
      <c r="W497" s="350"/>
      <c r="X497" s="351"/>
      <c r="Y497" s="352"/>
      <c r="Z497" s="353"/>
      <c r="AA497" s="354"/>
      <c r="AB497" s="339"/>
    </row>
    <row r="498" spans="1:28" s="340" customFormat="1">
      <c r="A498" s="711"/>
      <c r="B498" s="342" t="s">
        <v>187</v>
      </c>
      <c r="C498" s="384">
        <v>30254</v>
      </c>
      <c r="D498" s="344" t="s">
        <v>205</v>
      </c>
      <c r="E498" s="345" t="s">
        <v>204</v>
      </c>
      <c r="F498" s="344" t="s">
        <v>205</v>
      </c>
      <c r="G498" s="589">
        <v>46224</v>
      </c>
      <c r="H498" s="346"/>
      <c r="I498" s="346" t="s">
        <v>183</v>
      </c>
      <c r="J498" s="295">
        <v>0.75486111111111109</v>
      </c>
      <c r="K498" s="295">
        <v>0.16805555555555557</v>
      </c>
      <c r="L498" s="347" t="s">
        <v>168</v>
      </c>
      <c r="M498" s="348">
        <v>8</v>
      </c>
      <c r="N498" s="343"/>
      <c r="O498" s="343">
        <v>6</v>
      </c>
      <c r="P498" s="585"/>
      <c r="Q498" s="364"/>
      <c r="R498" s="365"/>
      <c r="S498" s="365"/>
      <c r="T498" s="356"/>
      <c r="U498" s="357"/>
      <c r="V498" s="356"/>
      <c r="W498" s="358"/>
      <c r="X498" s="359"/>
      <c r="Y498" s="360"/>
      <c r="Z498" s="361"/>
      <c r="AA498" s="362"/>
      <c r="AB498" s="339"/>
    </row>
    <row r="499" spans="1:28" s="340" customFormat="1">
      <c r="A499" s="711"/>
      <c r="B499" s="342" t="s">
        <v>187</v>
      </c>
      <c r="C499" s="384">
        <v>30254</v>
      </c>
      <c r="D499" s="344" t="s">
        <v>205</v>
      </c>
      <c r="E499" s="345" t="s">
        <v>204</v>
      </c>
      <c r="F499" s="344" t="s">
        <v>205</v>
      </c>
      <c r="G499" s="589">
        <v>46225</v>
      </c>
      <c r="H499" s="346"/>
      <c r="I499" s="346" t="s">
        <v>183</v>
      </c>
      <c r="J499" s="295">
        <v>0.77708333333333335</v>
      </c>
      <c r="K499" s="417">
        <v>0.24930555555555556</v>
      </c>
      <c r="L499" s="347" t="s">
        <v>168</v>
      </c>
      <c r="M499" s="348">
        <v>8</v>
      </c>
      <c r="N499" s="343">
        <v>1.5</v>
      </c>
      <c r="O499" s="343">
        <v>5.5</v>
      </c>
      <c r="P499" s="343">
        <v>1.5</v>
      </c>
      <c r="Q499" s="349"/>
      <c r="R499" s="348"/>
      <c r="S499" s="348"/>
      <c r="T499" s="349"/>
      <c r="U499" s="348"/>
      <c r="V499" s="349"/>
      <c r="W499" s="350"/>
      <c r="X499" s="351"/>
      <c r="Y499" s="352"/>
      <c r="Z499" s="353"/>
      <c r="AA499" s="354">
        <v>1</v>
      </c>
      <c r="AB499" s="339"/>
    </row>
    <row r="500" spans="1:28" s="340" customFormat="1">
      <c r="A500" s="711"/>
      <c r="B500" s="342" t="s">
        <v>187</v>
      </c>
      <c r="C500" s="384">
        <v>30254</v>
      </c>
      <c r="D500" s="344" t="s">
        <v>205</v>
      </c>
      <c r="E500" s="345" t="s">
        <v>204</v>
      </c>
      <c r="F500" s="344" t="s">
        <v>205</v>
      </c>
      <c r="G500" s="589">
        <v>46226</v>
      </c>
      <c r="H500" s="346"/>
      <c r="I500" s="346" t="s">
        <v>183</v>
      </c>
      <c r="J500" s="295">
        <v>0.77430555555555558</v>
      </c>
      <c r="K500" s="417">
        <v>0.24930555555555556</v>
      </c>
      <c r="L500" s="347" t="s">
        <v>168</v>
      </c>
      <c r="M500" s="348">
        <v>8</v>
      </c>
      <c r="N500" s="343">
        <v>1.5</v>
      </c>
      <c r="O500" s="343">
        <v>5.5</v>
      </c>
      <c r="P500" s="586">
        <v>1.5</v>
      </c>
      <c r="Q500" s="349"/>
      <c r="R500" s="348"/>
      <c r="S500" s="348"/>
      <c r="T500" s="349"/>
      <c r="U500" s="348"/>
      <c r="V500" s="349"/>
      <c r="W500" s="350"/>
      <c r="X500" s="351"/>
      <c r="Y500" s="352"/>
      <c r="Z500" s="353"/>
      <c r="AA500" s="354">
        <v>1</v>
      </c>
      <c r="AB500" s="339"/>
    </row>
    <row r="501" spans="1:28" s="340" customFormat="1">
      <c r="A501" s="711"/>
      <c r="B501" s="342" t="s">
        <v>187</v>
      </c>
      <c r="C501" s="384">
        <v>30254</v>
      </c>
      <c r="D501" s="344" t="s">
        <v>205</v>
      </c>
      <c r="E501" s="345" t="s">
        <v>204</v>
      </c>
      <c r="F501" s="344" t="s">
        <v>205</v>
      </c>
      <c r="G501" s="589">
        <v>46227</v>
      </c>
      <c r="H501" s="346"/>
      <c r="I501" s="346" t="s">
        <v>183</v>
      </c>
      <c r="J501" s="295">
        <v>0.75416666666666665</v>
      </c>
      <c r="K501" s="318">
        <v>0.16666666666666666</v>
      </c>
      <c r="L501" s="347" t="s">
        <v>168</v>
      </c>
      <c r="M501" s="348">
        <v>8</v>
      </c>
      <c r="N501" s="343"/>
      <c r="O501" s="343">
        <v>6</v>
      </c>
      <c r="P501" s="587"/>
      <c r="Q501" s="368"/>
      <c r="R501" s="366"/>
      <c r="S501" s="366"/>
      <c r="T501" s="349"/>
      <c r="U501" s="348"/>
      <c r="V501" s="349"/>
      <c r="W501" s="350"/>
      <c r="X501" s="351"/>
      <c r="Y501" s="352"/>
      <c r="Z501" s="353"/>
      <c r="AA501" s="354"/>
      <c r="AB501" s="339"/>
    </row>
    <row r="502" spans="1:28" s="340" customFormat="1">
      <c r="A502" s="711"/>
      <c r="B502" s="342" t="s">
        <v>187</v>
      </c>
      <c r="C502" s="384">
        <v>30254</v>
      </c>
      <c r="D502" s="344" t="s">
        <v>205</v>
      </c>
      <c r="E502" s="345" t="s">
        <v>204</v>
      </c>
      <c r="F502" s="344" t="s">
        <v>205</v>
      </c>
      <c r="G502" s="589">
        <v>46228</v>
      </c>
      <c r="H502" s="346"/>
      <c r="I502" s="346" t="s">
        <v>183</v>
      </c>
      <c r="J502" s="295"/>
      <c r="K502" s="295"/>
      <c r="L502" s="347"/>
      <c r="M502" s="348"/>
      <c r="N502" s="348"/>
      <c r="O502" s="348"/>
      <c r="P502" s="348"/>
      <c r="Q502" s="349"/>
      <c r="R502" s="348"/>
      <c r="S502" s="320"/>
      <c r="T502" s="349"/>
      <c r="U502" s="348"/>
      <c r="V502" s="349"/>
      <c r="W502" s="350"/>
      <c r="X502" s="351"/>
      <c r="Y502" s="352"/>
      <c r="Z502" s="353"/>
      <c r="AA502" s="354"/>
      <c r="AB502" s="339"/>
    </row>
    <row r="503" spans="1:28" s="340" customFormat="1">
      <c r="A503" s="711"/>
      <c r="B503" s="342"/>
      <c r="C503" s="384"/>
      <c r="D503" s="345"/>
      <c r="E503" s="345"/>
      <c r="F503" s="345"/>
      <c r="G503" s="594"/>
      <c r="H503" s="346"/>
      <c r="I503" s="385"/>
      <c r="J503" s="369"/>
      <c r="K503" s="370"/>
      <c r="L503" s="371"/>
      <c r="M503" s="363"/>
      <c r="N503" s="363"/>
      <c r="O503" s="363"/>
      <c r="P503" s="363"/>
      <c r="Q503" s="372"/>
      <c r="R503" s="363"/>
      <c r="S503" s="324"/>
      <c r="T503" s="349"/>
      <c r="U503" s="348"/>
      <c r="V503" s="349"/>
      <c r="W503" s="350"/>
      <c r="X503" s="351"/>
      <c r="Y503" s="352"/>
      <c r="Z503" s="353"/>
      <c r="AA503" s="354"/>
      <c r="AB503" s="339"/>
    </row>
    <row r="504" spans="1:28" s="340" customFormat="1">
      <c r="A504" s="712"/>
      <c r="B504" s="325"/>
      <c r="C504" s="342"/>
      <c r="D504" s="325"/>
      <c r="E504" s="345"/>
      <c r="F504" s="325"/>
      <c r="G504" s="595"/>
      <c r="H504" s="374"/>
      <c r="I504" s="377"/>
      <c r="J504" s="375"/>
      <c r="K504" s="376"/>
      <c r="L504" s="377"/>
      <c r="M504" s="377">
        <f t="shared" ref="M504:AA504" si="28">SUM(M487:M503)</f>
        <v>80</v>
      </c>
      <c r="N504" s="377">
        <f t="shared" si="28"/>
        <v>3</v>
      </c>
      <c r="O504" s="377">
        <f t="shared" si="28"/>
        <v>59</v>
      </c>
      <c r="P504" s="377">
        <f t="shared" si="28"/>
        <v>3</v>
      </c>
      <c r="Q504" s="377">
        <f t="shared" si="28"/>
        <v>0</v>
      </c>
      <c r="R504" s="377">
        <f t="shared" si="28"/>
        <v>0</v>
      </c>
      <c r="S504" s="377">
        <f t="shared" si="28"/>
        <v>0</v>
      </c>
      <c r="T504" s="377">
        <f t="shared" si="28"/>
        <v>0</v>
      </c>
      <c r="U504" s="377">
        <f t="shared" si="28"/>
        <v>0</v>
      </c>
      <c r="V504" s="377">
        <f t="shared" si="28"/>
        <v>0</v>
      </c>
      <c r="W504" s="377">
        <f t="shared" si="28"/>
        <v>0</v>
      </c>
      <c r="X504" s="377">
        <f t="shared" si="28"/>
        <v>0</v>
      </c>
      <c r="Y504" s="377">
        <f t="shared" si="28"/>
        <v>0</v>
      </c>
      <c r="Z504" s="377">
        <f t="shared" si="28"/>
        <v>0</v>
      </c>
      <c r="AA504" s="392">
        <f t="shared" si="28"/>
        <v>2</v>
      </c>
      <c r="AB504" s="339"/>
    </row>
    <row r="505" spans="1:28" s="340" customFormat="1">
      <c r="A505" s="280" t="s">
        <v>170</v>
      </c>
      <c r="B505" s="280" t="s">
        <v>120</v>
      </c>
      <c r="C505" s="280" t="s">
        <v>152</v>
      </c>
      <c r="D505" s="280" t="s">
        <v>182</v>
      </c>
      <c r="E505" s="281" t="s">
        <v>153</v>
      </c>
      <c r="F505" s="280" t="s">
        <v>182</v>
      </c>
      <c r="G505" s="593" t="s">
        <v>401</v>
      </c>
      <c r="H505" s="333"/>
      <c r="I505" s="334" t="s">
        <v>181</v>
      </c>
      <c r="J505" s="335" t="s">
        <v>154</v>
      </c>
      <c r="K505" s="335" t="s">
        <v>155</v>
      </c>
      <c r="L505" s="336" t="s">
        <v>156</v>
      </c>
      <c r="M505" s="337" t="s">
        <v>157</v>
      </c>
      <c r="N505" s="336" t="s">
        <v>158</v>
      </c>
      <c r="O505" s="336" t="s">
        <v>159</v>
      </c>
      <c r="P505" s="336" t="s">
        <v>174</v>
      </c>
      <c r="Q505" s="336" t="s">
        <v>160</v>
      </c>
      <c r="R505" s="336" t="s">
        <v>161</v>
      </c>
      <c r="S505" s="336" t="s">
        <v>162</v>
      </c>
      <c r="T505" s="334" t="s">
        <v>163</v>
      </c>
      <c r="U505" s="334" t="s">
        <v>164</v>
      </c>
      <c r="V505" s="334" t="s">
        <v>165</v>
      </c>
      <c r="W505" s="336" t="s">
        <v>113</v>
      </c>
      <c r="X505" s="334" t="s">
        <v>121</v>
      </c>
      <c r="Y505" s="334" t="s">
        <v>166</v>
      </c>
      <c r="Z505" s="338" t="s">
        <v>175</v>
      </c>
      <c r="AA505" s="338" t="s">
        <v>167</v>
      </c>
      <c r="AB505" s="339"/>
    </row>
    <row r="506" spans="1:28" s="340" customFormat="1">
      <c r="A506" s="710"/>
      <c r="B506" s="342" t="s">
        <v>187</v>
      </c>
      <c r="C506" s="343">
        <v>6317</v>
      </c>
      <c r="D506" s="344" t="s">
        <v>203</v>
      </c>
      <c r="E506" s="345" t="s">
        <v>202</v>
      </c>
      <c r="F506" s="344" t="s">
        <v>203</v>
      </c>
      <c r="G506" s="589">
        <v>46214</v>
      </c>
      <c r="H506" s="346"/>
      <c r="I506" s="346"/>
      <c r="J506" s="295"/>
      <c r="K506" s="295"/>
      <c r="L506" s="347"/>
      <c r="M506" s="348"/>
      <c r="N506" s="348"/>
      <c r="O506" s="348"/>
      <c r="P506" s="348"/>
      <c r="Q506" s="349"/>
      <c r="R506" s="348"/>
      <c r="S506" s="348"/>
      <c r="T506" s="349"/>
      <c r="U506" s="348"/>
      <c r="V506" s="349"/>
      <c r="W506" s="350"/>
      <c r="X506" s="351"/>
      <c r="Y506" s="352"/>
      <c r="Z506" s="353"/>
      <c r="AA506" s="354"/>
      <c r="AB506" s="339"/>
    </row>
    <row r="507" spans="1:28" s="340" customFormat="1">
      <c r="A507" s="711"/>
      <c r="B507" s="342" t="s">
        <v>187</v>
      </c>
      <c r="C507" s="343">
        <v>6317</v>
      </c>
      <c r="D507" s="344" t="s">
        <v>203</v>
      </c>
      <c r="E507" s="345" t="s">
        <v>202</v>
      </c>
      <c r="F507" s="344" t="s">
        <v>203</v>
      </c>
      <c r="G507" s="590">
        <v>46215</v>
      </c>
      <c r="H507" s="346"/>
      <c r="I507" s="346"/>
      <c r="J507" s="699" t="s">
        <v>173</v>
      </c>
      <c r="K507" s="700"/>
      <c r="L507" s="347"/>
      <c r="M507" s="348"/>
      <c r="N507" s="348"/>
      <c r="O507" s="348"/>
      <c r="P507" s="348"/>
      <c r="Q507" s="349"/>
      <c r="R507" s="348"/>
      <c r="S507" s="348"/>
      <c r="T507" s="349"/>
      <c r="U507" s="348"/>
      <c r="V507" s="349"/>
      <c r="W507" s="350"/>
      <c r="X507" s="359"/>
      <c r="Y507" s="352"/>
      <c r="Z507" s="353"/>
      <c r="AA507" s="354"/>
      <c r="AB507" s="339"/>
    </row>
    <row r="508" spans="1:28" s="340" customFormat="1">
      <c r="A508" s="711"/>
      <c r="B508" s="342" t="s">
        <v>187</v>
      </c>
      <c r="C508" s="342">
        <v>6317</v>
      </c>
      <c r="D508" s="344" t="s">
        <v>203</v>
      </c>
      <c r="E508" s="345" t="s">
        <v>202</v>
      </c>
      <c r="F508" s="344" t="s">
        <v>203</v>
      </c>
      <c r="G508" s="589">
        <v>46216</v>
      </c>
      <c r="H508" s="346"/>
      <c r="I508" s="346" t="s">
        <v>183</v>
      </c>
      <c r="J508" s="305">
        <v>0.77430555555555558</v>
      </c>
      <c r="K508" s="305">
        <v>0.16666666666666666</v>
      </c>
      <c r="L508" s="347" t="s">
        <v>168</v>
      </c>
      <c r="M508" s="348">
        <v>8</v>
      </c>
      <c r="N508" s="348"/>
      <c r="O508" s="348">
        <v>6</v>
      </c>
      <c r="P508" s="348"/>
      <c r="Q508" s="349"/>
      <c r="R508" s="348"/>
      <c r="S508" s="348"/>
      <c r="T508" s="349"/>
      <c r="U508" s="348"/>
      <c r="V508" s="349"/>
      <c r="W508" s="350"/>
      <c r="X508" s="351"/>
      <c r="Y508" s="352"/>
      <c r="Z508" s="353"/>
      <c r="AA508" s="354"/>
      <c r="AB508" s="339"/>
    </row>
    <row r="509" spans="1:28" s="340" customFormat="1">
      <c r="A509" s="711"/>
      <c r="B509" s="342" t="s">
        <v>187</v>
      </c>
      <c r="C509" s="342">
        <v>6317</v>
      </c>
      <c r="D509" s="344" t="s">
        <v>203</v>
      </c>
      <c r="E509" s="345" t="s">
        <v>202</v>
      </c>
      <c r="F509" s="344" t="s">
        <v>203</v>
      </c>
      <c r="G509" s="589">
        <v>46217</v>
      </c>
      <c r="H509" s="346"/>
      <c r="I509" s="346" t="s">
        <v>183</v>
      </c>
      <c r="J509" s="305">
        <v>0.7729166666666667</v>
      </c>
      <c r="K509" s="305">
        <v>0.1673611111111111</v>
      </c>
      <c r="L509" s="347" t="s">
        <v>168</v>
      </c>
      <c r="M509" s="348">
        <v>8</v>
      </c>
      <c r="N509" s="348"/>
      <c r="O509" s="348">
        <v>6</v>
      </c>
      <c r="P509" s="357"/>
      <c r="Q509" s="356"/>
      <c r="R509" s="357"/>
      <c r="S509" s="357"/>
      <c r="T509" s="356"/>
      <c r="U509" s="357"/>
      <c r="V509" s="356"/>
      <c r="W509" s="358"/>
      <c r="X509" s="359"/>
      <c r="Y509" s="360"/>
      <c r="Z509" s="361"/>
      <c r="AA509" s="362"/>
      <c r="AB509" s="339"/>
    </row>
    <row r="510" spans="1:28" s="340" customFormat="1">
      <c r="A510" s="711"/>
      <c r="B510" s="342" t="s">
        <v>187</v>
      </c>
      <c r="C510" s="342">
        <v>6317</v>
      </c>
      <c r="D510" s="344" t="s">
        <v>203</v>
      </c>
      <c r="E510" s="345" t="s">
        <v>202</v>
      </c>
      <c r="F510" s="344" t="s">
        <v>203</v>
      </c>
      <c r="G510" s="589">
        <v>46218</v>
      </c>
      <c r="H510" s="346"/>
      <c r="I510" s="346" t="s">
        <v>183</v>
      </c>
      <c r="J510" s="305">
        <v>0.7715277777777777</v>
      </c>
      <c r="K510" s="305">
        <v>0.16805555555555554</v>
      </c>
      <c r="L510" s="347" t="s">
        <v>168</v>
      </c>
      <c r="M510" s="348">
        <v>8</v>
      </c>
      <c r="N510" s="348"/>
      <c r="O510" s="348">
        <v>6</v>
      </c>
      <c r="P510" s="348"/>
      <c r="Q510" s="349"/>
      <c r="R510" s="348"/>
      <c r="S510" s="348"/>
      <c r="T510" s="349"/>
      <c r="U510" s="348"/>
      <c r="V510" s="349"/>
      <c r="W510" s="350"/>
      <c r="X510" s="351"/>
      <c r="Y510" s="352"/>
      <c r="Z510" s="353"/>
      <c r="AA510" s="354"/>
      <c r="AB510" s="339"/>
    </row>
    <row r="511" spans="1:28" s="340" customFormat="1">
      <c r="A511" s="711"/>
      <c r="B511" s="342" t="s">
        <v>187</v>
      </c>
      <c r="C511" s="342">
        <v>6317</v>
      </c>
      <c r="D511" s="344" t="s">
        <v>203</v>
      </c>
      <c r="E511" s="345" t="s">
        <v>202</v>
      </c>
      <c r="F511" s="344" t="s">
        <v>203</v>
      </c>
      <c r="G511" s="589">
        <v>46219</v>
      </c>
      <c r="H511" s="346"/>
      <c r="I511" s="346" t="s">
        <v>183</v>
      </c>
      <c r="J511" s="305">
        <v>0.77430555555555547</v>
      </c>
      <c r="K511" s="305">
        <v>0.16666666666666666</v>
      </c>
      <c r="L511" s="347" t="s">
        <v>168</v>
      </c>
      <c r="M511" s="348">
        <v>8</v>
      </c>
      <c r="N511" s="348"/>
      <c r="O511" s="348">
        <v>6</v>
      </c>
      <c r="P511" s="348"/>
      <c r="Q511" s="349"/>
      <c r="R511" s="348"/>
      <c r="S511" s="348"/>
      <c r="T511" s="349"/>
      <c r="U511" s="348"/>
      <c r="V511" s="349"/>
      <c r="W511" s="350"/>
      <c r="X511" s="351"/>
      <c r="Y511" s="352"/>
      <c r="Z511" s="353"/>
      <c r="AA511" s="354"/>
      <c r="AB511" s="339"/>
    </row>
    <row r="512" spans="1:28" s="340" customFormat="1">
      <c r="A512" s="711"/>
      <c r="B512" s="342" t="s">
        <v>187</v>
      </c>
      <c r="C512" s="342">
        <v>6317</v>
      </c>
      <c r="D512" s="344" t="s">
        <v>203</v>
      </c>
      <c r="E512" s="345" t="s">
        <v>202</v>
      </c>
      <c r="F512" s="344" t="s">
        <v>203</v>
      </c>
      <c r="G512" s="589">
        <v>46220</v>
      </c>
      <c r="H512" s="346"/>
      <c r="I512" s="346" t="s">
        <v>183</v>
      </c>
      <c r="J512" s="305">
        <v>0.76944444444444449</v>
      </c>
      <c r="K512" s="305">
        <v>0.25</v>
      </c>
      <c r="L512" s="347" t="s">
        <v>168</v>
      </c>
      <c r="M512" s="348">
        <v>8</v>
      </c>
      <c r="N512" s="348">
        <v>2</v>
      </c>
      <c r="O512" s="348">
        <v>6</v>
      </c>
      <c r="P512" s="367">
        <v>2</v>
      </c>
      <c r="Q512" s="349"/>
      <c r="R512" s="348"/>
      <c r="S512" s="348"/>
      <c r="T512" s="349"/>
      <c r="U512" s="348"/>
      <c r="V512" s="349"/>
      <c r="W512" s="350"/>
      <c r="X512" s="351"/>
      <c r="Y512" s="352"/>
      <c r="Z512" s="353"/>
      <c r="AA512" s="354"/>
      <c r="AB512" s="339"/>
    </row>
    <row r="513" spans="1:28" s="340" customFormat="1">
      <c r="A513" s="711"/>
      <c r="B513" s="342" t="s">
        <v>187</v>
      </c>
      <c r="C513" s="342">
        <v>6317</v>
      </c>
      <c r="D513" s="344" t="s">
        <v>203</v>
      </c>
      <c r="E513" s="345" t="s">
        <v>202</v>
      </c>
      <c r="F513" s="344" t="s">
        <v>203</v>
      </c>
      <c r="G513" s="589">
        <v>46221</v>
      </c>
      <c r="H513" s="346"/>
      <c r="I513" s="346" t="s">
        <v>183</v>
      </c>
      <c r="J513" s="305">
        <v>0.77500000000000002</v>
      </c>
      <c r="K513" s="305">
        <v>0.16875000000000001</v>
      </c>
      <c r="L513" s="347" t="s">
        <v>168</v>
      </c>
      <c r="M513" s="348">
        <v>8</v>
      </c>
      <c r="N513" s="348"/>
      <c r="O513" s="348">
        <v>6</v>
      </c>
      <c r="P513" s="348"/>
      <c r="Q513" s="349"/>
      <c r="R513" s="348"/>
      <c r="S513" s="348"/>
      <c r="T513" s="349"/>
      <c r="U513" s="348"/>
      <c r="V513" s="349"/>
      <c r="W513" s="350"/>
      <c r="X513" s="351"/>
      <c r="Y513" s="352"/>
      <c r="Z513" s="353"/>
      <c r="AA513" s="354"/>
      <c r="AB513" s="339"/>
    </row>
    <row r="514" spans="1:28" s="340" customFormat="1">
      <c r="A514" s="711"/>
      <c r="B514" s="342" t="s">
        <v>187</v>
      </c>
      <c r="C514" s="342">
        <v>6317</v>
      </c>
      <c r="D514" s="344" t="s">
        <v>203</v>
      </c>
      <c r="E514" s="345" t="s">
        <v>202</v>
      </c>
      <c r="F514" s="344" t="s">
        <v>203</v>
      </c>
      <c r="G514" s="590">
        <v>46222</v>
      </c>
      <c r="H514" s="346"/>
      <c r="I514" s="346"/>
      <c r="J514" s="699" t="s">
        <v>173</v>
      </c>
      <c r="K514" s="700"/>
      <c r="L514" s="347"/>
      <c r="M514" s="348"/>
      <c r="N514" s="348"/>
      <c r="O514" s="348"/>
      <c r="P514" s="348"/>
      <c r="Q514" s="349"/>
      <c r="R514" s="348"/>
      <c r="S514" s="348"/>
      <c r="T514" s="349"/>
      <c r="U514" s="348"/>
      <c r="V514" s="349"/>
      <c r="W514" s="350"/>
      <c r="X514" s="351"/>
      <c r="Y514" s="352"/>
      <c r="Z514" s="353"/>
      <c r="AA514" s="354"/>
      <c r="AB514" s="339"/>
    </row>
    <row r="515" spans="1:28" s="340" customFormat="1">
      <c r="A515" s="711"/>
      <c r="B515" s="342" t="s">
        <v>187</v>
      </c>
      <c r="C515" s="342">
        <v>6317</v>
      </c>
      <c r="D515" s="344" t="s">
        <v>203</v>
      </c>
      <c r="E515" s="345" t="s">
        <v>202</v>
      </c>
      <c r="F515" s="344" t="s">
        <v>203</v>
      </c>
      <c r="G515" s="589">
        <v>46223</v>
      </c>
      <c r="H515" s="346"/>
      <c r="I515" s="346" t="s">
        <v>183</v>
      </c>
      <c r="J515" s="295">
        <v>0.76875000000000004</v>
      </c>
      <c r="K515" s="295">
        <v>0.16666666666666666</v>
      </c>
      <c r="L515" s="347" t="s">
        <v>168</v>
      </c>
      <c r="M515" s="348">
        <v>8</v>
      </c>
      <c r="N515" s="348"/>
      <c r="O515" s="348">
        <v>6</v>
      </c>
      <c r="P515" s="357"/>
      <c r="Q515" s="356"/>
      <c r="R515" s="357"/>
      <c r="S515" s="357"/>
      <c r="T515" s="356"/>
      <c r="U515" s="357"/>
      <c r="V515" s="356"/>
      <c r="W515" s="350"/>
      <c r="X515" s="351"/>
      <c r="Y515" s="352"/>
      <c r="Z515" s="353"/>
      <c r="AA515" s="354"/>
      <c r="AB515" s="339"/>
    </row>
    <row r="516" spans="1:28" s="340" customFormat="1">
      <c r="A516" s="711"/>
      <c r="B516" s="342" t="s">
        <v>187</v>
      </c>
      <c r="C516" s="342">
        <v>6317</v>
      </c>
      <c r="D516" s="344" t="s">
        <v>203</v>
      </c>
      <c r="E516" s="345" t="s">
        <v>202</v>
      </c>
      <c r="F516" s="344" t="s">
        <v>203</v>
      </c>
      <c r="G516" s="589">
        <v>46224</v>
      </c>
      <c r="H516" s="346"/>
      <c r="I516" s="346" t="s">
        <v>183</v>
      </c>
      <c r="J516" s="295">
        <v>0.77013888888888893</v>
      </c>
      <c r="K516" s="295">
        <v>0.16666666666666666</v>
      </c>
      <c r="L516" s="347" t="s">
        <v>168</v>
      </c>
      <c r="M516" s="348">
        <v>8</v>
      </c>
      <c r="N516" s="348"/>
      <c r="O516" s="348">
        <v>6</v>
      </c>
      <c r="P516" s="365"/>
      <c r="Q516" s="364"/>
      <c r="R516" s="365"/>
      <c r="S516" s="365"/>
      <c r="T516" s="356"/>
      <c r="U516" s="357"/>
      <c r="V516" s="356"/>
      <c r="W516" s="358"/>
      <c r="X516" s="359"/>
      <c r="Y516" s="360"/>
      <c r="Z516" s="361"/>
      <c r="AA516" s="362"/>
      <c r="AB516" s="339"/>
    </row>
    <row r="517" spans="1:28" s="340" customFormat="1">
      <c r="A517" s="711"/>
      <c r="B517" s="342" t="s">
        <v>187</v>
      </c>
      <c r="C517" s="342">
        <v>6317</v>
      </c>
      <c r="D517" s="344" t="s">
        <v>203</v>
      </c>
      <c r="E517" s="345" t="s">
        <v>202</v>
      </c>
      <c r="F517" s="344" t="s">
        <v>203</v>
      </c>
      <c r="G517" s="589">
        <v>46225</v>
      </c>
      <c r="H517" s="346"/>
      <c r="I517" s="346" t="s">
        <v>183</v>
      </c>
      <c r="J517" s="295">
        <v>0.77361111111111114</v>
      </c>
      <c r="K517" s="295">
        <v>0.25</v>
      </c>
      <c r="L517" s="347" t="s">
        <v>168</v>
      </c>
      <c r="M517" s="348">
        <v>8</v>
      </c>
      <c r="N517" s="348">
        <v>2</v>
      </c>
      <c r="O517" s="348">
        <v>6</v>
      </c>
      <c r="P517" s="367">
        <v>2</v>
      </c>
      <c r="Q517" s="349"/>
      <c r="R517" s="348"/>
      <c r="S517" s="348"/>
      <c r="T517" s="349"/>
      <c r="U517" s="348"/>
      <c r="V517" s="349"/>
      <c r="W517" s="350"/>
      <c r="X517" s="351"/>
      <c r="Y517" s="352"/>
      <c r="Z517" s="353"/>
      <c r="AA517" s="354"/>
      <c r="AB517" s="339"/>
    </row>
    <row r="518" spans="1:28" s="340" customFormat="1">
      <c r="A518" s="711"/>
      <c r="B518" s="342" t="s">
        <v>187</v>
      </c>
      <c r="C518" s="342">
        <v>6317</v>
      </c>
      <c r="D518" s="344" t="s">
        <v>203</v>
      </c>
      <c r="E518" s="345" t="s">
        <v>202</v>
      </c>
      <c r="F518" s="344" t="s">
        <v>203</v>
      </c>
      <c r="G518" s="589">
        <v>46226</v>
      </c>
      <c r="H518" s="346"/>
      <c r="I518" s="346" t="s">
        <v>183</v>
      </c>
      <c r="J518" s="295">
        <v>0.76944444444444449</v>
      </c>
      <c r="K518" s="295">
        <v>0.25</v>
      </c>
      <c r="L518" s="347" t="s">
        <v>168</v>
      </c>
      <c r="M518" s="348">
        <v>8</v>
      </c>
      <c r="N518" s="348">
        <v>2</v>
      </c>
      <c r="O518" s="348">
        <v>6</v>
      </c>
      <c r="P518" s="367">
        <v>2</v>
      </c>
      <c r="Q518" s="349"/>
      <c r="R518" s="348"/>
      <c r="S518" s="348"/>
      <c r="T518" s="349"/>
      <c r="U518" s="348"/>
      <c r="V518" s="349"/>
      <c r="W518" s="350"/>
      <c r="X518" s="351"/>
      <c r="Y518" s="352"/>
      <c r="Z518" s="353"/>
      <c r="AA518" s="354"/>
      <c r="AB518" s="339"/>
    </row>
    <row r="519" spans="1:28" s="340" customFormat="1">
      <c r="A519" s="711"/>
      <c r="B519" s="342" t="s">
        <v>187</v>
      </c>
      <c r="C519" s="342">
        <v>6317</v>
      </c>
      <c r="D519" s="344" t="s">
        <v>203</v>
      </c>
      <c r="E519" s="345" t="s">
        <v>202</v>
      </c>
      <c r="F519" s="344" t="s">
        <v>203</v>
      </c>
      <c r="G519" s="589">
        <v>46227</v>
      </c>
      <c r="H519" s="346"/>
      <c r="I519" s="346" t="s">
        <v>183</v>
      </c>
      <c r="J519" s="295">
        <v>0.76388888888888884</v>
      </c>
      <c r="K519" s="318">
        <v>0.16666666666666666</v>
      </c>
      <c r="L519" s="347" t="s">
        <v>168</v>
      </c>
      <c r="M519" s="348">
        <v>8</v>
      </c>
      <c r="N519" s="348"/>
      <c r="O519" s="348">
        <v>6</v>
      </c>
      <c r="P519" s="366"/>
      <c r="Q519" s="368"/>
      <c r="R519" s="366"/>
      <c r="S519" s="366"/>
      <c r="T519" s="349"/>
      <c r="U519" s="348"/>
      <c r="V519" s="349"/>
      <c r="W519" s="350"/>
      <c r="X519" s="351"/>
      <c r="Y519" s="352"/>
      <c r="Z519" s="353"/>
      <c r="AA519" s="354"/>
      <c r="AB519" s="339"/>
    </row>
    <row r="520" spans="1:28" s="340" customFormat="1">
      <c r="A520" s="711"/>
      <c r="B520" s="342" t="s">
        <v>187</v>
      </c>
      <c r="C520" s="342">
        <v>6317</v>
      </c>
      <c r="D520" s="344" t="s">
        <v>203</v>
      </c>
      <c r="E520" s="345" t="s">
        <v>202</v>
      </c>
      <c r="F520" s="344" t="s">
        <v>203</v>
      </c>
      <c r="G520" s="589">
        <v>46228</v>
      </c>
      <c r="H520" s="346"/>
      <c r="I520" s="346" t="s">
        <v>183</v>
      </c>
      <c r="J520" s="295"/>
      <c r="K520" s="295"/>
      <c r="L520" s="347"/>
      <c r="M520" s="348"/>
      <c r="N520" s="348"/>
      <c r="O520" s="348"/>
      <c r="P520" s="348"/>
      <c r="Q520" s="349"/>
      <c r="R520" s="348"/>
      <c r="S520" s="320"/>
      <c r="T520" s="349"/>
      <c r="U520" s="348"/>
      <c r="V520" s="349"/>
      <c r="W520" s="350"/>
      <c r="X520" s="351"/>
      <c r="Y520" s="352"/>
      <c r="Z520" s="353"/>
      <c r="AA520" s="354"/>
      <c r="AB520" s="339"/>
    </row>
    <row r="521" spans="1:28" s="340" customFormat="1">
      <c r="A521" s="711"/>
      <c r="B521" s="342"/>
      <c r="C521" s="342"/>
      <c r="D521" s="345"/>
      <c r="E521" s="345"/>
      <c r="F521" s="345"/>
      <c r="G521" s="594"/>
      <c r="H521" s="346"/>
      <c r="I521" s="346"/>
      <c r="J521" s="369"/>
      <c r="K521" s="370"/>
      <c r="L521" s="371"/>
      <c r="M521" s="363"/>
      <c r="N521" s="363"/>
      <c r="O521" s="363"/>
      <c r="P521" s="363"/>
      <c r="Q521" s="372"/>
      <c r="R521" s="363"/>
      <c r="S521" s="324"/>
      <c r="T521" s="349"/>
      <c r="U521" s="348"/>
      <c r="V521" s="349"/>
      <c r="W521" s="350"/>
      <c r="X521" s="351"/>
      <c r="Y521" s="352"/>
      <c r="Z521" s="353"/>
      <c r="AA521" s="354"/>
      <c r="AB521" s="339"/>
    </row>
    <row r="522" spans="1:28" s="340" customFormat="1">
      <c r="A522" s="712"/>
      <c r="B522" s="325"/>
      <c r="C522" s="342"/>
      <c r="D522" s="325"/>
      <c r="E522" s="345"/>
      <c r="F522" s="325"/>
      <c r="G522" s="595"/>
      <c r="H522" s="374"/>
      <c r="I522" s="377"/>
      <c r="J522" s="375"/>
      <c r="K522" s="376"/>
      <c r="L522" s="377"/>
      <c r="M522" s="377">
        <f t="shared" ref="M522:AA522" si="29">SUM(M505:M521)</f>
        <v>88</v>
      </c>
      <c r="N522" s="377">
        <f t="shared" si="29"/>
        <v>6</v>
      </c>
      <c r="O522" s="377">
        <f t="shared" si="29"/>
        <v>66</v>
      </c>
      <c r="P522" s="377">
        <f t="shared" si="29"/>
        <v>6</v>
      </c>
      <c r="Q522" s="377">
        <f t="shared" si="29"/>
        <v>0</v>
      </c>
      <c r="R522" s="377">
        <f t="shared" si="29"/>
        <v>0</v>
      </c>
      <c r="S522" s="377">
        <f t="shared" si="29"/>
        <v>0</v>
      </c>
      <c r="T522" s="377">
        <f t="shared" si="29"/>
        <v>0</v>
      </c>
      <c r="U522" s="377">
        <f t="shared" si="29"/>
        <v>0</v>
      </c>
      <c r="V522" s="377">
        <f t="shared" si="29"/>
        <v>0</v>
      </c>
      <c r="W522" s="377">
        <f t="shared" si="29"/>
        <v>0</v>
      </c>
      <c r="X522" s="377">
        <f t="shared" si="29"/>
        <v>0</v>
      </c>
      <c r="Y522" s="377">
        <f t="shared" si="29"/>
        <v>0</v>
      </c>
      <c r="Z522" s="377">
        <f t="shared" si="29"/>
        <v>0</v>
      </c>
      <c r="AA522" s="377">
        <f t="shared" si="29"/>
        <v>0</v>
      </c>
      <c r="AB522" s="339"/>
    </row>
    <row r="523" spans="1:28" s="340" customFormat="1">
      <c r="A523" s="280" t="s">
        <v>170</v>
      </c>
      <c r="B523" s="280" t="s">
        <v>120</v>
      </c>
      <c r="C523" s="280" t="s">
        <v>152</v>
      </c>
      <c r="D523" s="280" t="s">
        <v>182</v>
      </c>
      <c r="E523" s="281" t="s">
        <v>153</v>
      </c>
      <c r="F523" s="280" t="s">
        <v>182</v>
      </c>
      <c r="G523" s="593" t="s">
        <v>401</v>
      </c>
      <c r="H523" s="333"/>
      <c r="I523" s="334" t="s">
        <v>181</v>
      </c>
      <c r="J523" s="335" t="s">
        <v>154</v>
      </c>
      <c r="K523" s="335" t="s">
        <v>155</v>
      </c>
      <c r="L523" s="336" t="s">
        <v>156</v>
      </c>
      <c r="M523" s="337" t="s">
        <v>157</v>
      </c>
      <c r="N523" s="336" t="s">
        <v>158</v>
      </c>
      <c r="O523" s="336" t="s">
        <v>159</v>
      </c>
      <c r="P523" s="336" t="s">
        <v>174</v>
      </c>
      <c r="Q523" s="336" t="s">
        <v>160</v>
      </c>
      <c r="R523" s="336" t="s">
        <v>161</v>
      </c>
      <c r="S523" s="336" t="s">
        <v>162</v>
      </c>
      <c r="T523" s="334" t="s">
        <v>163</v>
      </c>
      <c r="U523" s="334" t="s">
        <v>164</v>
      </c>
      <c r="V523" s="334" t="s">
        <v>165</v>
      </c>
      <c r="W523" s="336" t="s">
        <v>113</v>
      </c>
      <c r="X523" s="334" t="s">
        <v>121</v>
      </c>
      <c r="Y523" s="334" t="s">
        <v>166</v>
      </c>
      <c r="Z523" s="338" t="s">
        <v>175</v>
      </c>
      <c r="AA523" s="338" t="s">
        <v>167</v>
      </c>
      <c r="AB523" s="339"/>
    </row>
    <row r="524" spans="1:28" s="340" customFormat="1">
      <c r="A524" s="710"/>
      <c r="B524" s="342" t="s">
        <v>187</v>
      </c>
      <c r="C524" s="343">
        <v>8176</v>
      </c>
      <c r="D524" s="344" t="s">
        <v>201</v>
      </c>
      <c r="E524" s="345" t="s">
        <v>200</v>
      </c>
      <c r="F524" s="344" t="s">
        <v>201</v>
      </c>
      <c r="G524" s="589">
        <v>46214</v>
      </c>
      <c r="H524" s="346"/>
      <c r="I524" s="346" t="s">
        <v>186</v>
      </c>
      <c r="J524" s="295">
        <v>0.30555555555555558</v>
      </c>
      <c r="K524" s="295">
        <v>0.7104166666666667</v>
      </c>
      <c r="L524" s="347" t="s">
        <v>169</v>
      </c>
      <c r="M524" s="348">
        <v>8</v>
      </c>
      <c r="N524" s="348"/>
      <c r="O524" s="348"/>
      <c r="P524" s="348"/>
      <c r="Q524" s="349"/>
      <c r="R524" s="348"/>
      <c r="S524" s="348"/>
      <c r="T524" s="349"/>
      <c r="U524" s="348"/>
      <c r="V524" s="349"/>
      <c r="W524" s="350"/>
      <c r="X524" s="351"/>
      <c r="Y524" s="352"/>
      <c r="Z524" s="353"/>
      <c r="AA524" s="354"/>
      <c r="AB524" s="339"/>
    </row>
    <row r="525" spans="1:28" s="340" customFormat="1">
      <c r="A525" s="711"/>
      <c r="B525" s="342" t="s">
        <v>187</v>
      </c>
      <c r="C525" s="343">
        <v>8176</v>
      </c>
      <c r="D525" s="344" t="s">
        <v>201</v>
      </c>
      <c r="E525" s="345" t="s">
        <v>200</v>
      </c>
      <c r="F525" s="344" t="s">
        <v>201</v>
      </c>
      <c r="G525" s="590">
        <v>46215</v>
      </c>
      <c r="H525" s="346"/>
      <c r="I525" s="346"/>
      <c r="J525" s="699" t="s">
        <v>173</v>
      </c>
      <c r="K525" s="700"/>
      <c r="L525" s="347"/>
      <c r="M525" s="348"/>
      <c r="N525" s="348"/>
      <c r="O525" s="348"/>
      <c r="P525" s="357"/>
      <c r="Q525" s="356"/>
      <c r="R525" s="357"/>
      <c r="S525" s="357"/>
      <c r="T525" s="356"/>
      <c r="U525" s="357"/>
      <c r="V525" s="356"/>
      <c r="W525" s="358"/>
      <c r="X525" s="359"/>
      <c r="Y525" s="352"/>
      <c r="Z525" s="353"/>
      <c r="AA525" s="354"/>
      <c r="AB525" s="339"/>
    </row>
    <row r="526" spans="1:28" s="340" customFormat="1">
      <c r="A526" s="711"/>
      <c r="B526" s="342" t="s">
        <v>187</v>
      </c>
      <c r="C526" s="342">
        <v>8176</v>
      </c>
      <c r="D526" s="344" t="s">
        <v>201</v>
      </c>
      <c r="E526" s="345" t="s">
        <v>200</v>
      </c>
      <c r="F526" s="344" t="s">
        <v>201</v>
      </c>
      <c r="G526" s="589">
        <v>46216</v>
      </c>
      <c r="H526" s="346"/>
      <c r="I526" s="346" t="s">
        <v>183</v>
      </c>
      <c r="J526" s="305">
        <v>0.77430555555555558</v>
      </c>
      <c r="K526" s="305">
        <v>0.18333333333333332</v>
      </c>
      <c r="L526" s="347" t="s">
        <v>168</v>
      </c>
      <c r="M526" s="348">
        <v>8</v>
      </c>
      <c r="N526" s="348"/>
      <c r="O526" s="348">
        <v>6</v>
      </c>
      <c r="P526" s="348"/>
      <c r="Q526" s="349"/>
      <c r="R526" s="348"/>
      <c r="S526" s="348"/>
      <c r="T526" s="349"/>
      <c r="U526" s="348"/>
      <c r="V526" s="349"/>
      <c r="W526" s="350"/>
      <c r="X526" s="351"/>
      <c r="Y526" s="352"/>
      <c r="Z526" s="353"/>
      <c r="AA526" s="354"/>
      <c r="AB526" s="339"/>
    </row>
    <row r="527" spans="1:28" s="340" customFormat="1">
      <c r="A527" s="711"/>
      <c r="B527" s="342" t="s">
        <v>187</v>
      </c>
      <c r="C527" s="342">
        <v>8176</v>
      </c>
      <c r="D527" s="344" t="s">
        <v>201</v>
      </c>
      <c r="E527" s="345" t="s">
        <v>200</v>
      </c>
      <c r="F527" s="344" t="s">
        <v>201</v>
      </c>
      <c r="G527" s="589">
        <v>46217</v>
      </c>
      <c r="H527" s="346"/>
      <c r="I527" s="346" t="s">
        <v>183</v>
      </c>
      <c r="J527" s="305">
        <v>0.76527777777777783</v>
      </c>
      <c r="K527" s="305">
        <v>0.25138888888888888</v>
      </c>
      <c r="L527" s="347" t="s">
        <v>168</v>
      </c>
      <c r="M527" s="348">
        <v>8</v>
      </c>
      <c r="N527" s="348">
        <v>2</v>
      </c>
      <c r="O527" s="348">
        <v>6</v>
      </c>
      <c r="P527" s="348">
        <v>2</v>
      </c>
      <c r="Q527" s="356"/>
      <c r="R527" s="357"/>
      <c r="S527" s="357"/>
      <c r="T527" s="356"/>
      <c r="U527" s="357"/>
      <c r="V527" s="356"/>
      <c r="W527" s="358"/>
      <c r="X527" s="359"/>
      <c r="Y527" s="360"/>
      <c r="Z527" s="361"/>
      <c r="AA527" s="362"/>
      <c r="AB527" s="339"/>
    </row>
    <row r="528" spans="1:28" s="340" customFormat="1">
      <c r="A528" s="711"/>
      <c r="B528" s="342" t="s">
        <v>187</v>
      </c>
      <c r="C528" s="342">
        <v>8176</v>
      </c>
      <c r="D528" s="344" t="s">
        <v>201</v>
      </c>
      <c r="E528" s="345" t="s">
        <v>200</v>
      </c>
      <c r="F528" s="344" t="s">
        <v>201</v>
      </c>
      <c r="G528" s="589">
        <v>46218</v>
      </c>
      <c r="H528" s="346"/>
      <c r="I528" s="346" t="s">
        <v>183</v>
      </c>
      <c r="J528" s="305">
        <v>0.76250000000000007</v>
      </c>
      <c r="K528" s="305">
        <v>0.16805555555555554</v>
      </c>
      <c r="L528" s="347" t="s">
        <v>168</v>
      </c>
      <c r="M528" s="348">
        <v>8</v>
      </c>
      <c r="N528" s="348"/>
      <c r="O528" s="348">
        <v>6</v>
      </c>
      <c r="P528" s="348"/>
      <c r="Q528" s="349"/>
      <c r="R528" s="348"/>
      <c r="S528" s="348"/>
      <c r="T528" s="349"/>
      <c r="U528" s="348"/>
      <c r="V528" s="349"/>
      <c r="W528" s="350"/>
      <c r="X528" s="351"/>
      <c r="Y528" s="352"/>
      <c r="Z528" s="353"/>
      <c r="AA528" s="354"/>
      <c r="AB528" s="339"/>
    </row>
    <row r="529" spans="1:28" s="340" customFormat="1">
      <c r="A529" s="711"/>
      <c r="B529" s="342" t="s">
        <v>187</v>
      </c>
      <c r="C529" s="342">
        <v>8176</v>
      </c>
      <c r="D529" s="344" t="s">
        <v>201</v>
      </c>
      <c r="E529" s="345" t="s">
        <v>200</v>
      </c>
      <c r="F529" s="344" t="s">
        <v>201</v>
      </c>
      <c r="G529" s="589">
        <v>46219</v>
      </c>
      <c r="H529" s="346"/>
      <c r="I529" s="346" t="s">
        <v>183</v>
      </c>
      <c r="J529" s="305">
        <v>0.77430555555555547</v>
      </c>
      <c r="K529" s="305">
        <v>0.16874999999999998</v>
      </c>
      <c r="L529" s="347" t="s">
        <v>168</v>
      </c>
      <c r="M529" s="348">
        <v>8</v>
      </c>
      <c r="N529" s="348"/>
      <c r="O529" s="348">
        <v>6</v>
      </c>
      <c r="P529" s="348"/>
      <c r="Q529" s="349"/>
      <c r="R529" s="348"/>
      <c r="S529" s="348"/>
      <c r="T529" s="349"/>
      <c r="U529" s="348"/>
      <c r="V529" s="349"/>
      <c r="W529" s="350"/>
      <c r="X529" s="351"/>
      <c r="Y529" s="352"/>
      <c r="Z529" s="353"/>
      <c r="AA529" s="354"/>
      <c r="AB529" s="339"/>
    </row>
    <row r="530" spans="1:28" s="340" customFormat="1">
      <c r="A530" s="711"/>
      <c r="B530" s="342" t="s">
        <v>187</v>
      </c>
      <c r="C530" s="342">
        <v>8176</v>
      </c>
      <c r="D530" s="344" t="s">
        <v>201</v>
      </c>
      <c r="E530" s="345" t="s">
        <v>200</v>
      </c>
      <c r="F530" s="344" t="s">
        <v>201</v>
      </c>
      <c r="G530" s="589">
        <v>46220</v>
      </c>
      <c r="H530" s="346"/>
      <c r="I530" s="346" t="s">
        <v>183</v>
      </c>
      <c r="J530" s="305">
        <v>0.78194444444444444</v>
      </c>
      <c r="K530" s="305">
        <v>0.17083333333333334</v>
      </c>
      <c r="L530" s="347" t="s">
        <v>168</v>
      </c>
      <c r="M530" s="348">
        <v>8</v>
      </c>
      <c r="N530" s="348"/>
      <c r="O530" s="348">
        <v>6</v>
      </c>
      <c r="P530" s="348"/>
      <c r="Q530" s="349"/>
      <c r="R530" s="348"/>
      <c r="S530" s="348"/>
      <c r="T530" s="349"/>
      <c r="U530" s="348"/>
      <c r="V530" s="349"/>
      <c r="W530" s="350"/>
      <c r="X530" s="351"/>
      <c r="Y530" s="352"/>
      <c r="Z530" s="353"/>
      <c r="AA530" s="354"/>
      <c r="AB530" s="339"/>
    </row>
    <row r="531" spans="1:28" s="340" customFormat="1">
      <c r="A531" s="711"/>
      <c r="B531" s="342" t="s">
        <v>187</v>
      </c>
      <c r="C531" s="342">
        <v>8176</v>
      </c>
      <c r="D531" s="344" t="s">
        <v>201</v>
      </c>
      <c r="E531" s="345" t="s">
        <v>200</v>
      </c>
      <c r="F531" s="344" t="s">
        <v>201</v>
      </c>
      <c r="G531" s="589">
        <v>46221</v>
      </c>
      <c r="H531" s="346"/>
      <c r="I531" s="346" t="s">
        <v>183</v>
      </c>
      <c r="J531" s="305">
        <v>0.7729166666666667</v>
      </c>
      <c r="K531" s="305">
        <v>0.1673611111111111</v>
      </c>
      <c r="L531" s="347" t="s">
        <v>168</v>
      </c>
      <c r="M531" s="348">
        <v>8</v>
      </c>
      <c r="N531" s="348"/>
      <c r="O531" s="348">
        <v>6</v>
      </c>
      <c r="P531" s="348"/>
      <c r="Q531" s="349"/>
      <c r="R531" s="348"/>
      <c r="S531" s="348"/>
      <c r="T531" s="349"/>
      <c r="U531" s="348"/>
      <c r="V531" s="349"/>
      <c r="W531" s="350"/>
      <c r="X531" s="351"/>
      <c r="Y531" s="352"/>
      <c r="Z531" s="353"/>
      <c r="AA531" s="354"/>
      <c r="AB531" s="339"/>
    </row>
    <row r="532" spans="1:28" s="340" customFormat="1">
      <c r="A532" s="711"/>
      <c r="B532" s="342" t="s">
        <v>187</v>
      </c>
      <c r="C532" s="342">
        <v>8176</v>
      </c>
      <c r="D532" s="344" t="s">
        <v>201</v>
      </c>
      <c r="E532" s="345" t="s">
        <v>200</v>
      </c>
      <c r="F532" s="344" t="s">
        <v>201</v>
      </c>
      <c r="G532" s="590">
        <v>46222</v>
      </c>
      <c r="H532" s="346"/>
      <c r="I532" s="346"/>
      <c r="J532" s="699" t="s">
        <v>173</v>
      </c>
      <c r="K532" s="700"/>
      <c r="L532" s="347"/>
      <c r="M532" s="348"/>
      <c r="N532" s="348"/>
      <c r="O532" s="348"/>
      <c r="P532" s="348"/>
      <c r="Q532" s="349"/>
      <c r="R532" s="348"/>
      <c r="S532" s="348"/>
      <c r="T532" s="349"/>
      <c r="U532" s="348"/>
      <c r="V532" s="349"/>
      <c r="W532" s="350"/>
      <c r="X532" s="351"/>
      <c r="Y532" s="352"/>
      <c r="Z532" s="353"/>
      <c r="AA532" s="354"/>
      <c r="AB532" s="339"/>
    </row>
    <row r="533" spans="1:28" s="340" customFormat="1">
      <c r="A533" s="711"/>
      <c r="B533" s="342" t="s">
        <v>187</v>
      </c>
      <c r="C533" s="342">
        <v>8176</v>
      </c>
      <c r="D533" s="344" t="s">
        <v>201</v>
      </c>
      <c r="E533" s="345" t="s">
        <v>200</v>
      </c>
      <c r="F533" s="344" t="s">
        <v>201</v>
      </c>
      <c r="G533" s="589">
        <v>46223</v>
      </c>
      <c r="H533" s="346"/>
      <c r="I533" s="346" t="s">
        <v>183</v>
      </c>
      <c r="J533" s="295">
        <v>0.77152777777777781</v>
      </c>
      <c r="K533" s="295">
        <v>0.16875000000000001</v>
      </c>
      <c r="L533" s="347" t="s">
        <v>168</v>
      </c>
      <c r="M533" s="348">
        <v>8</v>
      </c>
      <c r="N533" s="348"/>
      <c r="O533" s="348">
        <v>6</v>
      </c>
      <c r="P533" s="357"/>
      <c r="Q533" s="356"/>
      <c r="R533" s="357"/>
      <c r="S533" s="357"/>
      <c r="T533" s="356"/>
      <c r="U533" s="357"/>
      <c r="V533" s="356"/>
      <c r="W533" s="350"/>
      <c r="X533" s="351"/>
      <c r="Y533" s="352"/>
      <c r="Z533" s="353"/>
      <c r="AA533" s="354"/>
      <c r="AB533" s="339"/>
    </row>
    <row r="534" spans="1:28" s="340" customFormat="1">
      <c r="A534" s="711"/>
      <c r="B534" s="342" t="s">
        <v>187</v>
      </c>
      <c r="C534" s="342">
        <v>8176</v>
      </c>
      <c r="D534" s="344" t="s">
        <v>201</v>
      </c>
      <c r="E534" s="345" t="s">
        <v>200</v>
      </c>
      <c r="F534" s="344" t="s">
        <v>201</v>
      </c>
      <c r="G534" s="589">
        <v>46224</v>
      </c>
      <c r="H534" s="346"/>
      <c r="I534" s="346" t="s">
        <v>183</v>
      </c>
      <c r="J534" s="295">
        <v>0.77013888888888893</v>
      </c>
      <c r="K534" s="295">
        <v>0.25</v>
      </c>
      <c r="L534" s="347" t="s">
        <v>168</v>
      </c>
      <c r="M534" s="348">
        <v>8</v>
      </c>
      <c r="N534" s="348">
        <v>2</v>
      </c>
      <c r="O534" s="348">
        <v>6</v>
      </c>
      <c r="P534" s="348">
        <v>2</v>
      </c>
      <c r="Q534" s="364"/>
      <c r="R534" s="365"/>
      <c r="S534" s="365"/>
      <c r="T534" s="356"/>
      <c r="U534" s="357"/>
      <c r="V534" s="356"/>
      <c r="W534" s="358"/>
      <c r="X534" s="359"/>
      <c r="Y534" s="360"/>
      <c r="Z534" s="361"/>
      <c r="AA534" s="362"/>
      <c r="AB534" s="339"/>
    </row>
    <row r="535" spans="1:28" s="340" customFormat="1">
      <c r="A535" s="711"/>
      <c r="B535" s="342" t="s">
        <v>187</v>
      </c>
      <c r="C535" s="342">
        <v>8176</v>
      </c>
      <c r="D535" s="344" t="s">
        <v>201</v>
      </c>
      <c r="E535" s="345" t="s">
        <v>200</v>
      </c>
      <c r="F535" s="344" t="s">
        <v>201</v>
      </c>
      <c r="G535" s="589">
        <v>46225</v>
      </c>
      <c r="H535" s="346"/>
      <c r="I535" s="346" t="s">
        <v>183</v>
      </c>
      <c r="J535" s="295"/>
      <c r="K535" s="295"/>
      <c r="L535" s="347"/>
      <c r="M535" s="348"/>
      <c r="N535" s="366"/>
      <c r="O535" s="348"/>
      <c r="P535" s="348"/>
      <c r="Q535" s="349"/>
      <c r="R535" s="348"/>
      <c r="S535" s="348"/>
      <c r="T535" s="349"/>
      <c r="U535" s="348"/>
      <c r="V535" s="349"/>
      <c r="W535" s="350"/>
      <c r="X535" s="351"/>
      <c r="Y535" s="352"/>
      <c r="Z535" s="353"/>
      <c r="AA535" s="354"/>
      <c r="AB535" s="339"/>
    </row>
    <row r="536" spans="1:28" s="340" customFormat="1">
      <c r="A536" s="711"/>
      <c r="B536" s="342" t="s">
        <v>187</v>
      </c>
      <c r="C536" s="342">
        <v>8176</v>
      </c>
      <c r="D536" s="344" t="s">
        <v>201</v>
      </c>
      <c r="E536" s="345" t="s">
        <v>200</v>
      </c>
      <c r="F536" s="344" t="s">
        <v>201</v>
      </c>
      <c r="G536" s="589">
        <v>46226</v>
      </c>
      <c r="H536" s="346"/>
      <c r="I536" s="346" t="s">
        <v>183</v>
      </c>
      <c r="J536" s="295"/>
      <c r="K536" s="295"/>
      <c r="L536" s="347"/>
      <c r="M536" s="425"/>
      <c r="N536" s="366"/>
      <c r="O536" s="367"/>
      <c r="P536" s="367"/>
      <c r="Q536" s="349"/>
      <c r="R536" s="348"/>
      <c r="S536" s="348"/>
      <c r="T536" s="349"/>
      <c r="U536" s="348"/>
      <c r="V536" s="349"/>
      <c r="W536" s="350"/>
      <c r="X536" s="351"/>
      <c r="Y536" s="352"/>
      <c r="Z536" s="353"/>
      <c r="AA536" s="354"/>
      <c r="AB536" s="339"/>
    </row>
    <row r="537" spans="1:28" s="340" customFormat="1">
      <c r="A537" s="711"/>
      <c r="B537" s="342" t="s">
        <v>187</v>
      </c>
      <c r="C537" s="342">
        <v>8176</v>
      </c>
      <c r="D537" s="344" t="s">
        <v>201</v>
      </c>
      <c r="E537" s="345" t="s">
        <v>200</v>
      </c>
      <c r="F537" s="344" t="s">
        <v>201</v>
      </c>
      <c r="G537" s="589">
        <v>46227</v>
      </c>
      <c r="H537" s="346"/>
      <c r="I537" s="346" t="s">
        <v>183</v>
      </c>
      <c r="J537" s="295"/>
      <c r="K537" s="318"/>
      <c r="L537" s="347"/>
      <c r="M537" s="426"/>
      <c r="N537" s="366"/>
      <c r="O537" s="366"/>
      <c r="P537" s="366"/>
      <c r="Q537" s="368"/>
      <c r="R537" s="366"/>
      <c r="S537" s="366"/>
      <c r="T537" s="349"/>
      <c r="U537" s="348"/>
      <c r="V537" s="349"/>
      <c r="W537" s="350"/>
      <c r="X537" s="351"/>
      <c r="Y537" s="352"/>
      <c r="Z537" s="353"/>
      <c r="AA537" s="354"/>
      <c r="AB537" s="339"/>
    </row>
    <row r="538" spans="1:28" s="340" customFormat="1">
      <c r="A538" s="711"/>
      <c r="B538" s="342" t="s">
        <v>187</v>
      </c>
      <c r="C538" s="342">
        <v>8176</v>
      </c>
      <c r="D538" s="344" t="s">
        <v>201</v>
      </c>
      <c r="E538" s="345" t="s">
        <v>200</v>
      </c>
      <c r="F538" s="344" t="s">
        <v>201</v>
      </c>
      <c r="G538" s="589">
        <v>46228</v>
      </c>
      <c r="H538" s="346"/>
      <c r="I538" s="346" t="s">
        <v>183</v>
      </c>
      <c r="J538" s="295"/>
      <c r="K538" s="295"/>
      <c r="L538" s="347"/>
      <c r="M538" s="348"/>
      <c r="N538" s="348"/>
      <c r="O538" s="348"/>
      <c r="P538" s="348"/>
      <c r="Q538" s="349"/>
      <c r="R538" s="348"/>
      <c r="S538" s="320"/>
      <c r="T538" s="349"/>
      <c r="U538" s="348"/>
      <c r="V538" s="349"/>
      <c r="W538" s="350"/>
      <c r="X538" s="351"/>
      <c r="Y538" s="352"/>
      <c r="Z538" s="353"/>
      <c r="AA538" s="354"/>
      <c r="AB538" s="339"/>
    </row>
    <row r="539" spans="1:28" s="340" customFormat="1">
      <c r="A539" s="711"/>
      <c r="B539" s="342"/>
      <c r="C539" s="342"/>
      <c r="D539" s="345"/>
      <c r="E539" s="345"/>
      <c r="F539" s="345"/>
      <c r="G539" s="594"/>
      <c r="H539" s="346"/>
      <c r="I539" s="346"/>
      <c r="J539" s="369"/>
      <c r="K539" s="370"/>
      <c r="L539" s="371"/>
      <c r="M539" s="363"/>
      <c r="N539" s="363"/>
      <c r="O539" s="363"/>
      <c r="P539" s="363"/>
      <c r="Q539" s="372"/>
      <c r="R539" s="363"/>
      <c r="S539" s="324"/>
      <c r="T539" s="349"/>
      <c r="U539" s="348"/>
      <c r="V539" s="349"/>
      <c r="W539" s="350"/>
      <c r="X539" s="351"/>
      <c r="Y539" s="352"/>
      <c r="Z539" s="353"/>
      <c r="AA539" s="354"/>
      <c r="AB539" s="339"/>
    </row>
    <row r="540" spans="1:28" s="340" customFormat="1">
      <c r="A540" s="712"/>
      <c r="B540" s="325"/>
      <c r="C540" s="342"/>
      <c r="D540" s="325"/>
      <c r="E540" s="345"/>
      <c r="F540" s="325"/>
      <c r="G540" s="595"/>
      <c r="H540" s="374"/>
      <c r="I540" s="377"/>
      <c r="J540" s="375"/>
      <c r="K540" s="376"/>
      <c r="L540" s="377"/>
      <c r="M540" s="377">
        <f t="shared" ref="M540:AA540" si="30">SUM(M523:M539)</f>
        <v>72</v>
      </c>
      <c r="N540" s="377">
        <f t="shared" si="30"/>
        <v>4</v>
      </c>
      <c r="O540" s="377">
        <f t="shared" si="30"/>
        <v>48</v>
      </c>
      <c r="P540" s="377">
        <f t="shared" si="30"/>
        <v>4</v>
      </c>
      <c r="Q540" s="377">
        <f t="shared" si="30"/>
        <v>0</v>
      </c>
      <c r="R540" s="377">
        <f t="shared" si="30"/>
        <v>0</v>
      </c>
      <c r="S540" s="377">
        <f t="shared" si="30"/>
        <v>0</v>
      </c>
      <c r="T540" s="377">
        <f t="shared" si="30"/>
        <v>0</v>
      </c>
      <c r="U540" s="377">
        <f t="shared" si="30"/>
        <v>0</v>
      </c>
      <c r="V540" s="377">
        <f t="shared" si="30"/>
        <v>0</v>
      </c>
      <c r="W540" s="377">
        <f t="shared" si="30"/>
        <v>0</v>
      </c>
      <c r="X540" s="377">
        <f t="shared" si="30"/>
        <v>0</v>
      </c>
      <c r="Y540" s="377">
        <f t="shared" si="30"/>
        <v>0</v>
      </c>
      <c r="Z540" s="377">
        <f t="shared" si="30"/>
        <v>0</v>
      </c>
      <c r="AA540" s="377">
        <f t="shared" si="30"/>
        <v>0</v>
      </c>
      <c r="AB540" s="339"/>
    </row>
    <row r="541" spans="1:28" s="340" customFormat="1">
      <c r="A541" s="280" t="s">
        <v>170</v>
      </c>
      <c r="B541" s="280" t="s">
        <v>120</v>
      </c>
      <c r="C541" s="280" t="s">
        <v>152</v>
      </c>
      <c r="D541" s="280" t="s">
        <v>182</v>
      </c>
      <c r="E541" s="281" t="s">
        <v>153</v>
      </c>
      <c r="F541" s="280" t="s">
        <v>182</v>
      </c>
      <c r="G541" s="593" t="s">
        <v>401</v>
      </c>
      <c r="H541" s="333"/>
      <c r="I541" s="334" t="s">
        <v>181</v>
      </c>
      <c r="J541" s="335" t="s">
        <v>154</v>
      </c>
      <c r="K541" s="335" t="s">
        <v>155</v>
      </c>
      <c r="L541" s="336" t="s">
        <v>156</v>
      </c>
      <c r="M541" s="337" t="s">
        <v>157</v>
      </c>
      <c r="N541" s="336" t="s">
        <v>158</v>
      </c>
      <c r="O541" s="336" t="s">
        <v>159</v>
      </c>
      <c r="P541" s="336" t="s">
        <v>174</v>
      </c>
      <c r="Q541" s="336" t="s">
        <v>160</v>
      </c>
      <c r="R541" s="336" t="s">
        <v>161</v>
      </c>
      <c r="S541" s="336" t="s">
        <v>162</v>
      </c>
      <c r="T541" s="334" t="s">
        <v>163</v>
      </c>
      <c r="U541" s="334" t="s">
        <v>164</v>
      </c>
      <c r="V541" s="334" t="s">
        <v>165</v>
      </c>
      <c r="W541" s="336" t="s">
        <v>113</v>
      </c>
      <c r="X541" s="334" t="s">
        <v>121</v>
      </c>
      <c r="Y541" s="334" t="s">
        <v>166</v>
      </c>
      <c r="Z541" s="338" t="s">
        <v>175</v>
      </c>
      <c r="AA541" s="338" t="s">
        <v>167</v>
      </c>
      <c r="AB541" s="339"/>
    </row>
    <row r="542" spans="1:28" s="340" customFormat="1">
      <c r="A542" s="710"/>
      <c r="B542" s="342" t="s">
        <v>187</v>
      </c>
      <c r="C542" s="418">
        <v>30680</v>
      </c>
      <c r="D542" s="433" t="s">
        <v>386</v>
      </c>
      <c r="E542" s="345" t="s">
        <v>198</v>
      </c>
      <c r="F542" s="433" t="s">
        <v>386</v>
      </c>
      <c r="G542" s="589">
        <v>46214</v>
      </c>
      <c r="H542" s="346"/>
      <c r="I542" s="346"/>
      <c r="J542" s="295"/>
      <c r="K542" s="295"/>
      <c r="L542" s="347"/>
      <c r="M542" s="348"/>
      <c r="N542" s="348"/>
      <c r="O542" s="348"/>
      <c r="P542" s="348"/>
      <c r="Q542" s="349"/>
      <c r="R542" s="348"/>
      <c r="S542" s="348"/>
      <c r="T542" s="349"/>
      <c r="U542" s="348"/>
      <c r="V542" s="349"/>
      <c r="W542" s="350"/>
      <c r="X542" s="351"/>
      <c r="Y542" s="352"/>
      <c r="Z542" s="353"/>
      <c r="AA542" s="354"/>
      <c r="AB542" s="339"/>
    </row>
    <row r="543" spans="1:28" s="340" customFormat="1">
      <c r="A543" s="711"/>
      <c r="B543" s="342" t="s">
        <v>187</v>
      </c>
      <c r="C543" s="418">
        <v>30680</v>
      </c>
      <c r="D543" s="433" t="s">
        <v>386</v>
      </c>
      <c r="E543" s="345" t="s">
        <v>198</v>
      </c>
      <c r="F543" s="433" t="s">
        <v>386</v>
      </c>
      <c r="G543" s="590">
        <v>46215</v>
      </c>
      <c r="H543" s="346"/>
      <c r="I543" s="346"/>
      <c r="J543" s="699" t="s">
        <v>173</v>
      </c>
      <c r="K543" s="700"/>
      <c r="L543" s="347"/>
      <c r="M543" s="348"/>
      <c r="N543" s="348"/>
      <c r="O543" s="348"/>
      <c r="P543" s="348"/>
      <c r="Q543" s="349"/>
      <c r="R543" s="348"/>
      <c r="S543" s="348"/>
      <c r="T543" s="349"/>
      <c r="U543" s="348"/>
      <c r="V543" s="349"/>
      <c r="W543" s="350"/>
      <c r="X543" s="351"/>
      <c r="Y543" s="352"/>
      <c r="Z543" s="353"/>
      <c r="AA543" s="354"/>
      <c r="AB543" s="339"/>
    </row>
    <row r="544" spans="1:28" s="340" customFormat="1">
      <c r="A544" s="711"/>
      <c r="B544" s="342" t="s">
        <v>187</v>
      </c>
      <c r="C544" s="384">
        <v>30680</v>
      </c>
      <c r="D544" s="433" t="s">
        <v>386</v>
      </c>
      <c r="E544" s="383" t="s">
        <v>198</v>
      </c>
      <c r="F544" s="433" t="s">
        <v>386</v>
      </c>
      <c r="G544" s="589">
        <v>46216</v>
      </c>
      <c r="H544" s="346"/>
      <c r="I544" s="346" t="s">
        <v>183</v>
      </c>
      <c r="J544" s="305">
        <v>0.77361111111111114</v>
      </c>
      <c r="K544" s="305">
        <v>0.16666666666666666</v>
      </c>
      <c r="L544" s="347" t="s">
        <v>168</v>
      </c>
      <c r="M544" s="348">
        <v>8</v>
      </c>
      <c r="N544" s="348"/>
      <c r="O544" s="348">
        <v>6</v>
      </c>
      <c r="P544" s="348"/>
      <c r="Q544" s="349"/>
      <c r="R544" s="348"/>
      <c r="S544" s="348"/>
      <c r="T544" s="349"/>
      <c r="U544" s="348"/>
      <c r="V544" s="349"/>
      <c r="W544" s="350"/>
      <c r="X544" s="351"/>
      <c r="Y544" s="352"/>
      <c r="Z544" s="353"/>
      <c r="AA544" s="354"/>
      <c r="AB544" s="339"/>
    </row>
    <row r="545" spans="1:28" s="340" customFormat="1">
      <c r="A545" s="711"/>
      <c r="B545" s="342" t="s">
        <v>187</v>
      </c>
      <c r="C545" s="384">
        <v>30680</v>
      </c>
      <c r="D545" s="433" t="s">
        <v>386</v>
      </c>
      <c r="E545" s="383" t="s">
        <v>198</v>
      </c>
      <c r="F545" s="433" t="s">
        <v>386</v>
      </c>
      <c r="G545" s="589">
        <v>46217</v>
      </c>
      <c r="H545" s="346"/>
      <c r="I545" s="346" t="s">
        <v>183</v>
      </c>
      <c r="J545" s="305">
        <v>0.77430555555555547</v>
      </c>
      <c r="K545" s="305">
        <v>0.16666666666666666</v>
      </c>
      <c r="L545" s="347" t="s">
        <v>168</v>
      </c>
      <c r="M545" s="348">
        <v>8</v>
      </c>
      <c r="N545" s="348"/>
      <c r="O545" s="348">
        <v>6</v>
      </c>
      <c r="P545" s="357"/>
      <c r="Q545" s="356"/>
      <c r="R545" s="357"/>
      <c r="S545" s="357"/>
      <c r="T545" s="356"/>
      <c r="U545" s="357"/>
      <c r="V545" s="356"/>
      <c r="W545" s="358"/>
      <c r="X545" s="359"/>
      <c r="Y545" s="360"/>
      <c r="Z545" s="361"/>
      <c r="AA545" s="362"/>
      <c r="AB545" s="339"/>
    </row>
    <row r="546" spans="1:28" s="340" customFormat="1">
      <c r="A546" s="711"/>
      <c r="B546" s="342" t="s">
        <v>187</v>
      </c>
      <c r="C546" s="384">
        <v>30680</v>
      </c>
      <c r="D546" s="433" t="s">
        <v>386</v>
      </c>
      <c r="E546" s="383" t="s">
        <v>198</v>
      </c>
      <c r="F546" s="433" t="s">
        <v>386</v>
      </c>
      <c r="G546" s="589">
        <v>46218</v>
      </c>
      <c r="H546" s="346"/>
      <c r="I546" s="346" t="s">
        <v>183</v>
      </c>
      <c r="J546" s="305">
        <v>0.77847222222222223</v>
      </c>
      <c r="K546" s="305">
        <v>0.1673611111111111</v>
      </c>
      <c r="L546" s="347" t="s">
        <v>168</v>
      </c>
      <c r="M546" s="348">
        <v>8</v>
      </c>
      <c r="N546" s="348"/>
      <c r="O546" s="348">
        <v>6</v>
      </c>
      <c r="P546" s="348"/>
      <c r="Q546" s="349"/>
      <c r="R546" s="348"/>
      <c r="S546" s="348"/>
      <c r="T546" s="349"/>
      <c r="U546" s="348"/>
      <c r="V546" s="349"/>
      <c r="W546" s="350"/>
      <c r="X546" s="351"/>
      <c r="Y546" s="352"/>
      <c r="Z546" s="353"/>
      <c r="AA546" s="354"/>
      <c r="AB546" s="339"/>
    </row>
    <row r="547" spans="1:28" s="340" customFormat="1">
      <c r="A547" s="711"/>
      <c r="B547" s="342" t="s">
        <v>187</v>
      </c>
      <c r="C547" s="384">
        <v>30680</v>
      </c>
      <c r="D547" s="433" t="s">
        <v>386</v>
      </c>
      <c r="E547" s="383" t="s">
        <v>198</v>
      </c>
      <c r="F547" s="433" t="s">
        <v>386</v>
      </c>
      <c r="G547" s="589">
        <v>46219</v>
      </c>
      <c r="H547" s="346"/>
      <c r="I547" s="346" t="s">
        <v>183</v>
      </c>
      <c r="J547" s="305">
        <v>0.76944444444444438</v>
      </c>
      <c r="K547" s="305">
        <v>0.1673611111111111</v>
      </c>
      <c r="L547" s="347" t="s">
        <v>168</v>
      </c>
      <c r="M547" s="348">
        <v>8</v>
      </c>
      <c r="N547" s="348"/>
      <c r="O547" s="348">
        <v>6</v>
      </c>
      <c r="P547" s="348"/>
      <c r="Q547" s="349"/>
      <c r="R547" s="348"/>
      <c r="S547" s="348"/>
      <c r="T547" s="349"/>
      <c r="U547" s="348"/>
      <c r="V547" s="349"/>
      <c r="W547" s="350"/>
      <c r="X547" s="351"/>
      <c r="Y547" s="352"/>
      <c r="Z547" s="353"/>
      <c r="AA547" s="354"/>
      <c r="AB547" s="339"/>
    </row>
    <row r="548" spans="1:28" s="340" customFormat="1">
      <c r="A548" s="711"/>
      <c r="B548" s="342" t="s">
        <v>187</v>
      </c>
      <c r="C548" s="384">
        <v>30680</v>
      </c>
      <c r="D548" s="433" t="s">
        <v>386</v>
      </c>
      <c r="E548" s="383" t="s">
        <v>198</v>
      </c>
      <c r="F548" s="433" t="s">
        <v>386</v>
      </c>
      <c r="G548" s="589">
        <v>46220</v>
      </c>
      <c r="H548" s="346"/>
      <c r="I548" s="346" t="s">
        <v>183</v>
      </c>
      <c r="J548" s="305">
        <v>0.77083333333333337</v>
      </c>
      <c r="K548" s="305">
        <v>0.16666666666666666</v>
      </c>
      <c r="L548" s="347" t="s">
        <v>168</v>
      </c>
      <c r="M548" s="348">
        <v>8</v>
      </c>
      <c r="N548" s="348"/>
      <c r="O548" s="348">
        <v>6</v>
      </c>
      <c r="P548" s="348"/>
      <c r="Q548" s="349"/>
      <c r="R548" s="348"/>
      <c r="S548" s="348"/>
      <c r="T548" s="349"/>
      <c r="U548" s="348"/>
      <c r="V548" s="349"/>
      <c r="W548" s="350"/>
      <c r="X548" s="351"/>
      <c r="Y548" s="352"/>
      <c r="Z548" s="353"/>
      <c r="AA548" s="354"/>
      <c r="AB548" s="339"/>
    </row>
    <row r="549" spans="1:28" s="340" customFormat="1">
      <c r="A549" s="711"/>
      <c r="B549" s="342" t="s">
        <v>187</v>
      </c>
      <c r="C549" s="384">
        <v>30680</v>
      </c>
      <c r="D549" s="433" t="s">
        <v>386</v>
      </c>
      <c r="E549" s="383" t="s">
        <v>198</v>
      </c>
      <c r="F549" s="433" t="s">
        <v>386</v>
      </c>
      <c r="G549" s="589">
        <v>46221</v>
      </c>
      <c r="H549" s="346"/>
      <c r="I549" s="346" t="s">
        <v>183</v>
      </c>
      <c r="J549" s="305">
        <v>0.7729166666666667</v>
      </c>
      <c r="K549" s="305">
        <v>0.16666666666666666</v>
      </c>
      <c r="L549" s="347" t="s">
        <v>168</v>
      </c>
      <c r="M549" s="348">
        <v>8</v>
      </c>
      <c r="N549" s="348"/>
      <c r="O549" s="348">
        <v>6</v>
      </c>
      <c r="P549" s="348"/>
      <c r="Q549" s="349"/>
      <c r="R549" s="348"/>
      <c r="S549" s="348"/>
      <c r="T549" s="349"/>
      <c r="U549" s="348"/>
      <c r="V549" s="349"/>
      <c r="W549" s="350"/>
      <c r="X549" s="351"/>
      <c r="Y549" s="352"/>
      <c r="Z549" s="353"/>
      <c r="AA549" s="354"/>
      <c r="AB549" s="339"/>
    </row>
    <row r="550" spans="1:28" s="340" customFormat="1">
      <c r="A550" s="711"/>
      <c r="B550" s="342" t="s">
        <v>187</v>
      </c>
      <c r="C550" s="384">
        <v>30680</v>
      </c>
      <c r="D550" s="433" t="s">
        <v>386</v>
      </c>
      <c r="E550" s="383" t="s">
        <v>198</v>
      </c>
      <c r="F550" s="433" t="s">
        <v>386</v>
      </c>
      <c r="G550" s="590">
        <v>46222</v>
      </c>
      <c r="H550" s="346"/>
      <c r="I550" s="346"/>
      <c r="J550" s="699" t="s">
        <v>173</v>
      </c>
      <c r="K550" s="700"/>
      <c r="L550" s="347"/>
      <c r="M550" s="348"/>
      <c r="N550" s="348"/>
      <c r="O550" s="348"/>
      <c r="P550" s="348"/>
      <c r="Q550" s="349"/>
      <c r="R550" s="348"/>
      <c r="S550" s="348"/>
      <c r="T550" s="349"/>
      <c r="U550" s="348"/>
      <c r="V550" s="349"/>
      <c r="W550" s="350"/>
      <c r="X550" s="351"/>
      <c r="Y550" s="352"/>
      <c r="Z550" s="353"/>
      <c r="AA550" s="354"/>
      <c r="AB550" s="339"/>
    </row>
    <row r="551" spans="1:28" s="340" customFormat="1">
      <c r="A551" s="711"/>
      <c r="B551" s="342" t="s">
        <v>187</v>
      </c>
      <c r="C551" s="384">
        <v>30680</v>
      </c>
      <c r="D551" s="433" t="s">
        <v>386</v>
      </c>
      <c r="E551" s="383" t="s">
        <v>198</v>
      </c>
      <c r="F551" s="433" t="s">
        <v>386</v>
      </c>
      <c r="G551" s="589">
        <v>46223</v>
      </c>
      <c r="H551" s="346"/>
      <c r="I551" s="346" t="s">
        <v>183</v>
      </c>
      <c r="J551" s="295">
        <v>0.77083333333333337</v>
      </c>
      <c r="K551" s="295">
        <v>0.16666666666666666</v>
      </c>
      <c r="L551" s="347" t="s">
        <v>168</v>
      </c>
      <c r="M551" s="348">
        <v>8</v>
      </c>
      <c r="N551" s="348"/>
      <c r="O551" s="348">
        <v>6</v>
      </c>
      <c r="P551" s="357"/>
      <c r="Q551" s="356"/>
      <c r="R551" s="357"/>
      <c r="S551" s="357"/>
      <c r="T551" s="356"/>
      <c r="U551" s="357"/>
      <c r="V551" s="356"/>
      <c r="W551" s="350"/>
      <c r="X551" s="351"/>
      <c r="Y551" s="352"/>
      <c r="Z551" s="353"/>
      <c r="AA551" s="354"/>
      <c r="AB551" s="339"/>
    </row>
    <row r="552" spans="1:28" s="340" customFormat="1">
      <c r="A552" s="711"/>
      <c r="B552" s="342" t="s">
        <v>187</v>
      </c>
      <c r="C552" s="384">
        <v>30680</v>
      </c>
      <c r="D552" s="433" t="s">
        <v>386</v>
      </c>
      <c r="E552" s="383" t="s">
        <v>198</v>
      </c>
      <c r="F552" s="433" t="s">
        <v>386</v>
      </c>
      <c r="G552" s="589">
        <v>46224</v>
      </c>
      <c r="H552" s="346"/>
      <c r="I552" s="346" t="s">
        <v>183</v>
      </c>
      <c r="J552" s="295">
        <v>0.77500000000000002</v>
      </c>
      <c r="K552" s="295">
        <v>0.16666666666666666</v>
      </c>
      <c r="L552" s="347" t="s">
        <v>168</v>
      </c>
      <c r="M552" s="348">
        <v>8</v>
      </c>
      <c r="N552" s="348"/>
      <c r="O552" s="348">
        <v>6</v>
      </c>
      <c r="P552" s="365"/>
      <c r="Q552" s="364"/>
      <c r="R552" s="365"/>
      <c r="S552" s="365"/>
      <c r="T552" s="356"/>
      <c r="U552" s="357"/>
      <c r="V552" s="356"/>
      <c r="W552" s="358"/>
      <c r="X552" s="359"/>
      <c r="Y552" s="360"/>
      <c r="Z552" s="361"/>
      <c r="AA552" s="362"/>
      <c r="AB552" s="339"/>
    </row>
    <row r="553" spans="1:28" s="340" customFormat="1">
      <c r="A553" s="711"/>
      <c r="B553" s="342" t="s">
        <v>187</v>
      </c>
      <c r="C553" s="384">
        <v>30680</v>
      </c>
      <c r="D553" s="433" t="s">
        <v>386</v>
      </c>
      <c r="E553" s="383" t="s">
        <v>198</v>
      </c>
      <c r="F553" s="433" t="s">
        <v>386</v>
      </c>
      <c r="G553" s="589">
        <v>46225</v>
      </c>
      <c r="H553" s="346"/>
      <c r="I553" s="346" t="s">
        <v>183</v>
      </c>
      <c r="J553" s="295">
        <v>0.77708333333333335</v>
      </c>
      <c r="K553" s="295">
        <v>0.25</v>
      </c>
      <c r="L553" s="347" t="s">
        <v>168</v>
      </c>
      <c r="M553" s="348">
        <v>8</v>
      </c>
      <c r="N553" s="348">
        <v>2</v>
      </c>
      <c r="O553" s="348">
        <v>6</v>
      </c>
      <c r="P553" s="348">
        <v>2</v>
      </c>
      <c r="Q553" s="349"/>
      <c r="R553" s="348"/>
      <c r="S553" s="348"/>
      <c r="T553" s="349"/>
      <c r="U553" s="348"/>
      <c r="V553" s="349"/>
      <c r="W553" s="350"/>
      <c r="X553" s="351"/>
      <c r="Y553" s="352"/>
      <c r="Z553" s="353"/>
      <c r="AA553" s="354"/>
      <c r="AB553" s="339"/>
    </row>
    <row r="554" spans="1:28" s="340" customFormat="1">
      <c r="A554" s="711"/>
      <c r="B554" s="342" t="s">
        <v>187</v>
      </c>
      <c r="C554" s="384">
        <v>30680</v>
      </c>
      <c r="D554" s="433" t="s">
        <v>386</v>
      </c>
      <c r="E554" s="383" t="s">
        <v>198</v>
      </c>
      <c r="F554" s="433" t="s">
        <v>386</v>
      </c>
      <c r="G554" s="589">
        <v>46226</v>
      </c>
      <c r="H554" s="346"/>
      <c r="I554" s="346" t="s">
        <v>183</v>
      </c>
      <c r="J554" s="295">
        <v>0.77777777777777779</v>
      </c>
      <c r="K554" s="295">
        <v>0.25</v>
      </c>
      <c r="L554" s="347" t="s">
        <v>168</v>
      </c>
      <c r="M554" s="348">
        <v>8</v>
      </c>
      <c r="N554" s="348">
        <v>2</v>
      </c>
      <c r="O554" s="348">
        <v>6</v>
      </c>
      <c r="P554" s="367">
        <v>2</v>
      </c>
      <c r="Q554" s="349"/>
      <c r="R554" s="348"/>
      <c r="S554" s="348"/>
      <c r="T554" s="349"/>
      <c r="U554" s="348"/>
      <c r="V554" s="349"/>
      <c r="W554" s="350"/>
      <c r="X554" s="351"/>
      <c r="Y554" s="352"/>
      <c r="Z554" s="353"/>
      <c r="AA554" s="354"/>
      <c r="AB554" s="339"/>
    </row>
    <row r="555" spans="1:28" s="340" customFormat="1">
      <c r="A555" s="711"/>
      <c r="B555" s="342" t="s">
        <v>187</v>
      </c>
      <c r="C555" s="384">
        <v>30680</v>
      </c>
      <c r="D555" s="433" t="s">
        <v>386</v>
      </c>
      <c r="E555" s="383" t="s">
        <v>198</v>
      </c>
      <c r="F555" s="433" t="s">
        <v>386</v>
      </c>
      <c r="G555" s="589">
        <v>46227</v>
      </c>
      <c r="H555" s="346"/>
      <c r="I555" s="346" t="s">
        <v>183</v>
      </c>
      <c r="J555" s="295">
        <v>0.77569444444444446</v>
      </c>
      <c r="K555" s="318">
        <v>0.16666666666666666</v>
      </c>
      <c r="L555" s="347" t="s">
        <v>168</v>
      </c>
      <c r="M555" s="348">
        <v>8</v>
      </c>
      <c r="N555" s="348"/>
      <c r="O555" s="348">
        <v>6</v>
      </c>
      <c r="P555" s="366"/>
      <c r="Q555" s="368"/>
      <c r="R555" s="366"/>
      <c r="S555" s="366"/>
      <c r="T555" s="349"/>
      <c r="U555" s="348"/>
      <c r="V555" s="349"/>
      <c r="W555" s="350"/>
      <c r="X555" s="351"/>
      <c r="Y555" s="352"/>
      <c r="Z555" s="353"/>
      <c r="AA555" s="354"/>
      <c r="AB555" s="339"/>
    </row>
    <row r="556" spans="1:28" s="340" customFormat="1">
      <c r="A556" s="711"/>
      <c r="B556" s="342" t="s">
        <v>187</v>
      </c>
      <c r="C556" s="384">
        <v>30680</v>
      </c>
      <c r="D556" s="433" t="s">
        <v>386</v>
      </c>
      <c r="E556" s="383" t="s">
        <v>198</v>
      </c>
      <c r="F556" s="433" t="s">
        <v>386</v>
      </c>
      <c r="G556" s="589">
        <v>46228</v>
      </c>
      <c r="H556" s="346"/>
      <c r="I556" s="346" t="s">
        <v>183</v>
      </c>
      <c r="J556" s="295"/>
      <c r="K556" s="295"/>
      <c r="L556" s="347"/>
      <c r="M556" s="348"/>
      <c r="N556" s="348"/>
      <c r="O556" s="348"/>
      <c r="P556" s="348"/>
      <c r="Q556" s="349"/>
      <c r="R556" s="348"/>
      <c r="S556" s="320"/>
      <c r="T556" s="349"/>
      <c r="U556" s="348"/>
      <c r="V556" s="349"/>
      <c r="W556" s="350"/>
      <c r="X556" s="351"/>
      <c r="Y556" s="352"/>
      <c r="Z556" s="353"/>
      <c r="AA556" s="354"/>
      <c r="AB556" s="339"/>
    </row>
    <row r="557" spans="1:28" s="340" customFormat="1">
      <c r="A557" s="711"/>
      <c r="B557" s="342"/>
      <c r="C557" s="384"/>
      <c r="D557" s="345"/>
      <c r="E557" s="383"/>
      <c r="F557" s="345"/>
      <c r="G557" s="594"/>
      <c r="H557" s="346"/>
      <c r="I557" s="346"/>
      <c r="J557" s="369"/>
      <c r="K557" s="370"/>
      <c r="L557" s="371"/>
      <c r="M557" s="363"/>
      <c r="N557" s="363"/>
      <c r="O557" s="363"/>
      <c r="P557" s="363"/>
      <c r="Q557" s="372"/>
      <c r="R557" s="363"/>
      <c r="S557" s="324"/>
      <c r="T557" s="349"/>
      <c r="U557" s="348"/>
      <c r="V557" s="349"/>
      <c r="W557" s="350"/>
      <c r="X557" s="351"/>
      <c r="Y557" s="352"/>
      <c r="Z557" s="353"/>
      <c r="AA557" s="354"/>
      <c r="AB557" s="339"/>
    </row>
    <row r="558" spans="1:28" s="340" customFormat="1">
      <c r="A558" s="712"/>
      <c r="B558" s="325"/>
      <c r="C558" s="342"/>
      <c r="D558" s="325"/>
      <c r="E558" s="345"/>
      <c r="F558" s="325"/>
      <c r="G558" s="595"/>
      <c r="H558" s="374"/>
      <c r="I558" s="377"/>
      <c r="J558" s="375"/>
      <c r="K558" s="376"/>
      <c r="L558" s="377"/>
      <c r="M558" s="377">
        <f t="shared" ref="M558:AA558" si="31">SUM(M541:M557)</f>
        <v>88</v>
      </c>
      <c r="N558" s="377">
        <f t="shared" si="31"/>
        <v>4</v>
      </c>
      <c r="O558" s="377">
        <f t="shared" si="31"/>
        <v>66</v>
      </c>
      <c r="P558" s="377">
        <f t="shared" si="31"/>
        <v>4</v>
      </c>
      <c r="Q558" s="377">
        <f t="shared" si="31"/>
        <v>0</v>
      </c>
      <c r="R558" s="377">
        <f t="shared" si="31"/>
        <v>0</v>
      </c>
      <c r="S558" s="377">
        <f t="shared" si="31"/>
        <v>0</v>
      </c>
      <c r="T558" s="377">
        <f t="shared" si="31"/>
        <v>0</v>
      </c>
      <c r="U558" s="377">
        <f t="shared" si="31"/>
        <v>0</v>
      </c>
      <c r="V558" s="377">
        <f t="shared" si="31"/>
        <v>0</v>
      </c>
      <c r="W558" s="377">
        <f t="shared" si="31"/>
        <v>0</v>
      </c>
      <c r="X558" s="377">
        <f t="shared" si="31"/>
        <v>0</v>
      </c>
      <c r="Y558" s="377">
        <f t="shared" si="31"/>
        <v>0</v>
      </c>
      <c r="Z558" s="377">
        <f t="shared" si="31"/>
        <v>0</v>
      </c>
      <c r="AA558" s="392">
        <f t="shared" si="31"/>
        <v>0</v>
      </c>
      <c r="AB558" s="339"/>
    </row>
    <row r="559" spans="1:28" s="340" customFormat="1">
      <c r="A559" s="280" t="s">
        <v>170</v>
      </c>
      <c r="B559" s="280" t="s">
        <v>120</v>
      </c>
      <c r="C559" s="280" t="s">
        <v>152</v>
      </c>
      <c r="D559" s="280" t="s">
        <v>182</v>
      </c>
      <c r="E559" s="281" t="s">
        <v>153</v>
      </c>
      <c r="F559" s="280" t="s">
        <v>182</v>
      </c>
      <c r="G559" s="593" t="s">
        <v>401</v>
      </c>
      <c r="H559" s="333"/>
      <c r="I559" s="334" t="s">
        <v>181</v>
      </c>
      <c r="J559" s="419" t="s">
        <v>154</v>
      </c>
      <c r="K559" s="419" t="s">
        <v>155</v>
      </c>
      <c r="L559" s="334" t="s">
        <v>156</v>
      </c>
      <c r="M559" s="420" t="s">
        <v>157</v>
      </c>
      <c r="N559" s="334" t="s">
        <v>158</v>
      </c>
      <c r="O559" s="334" t="s">
        <v>159</v>
      </c>
      <c r="P559" s="334" t="s">
        <v>174</v>
      </c>
      <c r="Q559" s="334" t="s">
        <v>160</v>
      </c>
      <c r="R559" s="334" t="s">
        <v>161</v>
      </c>
      <c r="S559" s="334" t="s">
        <v>162</v>
      </c>
      <c r="T559" s="334" t="s">
        <v>163</v>
      </c>
      <c r="U559" s="334" t="s">
        <v>164</v>
      </c>
      <c r="V559" s="334" t="s">
        <v>165</v>
      </c>
      <c r="W559" s="336" t="s">
        <v>113</v>
      </c>
      <c r="X559" s="334" t="s">
        <v>121</v>
      </c>
      <c r="Y559" s="334" t="s">
        <v>166</v>
      </c>
      <c r="Z559" s="338" t="s">
        <v>175</v>
      </c>
      <c r="AA559" s="338" t="s">
        <v>167</v>
      </c>
      <c r="AB559" s="339"/>
    </row>
    <row r="560" spans="1:28" s="340" customFormat="1">
      <c r="A560" s="341"/>
      <c r="B560" s="342" t="s">
        <v>187</v>
      </c>
      <c r="C560" s="343">
        <v>32457</v>
      </c>
      <c r="D560" s="344" t="s">
        <v>375</v>
      </c>
      <c r="E560" s="383" t="s">
        <v>197</v>
      </c>
      <c r="F560" s="344" t="s">
        <v>375</v>
      </c>
      <c r="G560" s="589">
        <v>46214</v>
      </c>
      <c r="H560" s="346"/>
      <c r="I560" s="346" t="s">
        <v>186</v>
      </c>
      <c r="J560" s="295">
        <v>0.30902777777777779</v>
      </c>
      <c r="K560" s="295">
        <v>0.70972222222222225</v>
      </c>
      <c r="L560" s="347" t="s">
        <v>169</v>
      </c>
      <c r="M560" s="348">
        <v>8</v>
      </c>
      <c r="N560" s="348"/>
      <c r="O560" s="348"/>
      <c r="P560" s="348"/>
      <c r="Q560" s="349"/>
      <c r="R560" s="348"/>
      <c r="S560" s="348"/>
      <c r="T560" s="349"/>
      <c r="U560" s="348"/>
      <c r="V560" s="349"/>
      <c r="W560" s="350"/>
      <c r="X560" s="351"/>
      <c r="Y560" s="352"/>
      <c r="Z560" s="353"/>
      <c r="AA560" s="354"/>
      <c r="AB560" s="339"/>
    </row>
    <row r="561" spans="1:28" s="340" customFormat="1">
      <c r="A561" s="355"/>
      <c r="B561" s="342" t="s">
        <v>187</v>
      </c>
      <c r="C561" s="343">
        <v>32457</v>
      </c>
      <c r="D561" s="344" t="s">
        <v>375</v>
      </c>
      <c r="E561" s="383" t="s">
        <v>197</v>
      </c>
      <c r="F561" s="344" t="s">
        <v>375</v>
      </c>
      <c r="G561" s="590">
        <v>46215</v>
      </c>
      <c r="H561" s="346"/>
      <c r="I561" s="346"/>
      <c r="J561" s="699" t="s">
        <v>173</v>
      </c>
      <c r="K561" s="700"/>
      <c r="L561" s="347"/>
      <c r="M561" s="348"/>
      <c r="N561" s="348"/>
      <c r="O561" s="348"/>
      <c r="P561" s="348"/>
      <c r="Q561" s="349"/>
      <c r="R561" s="348"/>
      <c r="S561" s="348"/>
      <c r="T561" s="349"/>
      <c r="U561" s="348"/>
      <c r="V561" s="349"/>
      <c r="W561" s="350"/>
      <c r="X561" s="359"/>
      <c r="Y561" s="352"/>
      <c r="Z561" s="353"/>
      <c r="AA561" s="354"/>
      <c r="AB561" s="339"/>
    </row>
    <row r="562" spans="1:28" s="340" customFormat="1">
      <c r="A562" s="355"/>
      <c r="B562" s="342" t="s">
        <v>187</v>
      </c>
      <c r="C562" s="343">
        <v>32457</v>
      </c>
      <c r="D562" s="344" t="s">
        <v>375</v>
      </c>
      <c r="E562" s="383" t="s">
        <v>197</v>
      </c>
      <c r="F562" s="344" t="s">
        <v>375</v>
      </c>
      <c r="G562" s="589">
        <v>46216</v>
      </c>
      <c r="H562" s="346"/>
      <c r="I562" s="346"/>
      <c r="J562" s="305"/>
      <c r="K562" s="305"/>
      <c r="L562" s="347"/>
      <c r="M562" s="348"/>
      <c r="N562" s="348"/>
      <c r="O562" s="348"/>
      <c r="P562" s="348"/>
      <c r="Q562" s="349"/>
      <c r="R562" s="348"/>
      <c r="S562" s="348"/>
      <c r="T562" s="349"/>
      <c r="U562" s="348"/>
      <c r="V562" s="349"/>
      <c r="W562" s="350"/>
      <c r="X562" s="351"/>
      <c r="Y562" s="352"/>
      <c r="Z562" s="353"/>
      <c r="AA562" s="354"/>
      <c r="AB562" s="339"/>
    </row>
    <row r="563" spans="1:28" s="340" customFormat="1">
      <c r="A563" s="355"/>
      <c r="B563" s="342" t="s">
        <v>187</v>
      </c>
      <c r="C563" s="343">
        <v>32457</v>
      </c>
      <c r="D563" s="344" t="s">
        <v>375</v>
      </c>
      <c r="E563" s="383" t="s">
        <v>197</v>
      </c>
      <c r="F563" s="344" t="s">
        <v>375</v>
      </c>
      <c r="G563" s="589">
        <v>46217</v>
      </c>
      <c r="H563" s="346"/>
      <c r="I563" s="346"/>
      <c r="J563" s="305"/>
      <c r="K563" s="305"/>
      <c r="L563" s="347"/>
      <c r="M563" s="348"/>
      <c r="N563" s="348"/>
      <c r="O563" s="357"/>
      <c r="P563" s="357"/>
      <c r="Q563" s="356"/>
      <c r="R563" s="357"/>
      <c r="S563" s="357"/>
      <c r="T563" s="356"/>
      <c r="U563" s="357"/>
      <c r="V563" s="356"/>
      <c r="W563" s="358"/>
      <c r="X563" s="359"/>
      <c r="Y563" s="360"/>
      <c r="Z563" s="361"/>
      <c r="AA563" s="362"/>
      <c r="AB563" s="339"/>
    </row>
    <row r="564" spans="1:28" s="340" customFormat="1">
      <c r="A564" s="355"/>
      <c r="B564" s="342" t="s">
        <v>187</v>
      </c>
      <c r="C564" s="343">
        <v>32457</v>
      </c>
      <c r="D564" s="344" t="s">
        <v>375</v>
      </c>
      <c r="E564" s="383" t="s">
        <v>197</v>
      </c>
      <c r="F564" s="344" t="s">
        <v>375</v>
      </c>
      <c r="G564" s="589">
        <v>46218</v>
      </c>
      <c r="H564" s="346"/>
      <c r="I564" s="346"/>
      <c r="J564" s="305"/>
      <c r="K564" s="305"/>
      <c r="L564" s="347"/>
      <c r="M564" s="348"/>
      <c r="N564" s="348"/>
      <c r="O564" s="348"/>
      <c r="P564" s="348"/>
      <c r="Q564" s="349"/>
      <c r="R564" s="348"/>
      <c r="S564" s="348"/>
      <c r="T564" s="349"/>
      <c r="U564" s="348"/>
      <c r="V564" s="349"/>
      <c r="W564" s="350"/>
      <c r="X564" s="351"/>
      <c r="Y564" s="352"/>
      <c r="Z564" s="353"/>
      <c r="AA564" s="354"/>
      <c r="AB564" s="339"/>
    </row>
    <row r="565" spans="1:28" s="340" customFormat="1">
      <c r="A565" s="355"/>
      <c r="B565" s="342" t="s">
        <v>187</v>
      </c>
      <c r="C565" s="343">
        <v>32457</v>
      </c>
      <c r="D565" s="344" t="s">
        <v>375</v>
      </c>
      <c r="E565" s="383" t="s">
        <v>197</v>
      </c>
      <c r="F565" s="344" t="s">
        <v>375</v>
      </c>
      <c r="G565" s="589">
        <v>46219</v>
      </c>
      <c r="H565" s="346"/>
      <c r="I565" s="346"/>
      <c r="J565" s="305"/>
      <c r="K565" s="305"/>
      <c r="L565" s="347"/>
      <c r="M565" s="348"/>
      <c r="N565" s="348"/>
      <c r="O565" s="348"/>
      <c r="P565" s="348"/>
      <c r="Q565" s="349"/>
      <c r="R565" s="348"/>
      <c r="S565" s="348"/>
      <c r="T565" s="349"/>
      <c r="U565" s="348"/>
      <c r="V565" s="349"/>
      <c r="W565" s="350"/>
      <c r="X565" s="351"/>
      <c r="Y565" s="352"/>
      <c r="Z565" s="353"/>
      <c r="AA565" s="354"/>
      <c r="AB565" s="339"/>
    </row>
    <row r="566" spans="1:28" s="340" customFormat="1">
      <c r="A566" s="355"/>
      <c r="B566" s="342" t="s">
        <v>187</v>
      </c>
      <c r="C566" s="343">
        <v>32457</v>
      </c>
      <c r="D566" s="344" t="s">
        <v>375</v>
      </c>
      <c r="E566" s="383" t="s">
        <v>197</v>
      </c>
      <c r="F566" s="344" t="s">
        <v>375</v>
      </c>
      <c r="G566" s="589">
        <v>46220</v>
      </c>
      <c r="H566" s="346"/>
      <c r="I566" s="346"/>
      <c r="J566" s="305"/>
      <c r="K566" s="305"/>
      <c r="L566" s="347"/>
      <c r="M566" s="348"/>
      <c r="N566" s="348"/>
      <c r="O566" s="348"/>
      <c r="P566" s="348"/>
      <c r="Q566" s="349"/>
      <c r="R566" s="348"/>
      <c r="S566" s="348"/>
      <c r="T566" s="349"/>
      <c r="U566" s="348"/>
      <c r="V566" s="349"/>
      <c r="W566" s="350"/>
      <c r="X566" s="351"/>
      <c r="Y566" s="352"/>
      <c r="Z566" s="353"/>
      <c r="AA566" s="354"/>
      <c r="AB566" s="339"/>
    </row>
    <row r="567" spans="1:28" s="340" customFormat="1">
      <c r="A567" s="355"/>
      <c r="B567" s="342" t="s">
        <v>187</v>
      </c>
      <c r="C567" s="343">
        <v>32457</v>
      </c>
      <c r="D567" s="344" t="s">
        <v>375</v>
      </c>
      <c r="E567" s="383" t="s">
        <v>197</v>
      </c>
      <c r="F567" s="344" t="s">
        <v>375</v>
      </c>
      <c r="G567" s="589">
        <v>46221</v>
      </c>
      <c r="H567" s="346"/>
      <c r="I567" s="346"/>
      <c r="J567" s="305"/>
      <c r="K567" s="305"/>
      <c r="L567" s="347"/>
      <c r="M567" s="348"/>
      <c r="N567" s="348"/>
      <c r="O567" s="348"/>
      <c r="P567" s="348"/>
      <c r="Q567" s="349"/>
      <c r="R567" s="348"/>
      <c r="S567" s="348"/>
      <c r="T567" s="349"/>
      <c r="U567" s="348"/>
      <c r="V567" s="349"/>
      <c r="W567" s="350"/>
      <c r="X567" s="351"/>
      <c r="Y567" s="352"/>
      <c r="Z567" s="353"/>
      <c r="AA567" s="354"/>
      <c r="AB567" s="339"/>
    </row>
    <row r="568" spans="1:28" s="340" customFormat="1">
      <c r="A568" s="355"/>
      <c r="B568" s="342" t="s">
        <v>187</v>
      </c>
      <c r="C568" s="343">
        <v>32457</v>
      </c>
      <c r="D568" s="344" t="s">
        <v>375</v>
      </c>
      <c r="E568" s="383" t="s">
        <v>197</v>
      </c>
      <c r="F568" s="344" t="s">
        <v>375</v>
      </c>
      <c r="G568" s="590">
        <v>46222</v>
      </c>
      <c r="H568" s="346"/>
      <c r="I568" s="346"/>
      <c r="J568" s="305"/>
      <c r="K568" s="305"/>
      <c r="L568" s="347"/>
      <c r="M568" s="348"/>
      <c r="N568" s="348"/>
      <c r="O568" s="348"/>
      <c r="P568" s="348"/>
      <c r="Q568" s="349"/>
      <c r="R568" s="348"/>
      <c r="S568" s="348"/>
      <c r="T568" s="349"/>
      <c r="U568" s="348"/>
      <c r="V568" s="349"/>
      <c r="W568" s="350"/>
      <c r="X568" s="351"/>
      <c r="Y568" s="352"/>
      <c r="Z568" s="353"/>
      <c r="AA568" s="354"/>
      <c r="AB568" s="339"/>
    </row>
    <row r="569" spans="1:28" s="340" customFormat="1">
      <c r="A569" s="355"/>
      <c r="B569" s="342" t="s">
        <v>187</v>
      </c>
      <c r="C569" s="343">
        <v>32457</v>
      </c>
      <c r="D569" s="344" t="s">
        <v>375</v>
      </c>
      <c r="E569" s="383" t="s">
        <v>197</v>
      </c>
      <c r="F569" s="344" t="s">
        <v>375</v>
      </c>
      <c r="G569" s="589">
        <v>46223</v>
      </c>
      <c r="H569" s="346"/>
      <c r="I569" s="346"/>
      <c r="J569" s="708"/>
      <c r="K569" s="709"/>
      <c r="L569" s="424"/>
      <c r="M569" s="357"/>
      <c r="N569" s="357"/>
      <c r="O569" s="357"/>
      <c r="P569" s="357"/>
      <c r="Q569" s="356"/>
      <c r="R569" s="357"/>
      <c r="S569" s="357"/>
      <c r="T569" s="356"/>
      <c r="U569" s="357"/>
      <c r="V569" s="356"/>
      <c r="W569" s="350"/>
      <c r="X569" s="351"/>
      <c r="Y569" s="352"/>
      <c r="Z569" s="353"/>
      <c r="AA569" s="354"/>
      <c r="AB569" s="339"/>
    </row>
    <row r="570" spans="1:28" s="340" customFormat="1">
      <c r="A570" s="355"/>
      <c r="B570" s="342" t="s">
        <v>187</v>
      </c>
      <c r="C570" s="343">
        <v>32457</v>
      </c>
      <c r="D570" s="344" t="s">
        <v>375</v>
      </c>
      <c r="E570" s="383" t="s">
        <v>197</v>
      </c>
      <c r="F570" s="344" t="s">
        <v>375</v>
      </c>
      <c r="G570" s="589">
        <v>46224</v>
      </c>
      <c r="H570" s="346"/>
      <c r="I570" s="346"/>
      <c r="J570" s="295"/>
      <c r="K570" s="295"/>
      <c r="L570" s="347"/>
      <c r="M570" s="348"/>
      <c r="N570" s="363"/>
      <c r="O570" s="365"/>
      <c r="P570" s="365"/>
      <c r="Q570" s="364"/>
      <c r="R570" s="365"/>
      <c r="S570" s="365"/>
      <c r="T570" s="356"/>
      <c r="U570" s="357"/>
      <c r="V570" s="356"/>
      <c r="W570" s="358"/>
      <c r="X570" s="359"/>
      <c r="Y570" s="360"/>
      <c r="Z570" s="361"/>
      <c r="AA570" s="362"/>
      <c r="AB570" s="339"/>
    </row>
    <row r="571" spans="1:28" s="340" customFormat="1">
      <c r="A571" s="355"/>
      <c r="B571" s="342" t="s">
        <v>187</v>
      </c>
      <c r="C571" s="343">
        <v>32457</v>
      </c>
      <c r="D571" s="344" t="s">
        <v>375</v>
      </c>
      <c r="E571" s="383" t="s">
        <v>197</v>
      </c>
      <c r="F571" s="344" t="s">
        <v>375</v>
      </c>
      <c r="G571" s="589">
        <v>46225</v>
      </c>
      <c r="H571" s="346"/>
      <c r="I571" s="346"/>
      <c r="J571" s="295"/>
      <c r="K571" s="295"/>
      <c r="L571" s="347"/>
      <c r="M571" s="348"/>
      <c r="N571" s="366"/>
      <c r="O571" s="348"/>
      <c r="P571" s="348"/>
      <c r="Q571" s="349"/>
      <c r="R571" s="348"/>
      <c r="S571" s="348"/>
      <c r="T571" s="349"/>
      <c r="U571" s="348"/>
      <c r="V571" s="349"/>
      <c r="W571" s="350"/>
      <c r="X571" s="351"/>
      <c r="Y571" s="352"/>
      <c r="Z571" s="353"/>
      <c r="AA571" s="354"/>
      <c r="AB571" s="339"/>
    </row>
    <row r="572" spans="1:28" s="340" customFormat="1">
      <c r="A572" s="355"/>
      <c r="B572" s="342" t="s">
        <v>187</v>
      </c>
      <c r="C572" s="343">
        <v>32457</v>
      </c>
      <c r="D572" s="344" t="s">
        <v>375</v>
      </c>
      <c r="E572" s="383" t="s">
        <v>197</v>
      </c>
      <c r="F572" s="344" t="s">
        <v>375</v>
      </c>
      <c r="G572" s="589">
        <v>46226</v>
      </c>
      <c r="H572" s="346"/>
      <c r="I572" s="346"/>
      <c r="J572" s="295"/>
      <c r="K572" s="295"/>
      <c r="L572" s="347"/>
      <c r="M572" s="425"/>
      <c r="N572" s="366"/>
      <c r="O572" s="367"/>
      <c r="P572" s="367"/>
      <c r="Q572" s="349"/>
      <c r="R572" s="348"/>
      <c r="S572" s="348"/>
      <c r="T572" s="349"/>
      <c r="U572" s="348"/>
      <c r="V572" s="349"/>
      <c r="W572" s="350"/>
      <c r="X572" s="351"/>
      <c r="Y572" s="352"/>
      <c r="Z572" s="353"/>
      <c r="AA572" s="354"/>
      <c r="AB572" s="339"/>
    </row>
    <row r="573" spans="1:28" s="340" customFormat="1">
      <c r="A573" s="355"/>
      <c r="B573" s="342" t="s">
        <v>187</v>
      </c>
      <c r="C573" s="343">
        <v>32457</v>
      </c>
      <c r="D573" s="344" t="s">
        <v>375</v>
      </c>
      <c r="E573" s="383" t="s">
        <v>197</v>
      </c>
      <c r="F573" s="344" t="s">
        <v>375</v>
      </c>
      <c r="G573" s="589">
        <v>46227</v>
      </c>
      <c r="H573" s="346"/>
      <c r="I573" s="346"/>
      <c r="J573" s="295"/>
      <c r="K573" s="318"/>
      <c r="L573" s="347"/>
      <c r="M573" s="426"/>
      <c r="N573" s="366"/>
      <c r="O573" s="366"/>
      <c r="P573" s="366"/>
      <c r="Q573" s="368"/>
      <c r="R573" s="366"/>
      <c r="S573" s="366"/>
      <c r="T573" s="349"/>
      <c r="U573" s="348"/>
      <c r="V573" s="349"/>
      <c r="W573" s="350"/>
      <c r="X573" s="351"/>
      <c r="Y573" s="352"/>
      <c r="Z573" s="353"/>
      <c r="AA573" s="354"/>
      <c r="AB573" s="339"/>
    </row>
    <row r="574" spans="1:28" s="340" customFormat="1">
      <c r="A574" s="355"/>
      <c r="B574" s="342" t="s">
        <v>187</v>
      </c>
      <c r="C574" s="343">
        <v>32457</v>
      </c>
      <c r="D574" s="344" t="s">
        <v>375</v>
      </c>
      <c r="E574" s="383" t="s">
        <v>197</v>
      </c>
      <c r="F574" s="344" t="s">
        <v>375</v>
      </c>
      <c r="G574" s="589">
        <v>46228</v>
      </c>
      <c r="H574" s="346"/>
      <c r="I574" s="346"/>
      <c r="J574" s="295"/>
      <c r="K574" s="295"/>
      <c r="L574" s="347"/>
      <c r="M574" s="348"/>
      <c r="N574" s="348"/>
      <c r="O574" s="348"/>
      <c r="P574" s="348"/>
      <c r="Q574" s="349"/>
      <c r="R574" s="348"/>
      <c r="S574" s="320"/>
      <c r="T574" s="349"/>
      <c r="U574" s="348"/>
      <c r="V574" s="349"/>
      <c r="W574" s="350"/>
      <c r="X574" s="351"/>
      <c r="Y574" s="352"/>
      <c r="Z574" s="353"/>
      <c r="AA574" s="354"/>
      <c r="AB574" s="339"/>
    </row>
    <row r="575" spans="1:28" s="340" customFormat="1">
      <c r="A575" s="355"/>
      <c r="B575" s="342"/>
      <c r="C575" s="384"/>
      <c r="D575" s="345"/>
      <c r="E575" s="418"/>
      <c r="F575" s="345"/>
      <c r="G575" s="594"/>
      <c r="H575" s="346"/>
      <c r="I575" s="346"/>
      <c r="J575" s="369"/>
      <c r="K575" s="370"/>
      <c r="L575" s="371"/>
      <c r="M575" s="363"/>
      <c r="N575" s="363"/>
      <c r="O575" s="363"/>
      <c r="P575" s="363"/>
      <c r="Q575" s="372"/>
      <c r="R575" s="363"/>
      <c r="S575" s="324"/>
      <c r="T575" s="349"/>
      <c r="U575" s="348"/>
      <c r="V575" s="349"/>
      <c r="W575" s="350"/>
      <c r="X575" s="351"/>
      <c r="Y575" s="352"/>
      <c r="Z575" s="353"/>
      <c r="AA575" s="354"/>
      <c r="AB575" s="339"/>
    </row>
    <row r="576" spans="1:28" s="340" customFormat="1">
      <c r="A576" s="373"/>
      <c r="B576" s="325"/>
      <c r="C576" s="342"/>
      <c r="D576" s="325"/>
      <c r="E576" s="345"/>
      <c r="F576" s="325"/>
      <c r="G576" s="595"/>
      <c r="H576" s="374"/>
      <c r="I576" s="377"/>
      <c r="J576" s="375"/>
      <c r="K576" s="376"/>
      <c r="L576" s="377"/>
      <c r="M576" s="377">
        <f t="shared" ref="M576:AA576" si="32">SUM(M559:M575)</f>
        <v>8</v>
      </c>
      <c r="N576" s="377">
        <f t="shared" si="32"/>
        <v>0</v>
      </c>
      <c r="O576" s="377">
        <f t="shared" si="32"/>
        <v>0</v>
      </c>
      <c r="P576" s="377">
        <f t="shared" si="32"/>
        <v>0</v>
      </c>
      <c r="Q576" s="377">
        <f t="shared" si="32"/>
        <v>0</v>
      </c>
      <c r="R576" s="377">
        <f t="shared" si="32"/>
        <v>0</v>
      </c>
      <c r="S576" s="377">
        <f t="shared" si="32"/>
        <v>0</v>
      </c>
      <c r="T576" s="377">
        <f t="shared" si="32"/>
        <v>0</v>
      </c>
      <c r="U576" s="377">
        <f t="shared" si="32"/>
        <v>0</v>
      </c>
      <c r="V576" s="377">
        <f t="shared" si="32"/>
        <v>0</v>
      </c>
      <c r="W576" s="377">
        <f t="shared" si="32"/>
        <v>0</v>
      </c>
      <c r="X576" s="377">
        <f t="shared" si="32"/>
        <v>0</v>
      </c>
      <c r="Y576" s="377">
        <f t="shared" si="32"/>
        <v>0</v>
      </c>
      <c r="Z576" s="377">
        <f t="shared" si="32"/>
        <v>0</v>
      </c>
      <c r="AA576" s="377">
        <f t="shared" si="32"/>
        <v>0</v>
      </c>
      <c r="AB576" s="339"/>
    </row>
    <row r="577" spans="1:28" s="340" customFormat="1">
      <c r="A577" s="280" t="s">
        <v>170</v>
      </c>
      <c r="B577" s="280" t="s">
        <v>120</v>
      </c>
      <c r="C577" s="280" t="s">
        <v>152</v>
      </c>
      <c r="D577" s="280" t="s">
        <v>182</v>
      </c>
      <c r="E577" s="281" t="s">
        <v>153</v>
      </c>
      <c r="F577" s="280" t="s">
        <v>182</v>
      </c>
      <c r="G577" s="599" t="s">
        <v>401</v>
      </c>
      <c r="H577" s="333"/>
      <c r="I577" s="334" t="s">
        <v>181</v>
      </c>
      <c r="J577" s="419" t="s">
        <v>154</v>
      </c>
      <c r="K577" s="419" t="s">
        <v>155</v>
      </c>
      <c r="L577" s="334" t="s">
        <v>156</v>
      </c>
      <c r="M577" s="420" t="s">
        <v>157</v>
      </c>
      <c r="N577" s="334" t="s">
        <v>158</v>
      </c>
      <c r="O577" s="334" t="s">
        <v>159</v>
      </c>
      <c r="P577" s="334" t="s">
        <v>174</v>
      </c>
      <c r="Q577" s="334" t="s">
        <v>160</v>
      </c>
      <c r="R577" s="334" t="s">
        <v>161</v>
      </c>
      <c r="S577" s="334" t="s">
        <v>162</v>
      </c>
      <c r="T577" s="334" t="s">
        <v>163</v>
      </c>
      <c r="U577" s="334" t="s">
        <v>164</v>
      </c>
      <c r="V577" s="334" t="s">
        <v>165</v>
      </c>
      <c r="W577" s="336" t="s">
        <v>113</v>
      </c>
      <c r="X577" s="334" t="s">
        <v>121</v>
      </c>
      <c r="Y577" s="334" t="s">
        <v>166</v>
      </c>
      <c r="Z577" s="338" t="s">
        <v>175</v>
      </c>
      <c r="AA577" s="338" t="s">
        <v>167</v>
      </c>
      <c r="AB577" s="339"/>
    </row>
    <row r="578" spans="1:28" s="340" customFormat="1">
      <c r="A578" s="341"/>
      <c r="B578" s="342" t="s">
        <v>187</v>
      </c>
      <c r="C578" s="343">
        <v>32504</v>
      </c>
      <c r="D578" s="344" t="s">
        <v>376</v>
      </c>
      <c r="E578" s="348" t="s">
        <v>196</v>
      </c>
      <c r="F578" s="344" t="s">
        <v>376</v>
      </c>
      <c r="G578" s="589">
        <v>46214</v>
      </c>
      <c r="H578" s="346"/>
      <c r="I578" s="346" t="s">
        <v>186</v>
      </c>
      <c r="J578" s="295">
        <v>0.31041666666666667</v>
      </c>
      <c r="K578" s="295">
        <v>0.7104166666666667</v>
      </c>
      <c r="L578" s="347" t="s">
        <v>169</v>
      </c>
      <c r="M578" s="348">
        <v>8</v>
      </c>
      <c r="N578" s="348"/>
      <c r="O578" s="348"/>
      <c r="P578" s="348"/>
      <c r="Q578" s="349"/>
      <c r="R578" s="348"/>
      <c r="S578" s="348"/>
      <c r="T578" s="349"/>
      <c r="U578" s="348"/>
      <c r="V578" s="349"/>
      <c r="W578" s="350"/>
      <c r="X578" s="351"/>
      <c r="Y578" s="352"/>
      <c r="Z578" s="353"/>
      <c r="AA578" s="354"/>
      <c r="AB578" s="339"/>
    </row>
    <row r="579" spans="1:28" s="340" customFormat="1">
      <c r="A579" s="355"/>
      <c r="B579" s="342" t="s">
        <v>187</v>
      </c>
      <c r="C579" s="343">
        <v>32504</v>
      </c>
      <c r="D579" s="344" t="s">
        <v>376</v>
      </c>
      <c r="E579" s="348" t="s">
        <v>196</v>
      </c>
      <c r="F579" s="344" t="s">
        <v>376</v>
      </c>
      <c r="G579" s="590">
        <v>46215</v>
      </c>
      <c r="H579" s="346"/>
      <c r="I579" s="346"/>
      <c r="J579" s="699" t="s">
        <v>173</v>
      </c>
      <c r="K579" s="700"/>
      <c r="L579" s="347"/>
      <c r="M579" s="348"/>
      <c r="N579" s="348"/>
      <c r="O579" s="348"/>
      <c r="P579" s="348"/>
      <c r="Q579" s="349"/>
      <c r="R579" s="348"/>
      <c r="S579" s="348"/>
      <c r="T579" s="349"/>
      <c r="U579" s="348"/>
      <c r="V579" s="349"/>
      <c r="W579" s="350"/>
      <c r="X579" s="351"/>
      <c r="Y579" s="352"/>
      <c r="Z579" s="353"/>
      <c r="AA579" s="354"/>
      <c r="AB579" s="339"/>
    </row>
    <row r="580" spans="1:28" s="340" customFormat="1">
      <c r="A580" s="355"/>
      <c r="B580" s="342" t="s">
        <v>187</v>
      </c>
      <c r="C580" s="343">
        <v>32504</v>
      </c>
      <c r="D580" s="344" t="s">
        <v>376</v>
      </c>
      <c r="E580" s="348" t="s">
        <v>196</v>
      </c>
      <c r="F580" s="344" t="s">
        <v>376</v>
      </c>
      <c r="G580" s="589">
        <v>46216</v>
      </c>
      <c r="H580" s="346"/>
      <c r="I580" s="346" t="s">
        <v>183</v>
      </c>
      <c r="J580" s="305">
        <v>0.76875000000000004</v>
      </c>
      <c r="K580" s="305">
        <v>0.16875000000000001</v>
      </c>
      <c r="L580" s="347" t="s">
        <v>168</v>
      </c>
      <c r="M580" s="348">
        <v>8</v>
      </c>
      <c r="N580" s="348"/>
      <c r="O580" s="348">
        <v>6</v>
      </c>
      <c r="P580" s="348"/>
      <c r="Q580" s="349"/>
      <c r="R580" s="348"/>
      <c r="S580" s="348"/>
      <c r="T580" s="349"/>
      <c r="U580" s="348"/>
      <c r="V580" s="349"/>
      <c r="W580" s="350"/>
      <c r="X580" s="351"/>
      <c r="Y580" s="352"/>
      <c r="Z580" s="353"/>
      <c r="AA580" s="354"/>
      <c r="AB580" s="339"/>
    </row>
    <row r="581" spans="1:28" s="340" customFormat="1">
      <c r="A581" s="355"/>
      <c r="B581" s="342" t="s">
        <v>187</v>
      </c>
      <c r="C581" s="343">
        <v>32504</v>
      </c>
      <c r="D581" s="344" t="s">
        <v>376</v>
      </c>
      <c r="E581" s="348" t="s">
        <v>196</v>
      </c>
      <c r="F581" s="344" t="s">
        <v>376</v>
      </c>
      <c r="G581" s="589">
        <v>46217</v>
      </c>
      <c r="H581" s="346"/>
      <c r="I581" s="346" t="s">
        <v>183</v>
      </c>
      <c r="J581" s="305">
        <v>0.7729166666666667</v>
      </c>
      <c r="K581" s="305">
        <v>0.1673611111111111</v>
      </c>
      <c r="L581" s="347" t="s">
        <v>168</v>
      </c>
      <c r="M581" s="348">
        <v>8</v>
      </c>
      <c r="N581" s="348"/>
      <c r="O581" s="348">
        <v>6</v>
      </c>
      <c r="P581" s="357"/>
      <c r="Q581" s="356"/>
      <c r="R581" s="357"/>
      <c r="S581" s="357"/>
      <c r="T581" s="356"/>
      <c r="U581" s="357"/>
      <c r="V581" s="356"/>
      <c r="W581" s="358"/>
      <c r="X581" s="359"/>
      <c r="Y581" s="360"/>
      <c r="Z581" s="361"/>
      <c r="AA581" s="362"/>
      <c r="AB581" s="339"/>
    </row>
    <row r="582" spans="1:28" s="340" customFormat="1">
      <c r="A582" s="355"/>
      <c r="B582" s="342" t="s">
        <v>187</v>
      </c>
      <c r="C582" s="343">
        <v>32504</v>
      </c>
      <c r="D582" s="344" t="s">
        <v>376</v>
      </c>
      <c r="E582" s="348" t="s">
        <v>196</v>
      </c>
      <c r="F582" s="344" t="s">
        <v>376</v>
      </c>
      <c r="G582" s="589">
        <v>46218</v>
      </c>
      <c r="H582" s="346"/>
      <c r="I582" s="346" t="s">
        <v>183</v>
      </c>
      <c r="J582" s="305">
        <v>0.77847222222222223</v>
      </c>
      <c r="K582" s="305">
        <v>0.16805555555555554</v>
      </c>
      <c r="L582" s="347" t="s">
        <v>168</v>
      </c>
      <c r="M582" s="348">
        <v>8</v>
      </c>
      <c r="N582" s="348"/>
      <c r="O582" s="348">
        <v>6</v>
      </c>
      <c r="P582" s="348"/>
      <c r="Q582" s="349"/>
      <c r="R582" s="348"/>
      <c r="S582" s="348"/>
      <c r="T582" s="349"/>
      <c r="U582" s="348"/>
      <c r="V582" s="349"/>
      <c r="W582" s="350"/>
      <c r="X582" s="351"/>
      <c r="Y582" s="352"/>
      <c r="Z582" s="353"/>
      <c r="AA582" s="354"/>
      <c r="AB582" s="339"/>
    </row>
    <row r="583" spans="1:28" s="340" customFormat="1">
      <c r="A583" s="355"/>
      <c r="B583" s="342" t="s">
        <v>187</v>
      </c>
      <c r="C583" s="343">
        <v>32504</v>
      </c>
      <c r="D583" s="344" t="s">
        <v>376</v>
      </c>
      <c r="E583" s="348" t="s">
        <v>196</v>
      </c>
      <c r="F583" s="344" t="s">
        <v>376</v>
      </c>
      <c r="G583" s="589">
        <v>46219</v>
      </c>
      <c r="H583" s="346"/>
      <c r="I583" s="346" t="s">
        <v>183</v>
      </c>
      <c r="J583" s="305">
        <v>0.77847222222222223</v>
      </c>
      <c r="K583" s="305">
        <v>0.16874999999999998</v>
      </c>
      <c r="L583" s="347" t="s">
        <v>168</v>
      </c>
      <c r="M583" s="348">
        <v>8</v>
      </c>
      <c r="N583" s="348"/>
      <c r="O583" s="348">
        <v>6</v>
      </c>
      <c r="P583" s="348"/>
      <c r="Q583" s="349"/>
      <c r="R583" s="348"/>
      <c r="S583" s="348"/>
      <c r="T583" s="349"/>
      <c r="U583" s="348"/>
      <c r="V583" s="349"/>
      <c r="W583" s="350"/>
      <c r="X583" s="351"/>
      <c r="Y583" s="352"/>
      <c r="Z583" s="353"/>
      <c r="AA583" s="354"/>
      <c r="AB583" s="339"/>
    </row>
    <row r="584" spans="1:28" s="340" customFormat="1">
      <c r="A584" s="355"/>
      <c r="B584" s="342" t="s">
        <v>187</v>
      </c>
      <c r="C584" s="343">
        <v>32504</v>
      </c>
      <c r="D584" s="344" t="s">
        <v>376</v>
      </c>
      <c r="E584" s="348" t="s">
        <v>196</v>
      </c>
      <c r="F584" s="344" t="s">
        <v>376</v>
      </c>
      <c r="G584" s="589">
        <v>46220</v>
      </c>
      <c r="H584" s="346"/>
      <c r="I584" s="346" t="s">
        <v>183</v>
      </c>
      <c r="J584" s="305">
        <v>0.77500000000000002</v>
      </c>
      <c r="K584" s="305">
        <v>0.1673611111111111</v>
      </c>
      <c r="L584" s="347" t="s">
        <v>168</v>
      </c>
      <c r="M584" s="348">
        <v>8</v>
      </c>
      <c r="N584" s="348"/>
      <c r="O584" s="348">
        <v>6</v>
      </c>
      <c r="P584" s="348"/>
      <c r="Q584" s="349"/>
      <c r="R584" s="348"/>
      <c r="S584" s="348"/>
      <c r="T584" s="349"/>
      <c r="U584" s="348"/>
      <c r="V584" s="349"/>
      <c r="W584" s="350"/>
      <c r="X584" s="351"/>
      <c r="Y584" s="352"/>
      <c r="Z584" s="353"/>
      <c r="AA584" s="354"/>
      <c r="AB584" s="339"/>
    </row>
    <row r="585" spans="1:28" s="340" customFormat="1">
      <c r="A585" s="355"/>
      <c r="B585" s="342" t="s">
        <v>187</v>
      </c>
      <c r="C585" s="343">
        <v>32504</v>
      </c>
      <c r="D585" s="344" t="s">
        <v>376</v>
      </c>
      <c r="E585" s="348" t="s">
        <v>196</v>
      </c>
      <c r="F585" s="344" t="s">
        <v>376</v>
      </c>
      <c r="G585" s="589">
        <v>46221</v>
      </c>
      <c r="H585" s="346"/>
      <c r="I585" s="346" t="s">
        <v>183</v>
      </c>
      <c r="J585" s="305"/>
      <c r="K585" s="305"/>
      <c r="L585" s="347"/>
      <c r="M585" s="348"/>
      <c r="N585" s="348"/>
      <c r="O585" s="348"/>
      <c r="P585" s="348"/>
      <c r="Q585" s="349"/>
      <c r="R585" s="348"/>
      <c r="S585" s="348"/>
      <c r="T585" s="349"/>
      <c r="U585" s="348"/>
      <c r="V585" s="349"/>
      <c r="W585" s="350"/>
      <c r="X585" s="351"/>
      <c r="Y585" s="352"/>
      <c r="Z585" s="353"/>
      <c r="AA585" s="354"/>
      <c r="AB585" s="339"/>
    </row>
    <row r="586" spans="1:28" s="340" customFormat="1">
      <c r="A586" s="355"/>
      <c r="B586" s="342" t="s">
        <v>187</v>
      </c>
      <c r="C586" s="343">
        <v>32504</v>
      </c>
      <c r="D586" s="344" t="s">
        <v>376</v>
      </c>
      <c r="E586" s="348" t="s">
        <v>196</v>
      </c>
      <c r="F586" s="344" t="s">
        <v>376</v>
      </c>
      <c r="G586" s="590">
        <v>46222</v>
      </c>
      <c r="H586" s="346"/>
      <c r="I586" s="346"/>
      <c r="J586" s="699" t="s">
        <v>173</v>
      </c>
      <c r="K586" s="700"/>
      <c r="L586" s="347"/>
      <c r="M586" s="348"/>
      <c r="N586" s="348"/>
      <c r="O586" s="348"/>
      <c r="P586" s="348"/>
      <c r="Q586" s="349"/>
      <c r="R586" s="348"/>
      <c r="S586" s="348"/>
      <c r="T586" s="349"/>
      <c r="U586" s="348"/>
      <c r="V586" s="349"/>
      <c r="W586" s="350"/>
      <c r="X586" s="351"/>
      <c r="Y586" s="352"/>
      <c r="Z586" s="353"/>
      <c r="AA586" s="354"/>
      <c r="AB586" s="339"/>
    </row>
    <row r="587" spans="1:28" s="340" customFormat="1">
      <c r="A587" s="355"/>
      <c r="B587" s="342" t="s">
        <v>187</v>
      </c>
      <c r="C587" s="343">
        <v>32504</v>
      </c>
      <c r="D587" s="344" t="s">
        <v>376</v>
      </c>
      <c r="E587" s="348" t="s">
        <v>196</v>
      </c>
      <c r="F587" s="344" t="s">
        <v>376</v>
      </c>
      <c r="G587" s="589">
        <v>46223</v>
      </c>
      <c r="H587" s="346"/>
      <c r="I587" s="346" t="s">
        <v>183</v>
      </c>
      <c r="J587" s="295">
        <v>0.76875000000000004</v>
      </c>
      <c r="K587" s="295">
        <v>0.16666666666666666</v>
      </c>
      <c r="L587" s="347" t="s">
        <v>168</v>
      </c>
      <c r="M587" s="348">
        <v>8</v>
      </c>
      <c r="N587" s="348"/>
      <c r="O587" s="348">
        <v>6</v>
      </c>
      <c r="P587" s="357"/>
      <c r="Q587" s="356"/>
      <c r="R587" s="357"/>
      <c r="S587" s="357"/>
      <c r="T587" s="356"/>
      <c r="U587" s="357"/>
      <c r="V587" s="356"/>
      <c r="W587" s="350"/>
      <c r="X587" s="351"/>
      <c r="Y587" s="352"/>
      <c r="Z587" s="353"/>
      <c r="AA587" s="354"/>
      <c r="AB587" s="339"/>
    </row>
    <row r="588" spans="1:28" s="340" customFormat="1">
      <c r="A588" s="355"/>
      <c r="B588" s="342" t="s">
        <v>187</v>
      </c>
      <c r="C588" s="343">
        <v>32504</v>
      </c>
      <c r="D588" s="344" t="s">
        <v>376</v>
      </c>
      <c r="E588" s="348" t="s">
        <v>196</v>
      </c>
      <c r="F588" s="344" t="s">
        <v>376</v>
      </c>
      <c r="G588" s="589">
        <v>46224</v>
      </c>
      <c r="H588" s="346"/>
      <c r="I588" s="346" t="s">
        <v>183</v>
      </c>
      <c r="J588" s="295">
        <v>0.77500000000000002</v>
      </c>
      <c r="K588" s="295">
        <v>0.1673611111111111</v>
      </c>
      <c r="L588" s="347" t="s">
        <v>168</v>
      </c>
      <c r="M588" s="348">
        <v>8</v>
      </c>
      <c r="N588" s="348"/>
      <c r="O588" s="348">
        <v>6</v>
      </c>
      <c r="P588" s="365"/>
      <c r="Q588" s="364"/>
      <c r="R588" s="365"/>
      <c r="S588" s="365"/>
      <c r="T588" s="356"/>
      <c r="U588" s="357"/>
      <c r="V588" s="356"/>
      <c r="W588" s="358"/>
      <c r="X588" s="359"/>
      <c r="Y588" s="360"/>
      <c r="Z588" s="361"/>
      <c r="AA588" s="362"/>
      <c r="AB588" s="339"/>
    </row>
    <row r="589" spans="1:28" s="340" customFormat="1">
      <c r="A589" s="355"/>
      <c r="B589" s="342" t="s">
        <v>187</v>
      </c>
      <c r="C589" s="343">
        <v>32504</v>
      </c>
      <c r="D589" s="344" t="s">
        <v>376</v>
      </c>
      <c r="E589" s="348" t="s">
        <v>196</v>
      </c>
      <c r="F589" s="344" t="s">
        <v>376</v>
      </c>
      <c r="G589" s="589">
        <v>46225</v>
      </c>
      <c r="H589" s="346"/>
      <c r="I589" s="346" t="s">
        <v>183</v>
      </c>
      <c r="J589" s="295">
        <v>0.7729166666666667</v>
      </c>
      <c r="K589" s="295">
        <v>0.25</v>
      </c>
      <c r="L589" s="347" t="s">
        <v>168</v>
      </c>
      <c r="M589" s="348">
        <v>8</v>
      </c>
      <c r="N589" s="348">
        <v>2</v>
      </c>
      <c r="O589" s="348">
        <v>6</v>
      </c>
      <c r="P589" s="348">
        <v>2</v>
      </c>
      <c r="Q589" s="349"/>
      <c r="R589" s="348"/>
      <c r="S589" s="348"/>
      <c r="T589" s="349"/>
      <c r="U589" s="348"/>
      <c r="V589" s="349"/>
      <c r="W589" s="350"/>
      <c r="X589" s="351"/>
      <c r="Y589" s="352"/>
      <c r="Z589" s="353"/>
      <c r="AA589" s="354"/>
      <c r="AB589" s="339"/>
    </row>
    <row r="590" spans="1:28" s="340" customFormat="1">
      <c r="A590" s="355"/>
      <c r="B590" s="342" t="s">
        <v>187</v>
      </c>
      <c r="C590" s="343">
        <v>32504</v>
      </c>
      <c r="D590" s="344" t="s">
        <v>376</v>
      </c>
      <c r="E590" s="348" t="s">
        <v>196</v>
      </c>
      <c r="F590" s="344" t="s">
        <v>376</v>
      </c>
      <c r="G590" s="589">
        <v>46226</v>
      </c>
      <c r="H590" s="346"/>
      <c r="I590" s="346" t="s">
        <v>183</v>
      </c>
      <c r="J590" s="295">
        <v>0.76944444444444449</v>
      </c>
      <c r="K590" s="295">
        <v>0.25</v>
      </c>
      <c r="L590" s="347" t="s">
        <v>168</v>
      </c>
      <c r="M590" s="348">
        <v>8</v>
      </c>
      <c r="N590" s="348">
        <v>2</v>
      </c>
      <c r="O590" s="348">
        <v>6</v>
      </c>
      <c r="P590" s="367">
        <v>2</v>
      </c>
      <c r="Q590" s="349"/>
      <c r="R590" s="348"/>
      <c r="S590" s="348"/>
      <c r="T590" s="349"/>
      <c r="U590" s="348"/>
      <c r="V590" s="349"/>
      <c r="W590" s="350"/>
      <c r="X590" s="351"/>
      <c r="Y590" s="352"/>
      <c r="Z590" s="353"/>
      <c r="AA590" s="354"/>
      <c r="AB590" s="339"/>
    </row>
    <row r="591" spans="1:28" s="340" customFormat="1">
      <c r="A591" s="355"/>
      <c r="B591" s="342" t="s">
        <v>187</v>
      </c>
      <c r="C591" s="343">
        <v>32504</v>
      </c>
      <c r="D591" s="344" t="s">
        <v>376</v>
      </c>
      <c r="E591" s="348" t="s">
        <v>196</v>
      </c>
      <c r="F591" s="344" t="s">
        <v>376</v>
      </c>
      <c r="G591" s="589">
        <v>46227</v>
      </c>
      <c r="H591" s="346"/>
      <c r="I591" s="346" t="s">
        <v>183</v>
      </c>
      <c r="J591" s="295">
        <v>0.77916666666666667</v>
      </c>
      <c r="K591" s="318">
        <v>0.16666666666666666</v>
      </c>
      <c r="L591" s="347" t="s">
        <v>168</v>
      </c>
      <c r="M591" s="348">
        <v>8</v>
      </c>
      <c r="N591" s="348"/>
      <c r="O591" s="348">
        <v>6</v>
      </c>
      <c r="P591" s="366"/>
      <c r="Q591" s="368"/>
      <c r="R591" s="366"/>
      <c r="S591" s="366"/>
      <c r="T591" s="349"/>
      <c r="U591" s="348"/>
      <c r="V591" s="349"/>
      <c r="W591" s="350"/>
      <c r="X591" s="351"/>
      <c r="Y591" s="352"/>
      <c r="Z591" s="353"/>
      <c r="AA591" s="354"/>
      <c r="AB591" s="339"/>
    </row>
    <row r="592" spans="1:28" s="340" customFormat="1">
      <c r="A592" s="355"/>
      <c r="B592" s="342" t="s">
        <v>187</v>
      </c>
      <c r="C592" s="343">
        <v>32504</v>
      </c>
      <c r="D592" s="344" t="s">
        <v>376</v>
      </c>
      <c r="E592" s="348" t="s">
        <v>196</v>
      </c>
      <c r="F592" s="344" t="s">
        <v>376</v>
      </c>
      <c r="G592" s="589">
        <v>46228</v>
      </c>
      <c r="H592" s="346"/>
      <c r="I592" s="346" t="s">
        <v>183</v>
      </c>
      <c r="J592" s="295"/>
      <c r="K592" s="295"/>
      <c r="L592" s="347"/>
      <c r="M592" s="348"/>
      <c r="N592" s="348"/>
      <c r="O592" s="348"/>
      <c r="P592" s="348"/>
      <c r="Q592" s="349"/>
      <c r="R592" s="348"/>
      <c r="S592" s="320"/>
      <c r="T592" s="349"/>
      <c r="U592" s="348"/>
      <c r="V592" s="349"/>
      <c r="W592" s="350"/>
      <c r="X592" s="351"/>
      <c r="Y592" s="352"/>
      <c r="Z592" s="353"/>
      <c r="AA592" s="354"/>
      <c r="AB592" s="339"/>
    </row>
    <row r="593" spans="1:28" s="340" customFormat="1">
      <c r="A593" s="355"/>
      <c r="B593" s="342"/>
      <c r="C593" s="384"/>
      <c r="D593" s="345"/>
      <c r="E593" s="418"/>
      <c r="F593" s="345"/>
      <c r="G593" s="600"/>
      <c r="H593" s="346"/>
      <c r="I593" s="346"/>
      <c r="J593" s="369"/>
      <c r="K593" s="370"/>
      <c r="L593" s="371"/>
      <c r="M593" s="363"/>
      <c r="N593" s="363"/>
      <c r="O593" s="363"/>
      <c r="P593" s="363"/>
      <c r="Q593" s="372"/>
      <c r="R593" s="363"/>
      <c r="S593" s="324"/>
      <c r="T593" s="349"/>
      <c r="U593" s="348"/>
      <c r="V593" s="349"/>
      <c r="W593" s="350"/>
      <c r="X593" s="351"/>
      <c r="Y593" s="352"/>
      <c r="Z593" s="353"/>
      <c r="AA593" s="354"/>
      <c r="AB593" s="339"/>
    </row>
    <row r="594" spans="1:28" s="340" customFormat="1">
      <c r="A594" s="373"/>
      <c r="B594" s="325"/>
      <c r="C594" s="342"/>
      <c r="D594" s="325"/>
      <c r="E594" s="345"/>
      <c r="F594" s="325"/>
      <c r="G594" s="601"/>
      <c r="H594" s="374"/>
      <c r="I594" s="377"/>
      <c r="J594" s="375"/>
      <c r="K594" s="376"/>
      <c r="L594" s="377"/>
      <c r="M594" s="377">
        <f t="shared" ref="M594:AA594" si="33">SUM(M577:M593)</f>
        <v>88</v>
      </c>
      <c r="N594" s="377">
        <f t="shared" si="33"/>
        <v>4</v>
      </c>
      <c r="O594" s="377">
        <f t="shared" si="33"/>
        <v>60</v>
      </c>
      <c r="P594" s="377">
        <f t="shared" si="33"/>
        <v>4</v>
      </c>
      <c r="Q594" s="377">
        <f t="shared" si="33"/>
        <v>0</v>
      </c>
      <c r="R594" s="377">
        <f t="shared" si="33"/>
        <v>0</v>
      </c>
      <c r="S594" s="377">
        <f t="shared" si="33"/>
        <v>0</v>
      </c>
      <c r="T594" s="377">
        <f t="shared" si="33"/>
        <v>0</v>
      </c>
      <c r="U594" s="377">
        <f t="shared" si="33"/>
        <v>0</v>
      </c>
      <c r="V594" s="377">
        <f t="shared" si="33"/>
        <v>0</v>
      </c>
      <c r="W594" s="377">
        <f t="shared" si="33"/>
        <v>0</v>
      </c>
      <c r="X594" s="377">
        <f t="shared" si="33"/>
        <v>0</v>
      </c>
      <c r="Y594" s="377">
        <f t="shared" si="33"/>
        <v>0</v>
      </c>
      <c r="Z594" s="377">
        <f t="shared" si="33"/>
        <v>0</v>
      </c>
      <c r="AA594" s="377">
        <f t="shared" si="33"/>
        <v>0</v>
      </c>
      <c r="AB594" s="339"/>
    </row>
    <row r="595" spans="1:28" s="340" customFormat="1">
      <c r="A595" s="411"/>
      <c r="B595" s="325"/>
      <c r="C595" s="412"/>
      <c r="D595" s="325"/>
      <c r="E595" s="413"/>
      <c r="F595" s="325"/>
      <c r="G595" s="601"/>
      <c r="H595" s="414"/>
      <c r="I595" s="415"/>
      <c r="J595" s="416"/>
      <c r="K595" s="376"/>
      <c r="L595" s="377"/>
      <c r="M595" s="377">
        <v>0</v>
      </c>
      <c r="N595" s="377">
        <v>0</v>
      </c>
      <c r="O595" s="377">
        <v>0</v>
      </c>
      <c r="P595" s="377">
        <v>0</v>
      </c>
      <c r="Q595" s="377">
        <v>0</v>
      </c>
      <c r="R595" s="377">
        <v>0</v>
      </c>
      <c r="S595" s="377">
        <v>0</v>
      </c>
      <c r="T595" s="377" t="e">
        <f>SUM(#REF!)</f>
        <v>#REF!</v>
      </c>
      <c r="U595" s="377" t="e">
        <f>SUM(#REF!)</f>
        <v>#REF!</v>
      </c>
      <c r="V595" s="377" t="e">
        <f>SUM(#REF!)</f>
        <v>#REF!</v>
      </c>
      <c r="W595" s="377" t="e">
        <f>SUM(#REF!)</f>
        <v>#REF!</v>
      </c>
      <c r="X595" s="377" t="e">
        <f>SUM(#REF!)</f>
        <v>#REF!</v>
      </c>
      <c r="Y595" s="377" t="e">
        <f>SUM(#REF!)</f>
        <v>#REF!</v>
      </c>
      <c r="Z595" s="377" t="e">
        <f>SUM(#REF!)</f>
        <v>#REF!</v>
      </c>
      <c r="AA595" s="377">
        <v>0</v>
      </c>
      <c r="AB595" s="400"/>
    </row>
    <row r="596" spans="1:28" s="444" customFormat="1">
      <c r="A596" s="435" t="s">
        <v>170</v>
      </c>
      <c r="B596" s="435" t="s">
        <v>120</v>
      </c>
      <c r="C596" s="435" t="s">
        <v>152</v>
      </c>
      <c r="D596" s="435" t="s">
        <v>182</v>
      </c>
      <c r="E596" s="436" t="s">
        <v>153</v>
      </c>
      <c r="F596" s="435" t="s">
        <v>182</v>
      </c>
      <c r="G596" s="599" t="s">
        <v>401</v>
      </c>
      <c r="H596" s="437"/>
      <c r="I596" s="438" t="s">
        <v>181</v>
      </c>
      <c r="J596" s="439" t="s">
        <v>154</v>
      </c>
      <c r="K596" s="439" t="s">
        <v>155</v>
      </c>
      <c r="L596" s="440" t="s">
        <v>156</v>
      </c>
      <c r="M596" s="441" t="s">
        <v>157</v>
      </c>
      <c r="N596" s="440" t="s">
        <v>158</v>
      </c>
      <c r="O596" s="440" t="s">
        <v>159</v>
      </c>
      <c r="P596" s="440" t="s">
        <v>174</v>
      </c>
      <c r="Q596" s="440" t="s">
        <v>160</v>
      </c>
      <c r="R596" s="440" t="s">
        <v>161</v>
      </c>
      <c r="S596" s="440" t="s">
        <v>162</v>
      </c>
      <c r="T596" s="438" t="s">
        <v>163</v>
      </c>
      <c r="U596" s="438" t="s">
        <v>164</v>
      </c>
      <c r="V596" s="438" t="s">
        <v>165</v>
      </c>
      <c r="W596" s="440" t="s">
        <v>113</v>
      </c>
      <c r="X596" s="438" t="s">
        <v>121</v>
      </c>
      <c r="Y596" s="438" t="s">
        <v>166</v>
      </c>
      <c r="Z596" s="442" t="s">
        <v>175</v>
      </c>
      <c r="AA596" s="442" t="s">
        <v>167</v>
      </c>
      <c r="AB596" s="443"/>
    </row>
    <row r="597" spans="1:28" s="444" customFormat="1">
      <c r="A597" s="445"/>
      <c r="B597" s="446" t="s">
        <v>187</v>
      </c>
      <c r="C597" s="447">
        <v>14372</v>
      </c>
      <c r="D597" s="448" t="s">
        <v>360</v>
      </c>
      <c r="E597" s="449" t="s">
        <v>359</v>
      </c>
      <c r="F597" s="448" t="s">
        <v>360</v>
      </c>
      <c r="G597" s="589">
        <v>46214</v>
      </c>
      <c r="H597" s="450"/>
      <c r="I597" s="450" t="s">
        <v>186</v>
      </c>
      <c r="J597" s="295">
        <v>0.32569444444444445</v>
      </c>
      <c r="K597" s="295">
        <v>0.71250000000000002</v>
      </c>
      <c r="L597" s="451" t="s">
        <v>169</v>
      </c>
      <c r="M597" s="452">
        <v>8</v>
      </c>
      <c r="N597" s="452"/>
      <c r="O597" s="452"/>
      <c r="P597" s="452"/>
      <c r="Q597" s="453"/>
      <c r="R597" s="452"/>
      <c r="S597" s="452"/>
      <c r="T597" s="453"/>
      <c r="U597" s="452"/>
      <c r="V597" s="453"/>
      <c r="W597" s="454"/>
      <c r="X597" s="455"/>
      <c r="Y597" s="456"/>
      <c r="Z597" s="457"/>
      <c r="AA597" s="458"/>
      <c r="AB597" s="443"/>
    </row>
    <row r="598" spans="1:28" s="444" customFormat="1">
      <c r="A598" s="459"/>
      <c r="B598" s="446" t="s">
        <v>187</v>
      </c>
      <c r="C598" s="447">
        <v>14372</v>
      </c>
      <c r="D598" s="448" t="s">
        <v>360</v>
      </c>
      <c r="E598" s="449" t="s">
        <v>359</v>
      </c>
      <c r="F598" s="448" t="s">
        <v>360</v>
      </c>
      <c r="G598" s="590">
        <v>46215</v>
      </c>
      <c r="H598" s="450"/>
      <c r="I598" s="346"/>
      <c r="J598" s="699" t="s">
        <v>173</v>
      </c>
      <c r="K598" s="700"/>
      <c r="L598" s="347"/>
      <c r="M598" s="348"/>
      <c r="N598" s="348"/>
      <c r="O598" s="348"/>
      <c r="P598" s="452"/>
      <c r="Q598" s="453"/>
      <c r="R598" s="452"/>
      <c r="S598" s="452"/>
      <c r="T598" s="453"/>
      <c r="U598" s="452"/>
      <c r="V598" s="453"/>
      <c r="W598" s="454"/>
      <c r="X598" s="455"/>
      <c r="Y598" s="456"/>
      <c r="Z598" s="457"/>
      <c r="AA598" s="458"/>
      <c r="AB598" s="443"/>
    </row>
    <row r="599" spans="1:28" s="444" customFormat="1">
      <c r="A599" s="459"/>
      <c r="B599" s="446" t="s">
        <v>187</v>
      </c>
      <c r="C599" s="460">
        <v>14372</v>
      </c>
      <c r="D599" s="448" t="s">
        <v>360</v>
      </c>
      <c r="E599" s="449" t="s">
        <v>359</v>
      </c>
      <c r="F599" s="448" t="s">
        <v>360</v>
      </c>
      <c r="G599" s="589">
        <v>46216</v>
      </c>
      <c r="H599" s="450"/>
      <c r="I599" s="346" t="s">
        <v>183</v>
      </c>
      <c r="J599" s="305">
        <v>0.77361111111111114</v>
      </c>
      <c r="K599" s="305">
        <v>0.17222222222222222</v>
      </c>
      <c r="L599" s="347" t="s">
        <v>168</v>
      </c>
      <c r="M599" s="348">
        <v>8</v>
      </c>
      <c r="N599" s="348"/>
      <c r="O599" s="348">
        <v>6</v>
      </c>
      <c r="P599" s="452"/>
      <c r="Q599" s="453"/>
      <c r="R599" s="452"/>
      <c r="S599" s="452"/>
      <c r="T599" s="453"/>
      <c r="U599" s="452"/>
      <c r="V599" s="453"/>
      <c r="W599" s="454"/>
      <c r="X599" s="455"/>
      <c r="Y599" s="456"/>
      <c r="Z599" s="457"/>
      <c r="AA599" s="458"/>
      <c r="AB599" s="443"/>
    </row>
    <row r="600" spans="1:28" s="444" customFormat="1">
      <c r="A600" s="459"/>
      <c r="B600" s="446" t="s">
        <v>187</v>
      </c>
      <c r="C600" s="446">
        <v>14372</v>
      </c>
      <c r="D600" s="448" t="s">
        <v>360</v>
      </c>
      <c r="E600" s="449" t="s">
        <v>359</v>
      </c>
      <c r="F600" s="448" t="s">
        <v>360</v>
      </c>
      <c r="G600" s="589">
        <v>46217</v>
      </c>
      <c r="H600" s="450"/>
      <c r="I600" s="346" t="s">
        <v>183</v>
      </c>
      <c r="J600" s="305">
        <v>0.77916666666666667</v>
      </c>
      <c r="K600" s="305">
        <v>0.25277777777777777</v>
      </c>
      <c r="L600" s="451" t="s">
        <v>168</v>
      </c>
      <c r="M600" s="452">
        <v>8</v>
      </c>
      <c r="N600" s="452">
        <v>2</v>
      </c>
      <c r="O600" s="452">
        <v>6</v>
      </c>
      <c r="P600" s="452">
        <v>2</v>
      </c>
      <c r="Q600" s="461"/>
      <c r="R600" s="462"/>
      <c r="S600" s="462"/>
      <c r="T600" s="461"/>
      <c r="U600" s="462"/>
      <c r="V600" s="461"/>
      <c r="W600" s="463"/>
      <c r="X600" s="464"/>
      <c r="Y600" s="465"/>
      <c r="Z600" s="466"/>
      <c r="AA600" s="467"/>
      <c r="AB600" s="443"/>
    </row>
    <row r="601" spans="1:28" s="444" customFormat="1">
      <c r="A601" s="459"/>
      <c r="B601" s="446" t="s">
        <v>187</v>
      </c>
      <c r="C601" s="446">
        <v>14372</v>
      </c>
      <c r="D601" s="448" t="s">
        <v>360</v>
      </c>
      <c r="E601" s="449" t="s">
        <v>359</v>
      </c>
      <c r="F601" s="448" t="s">
        <v>360</v>
      </c>
      <c r="G601" s="589">
        <v>46218</v>
      </c>
      <c r="H601" s="450"/>
      <c r="I601" s="346" t="s">
        <v>183</v>
      </c>
      <c r="J601" s="305">
        <v>0.78125</v>
      </c>
      <c r="K601" s="305">
        <v>0.16944444444444443</v>
      </c>
      <c r="L601" s="451" t="s">
        <v>168</v>
      </c>
      <c r="M601" s="452">
        <v>8</v>
      </c>
      <c r="N601" s="452"/>
      <c r="O601" s="452">
        <v>6</v>
      </c>
      <c r="P601" s="452"/>
      <c r="Q601" s="453"/>
      <c r="R601" s="452"/>
      <c r="S601" s="452"/>
      <c r="T601" s="453"/>
      <c r="U601" s="452"/>
      <c r="V601" s="453"/>
      <c r="W601" s="454"/>
      <c r="X601" s="455"/>
      <c r="Y601" s="456"/>
      <c r="Z601" s="457"/>
      <c r="AA601" s="458"/>
      <c r="AB601" s="443"/>
    </row>
    <row r="602" spans="1:28" s="444" customFormat="1">
      <c r="A602" s="459"/>
      <c r="B602" s="446" t="s">
        <v>187</v>
      </c>
      <c r="C602" s="446">
        <v>14372</v>
      </c>
      <c r="D602" s="448" t="s">
        <v>360</v>
      </c>
      <c r="E602" s="449" t="s">
        <v>359</v>
      </c>
      <c r="F602" s="448" t="s">
        <v>360</v>
      </c>
      <c r="G602" s="589">
        <v>46219</v>
      </c>
      <c r="H602" s="450"/>
      <c r="I602" s="346" t="s">
        <v>183</v>
      </c>
      <c r="J602" s="305">
        <v>0.77708333333333324</v>
      </c>
      <c r="K602" s="305">
        <v>0.25208333333333333</v>
      </c>
      <c r="L602" s="451" t="s">
        <v>168</v>
      </c>
      <c r="M602" s="452">
        <v>8</v>
      </c>
      <c r="N602" s="452">
        <v>2</v>
      </c>
      <c r="O602" s="452">
        <v>6</v>
      </c>
      <c r="P602" s="452">
        <v>2</v>
      </c>
      <c r="Q602" s="453"/>
      <c r="R602" s="452"/>
      <c r="S602" s="452"/>
      <c r="T602" s="453"/>
      <c r="U602" s="452"/>
      <c r="V602" s="453"/>
      <c r="W602" s="454"/>
      <c r="X602" s="455"/>
      <c r="Y602" s="456"/>
      <c r="Z602" s="457"/>
      <c r="AA602" s="458"/>
      <c r="AB602" s="443"/>
    </row>
    <row r="603" spans="1:28" s="444" customFormat="1">
      <c r="A603" s="459"/>
      <c r="B603" s="446" t="s">
        <v>187</v>
      </c>
      <c r="C603" s="446">
        <v>14372</v>
      </c>
      <c r="D603" s="448" t="s">
        <v>360</v>
      </c>
      <c r="E603" s="449" t="s">
        <v>359</v>
      </c>
      <c r="F603" s="448" t="s">
        <v>360</v>
      </c>
      <c r="G603" s="589">
        <v>46220</v>
      </c>
      <c r="H603" s="450"/>
      <c r="I603" s="346" t="s">
        <v>183</v>
      </c>
      <c r="J603" s="305">
        <v>0.77847222222222223</v>
      </c>
      <c r="K603" s="305">
        <v>0.25138888888888888</v>
      </c>
      <c r="L603" s="451" t="s">
        <v>168</v>
      </c>
      <c r="M603" s="452">
        <v>8</v>
      </c>
      <c r="N603" s="452">
        <v>2</v>
      </c>
      <c r="O603" s="452">
        <v>6</v>
      </c>
      <c r="P603" s="452">
        <v>2</v>
      </c>
      <c r="Q603" s="453"/>
      <c r="R603" s="452"/>
      <c r="S603" s="452"/>
      <c r="T603" s="453"/>
      <c r="U603" s="452"/>
      <c r="V603" s="453"/>
      <c r="W603" s="454"/>
      <c r="X603" s="455"/>
      <c r="Y603" s="456"/>
      <c r="Z603" s="457"/>
      <c r="AA603" s="458"/>
      <c r="AB603" s="443"/>
    </row>
    <row r="604" spans="1:28" s="444" customFormat="1">
      <c r="A604" s="459"/>
      <c r="B604" s="446" t="s">
        <v>187</v>
      </c>
      <c r="C604" s="446">
        <v>14372</v>
      </c>
      <c r="D604" s="448" t="s">
        <v>360</v>
      </c>
      <c r="E604" s="449" t="s">
        <v>359</v>
      </c>
      <c r="F604" s="448" t="s">
        <v>360</v>
      </c>
      <c r="G604" s="589">
        <v>46221</v>
      </c>
      <c r="H604" s="450"/>
      <c r="I604" s="346" t="s">
        <v>183</v>
      </c>
      <c r="J604" s="305">
        <v>0.77916666666666667</v>
      </c>
      <c r="K604" s="305">
        <v>0.16805555555555557</v>
      </c>
      <c r="L604" s="347" t="s">
        <v>168</v>
      </c>
      <c r="M604" s="348">
        <v>8</v>
      </c>
      <c r="N604" s="348"/>
      <c r="O604" s="348">
        <v>6</v>
      </c>
      <c r="P604" s="452"/>
      <c r="Q604" s="453"/>
      <c r="R604" s="452"/>
      <c r="S604" s="452"/>
      <c r="T604" s="453"/>
      <c r="U604" s="452"/>
      <c r="V604" s="453"/>
      <c r="W604" s="454"/>
      <c r="X604" s="455"/>
      <c r="Y604" s="456"/>
      <c r="Z604" s="457"/>
      <c r="AA604" s="458"/>
      <c r="AB604" s="443"/>
    </row>
    <row r="605" spans="1:28" s="444" customFormat="1">
      <c r="A605" s="459"/>
      <c r="B605" s="446" t="s">
        <v>187</v>
      </c>
      <c r="C605" s="446">
        <v>14372</v>
      </c>
      <c r="D605" s="448" t="s">
        <v>360</v>
      </c>
      <c r="E605" s="449" t="s">
        <v>359</v>
      </c>
      <c r="F605" s="448" t="s">
        <v>360</v>
      </c>
      <c r="G605" s="590">
        <v>46222</v>
      </c>
      <c r="H605" s="450"/>
      <c r="I605" s="450"/>
      <c r="J605" s="699" t="s">
        <v>173</v>
      </c>
      <c r="K605" s="700"/>
      <c r="L605" s="451"/>
      <c r="M605" s="452"/>
      <c r="N605" s="452"/>
      <c r="O605" s="452"/>
      <c r="P605" s="452"/>
      <c r="Q605" s="453"/>
      <c r="R605" s="452"/>
      <c r="S605" s="452"/>
      <c r="T605" s="453"/>
      <c r="U605" s="452"/>
      <c r="V605" s="453"/>
      <c r="W605" s="454"/>
      <c r="X605" s="455"/>
      <c r="Y605" s="456"/>
      <c r="Z605" s="457"/>
      <c r="AA605" s="458"/>
      <c r="AB605" s="443"/>
    </row>
    <row r="606" spans="1:28" s="444" customFormat="1">
      <c r="A606" s="459"/>
      <c r="B606" s="446" t="s">
        <v>187</v>
      </c>
      <c r="C606" s="446">
        <v>14372</v>
      </c>
      <c r="D606" s="448" t="s">
        <v>360</v>
      </c>
      <c r="E606" s="449" t="s">
        <v>359</v>
      </c>
      <c r="F606" s="448" t="s">
        <v>360</v>
      </c>
      <c r="G606" s="589">
        <v>46223</v>
      </c>
      <c r="H606" s="450"/>
      <c r="I606" s="346" t="s">
        <v>183</v>
      </c>
      <c r="J606" s="295">
        <v>0.77708333333333335</v>
      </c>
      <c r="K606" s="295">
        <v>0.16875000000000001</v>
      </c>
      <c r="L606" s="347" t="s">
        <v>168</v>
      </c>
      <c r="M606" s="348">
        <v>8</v>
      </c>
      <c r="N606" s="348"/>
      <c r="O606" s="348">
        <v>6</v>
      </c>
      <c r="P606" s="462"/>
      <c r="Q606" s="461"/>
      <c r="R606" s="462"/>
      <c r="S606" s="462"/>
      <c r="T606" s="461"/>
      <c r="U606" s="462"/>
      <c r="V606" s="461"/>
      <c r="W606" s="454"/>
      <c r="X606" s="455"/>
      <c r="Y606" s="456"/>
      <c r="Z606" s="457"/>
      <c r="AA606" s="458"/>
      <c r="AB606" s="443"/>
    </row>
    <row r="607" spans="1:28" s="444" customFormat="1">
      <c r="A607" s="459"/>
      <c r="B607" s="446" t="s">
        <v>187</v>
      </c>
      <c r="C607" s="446">
        <v>14372</v>
      </c>
      <c r="D607" s="448" t="s">
        <v>360</v>
      </c>
      <c r="E607" s="449" t="s">
        <v>359</v>
      </c>
      <c r="F607" s="448" t="s">
        <v>360</v>
      </c>
      <c r="G607" s="589">
        <v>46224</v>
      </c>
      <c r="H607" s="450"/>
      <c r="I607" s="346" t="s">
        <v>183</v>
      </c>
      <c r="J607" s="295">
        <v>0.77152777777777781</v>
      </c>
      <c r="K607" s="295">
        <v>0.25069444444444444</v>
      </c>
      <c r="L607" s="451" t="s">
        <v>168</v>
      </c>
      <c r="M607" s="452">
        <v>8</v>
      </c>
      <c r="N607" s="452">
        <v>2</v>
      </c>
      <c r="O607" s="452">
        <v>6</v>
      </c>
      <c r="P607" s="452">
        <v>2</v>
      </c>
      <c r="Q607" s="468"/>
      <c r="R607" s="469"/>
      <c r="S607" s="469"/>
      <c r="T607" s="461"/>
      <c r="U607" s="462"/>
      <c r="V607" s="461"/>
      <c r="W607" s="463"/>
      <c r="X607" s="464"/>
      <c r="Y607" s="465"/>
      <c r="Z607" s="466"/>
      <c r="AA607" s="467"/>
      <c r="AB607" s="443"/>
    </row>
    <row r="608" spans="1:28" s="444" customFormat="1">
      <c r="A608" s="459"/>
      <c r="B608" s="446" t="s">
        <v>187</v>
      </c>
      <c r="C608" s="446">
        <v>14372</v>
      </c>
      <c r="D608" s="448" t="s">
        <v>360</v>
      </c>
      <c r="E608" s="449" t="s">
        <v>359</v>
      </c>
      <c r="F608" s="448" t="s">
        <v>360</v>
      </c>
      <c r="G608" s="589">
        <v>46225</v>
      </c>
      <c r="H608" s="450"/>
      <c r="I608" s="346" t="s">
        <v>183</v>
      </c>
      <c r="J608" s="295">
        <v>0.78472222222222221</v>
      </c>
      <c r="K608" s="295">
        <v>0.25208333333333333</v>
      </c>
      <c r="L608" s="451" t="s">
        <v>168</v>
      </c>
      <c r="M608" s="452">
        <v>8</v>
      </c>
      <c r="N608" s="452">
        <v>2</v>
      </c>
      <c r="O608" s="452">
        <v>6</v>
      </c>
      <c r="P608" s="452">
        <v>2</v>
      </c>
      <c r="Q608" s="453"/>
      <c r="R608" s="452"/>
      <c r="S608" s="452"/>
      <c r="T608" s="453"/>
      <c r="U608" s="452"/>
      <c r="V608" s="453"/>
      <c r="W608" s="454"/>
      <c r="X608" s="455"/>
      <c r="Y608" s="456"/>
      <c r="Z608" s="457"/>
      <c r="AA608" s="458"/>
      <c r="AB608" s="443"/>
    </row>
    <row r="609" spans="1:28" s="444" customFormat="1">
      <c r="A609" s="459"/>
      <c r="B609" s="446" t="s">
        <v>187</v>
      </c>
      <c r="C609" s="446">
        <v>14372</v>
      </c>
      <c r="D609" s="448" t="s">
        <v>360</v>
      </c>
      <c r="E609" s="449" t="s">
        <v>359</v>
      </c>
      <c r="F609" s="448" t="s">
        <v>360</v>
      </c>
      <c r="G609" s="589">
        <v>46226</v>
      </c>
      <c r="H609" s="450"/>
      <c r="I609" s="346" t="s">
        <v>183</v>
      </c>
      <c r="J609" s="295">
        <v>0.77430555555555558</v>
      </c>
      <c r="K609" s="295">
        <v>0.16875000000000001</v>
      </c>
      <c r="L609" s="347" t="s">
        <v>168</v>
      </c>
      <c r="M609" s="348">
        <v>8</v>
      </c>
      <c r="N609" s="348"/>
      <c r="O609" s="348">
        <v>6</v>
      </c>
      <c r="P609" s="470"/>
      <c r="Q609" s="453"/>
      <c r="R609" s="452"/>
      <c r="S609" s="452"/>
      <c r="T609" s="453"/>
      <c r="U609" s="452"/>
      <c r="V609" s="453"/>
      <c r="W609" s="454"/>
      <c r="X609" s="455"/>
      <c r="Y609" s="456"/>
      <c r="Z609" s="457"/>
      <c r="AA609" s="458"/>
      <c r="AB609" s="443"/>
    </row>
    <row r="610" spans="1:28" s="444" customFormat="1">
      <c r="A610" s="459"/>
      <c r="B610" s="446" t="s">
        <v>187</v>
      </c>
      <c r="C610" s="446">
        <v>14372</v>
      </c>
      <c r="D610" s="448" t="s">
        <v>360</v>
      </c>
      <c r="E610" s="449" t="s">
        <v>359</v>
      </c>
      <c r="F610" s="448" t="s">
        <v>360</v>
      </c>
      <c r="G610" s="589">
        <v>46227</v>
      </c>
      <c r="H610" s="450"/>
      <c r="I610" s="346" t="s">
        <v>183</v>
      </c>
      <c r="J610" s="295">
        <v>0.77430555555555558</v>
      </c>
      <c r="K610" s="318">
        <v>0.16875000000000001</v>
      </c>
      <c r="L610" s="347" t="s">
        <v>168</v>
      </c>
      <c r="M610" s="348">
        <v>8</v>
      </c>
      <c r="N610" s="348"/>
      <c r="O610" s="348">
        <v>6</v>
      </c>
      <c r="P610" s="471"/>
      <c r="Q610" s="472"/>
      <c r="R610" s="471"/>
      <c r="S610" s="471"/>
      <c r="T610" s="453"/>
      <c r="U610" s="452"/>
      <c r="V610" s="453"/>
      <c r="W610" s="454"/>
      <c r="X610" s="455"/>
      <c r="Y610" s="456"/>
      <c r="Z610" s="457"/>
      <c r="AA610" s="458"/>
      <c r="AB610" s="443"/>
    </row>
    <row r="611" spans="1:28" s="444" customFormat="1">
      <c r="A611" s="459"/>
      <c r="B611" s="446" t="s">
        <v>187</v>
      </c>
      <c r="C611" s="446">
        <v>14372</v>
      </c>
      <c r="D611" s="448" t="s">
        <v>360</v>
      </c>
      <c r="E611" s="449" t="s">
        <v>359</v>
      </c>
      <c r="F611" s="448" t="s">
        <v>360</v>
      </c>
      <c r="G611" s="589">
        <v>46228</v>
      </c>
      <c r="H611" s="450"/>
      <c r="I611" s="346" t="s">
        <v>183</v>
      </c>
      <c r="J611" s="295"/>
      <c r="K611" s="295"/>
      <c r="L611" s="451"/>
      <c r="M611" s="452"/>
      <c r="N611" s="452"/>
      <c r="O611" s="452"/>
      <c r="P611" s="452"/>
      <c r="Q611" s="453"/>
      <c r="R611" s="452"/>
      <c r="S611" s="473"/>
      <c r="T611" s="453"/>
      <c r="U611" s="452"/>
      <c r="V611" s="453"/>
      <c r="W611" s="454"/>
      <c r="X611" s="455"/>
      <c r="Y611" s="456"/>
      <c r="Z611" s="457"/>
      <c r="AA611" s="458"/>
      <c r="AB611" s="443"/>
    </row>
    <row r="612" spans="1:28" s="444" customFormat="1">
      <c r="A612" s="459"/>
      <c r="B612" s="446"/>
      <c r="C612" s="446"/>
      <c r="D612" s="449"/>
      <c r="E612" s="449"/>
      <c r="F612" s="449"/>
      <c r="G612" s="600"/>
      <c r="H612" s="450"/>
      <c r="I612" s="450"/>
      <c r="J612" s="474"/>
      <c r="K612" s="475"/>
      <c r="L612" s="476"/>
      <c r="M612" s="477"/>
      <c r="N612" s="477"/>
      <c r="O612" s="477"/>
      <c r="P612" s="477"/>
      <c r="Q612" s="478"/>
      <c r="R612" s="477"/>
      <c r="S612" s="479"/>
      <c r="T612" s="453"/>
      <c r="U612" s="452"/>
      <c r="V612" s="453"/>
      <c r="W612" s="454"/>
      <c r="X612" s="455"/>
      <c r="Y612" s="456"/>
      <c r="Z612" s="457"/>
      <c r="AA612" s="458"/>
      <c r="AB612" s="443"/>
    </row>
    <row r="613" spans="1:28" s="444" customFormat="1">
      <c r="A613" s="480"/>
      <c r="B613" s="481"/>
      <c r="C613" s="446"/>
      <c r="D613" s="481"/>
      <c r="E613" s="449"/>
      <c r="F613" s="481"/>
      <c r="G613" s="601"/>
      <c r="H613" s="482"/>
      <c r="I613" s="483"/>
      <c r="J613" s="484"/>
      <c r="K613" s="485"/>
      <c r="L613" s="483"/>
      <c r="M613" s="483">
        <f t="shared" ref="M613:AA613" si="34">SUM(M596:M612)</f>
        <v>96</v>
      </c>
      <c r="N613" s="483">
        <f t="shared" si="34"/>
        <v>10</v>
      </c>
      <c r="O613" s="483">
        <f t="shared" si="34"/>
        <v>66</v>
      </c>
      <c r="P613" s="483">
        <f t="shared" si="34"/>
        <v>10</v>
      </c>
      <c r="Q613" s="483">
        <f t="shared" si="34"/>
        <v>0</v>
      </c>
      <c r="R613" s="483">
        <f t="shared" si="34"/>
        <v>0</v>
      </c>
      <c r="S613" s="483">
        <f t="shared" si="34"/>
        <v>0</v>
      </c>
      <c r="T613" s="483">
        <f t="shared" si="34"/>
        <v>0</v>
      </c>
      <c r="U613" s="483">
        <f t="shared" si="34"/>
        <v>0</v>
      </c>
      <c r="V613" s="483">
        <f t="shared" si="34"/>
        <v>0</v>
      </c>
      <c r="W613" s="483">
        <f t="shared" si="34"/>
        <v>0</v>
      </c>
      <c r="X613" s="483">
        <f t="shared" si="34"/>
        <v>0</v>
      </c>
      <c r="Y613" s="483">
        <f t="shared" si="34"/>
        <v>0</v>
      </c>
      <c r="Z613" s="483">
        <f t="shared" si="34"/>
        <v>0</v>
      </c>
      <c r="AA613" s="483">
        <f t="shared" si="34"/>
        <v>0</v>
      </c>
      <c r="AB613" s="443"/>
    </row>
    <row r="614" spans="1:28" s="444" customFormat="1">
      <c r="A614" s="435" t="s">
        <v>170</v>
      </c>
      <c r="B614" s="435" t="s">
        <v>120</v>
      </c>
      <c r="C614" s="435" t="s">
        <v>152</v>
      </c>
      <c r="D614" s="435" t="s">
        <v>182</v>
      </c>
      <c r="E614" s="436" t="s">
        <v>153</v>
      </c>
      <c r="F614" s="435" t="s">
        <v>182</v>
      </c>
      <c r="G614" s="599" t="s">
        <v>401</v>
      </c>
      <c r="H614" s="437"/>
      <c r="I614" s="438" t="s">
        <v>181</v>
      </c>
      <c r="J614" s="439" t="s">
        <v>154</v>
      </c>
      <c r="K614" s="439" t="s">
        <v>155</v>
      </c>
      <c r="L614" s="440" t="s">
        <v>156</v>
      </c>
      <c r="M614" s="441" t="s">
        <v>157</v>
      </c>
      <c r="N614" s="440" t="s">
        <v>158</v>
      </c>
      <c r="O614" s="440" t="s">
        <v>159</v>
      </c>
      <c r="P614" s="440" t="s">
        <v>174</v>
      </c>
      <c r="Q614" s="440" t="s">
        <v>160</v>
      </c>
      <c r="R614" s="440" t="s">
        <v>161</v>
      </c>
      <c r="S614" s="440" t="s">
        <v>162</v>
      </c>
      <c r="T614" s="438" t="s">
        <v>163</v>
      </c>
      <c r="U614" s="438" t="s">
        <v>164</v>
      </c>
      <c r="V614" s="438" t="s">
        <v>165</v>
      </c>
      <c r="W614" s="440" t="s">
        <v>113</v>
      </c>
      <c r="X614" s="438" t="s">
        <v>121</v>
      </c>
      <c r="Y614" s="438" t="s">
        <v>166</v>
      </c>
      <c r="Z614" s="442" t="s">
        <v>175</v>
      </c>
      <c r="AA614" s="442" t="s">
        <v>167</v>
      </c>
      <c r="AB614" s="443"/>
    </row>
    <row r="615" spans="1:28" s="444" customFormat="1">
      <c r="A615" s="701"/>
      <c r="B615" s="446" t="s">
        <v>187</v>
      </c>
      <c r="C615" s="486">
        <v>14479</v>
      </c>
      <c r="D615" s="449" t="s">
        <v>377</v>
      </c>
      <c r="E615" s="449" t="s">
        <v>358</v>
      </c>
      <c r="F615" s="449" t="s">
        <v>377</v>
      </c>
      <c r="G615" s="589">
        <v>46214</v>
      </c>
      <c r="H615" s="450"/>
      <c r="I615" s="450" t="s">
        <v>183</v>
      </c>
      <c r="J615" s="295">
        <v>0.78472222222222221</v>
      </c>
      <c r="K615" s="295">
        <v>0.16666666666666666</v>
      </c>
      <c r="L615" s="451" t="s">
        <v>168</v>
      </c>
      <c r="M615" s="452">
        <v>8</v>
      </c>
      <c r="N615" s="452"/>
      <c r="O615" s="452">
        <v>6</v>
      </c>
      <c r="P615" s="452"/>
      <c r="Q615" s="453"/>
      <c r="R615" s="452"/>
      <c r="S615" s="452"/>
      <c r="T615" s="453"/>
      <c r="U615" s="452"/>
      <c r="V615" s="453"/>
      <c r="W615" s="454"/>
      <c r="X615" s="455"/>
      <c r="Y615" s="456"/>
      <c r="Z615" s="457"/>
      <c r="AA615" s="458"/>
      <c r="AB615" s="443"/>
    </row>
    <row r="616" spans="1:28" s="444" customFormat="1">
      <c r="A616" s="702"/>
      <c r="B616" s="446" t="s">
        <v>187</v>
      </c>
      <c r="C616" s="486">
        <v>14479</v>
      </c>
      <c r="D616" s="449" t="s">
        <v>377</v>
      </c>
      <c r="E616" s="449" t="s">
        <v>358</v>
      </c>
      <c r="F616" s="449" t="s">
        <v>377</v>
      </c>
      <c r="G616" s="590">
        <v>46215</v>
      </c>
      <c r="H616" s="450"/>
      <c r="I616" s="450"/>
      <c r="J616" s="699" t="s">
        <v>173</v>
      </c>
      <c r="K616" s="700"/>
      <c r="L616" s="451"/>
      <c r="M616" s="452"/>
      <c r="N616" s="452"/>
      <c r="O616" s="452"/>
      <c r="P616" s="452"/>
      <c r="Q616" s="453"/>
      <c r="R616" s="452"/>
      <c r="S616" s="452"/>
      <c r="T616" s="453"/>
      <c r="U616" s="452"/>
      <c r="V616" s="453"/>
      <c r="W616" s="463"/>
      <c r="X616" s="455"/>
      <c r="Y616" s="456"/>
      <c r="Z616" s="457"/>
      <c r="AA616" s="458"/>
      <c r="AB616" s="443"/>
    </row>
    <row r="617" spans="1:28" s="444" customFormat="1">
      <c r="A617" s="702"/>
      <c r="B617" s="446" t="s">
        <v>187</v>
      </c>
      <c r="C617" s="486">
        <v>14479</v>
      </c>
      <c r="D617" s="449" t="s">
        <v>377</v>
      </c>
      <c r="E617" s="449" t="s">
        <v>358</v>
      </c>
      <c r="F617" s="449" t="s">
        <v>377</v>
      </c>
      <c r="G617" s="589">
        <v>46216</v>
      </c>
      <c r="H617" s="450"/>
      <c r="I617" s="450" t="s">
        <v>186</v>
      </c>
      <c r="J617" s="305">
        <v>0.32777777777777778</v>
      </c>
      <c r="K617" s="305">
        <v>0.70902777777777781</v>
      </c>
      <c r="L617" s="451" t="s">
        <v>169</v>
      </c>
      <c r="M617" s="452">
        <v>8</v>
      </c>
      <c r="N617" s="452"/>
      <c r="O617" s="452"/>
      <c r="P617" s="452"/>
      <c r="Q617" s="453"/>
      <c r="R617" s="452"/>
      <c r="S617" s="452"/>
      <c r="T617" s="453"/>
      <c r="U617" s="452"/>
      <c r="V617" s="453"/>
      <c r="W617" s="454"/>
      <c r="X617" s="455"/>
      <c r="Y617" s="456"/>
      <c r="Z617" s="457"/>
      <c r="AA617" s="458"/>
      <c r="AB617" s="443"/>
    </row>
    <row r="618" spans="1:28" s="444" customFormat="1">
      <c r="A618" s="702"/>
      <c r="B618" s="446" t="s">
        <v>187</v>
      </c>
      <c r="C618" s="486">
        <v>14479</v>
      </c>
      <c r="D618" s="449" t="s">
        <v>377</v>
      </c>
      <c r="E618" s="449" t="s">
        <v>358</v>
      </c>
      <c r="F618" s="449" t="s">
        <v>377</v>
      </c>
      <c r="G618" s="589">
        <v>46217</v>
      </c>
      <c r="H618" s="450"/>
      <c r="I618" s="450" t="s">
        <v>186</v>
      </c>
      <c r="J618" s="305">
        <v>0.32013888888888886</v>
      </c>
      <c r="K618" s="305">
        <v>0.79236111111111107</v>
      </c>
      <c r="L618" s="451" t="s">
        <v>169</v>
      </c>
      <c r="M618" s="452">
        <v>8</v>
      </c>
      <c r="N618" s="452">
        <v>2</v>
      </c>
      <c r="O618" s="452"/>
      <c r="P618" s="452"/>
      <c r="Q618" s="461"/>
      <c r="R618" s="462"/>
      <c r="S618" s="462"/>
      <c r="T618" s="461"/>
      <c r="U618" s="462"/>
      <c r="V618" s="461"/>
      <c r="W618" s="463"/>
      <c r="X618" s="464"/>
      <c r="Y618" s="465"/>
      <c r="Z618" s="466"/>
      <c r="AA618" s="467"/>
      <c r="AB618" s="443"/>
    </row>
    <row r="619" spans="1:28" s="444" customFormat="1">
      <c r="A619" s="702"/>
      <c r="B619" s="446" t="s">
        <v>187</v>
      </c>
      <c r="C619" s="486">
        <v>14479</v>
      </c>
      <c r="D619" s="449" t="s">
        <v>377</v>
      </c>
      <c r="E619" s="449" t="s">
        <v>358</v>
      </c>
      <c r="F619" s="449" t="s">
        <v>377</v>
      </c>
      <c r="G619" s="589">
        <v>46218</v>
      </c>
      <c r="H619" s="450"/>
      <c r="I619" s="450" t="s">
        <v>186</v>
      </c>
      <c r="J619" s="305">
        <v>0.32361111111111113</v>
      </c>
      <c r="K619" s="305">
        <v>0.7090277777777777</v>
      </c>
      <c r="L619" s="451" t="s">
        <v>169</v>
      </c>
      <c r="M619" s="452">
        <v>8</v>
      </c>
      <c r="N619" s="452"/>
      <c r="O619" s="452"/>
      <c r="P619" s="452"/>
      <c r="Q619" s="453"/>
      <c r="R619" s="452"/>
      <c r="S619" s="452"/>
      <c r="T619" s="453"/>
      <c r="U619" s="452"/>
      <c r="V619" s="453"/>
      <c r="W619" s="454"/>
      <c r="X619" s="455"/>
      <c r="Y619" s="456"/>
      <c r="Z619" s="457"/>
      <c r="AA619" s="458"/>
      <c r="AB619" s="443"/>
    </row>
    <row r="620" spans="1:28" s="444" customFormat="1">
      <c r="A620" s="702"/>
      <c r="B620" s="446" t="s">
        <v>187</v>
      </c>
      <c r="C620" s="486">
        <v>14479</v>
      </c>
      <c r="D620" s="449" t="s">
        <v>377</v>
      </c>
      <c r="E620" s="449" t="s">
        <v>358</v>
      </c>
      <c r="F620" s="449" t="s">
        <v>377</v>
      </c>
      <c r="G620" s="589">
        <v>46219</v>
      </c>
      <c r="H620" s="450"/>
      <c r="I620" s="450" t="s">
        <v>186</v>
      </c>
      <c r="J620" s="305">
        <v>0.32083333333333336</v>
      </c>
      <c r="K620" s="305">
        <v>0.79305555555555562</v>
      </c>
      <c r="L620" s="451" t="s">
        <v>169</v>
      </c>
      <c r="M620" s="452">
        <v>8</v>
      </c>
      <c r="N620" s="452">
        <v>2</v>
      </c>
      <c r="O620" s="452"/>
      <c r="P620" s="452"/>
      <c r="Q620" s="453"/>
      <c r="R620" s="452"/>
      <c r="S620" s="452"/>
      <c r="T620" s="453"/>
      <c r="U620" s="452"/>
      <c r="V620" s="453"/>
      <c r="W620" s="454"/>
      <c r="X620" s="455"/>
      <c r="Y620" s="456"/>
      <c r="Z620" s="457"/>
      <c r="AA620" s="458"/>
      <c r="AB620" s="443"/>
    </row>
    <row r="621" spans="1:28" s="444" customFormat="1">
      <c r="A621" s="702"/>
      <c r="B621" s="446" t="s">
        <v>187</v>
      </c>
      <c r="C621" s="486">
        <v>14479</v>
      </c>
      <c r="D621" s="449" t="s">
        <v>377</v>
      </c>
      <c r="E621" s="449" t="s">
        <v>358</v>
      </c>
      <c r="F621" s="449" t="s">
        <v>377</v>
      </c>
      <c r="G621" s="589">
        <v>46220</v>
      </c>
      <c r="H621" s="450"/>
      <c r="I621" s="450" t="s">
        <v>186</v>
      </c>
      <c r="J621" s="487">
        <v>0.31458333333333333</v>
      </c>
      <c r="K621" s="305">
        <v>0.70902777777777781</v>
      </c>
      <c r="L621" s="451" t="s">
        <v>169</v>
      </c>
      <c r="M621" s="447">
        <v>8</v>
      </c>
      <c r="N621" s="452"/>
      <c r="O621" s="452"/>
      <c r="P621" s="452"/>
      <c r="Q621" s="453"/>
      <c r="R621" s="452"/>
      <c r="S621" s="452"/>
      <c r="T621" s="453"/>
      <c r="U621" s="452"/>
      <c r="V621" s="453"/>
      <c r="W621" s="454"/>
      <c r="X621" s="455"/>
      <c r="Y621" s="456"/>
      <c r="Z621" s="457"/>
      <c r="AA621" s="458"/>
      <c r="AB621" s="443"/>
    </row>
    <row r="622" spans="1:28" s="444" customFormat="1">
      <c r="A622" s="702"/>
      <c r="B622" s="446" t="s">
        <v>187</v>
      </c>
      <c r="C622" s="486">
        <v>14479</v>
      </c>
      <c r="D622" s="449" t="s">
        <v>377</v>
      </c>
      <c r="E622" s="449" t="s">
        <v>358</v>
      </c>
      <c r="F622" s="449" t="s">
        <v>377</v>
      </c>
      <c r="G622" s="589">
        <v>46221</v>
      </c>
      <c r="H622" s="450"/>
      <c r="I622" s="450" t="s">
        <v>186</v>
      </c>
      <c r="J622" s="305">
        <v>0.31805555555555554</v>
      </c>
      <c r="K622" s="305">
        <v>0.70902777777777781</v>
      </c>
      <c r="L622" s="451" t="s">
        <v>169</v>
      </c>
      <c r="M622" s="452">
        <v>8</v>
      </c>
      <c r="N622" s="452"/>
      <c r="O622" s="452"/>
      <c r="P622" s="452"/>
      <c r="Q622" s="453"/>
      <c r="R622" s="452"/>
      <c r="S622" s="452"/>
      <c r="T622" s="453"/>
      <c r="U622" s="452"/>
      <c r="V622" s="453"/>
      <c r="W622" s="454"/>
      <c r="X622" s="455"/>
      <c r="Y622" s="456"/>
      <c r="Z622" s="457"/>
      <c r="AA622" s="458"/>
      <c r="AB622" s="443"/>
    </row>
    <row r="623" spans="1:28" s="444" customFormat="1">
      <c r="A623" s="702"/>
      <c r="B623" s="446" t="s">
        <v>187</v>
      </c>
      <c r="C623" s="486">
        <v>14479</v>
      </c>
      <c r="D623" s="449" t="s">
        <v>377</v>
      </c>
      <c r="E623" s="449" t="s">
        <v>358</v>
      </c>
      <c r="F623" s="449" t="s">
        <v>377</v>
      </c>
      <c r="G623" s="590">
        <v>46222</v>
      </c>
      <c r="H623" s="450"/>
      <c r="I623" s="450"/>
      <c r="J623" s="699" t="s">
        <v>173</v>
      </c>
      <c r="K623" s="700"/>
      <c r="L623" s="451"/>
      <c r="M623" s="452"/>
      <c r="N623" s="452"/>
      <c r="O623" s="452"/>
      <c r="P623" s="452"/>
      <c r="Q623" s="453"/>
      <c r="R623" s="452"/>
      <c r="S623" s="452"/>
      <c r="T623" s="453"/>
      <c r="U623" s="452"/>
      <c r="V623" s="453"/>
      <c r="W623" s="454"/>
      <c r="X623" s="455"/>
      <c r="Y623" s="456"/>
      <c r="Z623" s="457"/>
      <c r="AA623" s="458"/>
      <c r="AB623" s="443"/>
    </row>
    <row r="624" spans="1:28" s="444" customFormat="1">
      <c r="A624" s="702"/>
      <c r="B624" s="446" t="s">
        <v>187</v>
      </c>
      <c r="C624" s="486">
        <v>14479</v>
      </c>
      <c r="D624" s="449" t="s">
        <v>377</v>
      </c>
      <c r="E624" s="449" t="s">
        <v>358</v>
      </c>
      <c r="F624" s="449" t="s">
        <v>377</v>
      </c>
      <c r="G624" s="589">
        <v>46223</v>
      </c>
      <c r="H624" s="450"/>
      <c r="I624" s="450" t="s">
        <v>186</v>
      </c>
      <c r="J624" s="295">
        <v>0.31805555555555554</v>
      </c>
      <c r="K624" s="295">
        <v>0.70833333333333337</v>
      </c>
      <c r="L624" s="451" t="s">
        <v>169</v>
      </c>
      <c r="M624" s="452">
        <v>8</v>
      </c>
      <c r="N624" s="462"/>
      <c r="O624" s="462"/>
      <c r="P624" s="462"/>
      <c r="Q624" s="461"/>
      <c r="R624" s="462"/>
      <c r="S624" s="462"/>
      <c r="T624" s="461"/>
      <c r="U624" s="452"/>
      <c r="V624" s="453"/>
      <c r="W624" s="454"/>
      <c r="X624" s="455"/>
      <c r="Y624" s="456"/>
      <c r="Z624" s="457"/>
      <c r="AA624" s="458"/>
      <c r="AB624" s="443"/>
    </row>
    <row r="625" spans="1:28" s="444" customFormat="1">
      <c r="A625" s="702"/>
      <c r="B625" s="446" t="s">
        <v>187</v>
      </c>
      <c r="C625" s="486">
        <v>14479</v>
      </c>
      <c r="D625" s="449" t="s">
        <v>377</v>
      </c>
      <c r="E625" s="449" t="s">
        <v>358</v>
      </c>
      <c r="F625" s="449" t="s">
        <v>377</v>
      </c>
      <c r="G625" s="589">
        <v>46224</v>
      </c>
      <c r="H625" s="450"/>
      <c r="I625" s="450" t="s">
        <v>186</v>
      </c>
      <c r="J625" s="295">
        <v>0.31805555555555554</v>
      </c>
      <c r="K625" s="295">
        <v>0.70902777777777781</v>
      </c>
      <c r="L625" s="451" t="s">
        <v>169</v>
      </c>
      <c r="M625" s="452">
        <v>8</v>
      </c>
      <c r="N625" s="477"/>
      <c r="O625" s="477"/>
      <c r="P625" s="477"/>
      <c r="Q625" s="468"/>
      <c r="R625" s="469"/>
      <c r="S625" s="469"/>
      <c r="T625" s="461"/>
      <c r="U625" s="462"/>
      <c r="V625" s="461"/>
      <c r="W625" s="463"/>
      <c r="X625" s="464"/>
      <c r="Y625" s="465"/>
      <c r="Z625" s="466"/>
      <c r="AA625" s="467"/>
      <c r="AB625" s="443"/>
    </row>
    <row r="626" spans="1:28" s="444" customFormat="1">
      <c r="A626" s="702"/>
      <c r="B626" s="446" t="s">
        <v>187</v>
      </c>
      <c r="C626" s="486">
        <v>14479</v>
      </c>
      <c r="D626" s="449" t="s">
        <v>377</v>
      </c>
      <c r="E626" s="449" t="s">
        <v>358</v>
      </c>
      <c r="F626" s="449" t="s">
        <v>377</v>
      </c>
      <c r="G626" s="589">
        <v>46225</v>
      </c>
      <c r="H626" s="450"/>
      <c r="I626" s="450" t="s">
        <v>186</v>
      </c>
      <c r="J626" s="295">
        <v>0.31527777777777777</v>
      </c>
      <c r="K626" s="295">
        <v>0.79236111111111107</v>
      </c>
      <c r="L626" s="451" t="s">
        <v>169</v>
      </c>
      <c r="M626" s="452">
        <v>8</v>
      </c>
      <c r="N626" s="452">
        <v>2</v>
      </c>
      <c r="O626" s="452"/>
      <c r="P626" s="452"/>
      <c r="Q626" s="453"/>
      <c r="R626" s="452"/>
      <c r="S626" s="452"/>
      <c r="T626" s="453"/>
      <c r="U626" s="452"/>
      <c r="V626" s="453"/>
      <c r="W626" s="454"/>
      <c r="X626" s="455"/>
      <c r="Y626" s="456"/>
      <c r="Z626" s="457"/>
      <c r="AA626" s="458"/>
      <c r="AB626" s="443"/>
    </row>
    <row r="627" spans="1:28" s="444" customFormat="1">
      <c r="A627" s="702"/>
      <c r="B627" s="446" t="s">
        <v>187</v>
      </c>
      <c r="C627" s="486">
        <v>14479</v>
      </c>
      <c r="D627" s="449" t="s">
        <v>377</v>
      </c>
      <c r="E627" s="449" t="s">
        <v>358</v>
      </c>
      <c r="F627" s="449" t="s">
        <v>377</v>
      </c>
      <c r="G627" s="589">
        <v>46226</v>
      </c>
      <c r="H627" s="450"/>
      <c r="I627" s="450" t="s">
        <v>186</v>
      </c>
      <c r="J627" s="295">
        <v>0.32291666666666669</v>
      </c>
      <c r="K627" s="295">
        <v>0.79236111111111107</v>
      </c>
      <c r="L627" s="451" t="s">
        <v>169</v>
      </c>
      <c r="M627" s="452">
        <v>8</v>
      </c>
      <c r="N627" s="452">
        <v>2</v>
      </c>
      <c r="O627" s="470"/>
      <c r="P627" s="470"/>
      <c r="Q627" s="453"/>
      <c r="R627" s="452"/>
      <c r="S627" s="452"/>
      <c r="T627" s="453"/>
      <c r="U627" s="452"/>
      <c r="V627" s="453"/>
      <c r="W627" s="454"/>
      <c r="X627" s="455"/>
      <c r="Y627" s="456"/>
      <c r="Z627" s="457"/>
      <c r="AA627" s="458"/>
      <c r="AB627" s="443"/>
    </row>
    <row r="628" spans="1:28" s="444" customFormat="1">
      <c r="A628" s="702"/>
      <c r="B628" s="446" t="s">
        <v>187</v>
      </c>
      <c r="C628" s="486">
        <v>14479</v>
      </c>
      <c r="D628" s="449" t="s">
        <v>377</v>
      </c>
      <c r="E628" s="449" t="s">
        <v>358</v>
      </c>
      <c r="F628" s="449" t="s">
        <v>377</v>
      </c>
      <c r="G628" s="589">
        <v>46227</v>
      </c>
      <c r="H628" s="450"/>
      <c r="I628" s="450" t="s">
        <v>186</v>
      </c>
      <c r="J628" s="295">
        <v>0.31805555555555554</v>
      </c>
      <c r="K628" s="318">
        <v>0.79166666666666663</v>
      </c>
      <c r="L628" s="451" t="s">
        <v>169</v>
      </c>
      <c r="M628" s="452">
        <v>8</v>
      </c>
      <c r="N628" s="452">
        <v>2</v>
      </c>
      <c r="O628" s="471"/>
      <c r="P628" s="471"/>
      <c r="Q628" s="472"/>
      <c r="R628" s="471"/>
      <c r="S628" s="471"/>
      <c r="T628" s="453"/>
      <c r="U628" s="452"/>
      <c r="V628" s="453"/>
      <c r="W628" s="454"/>
      <c r="X628" s="455"/>
      <c r="Y628" s="456"/>
      <c r="Z628" s="457"/>
      <c r="AA628" s="458"/>
      <c r="AB628" s="443"/>
    </row>
    <row r="629" spans="1:28" s="444" customFormat="1">
      <c r="A629" s="702"/>
      <c r="B629" s="446" t="s">
        <v>187</v>
      </c>
      <c r="C629" s="486">
        <v>14479</v>
      </c>
      <c r="D629" s="449" t="s">
        <v>377</v>
      </c>
      <c r="E629" s="449" t="s">
        <v>358</v>
      </c>
      <c r="F629" s="449" t="s">
        <v>377</v>
      </c>
      <c r="G629" s="589">
        <v>46228</v>
      </c>
      <c r="H629" s="450"/>
      <c r="I629" s="450" t="s">
        <v>186</v>
      </c>
      <c r="J629" s="295"/>
      <c r="K629" s="295"/>
      <c r="L629" s="451"/>
      <c r="M629" s="452"/>
      <c r="N629" s="452"/>
      <c r="O629" s="471"/>
      <c r="P629" s="452"/>
      <c r="Q629" s="453"/>
      <c r="R629" s="452"/>
      <c r="S629" s="473"/>
      <c r="T629" s="453"/>
      <c r="U629" s="452"/>
      <c r="V629" s="453"/>
      <c r="W629" s="454"/>
      <c r="X629" s="455"/>
      <c r="Y629" s="456"/>
      <c r="Z629" s="457"/>
      <c r="AA629" s="458"/>
      <c r="AB629" s="443"/>
    </row>
    <row r="630" spans="1:28" s="444" customFormat="1">
      <c r="A630" s="702"/>
      <c r="B630" s="446"/>
      <c r="C630" s="486"/>
      <c r="D630" s="449"/>
      <c r="E630" s="449"/>
      <c r="F630" s="449"/>
      <c r="G630" s="600"/>
      <c r="H630" s="450"/>
      <c r="I630" s="450"/>
      <c r="J630" s="474"/>
      <c r="K630" s="475"/>
      <c r="L630" s="476"/>
      <c r="M630" s="477"/>
      <c r="N630" s="477"/>
      <c r="O630" s="477"/>
      <c r="P630" s="477"/>
      <c r="Q630" s="478"/>
      <c r="R630" s="477"/>
      <c r="S630" s="479"/>
      <c r="T630" s="453"/>
      <c r="U630" s="452"/>
      <c r="V630" s="453"/>
      <c r="W630" s="454"/>
      <c r="X630" s="455"/>
      <c r="Y630" s="456"/>
      <c r="Z630" s="457"/>
      <c r="AA630" s="458"/>
      <c r="AB630" s="443"/>
    </row>
    <row r="631" spans="1:28" s="444" customFormat="1">
      <c r="A631" s="703"/>
      <c r="B631" s="481"/>
      <c r="C631" s="481"/>
      <c r="D631" s="481"/>
      <c r="E631" s="449"/>
      <c r="F631" s="481"/>
      <c r="G631" s="601"/>
      <c r="H631" s="482"/>
      <c r="I631" s="483"/>
      <c r="J631" s="484"/>
      <c r="K631" s="485"/>
      <c r="L631" s="483"/>
      <c r="M631" s="483">
        <f t="shared" ref="M631:AA631" si="35">SUM(M614:M630)</f>
        <v>96</v>
      </c>
      <c r="N631" s="483">
        <f t="shared" si="35"/>
        <v>10</v>
      </c>
      <c r="O631" s="483">
        <f t="shared" si="35"/>
        <v>6</v>
      </c>
      <c r="P631" s="483">
        <f t="shared" si="35"/>
        <v>0</v>
      </c>
      <c r="Q631" s="483">
        <f t="shared" si="35"/>
        <v>0</v>
      </c>
      <c r="R631" s="483">
        <f t="shared" si="35"/>
        <v>0</v>
      </c>
      <c r="S631" s="483">
        <f t="shared" si="35"/>
        <v>0</v>
      </c>
      <c r="T631" s="483">
        <f t="shared" si="35"/>
        <v>0</v>
      </c>
      <c r="U631" s="483">
        <f t="shared" si="35"/>
        <v>0</v>
      </c>
      <c r="V631" s="483">
        <f t="shared" si="35"/>
        <v>0</v>
      </c>
      <c r="W631" s="483">
        <f t="shared" si="35"/>
        <v>0</v>
      </c>
      <c r="X631" s="483">
        <f t="shared" si="35"/>
        <v>0</v>
      </c>
      <c r="Y631" s="483">
        <f t="shared" si="35"/>
        <v>0</v>
      </c>
      <c r="Z631" s="483">
        <f t="shared" si="35"/>
        <v>0</v>
      </c>
      <c r="AA631" s="483">
        <f t="shared" si="35"/>
        <v>0</v>
      </c>
      <c r="AB631" s="443"/>
    </row>
    <row r="632" spans="1:28" s="444" customFormat="1">
      <c r="A632" s="435" t="s">
        <v>170</v>
      </c>
      <c r="B632" s="435" t="s">
        <v>120</v>
      </c>
      <c r="C632" s="435" t="s">
        <v>152</v>
      </c>
      <c r="D632" s="435" t="s">
        <v>182</v>
      </c>
      <c r="E632" s="436" t="s">
        <v>153</v>
      </c>
      <c r="F632" s="435" t="s">
        <v>182</v>
      </c>
      <c r="G632" s="599" t="s">
        <v>401</v>
      </c>
      <c r="H632" s="437"/>
      <c r="I632" s="438" t="s">
        <v>181</v>
      </c>
      <c r="J632" s="439" t="s">
        <v>154</v>
      </c>
      <c r="K632" s="439" t="s">
        <v>155</v>
      </c>
      <c r="L632" s="440" t="s">
        <v>156</v>
      </c>
      <c r="M632" s="441" t="s">
        <v>157</v>
      </c>
      <c r="N632" s="440" t="s">
        <v>158</v>
      </c>
      <c r="O632" s="440" t="s">
        <v>159</v>
      </c>
      <c r="P632" s="440" t="s">
        <v>174</v>
      </c>
      <c r="Q632" s="440" t="s">
        <v>160</v>
      </c>
      <c r="R632" s="440" t="s">
        <v>161</v>
      </c>
      <c r="S632" s="440" t="s">
        <v>162</v>
      </c>
      <c r="T632" s="438" t="s">
        <v>163</v>
      </c>
      <c r="U632" s="438" t="s">
        <v>164</v>
      </c>
      <c r="V632" s="438" t="s">
        <v>165</v>
      </c>
      <c r="W632" s="440" t="s">
        <v>113</v>
      </c>
      <c r="X632" s="438" t="s">
        <v>121</v>
      </c>
      <c r="Y632" s="438" t="s">
        <v>166</v>
      </c>
      <c r="Z632" s="442" t="s">
        <v>175</v>
      </c>
      <c r="AA632" s="442" t="s">
        <v>167</v>
      </c>
      <c r="AB632" s="443"/>
    </row>
    <row r="633" spans="1:28" s="444" customFormat="1">
      <c r="A633" s="445"/>
      <c r="B633" s="446" t="s">
        <v>187</v>
      </c>
      <c r="C633" s="447">
        <v>14753</v>
      </c>
      <c r="D633" s="448" t="s">
        <v>357</v>
      </c>
      <c r="E633" s="486" t="s">
        <v>356</v>
      </c>
      <c r="F633" s="448" t="s">
        <v>357</v>
      </c>
      <c r="G633" s="589">
        <v>46214</v>
      </c>
      <c r="H633" s="450"/>
      <c r="I633" s="450" t="s">
        <v>186</v>
      </c>
      <c r="J633" s="295">
        <v>0.32222222222222224</v>
      </c>
      <c r="K633" s="295">
        <v>0.70972222222222225</v>
      </c>
      <c r="L633" s="451" t="s">
        <v>169</v>
      </c>
      <c r="M633" s="452">
        <v>8</v>
      </c>
      <c r="N633" s="452"/>
      <c r="O633" s="452"/>
      <c r="P633" s="452"/>
      <c r="Q633" s="453"/>
      <c r="R633" s="452"/>
      <c r="S633" s="452"/>
      <c r="T633" s="453"/>
      <c r="U633" s="452"/>
      <c r="V633" s="453"/>
      <c r="W633" s="454"/>
      <c r="X633" s="455"/>
      <c r="Y633" s="456"/>
      <c r="Z633" s="457"/>
      <c r="AA633" s="458"/>
      <c r="AB633" s="443"/>
    </row>
    <row r="634" spans="1:28" s="444" customFormat="1">
      <c r="A634" s="459"/>
      <c r="B634" s="446" t="s">
        <v>187</v>
      </c>
      <c r="C634" s="447">
        <v>14753</v>
      </c>
      <c r="D634" s="448" t="s">
        <v>357</v>
      </c>
      <c r="E634" s="486" t="s">
        <v>356</v>
      </c>
      <c r="F634" s="448" t="s">
        <v>357</v>
      </c>
      <c r="G634" s="590">
        <v>46215</v>
      </c>
      <c r="H634" s="450"/>
      <c r="I634" s="346"/>
      <c r="J634" s="699" t="s">
        <v>173</v>
      </c>
      <c r="K634" s="700"/>
      <c r="L634" s="347"/>
      <c r="M634" s="348"/>
      <c r="N634" s="348"/>
      <c r="O634" s="348"/>
      <c r="P634" s="452"/>
      <c r="Q634" s="453"/>
      <c r="R634" s="452"/>
      <c r="S634" s="452"/>
      <c r="T634" s="453"/>
      <c r="U634" s="452"/>
      <c r="V634" s="453"/>
      <c r="W634" s="454"/>
      <c r="X634" s="455"/>
      <c r="Y634" s="456"/>
      <c r="Z634" s="457"/>
      <c r="AA634" s="458"/>
      <c r="AB634" s="443"/>
    </row>
    <row r="635" spans="1:28" s="444" customFormat="1">
      <c r="A635" s="459"/>
      <c r="B635" s="446" t="s">
        <v>187</v>
      </c>
      <c r="C635" s="447">
        <v>14753</v>
      </c>
      <c r="D635" s="448" t="s">
        <v>357</v>
      </c>
      <c r="E635" s="486" t="s">
        <v>356</v>
      </c>
      <c r="F635" s="448" t="s">
        <v>357</v>
      </c>
      <c r="G635" s="589">
        <v>46216</v>
      </c>
      <c r="H635" s="450"/>
      <c r="I635" s="346" t="s">
        <v>183</v>
      </c>
      <c r="J635" s="305">
        <v>0.77430555555555558</v>
      </c>
      <c r="K635" s="305">
        <v>0.16805555555555557</v>
      </c>
      <c r="L635" s="347" t="s">
        <v>168</v>
      </c>
      <c r="M635" s="348">
        <v>8</v>
      </c>
      <c r="N635" s="348"/>
      <c r="O635" s="348">
        <v>6</v>
      </c>
      <c r="P635" s="452"/>
      <c r="Q635" s="453"/>
      <c r="R635" s="452"/>
      <c r="S635" s="452"/>
      <c r="T635" s="453"/>
      <c r="U635" s="452"/>
      <c r="V635" s="453"/>
      <c r="W635" s="454"/>
      <c r="X635" s="455"/>
      <c r="Y635" s="456"/>
      <c r="Z635" s="457"/>
      <c r="AA635" s="458"/>
      <c r="AB635" s="443"/>
    </row>
    <row r="636" spans="1:28" s="444" customFormat="1">
      <c r="A636" s="459"/>
      <c r="B636" s="446" t="s">
        <v>187</v>
      </c>
      <c r="C636" s="447">
        <v>14753</v>
      </c>
      <c r="D636" s="448" t="s">
        <v>357</v>
      </c>
      <c r="E636" s="486" t="s">
        <v>356</v>
      </c>
      <c r="F636" s="448" t="s">
        <v>357</v>
      </c>
      <c r="G636" s="589">
        <v>46217</v>
      </c>
      <c r="H636" s="450"/>
      <c r="I636" s="346" t="s">
        <v>183</v>
      </c>
      <c r="J636" s="305">
        <v>0.78749999999999998</v>
      </c>
      <c r="K636" s="305">
        <v>0.16666666666666666</v>
      </c>
      <c r="L636" s="347" t="s">
        <v>168</v>
      </c>
      <c r="M636" s="348">
        <v>8</v>
      </c>
      <c r="N636" s="348"/>
      <c r="O636" s="348">
        <v>6</v>
      </c>
      <c r="P636" s="462"/>
      <c r="Q636" s="461"/>
      <c r="R636" s="462"/>
      <c r="S636" s="462"/>
      <c r="T636" s="461"/>
      <c r="U636" s="462"/>
      <c r="V636" s="461"/>
      <c r="W636" s="463"/>
      <c r="X636" s="464"/>
      <c r="Y636" s="465"/>
      <c r="Z636" s="466"/>
      <c r="AA636" s="467"/>
      <c r="AB636" s="443"/>
    </row>
    <row r="637" spans="1:28" s="444" customFormat="1">
      <c r="A637" s="459"/>
      <c r="B637" s="446" t="s">
        <v>187</v>
      </c>
      <c r="C637" s="447">
        <v>14753</v>
      </c>
      <c r="D637" s="448" t="s">
        <v>357</v>
      </c>
      <c r="E637" s="486" t="s">
        <v>356</v>
      </c>
      <c r="F637" s="448" t="s">
        <v>357</v>
      </c>
      <c r="G637" s="589">
        <v>46218</v>
      </c>
      <c r="H637" s="450"/>
      <c r="I637" s="346" t="s">
        <v>183</v>
      </c>
      <c r="J637" s="305">
        <v>0.77847222222222223</v>
      </c>
      <c r="K637" s="305">
        <v>0.1673611111111111</v>
      </c>
      <c r="L637" s="347" t="s">
        <v>168</v>
      </c>
      <c r="M637" s="348">
        <v>8</v>
      </c>
      <c r="N637" s="348"/>
      <c r="O637" s="348">
        <v>6</v>
      </c>
      <c r="P637" s="452"/>
      <c r="Q637" s="453"/>
      <c r="R637" s="452"/>
      <c r="S637" s="452"/>
      <c r="T637" s="453"/>
      <c r="U637" s="452"/>
      <c r="V637" s="453"/>
      <c r="W637" s="454"/>
      <c r="X637" s="455"/>
      <c r="Y637" s="456"/>
      <c r="Z637" s="457"/>
      <c r="AA637" s="458"/>
      <c r="AB637" s="443"/>
    </row>
    <row r="638" spans="1:28" s="444" customFormat="1">
      <c r="A638" s="459"/>
      <c r="B638" s="446" t="s">
        <v>187</v>
      </c>
      <c r="C638" s="447">
        <v>14753</v>
      </c>
      <c r="D638" s="448" t="s">
        <v>357</v>
      </c>
      <c r="E638" s="486" t="s">
        <v>356</v>
      </c>
      <c r="F638" s="448" t="s">
        <v>357</v>
      </c>
      <c r="G638" s="589">
        <v>46219</v>
      </c>
      <c r="H638" s="450"/>
      <c r="I638" s="346" t="s">
        <v>183</v>
      </c>
      <c r="J638" s="305">
        <v>0.77777777777777779</v>
      </c>
      <c r="K638" s="305">
        <v>0.25</v>
      </c>
      <c r="L638" s="451" t="s">
        <v>168</v>
      </c>
      <c r="M638" s="452">
        <v>8</v>
      </c>
      <c r="N638" s="452">
        <v>2</v>
      </c>
      <c r="O638" s="452">
        <v>6</v>
      </c>
      <c r="P638" s="452">
        <v>2</v>
      </c>
      <c r="Q638" s="453"/>
      <c r="R638" s="452"/>
      <c r="S638" s="452"/>
      <c r="T638" s="453"/>
      <c r="U638" s="452"/>
      <c r="V638" s="453"/>
      <c r="W638" s="454"/>
      <c r="X638" s="455"/>
      <c r="Y638" s="456"/>
      <c r="Z638" s="457"/>
      <c r="AA638" s="458"/>
      <c r="AB638" s="443"/>
    </row>
    <row r="639" spans="1:28" s="444" customFormat="1">
      <c r="A639" s="459"/>
      <c r="B639" s="446" t="s">
        <v>187</v>
      </c>
      <c r="C639" s="447">
        <v>14753</v>
      </c>
      <c r="D639" s="448" t="s">
        <v>357</v>
      </c>
      <c r="E639" s="486" t="s">
        <v>356</v>
      </c>
      <c r="F639" s="448" t="s">
        <v>357</v>
      </c>
      <c r="G639" s="589">
        <v>46220</v>
      </c>
      <c r="H639" s="450"/>
      <c r="I639" s="346" t="s">
        <v>183</v>
      </c>
      <c r="J639" s="305">
        <v>0.77500000000000002</v>
      </c>
      <c r="K639" s="305">
        <v>0.16666666666666666</v>
      </c>
      <c r="L639" s="347" t="s">
        <v>168</v>
      </c>
      <c r="M639" s="348">
        <v>8</v>
      </c>
      <c r="N639" s="348"/>
      <c r="O639" s="348">
        <v>6</v>
      </c>
      <c r="P639" s="452"/>
      <c r="Q639" s="453"/>
      <c r="R639" s="452"/>
      <c r="S639" s="452"/>
      <c r="T639" s="453"/>
      <c r="U639" s="452"/>
      <c r="V639" s="453"/>
      <c r="W639" s="454"/>
      <c r="X639" s="455"/>
      <c r="Y639" s="456"/>
      <c r="Z639" s="457"/>
      <c r="AA639" s="458"/>
      <c r="AB639" s="443"/>
    </row>
    <row r="640" spans="1:28" s="444" customFormat="1">
      <c r="A640" s="459"/>
      <c r="B640" s="446" t="s">
        <v>187</v>
      </c>
      <c r="C640" s="447">
        <v>14753</v>
      </c>
      <c r="D640" s="448" t="s">
        <v>357</v>
      </c>
      <c r="E640" s="486" t="s">
        <v>356</v>
      </c>
      <c r="F640" s="448" t="s">
        <v>357</v>
      </c>
      <c r="G640" s="589">
        <v>46221</v>
      </c>
      <c r="H640" s="450"/>
      <c r="I640" s="346" t="s">
        <v>183</v>
      </c>
      <c r="J640" s="305">
        <v>0.77708333333333335</v>
      </c>
      <c r="K640" s="305">
        <v>0.1673611111111111</v>
      </c>
      <c r="L640" s="347" t="s">
        <v>168</v>
      </c>
      <c r="M640" s="348">
        <v>8</v>
      </c>
      <c r="N640" s="348"/>
      <c r="O640" s="348">
        <v>6</v>
      </c>
      <c r="P640" s="452"/>
      <c r="Q640" s="453"/>
      <c r="R640" s="452"/>
      <c r="S640" s="452"/>
      <c r="T640" s="453"/>
      <c r="U640" s="452"/>
      <c r="V640" s="453"/>
      <c r="W640" s="454"/>
      <c r="X640" s="455"/>
      <c r="Y640" s="456"/>
      <c r="Z640" s="457"/>
      <c r="AA640" s="458"/>
      <c r="AB640" s="443"/>
    </row>
    <row r="641" spans="1:28" s="444" customFormat="1">
      <c r="A641" s="459"/>
      <c r="B641" s="446" t="s">
        <v>187</v>
      </c>
      <c r="C641" s="447">
        <v>14753</v>
      </c>
      <c r="D641" s="448" t="s">
        <v>357</v>
      </c>
      <c r="E641" s="486" t="s">
        <v>356</v>
      </c>
      <c r="F641" s="448" t="s">
        <v>357</v>
      </c>
      <c r="G641" s="590">
        <v>46222</v>
      </c>
      <c r="H641" s="450"/>
      <c r="I641" s="450"/>
      <c r="J641" s="699" t="s">
        <v>173</v>
      </c>
      <c r="K641" s="700"/>
      <c r="L641" s="451"/>
      <c r="M641" s="452"/>
      <c r="N641" s="452"/>
      <c r="O641" s="452"/>
      <c r="P641" s="452"/>
      <c r="Q641" s="453"/>
      <c r="R641" s="452"/>
      <c r="S641" s="452"/>
      <c r="T641" s="453"/>
      <c r="U641" s="452"/>
      <c r="V641" s="453"/>
      <c r="W641" s="454"/>
      <c r="X641" s="455"/>
      <c r="Y641" s="456"/>
      <c r="Z641" s="457"/>
      <c r="AA641" s="458"/>
      <c r="AB641" s="443"/>
    </row>
    <row r="642" spans="1:28" s="444" customFormat="1">
      <c r="A642" s="459"/>
      <c r="B642" s="446" t="s">
        <v>187</v>
      </c>
      <c r="C642" s="447">
        <v>14753</v>
      </c>
      <c r="D642" s="448" t="s">
        <v>357</v>
      </c>
      <c r="E642" s="486" t="s">
        <v>356</v>
      </c>
      <c r="F642" s="448" t="s">
        <v>357</v>
      </c>
      <c r="G642" s="589">
        <v>46223</v>
      </c>
      <c r="H642" s="450"/>
      <c r="I642" s="346" t="s">
        <v>183</v>
      </c>
      <c r="J642" s="295">
        <v>0.77638888888888891</v>
      </c>
      <c r="K642" s="295">
        <v>0.16666666666666666</v>
      </c>
      <c r="L642" s="347" t="s">
        <v>168</v>
      </c>
      <c r="M642" s="348">
        <v>8</v>
      </c>
      <c r="N642" s="348"/>
      <c r="O642" s="348">
        <v>6</v>
      </c>
      <c r="P642" s="462"/>
      <c r="Q642" s="461"/>
      <c r="R642" s="462"/>
      <c r="S642" s="462"/>
      <c r="T642" s="461"/>
      <c r="U642" s="462"/>
      <c r="V642" s="461"/>
      <c r="W642" s="454"/>
      <c r="X642" s="455"/>
      <c r="Y642" s="456"/>
      <c r="Z642" s="457"/>
      <c r="AA642" s="458"/>
      <c r="AB642" s="443"/>
    </row>
    <row r="643" spans="1:28" s="444" customFormat="1">
      <c r="A643" s="459"/>
      <c r="B643" s="446" t="s">
        <v>187</v>
      </c>
      <c r="C643" s="447">
        <v>14753</v>
      </c>
      <c r="D643" s="448" t="s">
        <v>357</v>
      </c>
      <c r="E643" s="486" t="s">
        <v>356</v>
      </c>
      <c r="F643" s="448" t="s">
        <v>357</v>
      </c>
      <c r="G643" s="589">
        <v>46224</v>
      </c>
      <c r="H643" s="450"/>
      <c r="I643" s="346" t="s">
        <v>183</v>
      </c>
      <c r="J643" s="295">
        <v>0.77500000000000002</v>
      </c>
      <c r="K643" s="295">
        <v>0.16666666666666666</v>
      </c>
      <c r="L643" s="347" t="s">
        <v>168</v>
      </c>
      <c r="M643" s="348">
        <v>8</v>
      </c>
      <c r="N643" s="348"/>
      <c r="O643" s="348">
        <v>6</v>
      </c>
      <c r="P643" s="469"/>
      <c r="Q643" s="468"/>
      <c r="R643" s="469"/>
      <c r="S643" s="469"/>
      <c r="T643" s="461"/>
      <c r="U643" s="462"/>
      <c r="V643" s="461"/>
      <c r="W643" s="463"/>
      <c r="X643" s="464"/>
      <c r="Y643" s="465"/>
      <c r="Z643" s="466"/>
      <c r="AA643" s="467"/>
      <c r="AB643" s="443"/>
    </row>
    <row r="644" spans="1:28" s="444" customFormat="1">
      <c r="A644" s="459"/>
      <c r="B644" s="446" t="s">
        <v>187</v>
      </c>
      <c r="C644" s="447">
        <v>14753</v>
      </c>
      <c r="D644" s="448" t="s">
        <v>357</v>
      </c>
      <c r="E644" s="486" t="s">
        <v>356</v>
      </c>
      <c r="F644" s="448" t="s">
        <v>357</v>
      </c>
      <c r="G644" s="589">
        <v>46225</v>
      </c>
      <c r="H644" s="450"/>
      <c r="I644" s="346" t="s">
        <v>183</v>
      </c>
      <c r="J644" s="295">
        <v>0.77638888888888891</v>
      </c>
      <c r="K644" s="295">
        <v>0.16666666666666666</v>
      </c>
      <c r="L644" s="347" t="s">
        <v>168</v>
      </c>
      <c r="M644" s="348">
        <v>8</v>
      </c>
      <c r="N644" s="348"/>
      <c r="O644" s="348">
        <v>6</v>
      </c>
      <c r="P644" s="452"/>
      <c r="Q644" s="453"/>
      <c r="R644" s="452"/>
      <c r="S644" s="452"/>
      <c r="T644" s="453"/>
      <c r="U644" s="452"/>
      <c r="V644" s="453"/>
      <c r="W644" s="454"/>
      <c r="X644" s="455"/>
      <c r="Y644" s="456"/>
      <c r="Z644" s="457"/>
      <c r="AA644" s="458"/>
      <c r="AB644" s="443"/>
    </row>
    <row r="645" spans="1:28" s="444" customFormat="1">
      <c r="A645" s="459"/>
      <c r="B645" s="446" t="s">
        <v>187</v>
      </c>
      <c r="C645" s="447">
        <v>14753</v>
      </c>
      <c r="D645" s="448" t="s">
        <v>357</v>
      </c>
      <c r="E645" s="486" t="s">
        <v>356</v>
      </c>
      <c r="F645" s="448" t="s">
        <v>357</v>
      </c>
      <c r="G645" s="589">
        <v>46226</v>
      </c>
      <c r="H645" s="450"/>
      <c r="I645" s="346" t="s">
        <v>183</v>
      </c>
      <c r="J645" s="295">
        <v>0.77569444444444446</v>
      </c>
      <c r="K645" s="295">
        <v>0.16666666666666666</v>
      </c>
      <c r="L645" s="347" t="s">
        <v>168</v>
      </c>
      <c r="M645" s="348">
        <v>8</v>
      </c>
      <c r="N645" s="348"/>
      <c r="O645" s="348">
        <v>6</v>
      </c>
      <c r="P645" s="470"/>
      <c r="Q645" s="453"/>
      <c r="R645" s="452"/>
      <c r="S645" s="452"/>
      <c r="T645" s="453"/>
      <c r="U645" s="452"/>
      <c r="V645" s="453"/>
      <c r="W645" s="454"/>
      <c r="X645" s="455"/>
      <c r="Y645" s="456"/>
      <c r="Z645" s="457"/>
      <c r="AA645" s="458"/>
      <c r="AB645" s="443"/>
    </row>
    <row r="646" spans="1:28" s="444" customFormat="1">
      <c r="A646" s="459"/>
      <c r="B646" s="446" t="s">
        <v>187</v>
      </c>
      <c r="C646" s="447">
        <v>14753</v>
      </c>
      <c r="D646" s="448" t="s">
        <v>357</v>
      </c>
      <c r="E646" s="486" t="s">
        <v>356</v>
      </c>
      <c r="F646" s="448" t="s">
        <v>357</v>
      </c>
      <c r="G646" s="589">
        <v>46227</v>
      </c>
      <c r="H646" s="450"/>
      <c r="I646" s="346" t="s">
        <v>183</v>
      </c>
      <c r="J646" s="295">
        <v>0.77916666666666667</v>
      </c>
      <c r="K646" s="318">
        <v>0.16666666666666666</v>
      </c>
      <c r="L646" s="347" t="s">
        <v>168</v>
      </c>
      <c r="M646" s="348">
        <v>8</v>
      </c>
      <c r="N646" s="348"/>
      <c r="O646" s="348">
        <v>6</v>
      </c>
      <c r="P646" s="471"/>
      <c r="Q646" s="472"/>
      <c r="R646" s="471"/>
      <c r="S646" s="471"/>
      <c r="T646" s="453"/>
      <c r="U646" s="452"/>
      <c r="V646" s="453"/>
      <c r="W646" s="454"/>
      <c r="X646" s="455"/>
      <c r="Y646" s="456"/>
      <c r="Z646" s="457"/>
      <c r="AA646" s="458"/>
      <c r="AB646" s="443"/>
    </row>
    <row r="647" spans="1:28" s="444" customFormat="1">
      <c r="A647" s="459"/>
      <c r="B647" s="446" t="s">
        <v>187</v>
      </c>
      <c r="C647" s="447">
        <v>14753</v>
      </c>
      <c r="D647" s="448" t="s">
        <v>357</v>
      </c>
      <c r="E647" s="486" t="s">
        <v>356</v>
      </c>
      <c r="F647" s="448" t="s">
        <v>357</v>
      </c>
      <c r="G647" s="589">
        <v>46228</v>
      </c>
      <c r="H647" s="450"/>
      <c r="I647" s="346" t="s">
        <v>183</v>
      </c>
      <c r="J647" s="295"/>
      <c r="K647" s="295"/>
      <c r="L647" s="451"/>
      <c r="M647" s="452"/>
      <c r="N647" s="452"/>
      <c r="O647" s="452"/>
      <c r="P647" s="452"/>
      <c r="Q647" s="453"/>
      <c r="R647" s="452"/>
      <c r="S647" s="473"/>
      <c r="T647" s="453"/>
      <c r="U647" s="452"/>
      <c r="V647" s="453"/>
      <c r="W647" s="454"/>
      <c r="X647" s="455"/>
      <c r="Y647" s="456"/>
      <c r="Z647" s="457"/>
      <c r="AA647" s="458"/>
      <c r="AB647" s="443"/>
    </row>
    <row r="648" spans="1:28" s="444" customFormat="1">
      <c r="A648" s="459"/>
      <c r="B648" s="446"/>
      <c r="C648" s="447"/>
      <c r="D648" s="449"/>
      <c r="E648" s="486"/>
      <c r="F648" s="449"/>
      <c r="G648" s="600"/>
      <c r="H648" s="450"/>
      <c r="I648" s="450"/>
      <c r="J648" s="474"/>
      <c r="K648" s="475"/>
      <c r="L648" s="476"/>
      <c r="M648" s="477"/>
      <c r="N648" s="477"/>
      <c r="O648" s="477"/>
      <c r="P648" s="477"/>
      <c r="Q648" s="478"/>
      <c r="R648" s="477"/>
      <c r="S648" s="479"/>
      <c r="T648" s="453"/>
      <c r="U648" s="452"/>
      <c r="V648" s="453"/>
      <c r="W648" s="454"/>
      <c r="X648" s="455"/>
      <c r="Y648" s="456"/>
      <c r="Z648" s="457"/>
      <c r="AA648" s="458"/>
      <c r="AB648" s="443"/>
    </row>
    <row r="649" spans="1:28" s="444" customFormat="1">
      <c r="A649" s="480"/>
      <c r="B649" s="481"/>
      <c r="C649" s="446"/>
      <c r="D649" s="481"/>
      <c r="E649" s="449"/>
      <c r="F649" s="481"/>
      <c r="G649" s="601"/>
      <c r="H649" s="482"/>
      <c r="I649" s="483"/>
      <c r="J649" s="484"/>
      <c r="K649" s="485"/>
      <c r="L649" s="483"/>
      <c r="M649" s="483">
        <f t="shared" ref="M649:AA649" si="36">SUM(M632:M648)</f>
        <v>96</v>
      </c>
      <c r="N649" s="483">
        <f t="shared" si="36"/>
        <v>2</v>
      </c>
      <c r="O649" s="483">
        <f t="shared" si="36"/>
        <v>66</v>
      </c>
      <c r="P649" s="483">
        <f t="shared" si="36"/>
        <v>2</v>
      </c>
      <c r="Q649" s="483">
        <f t="shared" si="36"/>
        <v>0</v>
      </c>
      <c r="R649" s="483">
        <f t="shared" si="36"/>
        <v>0</v>
      </c>
      <c r="S649" s="483">
        <f t="shared" si="36"/>
        <v>0</v>
      </c>
      <c r="T649" s="483">
        <f t="shared" si="36"/>
        <v>0</v>
      </c>
      <c r="U649" s="483">
        <f t="shared" si="36"/>
        <v>0</v>
      </c>
      <c r="V649" s="483">
        <f t="shared" si="36"/>
        <v>0</v>
      </c>
      <c r="W649" s="483">
        <f t="shared" si="36"/>
        <v>0</v>
      </c>
      <c r="X649" s="483">
        <f t="shared" si="36"/>
        <v>0</v>
      </c>
      <c r="Y649" s="483">
        <f t="shared" si="36"/>
        <v>0</v>
      </c>
      <c r="Z649" s="483">
        <f t="shared" si="36"/>
        <v>0</v>
      </c>
      <c r="AA649" s="483">
        <f t="shared" si="36"/>
        <v>0</v>
      </c>
      <c r="AB649" s="443"/>
    </row>
    <row r="650" spans="1:28" s="444" customFormat="1">
      <c r="A650" s="435" t="s">
        <v>170</v>
      </c>
      <c r="B650" s="435" t="s">
        <v>120</v>
      </c>
      <c r="C650" s="435" t="s">
        <v>152</v>
      </c>
      <c r="D650" s="435" t="s">
        <v>182</v>
      </c>
      <c r="E650" s="436" t="s">
        <v>153</v>
      </c>
      <c r="F650" s="435" t="s">
        <v>182</v>
      </c>
      <c r="G650" s="599" t="s">
        <v>401</v>
      </c>
      <c r="H650" s="437"/>
      <c r="I650" s="438" t="s">
        <v>181</v>
      </c>
      <c r="J650" s="439" t="s">
        <v>154</v>
      </c>
      <c r="K650" s="439" t="s">
        <v>155</v>
      </c>
      <c r="L650" s="440" t="s">
        <v>156</v>
      </c>
      <c r="M650" s="441" t="s">
        <v>157</v>
      </c>
      <c r="N650" s="440" t="s">
        <v>158</v>
      </c>
      <c r="O650" s="440" t="s">
        <v>159</v>
      </c>
      <c r="P650" s="440" t="s">
        <v>174</v>
      </c>
      <c r="Q650" s="440" t="s">
        <v>160</v>
      </c>
      <c r="R650" s="440" t="s">
        <v>161</v>
      </c>
      <c r="S650" s="440" t="s">
        <v>162</v>
      </c>
      <c r="T650" s="438" t="s">
        <v>163</v>
      </c>
      <c r="U650" s="438" t="s">
        <v>164</v>
      </c>
      <c r="V650" s="438" t="s">
        <v>165</v>
      </c>
      <c r="W650" s="440" t="s">
        <v>113</v>
      </c>
      <c r="X650" s="438" t="s">
        <v>121</v>
      </c>
      <c r="Y650" s="438" t="s">
        <v>166</v>
      </c>
      <c r="Z650" s="442" t="s">
        <v>175</v>
      </c>
      <c r="AA650" s="442" t="s">
        <v>167</v>
      </c>
      <c r="AB650" s="443"/>
    </row>
    <row r="651" spans="1:28" s="444" customFormat="1">
      <c r="A651" s="701"/>
      <c r="B651" s="446" t="s">
        <v>187</v>
      </c>
      <c r="C651" s="488">
        <v>30332</v>
      </c>
      <c r="D651" s="448" t="s">
        <v>355</v>
      </c>
      <c r="E651" s="447" t="s">
        <v>354</v>
      </c>
      <c r="F651" s="448" t="s">
        <v>355</v>
      </c>
      <c r="G651" s="589">
        <v>46214</v>
      </c>
      <c r="H651" s="450"/>
      <c r="I651" s="450"/>
      <c r="J651" s="295"/>
      <c r="K651" s="295"/>
      <c r="L651" s="451"/>
      <c r="M651" s="452"/>
      <c r="N651" s="452"/>
      <c r="O651" s="452"/>
      <c r="P651" s="452"/>
      <c r="Q651" s="453"/>
      <c r="R651" s="452"/>
      <c r="S651" s="452"/>
      <c r="T651" s="453"/>
      <c r="U651" s="452"/>
      <c r="V651" s="453"/>
      <c r="W651" s="454"/>
      <c r="X651" s="455"/>
      <c r="Y651" s="456"/>
      <c r="Z651" s="457"/>
      <c r="AA651" s="458"/>
      <c r="AB651" s="489"/>
    </row>
    <row r="652" spans="1:28" s="444" customFormat="1">
      <c r="A652" s="702"/>
      <c r="B652" s="446" t="s">
        <v>187</v>
      </c>
      <c r="C652" s="488">
        <v>30332</v>
      </c>
      <c r="D652" s="448" t="s">
        <v>355</v>
      </c>
      <c r="E652" s="447" t="s">
        <v>354</v>
      </c>
      <c r="F652" s="448" t="s">
        <v>355</v>
      </c>
      <c r="G652" s="590">
        <v>46215</v>
      </c>
      <c r="H652" s="490"/>
      <c r="I652" s="450"/>
      <c r="J652" s="295"/>
      <c r="K652" s="421"/>
      <c r="L652" s="451"/>
      <c r="M652" s="452"/>
      <c r="N652" s="462"/>
      <c r="O652" s="462"/>
      <c r="P652" s="462"/>
      <c r="Q652" s="461"/>
      <c r="R652" s="462"/>
      <c r="S652" s="462"/>
      <c r="T652" s="461"/>
      <c r="U652" s="462"/>
      <c r="V652" s="461"/>
      <c r="W652" s="463"/>
      <c r="X652" s="464"/>
      <c r="Y652" s="465"/>
      <c r="Z652" s="466"/>
      <c r="AA652" s="467"/>
      <c r="AB652" s="489"/>
    </row>
    <row r="653" spans="1:28" s="444" customFormat="1">
      <c r="A653" s="702"/>
      <c r="B653" s="446" t="s">
        <v>187</v>
      </c>
      <c r="C653" s="488">
        <v>30332</v>
      </c>
      <c r="D653" s="448" t="s">
        <v>355</v>
      </c>
      <c r="E653" s="447" t="s">
        <v>354</v>
      </c>
      <c r="F653" s="448" t="s">
        <v>355</v>
      </c>
      <c r="G653" s="589">
        <v>46216</v>
      </c>
      <c r="H653" s="450"/>
      <c r="I653" s="450"/>
      <c r="J653" s="708"/>
      <c r="K653" s="709"/>
      <c r="L653" s="451"/>
      <c r="M653" s="452"/>
      <c r="N653" s="452"/>
      <c r="O653" s="452"/>
      <c r="P653" s="452"/>
      <c r="Q653" s="453"/>
      <c r="R653" s="452"/>
      <c r="S653" s="452"/>
      <c r="T653" s="453"/>
      <c r="U653" s="452"/>
      <c r="V653" s="453"/>
      <c r="W653" s="454"/>
      <c r="X653" s="455"/>
      <c r="Y653" s="456"/>
      <c r="Z653" s="457"/>
      <c r="AA653" s="458"/>
      <c r="AB653" s="489"/>
    </row>
    <row r="654" spans="1:28" s="444" customFormat="1">
      <c r="A654" s="702"/>
      <c r="B654" s="446" t="s">
        <v>187</v>
      </c>
      <c r="C654" s="488">
        <v>30332</v>
      </c>
      <c r="D654" s="448" t="s">
        <v>355</v>
      </c>
      <c r="E654" s="447" t="s">
        <v>354</v>
      </c>
      <c r="F654" s="448" t="s">
        <v>355</v>
      </c>
      <c r="G654" s="589">
        <v>46217</v>
      </c>
      <c r="H654" s="490"/>
      <c r="I654" s="450"/>
      <c r="J654" s="382"/>
      <c r="K654" s="382"/>
      <c r="L654" s="451"/>
      <c r="M654" s="452"/>
      <c r="N654" s="452"/>
      <c r="O654" s="462"/>
      <c r="P654" s="462"/>
      <c r="Q654" s="461"/>
      <c r="R654" s="462"/>
      <c r="S654" s="462"/>
      <c r="T654" s="461"/>
      <c r="U654" s="462"/>
      <c r="V654" s="461"/>
      <c r="W654" s="463"/>
      <c r="X654" s="464"/>
      <c r="Y654" s="465"/>
      <c r="Z654" s="466"/>
      <c r="AA654" s="467"/>
      <c r="AB654" s="489"/>
    </row>
    <row r="655" spans="1:28" s="444" customFormat="1">
      <c r="A655" s="702"/>
      <c r="B655" s="446" t="s">
        <v>187</v>
      </c>
      <c r="C655" s="488">
        <v>30332</v>
      </c>
      <c r="D655" s="448" t="s">
        <v>355</v>
      </c>
      <c r="E655" s="447" t="s">
        <v>354</v>
      </c>
      <c r="F655" s="448" t="s">
        <v>355</v>
      </c>
      <c r="G655" s="589">
        <v>46218</v>
      </c>
      <c r="H655" s="450"/>
      <c r="I655" s="450"/>
      <c r="J655" s="382"/>
      <c r="K655" s="382"/>
      <c r="L655" s="451"/>
      <c r="M655" s="452"/>
      <c r="N655" s="452"/>
      <c r="O655" s="452"/>
      <c r="P655" s="452"/>
      <c r="Q655" s="453"/>
      <c r="R655" s="452"/>
      <c r="S655" s="452"/>
      <c r="T655" s="453"/>
      <c r="U655" s="452"/>
      <c r="V655" s="453"/>
      <c r="W655" s="454"/>
      <c r="X655" s="455"/>
      <c r="Y655" s="456"/>
      <c r="Z655" s="457"/>
      <c r="AA655" s="458"/>
      <c r="AB655" s="489"/>
    </row>
    <row r="656" spans="1:28" s="444" customFormat="1">
      <c r="A656" s="702"/>
      <c r="B656" s="446" t="s">
        <v>187</v>
      </c>
      <c r="C656" s="488">
        <v>30332</v>
      </c>
      <c r="D656" s="448" t="s">
        <v>355</v>
      </c>
      <c r="E656" s="447" t="s">
        <v>354</v>
      </c>
      <c r="F656" s="448" t="s">
        <v>355</v>
      </c>
      <c r="G656" s="589">
        <v>46219</v>
      </c>
      <c r="H656" s="450"/>
      <c r="I656" s="450"/>
      <c r="J656" s="382"/>
      <c r="K656" s="382"/>
      <c r="L656" s="451"/>
      <c r="M656" s="452"/>
      <c r="N656" s="452"/>
      <c r="O656" s="452"/>
      <c r="P656" s="452"/>
      <c r="Q656" s="453"/>
      <c r="R656" s="452"/>
      <c r="S656" s="452"/>
      <c r="T656" s="453"/>
      <c r="U656" s="452"/>
      <c r="V656" s="453"/>
      <c r="W656" s="454"/>
      <c r="X656" s="455"/>
      <c r="Y656" s="456"/>
      <c r="Z656" s="457"/>
      <c r="AA656" s="458"/>
      <c r="AB656" s="489"/>
    </row>
    <row r="657" spans="1:28" s="444" customFormat="1">
      <c r="A657" s="702"/>
      <c r="B657" s="446" t="s">
        <v>187</v>
      </c>
      <c r="C657" s="488">
        <v>30332</v>
      </c>
      <c r="D657" s="448" t="s">
        <v>355</v>
      </c>
      <c r="E657" s="447" t="s">
        <v>354</v>
      </c>
      <c r="F657" s="448" t="s">
        <v>355</v>
      </c>
      <c r="G657" s="589">
        <v>46220</v>
      </c>
      <c r="H657" s="450"/>
      <c r="I657" s="450" t="s">
        <v>186</v>
      </c>
      <c r="J657" s="382">
        <v>0.30972222222222223</v>
      </c>
      <c r="K657" s="382">
        <v>0.79305555555555551</v>
      </c>
      <c r="L657" s="451" t="s">
        <v>169</v>
      </c>
      <c r="M657" s="452">
        <v>8</v>
      </c>
      <c r="N657" s="452">
        <v>2</v>
      </c>
      <c r="O657" s="452"/>
      <c r="P657" s="452"/>
      <c r="Q657" s="453"/>
      <c r="R657" s="452"/>
      <c r="S657" s="452"/>
      <c r="T657" s="453"/>
      <c r="U657" s="452"/>
      <c r="V657" s="453"/>
      <c r="W657" s="454"/>
      <c r="X657" s="455"/>
      <c r="Y657" s="456"/>
      <c r="Z657" s="457"/>
      <c r="AA657" s="458"/>
      <c r="AB657" s="489"/>
    </row>
    <row r="658" spans="1:28" s="444" customFormat="1">
      <c r="A658" s="702"/>
      <c r="B658" s="446" t="s">
        <v>187</v>
      </c>
      <c r="C658" s="488">
        <v>30332</v>
      </c>
      <c r="D658" s="448" t="s">
        <v>355</v>
      </c>
      <c r="E658" s="447" t="s">
        <v>354</v>
      </c>
      <c r="F658" s="448" t="s">
        <v>355</v>
      </c>
      <c r="G658" s="589">
        <v>46221</v>
      </c>
      <c r="H658" s="450"/>
      <c r="I658" s="450" t="s">
        <v>186</v>
      </c>
      <c r="J658" s="382">
        <v>0.29583333333333334</v>
      </c>
      <c r="K658" s="382">
        <v>0.71250000000000002</v>
      </c>
      <c r="L658" s="451" t="s">
        <v>169</v>
      </c>
      <c r="M658" s="452">
        <v>8</v>
      </c>
      <c r="N658" s="452"/>
      <c r="O658" s="452"/>
      <c r="P658" s="452"/>
      <c r="Q658" s="453"/>
      <c r="R658" s="452"/>
      <c r="S658" s="452"/>
      <c r="T658" s="453"/>
      <c r="U658" s="452"/>
      <c r="V658" s="453"/>
      <c r="W658" s="454"/>
      <c r="X658" s="455"/>
      <c r="Y658" s="456"/>
      <c r="Z658" s="457"/>
      <c r="AA658" s="458"/>
      <c r="AB658" s="489"/>
    </row>
    <row r="659" spans="1:28" s="444" customFormat="1">
      <c r="A659" s="702"/>
      <c r="B659" s="446" t="s">
        <v>187</v>
      </c>
      <c r="C659" s="488">
        <v>30332</v>
      </c>
      <c r="D659" s="448" t="s">
        <v>355</v>
      </c>
      <c r="E659" s="447" t="s">
        <v>354</v>
      </c>
      <c r="F659" s="448" t="s">
        <v>355</v>
      </c>
      <c r="G659" s="590">
        <v>46222</v>
      </c>
      <c r="H659" s="450"/>
      <c r="I659" s="450"/>
      <c r="J659" s="699" t="s">
        <v>173</v>
      </c>
      <c r="K659" s="700"/>
      <c r="L659" s="451"/>
      <c r="M659" s="452"/>
      <c r="N659" s="452"/>
      <c r="O659" s="452"/>
      <c r="P659" s="452"/>
      <c r="Q659" s="453"/>
      <c r="R659" s="452"/>
      <c r="S659" s="452"/>
      <c r="T659" s="453"/>
      <c r="U659" s="452"/>
      <c r="V659" s="453"/>
      <c r="W659" s="454"/>
      <c r="X659" s="455"/>
      <c r="Y659" s="456"/>
      <c r="Z659" s="457"/>
      <c r="AA659" s="458"/>
      <c r="AB659" s="489"/>
    </row>
    <row r="660" spans="1:28" s="444" customFormat="1">
      <c r="A660" s="702"/>
      <c r="B660" s="446" t="s">
        <v>187</v>
      </c>
      <c r="C660" s="488">
        <v>30332</v>
      </c>
      <c r="D660" s="448" t="s">
        <v>355</v>
      </c>
      <c r="E660" s="447" t="s">
        <v>354</v>
      </c>
      <c r="F660" s="448" t="s">
        <v>355</v>
      </c>
      <c r="G660" s="589">
        <v>46223</v>
      </c>
      <c r="H660" s="450"/>
      <c r="I660" s="450" t="s">
        <v>186</v>
      </c>
      <c r="J660" s="295">
        <v>0.3125</v>
      </c>
      <c r="K660" s="421">
        <v>0.70902777777777781</v>
      </c>
      <c r="L660" s="451" t="s">
        <v>169</v>
      </c>
      <c r="M660" s="452">
        <v>8</v>
      </c>
      <c r="N660" s="452"/>
      <c r="O660" s="452"/>
      <c r="P660" s="452"/>
      <c r="Q660" s="453"/>
      <c r="R660" s="452"/>
      <c r="S660" s="452"/>
      <c r="T660" s="453"/>
      <c r="U660" s="452"/>
      <c r="V660" s="453"/>
      <c r="W660" s="454"/>
      <c r="X660" s="455"/>
      <c r="Y660" s="456"/>
      <c r="Z660" s="457"/>
      <c r="AA660" s="458"/>
      <c r="AB660" s="489"/>
    </row>
    <row r="661" spans="1:28" s="444" customFormat="1">
      <c r="A661" s="702"/>
      <c r="B661" s="446" t="s">
        <v>187</v>
      </c>
      <c r="C661" s="488">
        <v>30332</v>
      </c>
      <c r="D661" s="448" t="s">
        <v>355</v>
      </c>
      <c r="E661" s="447" t="s">
        <v>354</v>
      </c>
      <c r="F661" s="448" t="s">
        <v>355</v>
      </c>
      <c r="G661" s="589">
        <v>46224</v>
      </c>
      <c r="H661" s="490"/>
      <c r="I661" s="450" t="s">
        <v>186</v>
      </c>
      <c r="J661" s="295">
        <v>0.31527777777777777</v>
      </c>
      <c r="K661" s="421">
        <v>0.70972222222222225</v>
      </c>
      <c r="L661" s="451" t="s">
        <v>169</v>
      </c>
      <c r="M661" s="452">
        <v>8</v>
      </c>
      <c r="N661" s="477"/>
      <c r="O661" s="469"/>
      <c r="P661" s="469"/>
      <c r="Q661" s="468"/>
      <c r="R661" s="469"/>
      <c r="S661" s="469"/>
      <c r="T661" s="461"/>
      <c r="U661" s="462"/>
      <c r="V661" s="461"/>
      <c r="W661" s="463"/>
      <c r="X661" s="464"/>
      <c r="Y661" s="465"/>
      <c r="Z661" s="466"/>
      <c r="AA661" s="467"/>
      <c r="AB661" s="489"/>
    </row>
    <row r="662" spans="1:28" s="444" customFormat="1">
      <c r="A662" s="702"/>
      <c r="B662" s="446" t="s">
        <v>187</v>
      </c>
      <c r="C662" s="488">
        <v>30332</v>
      </c>
      <c r="D662" s="448" t="s">
        <v>355</v>
      </c>
      <c r="E662" s="447" t="s">
        <v>354</v>
      </c>
      <c r="F662" s="448" t="s">
        <v>355</v>
      </c>
      <c r="G662" s="589">
        <v>46225</v>
      </c>
      <c r="H662" s="450"/>
      <c r="I662" s="450" t="s">
        <v>186</v>
      </c>
      <c r="J662" s="295">
        <v>0.31041666666666667</v>
      </c>
      <c r="K662" s="295">
        <v>0.7104166666666667</v>
      </c>
      <c r="L662" s="451" t="s">
        <v>169</v>
      </c>
      <c r="M662" s="452">
        <v>8</v>
      </c>
      <c r="N662" s="471"/>
      <c r="O662" s="452"/>
      <c r="P662" s="452"/>
      <c r="Q662" s="453"/>
      <c r="R662" s="452"/>
      <c r="S662" s="452"/>
      <c r="T662" s="453"/>
      <c r="U662" s="452"/>
      <c r="V662" s="453"/>
      <c r="W662" s="454"/>
      <c r="X662" s="455"/>
      <c r="Y662" s="456"/>
      <c r="Z662" s="457"/>
      <c r="AA662" s="458"/>
      <c r="AB662" s="489"/>
    </row>
    <row r="663" spans="1:28" s="444" customFormat="1">
      <c r="A663" s="702"/>
      <c r="B663" s="446" t="s">
        <v>187</v>
      </c>
      <c r="C663" s="488">
        <v>30332</v>
      </c>
      <c r="D663" s="448" t="s">
        <v>355</v>
      </c>
      <c r="E663" s="447" t="s">
        <v>354</v>
      </c>
      <c r="F663" s="448" t="s">
        <v>355</v>
      </c>
      <c r="G663" s="589">
        <v>46226</v>
      </c>
      <c r="H663" s="450"/>
      <c r="I663" s="450" t="s">
        <v>186</v>
      </c>
      <c r="J663" s="295">
        <v>0.31041666666666667</v>
      </c>
      <c r="K663" s="295">
        <v>0.70972222222222225</v>
      </c>
      <c r="L663" s="451" t="s">
        <v>169</v>
      </c>
      <c r="M663" s="452">
        <v>8</v>
      </c>
      <c r="N663" s="471"/>
      <c r="O663" s="470"/>
      <c r="P663" s="470"/>
      <c r="Q663" s="453"/>
      <c r="R663" s="452"/>
      <c r="S663" s="452"/>
      <c r="T663" s="453"/>
      <c r="U663" s="452"/>
      <c r="V663" s="453"/>
      <c r="W663" s="454"/>
      <c r="X663" s="455"/>
      <c r="Y663" s="456"/>
      <c r="Z663" s="457"/>
      <c r="AA663" s="458"/>
      <c r="AB663" s="489"/>
    </row>
    <row r="664" spans="1:28" s="444" customFormat="1">
      <c r="A664" s="702"/>
      <c r="B664" s="446" t="s">
        <v>187</v>
      </c>
      <c r="C664" s="488">
        <v>30332</v>
      </c>
      <c r="D664" s="448" t="s">
        <v>355</v>
      </c>
      <c r="E664" s="447" t="s">
        <v>354</v>
      </c>
      <c r="F664" s="448" t="s">
        <v>355</v>
      </c>
      <c r="G664" s="589">
        <v>46227</v>
      </c>
      <c r="H664" s="450"/>
      <c r="I664" s="450" t="s">
        <v>186</v>
      </c>
      <c r="J664" s="295">
        <v>0.31666666666666665</v>
      </c>
      <c r="K664" s="318">
        <v>0.7104166666666667</v>
      </c>
      <c r="L664" s="451" t="s">
        <v>169</v>
      </c>
      <c r="M664" s="452">
        <v>8</v>
      </c>
      <c r="N664" s="471"/>
      <c r="O664" s="471"/>
      <c r="P664" s="471"/>
      <c r="Q664" s="472"/>
      <c r="R664" s="471"/>
      <c r="S664" s="471"/>
      <c r="T664" s="453"/>
      <c r="U664" s="452"/>
      <c r="V664" s="453"/>
      <c r="W664" s="454"/>
      <c r="X664" s="455"/>
      <c r="Y664" s="456"/>
      <c r="Z664" s="457"/>
      <c r="AA664" s="458"/>
      <c r="AB664" s="489"/>
    </row>
    <row r="665" spans="1:28" s="444" customFormat="1">
      <c r="A665" s="702"/>
      <c r="B665" s="446" t="s">
        <v>187</v>
      </c>
      <c r="C665" s="488">
        <v>30332</v>
      </c>
      <c r="D665" s="448" t="s">
        <v>355</v>
      </c>
      <c r="E665" s="447" t="s">
        <v>354</v>
      </c>
      <c r="F665" s="448" t="s">
        <v>355</v>
      </c>
      <c r="G665" s="589">
        <v>46228</v>
      </c>
      <c r="H665" s="450"/>
      <c r="I665" s="450" t="s">
        <v>186</v>
      </c>
      <c r="J665" s="295"/>
      <c r="K665" s="295"/>
      <c r="L665" s="451"/>
      <c r="M665" s="452"/>
      <c r="N665" s="452"/>
      <c r="O665" s="452"/>
      <c r="P665" s="452"/>
      <c r="Q665" s="453"/>
      <c r="R665" s="452"/>
      <c r="S665" s="473"/>
      <c r="T665" s="453"/>
      <c r="U665" s="452"/>
      <c r="V665" s="453"/>
      <c r="W665" s="454"/>
      <c r="X665" s="455"/>
      <c r="Y665" s="456"/>
      <c r="Z665" s="457"/>
      <c r="AA665" s="458"/>
      <c r="AB665" s="489"/>
    </row>
    <row r="666" spans="1:28" s="444" customFormat="1">
      <c r="A666" s="702"/>
      <c r="B666" s="446"/>
      <c r="C666" s="488"/>
      <c r="D666" s="448"/>
      <c r="E666" s="447"/>
      <c r="F666" s="448"/>
      <c r="G666" s="600"/>
      <c r="H666" s="450"/>
      <c r="I666" s="450"/>
      <c r="J666" s="474"/>
      <c r="K666" s="475"/>
      <c r="L666" s="476"/>
      <c r="M666" s="477"/>
      <c r="N666" s="477"/>
      <c r="O666" s="477"/>
      <c r="P666" s="477"/>
      <c r="Q666" s="478"/>
      <c r="R666" s="477"/>
      <c r="S666" s="479"/>
      <c r="T666" s="453"/>
      <c r="U666" s="452"/>
      <c r="V666" s="453"/>
      <c r="W666" s="454"/>
      <c r="X666" s="455"/>
      <c r="Y666" s="456"/>
      <c r="Z666" s="457"/>
      <c r="AA666" s="458"/>
      <c r="AB666" s="489"/>
    </row>
    <row r="667" spans="1:28" s="444" customFormat="1">
      <c r="A667" s="703"/>
      <c r="B667" s="481"/>
      <c r="C667" s="481"/>
      <c r="D667" s="481"/>
      <c r="E667" s="481"/>
      <c r="F667" s="481"/>
      <c r="G667" s="602"/>
      <c r="H667" s="482"/>
      <c r="I667" s="483"/>
      <c r="J667" s="484"/>
      <c r="K667" s="485"/>
      <c r="L667" s="483"/>
      <c r="M667" s="483">
        <f t="shared" ref="M667:AA667" si="37">SUM(M650:M666)</f>
        <v>56</v>
      </c>
      <c r="N667" s="483">
        <f t="shared" si="37"/>
        <v>2</v>
      </c>
      <c r="O667" s="483">
        <f t="shared" si="37"/>
        <v>0</v>
      </c>
      <c r="P667" s="483">
        <f t="shared" si="37"/>
        <v>0</v>
      </c>
      <c r="Q667" s="483">
        <f t="shared" si="37"/>
        <v>0</v>
      </c>
      <c r="R667" s="483">
        <f t="shared" si="37"/>
        <v>0</v>
      </c>
      <c r="S667" s="483">
        <f t="shared" si="37"/>
        <v>0</v>
      </c>
      <c r="T667" s="483">
        <f t="shared" si="37"/>
        <v>0</v>
      </c>
      <c r="U667" s="483">
        <f t="shared" si="37"/>
        <v>0</v>
      </c>
      <c r="V667" s="483">
        <f t="shared" si="37"/>
        <v>0</v>
      </c>
      <c r="W667" s="483">
        <f t="shared" si="37"/>
        <v>0</v>
      </c>
      <c r="X667" s="483">
        <f t="shared" si="37"/>
        <v>0</v>
      </c>
      <c r="Y667" s="483">
        <f t="shared" si="37"/>
        <v>0</v>
      </c>
      <c r="Z667" s="483">
        <f t="shared" si="37"/>
        <v>0</v>
      </c>
      <c r="AA667" s="491">
        <f t="shared" si="37"/>
        <v>0</v>
      </c>
      <c r="AB667" s="443"/>
    </row>
    <row r="668" spans="1:28" s="444" customFormat="1">
      <c r="A668" s="435" t="s">
        <v>170</v>
      </c>
      <c r="B668" s="435" t="s">
        <v>120</v>
      </c>
      <c r="C668" s="435" t="s">
        <v>152</v>
      </c>
      <c r="D668" s="435" t="s">
        <v>182</v>
      </c>
      <c r="E668" s="436" t="s">
        <v>153</v>
      </c>
      <c r="F668" s="435" t="s">
        <v>182</v>
      </c>
      <c r="G668" s="599" t="s">
        <v>401</v>
      </c>
      <c r="H668" s="437"/>
      <c r="I668" s="438" t="s">
        <v>181</v>
      </c>
      <c r="J668" s="439" t="s">
        <v>154</v>
      </c>
      <c r="K668" s="439" t="s">
        <v>155</v>
      </c>
      <c r="L668" s="440" t="s">
        <v>156</v>
      </c>
      <c r="M668" s="441" t="s">
        <v>157</v>
      </c>
      <c r="N668" s="440" t="s">
        <v>158</v>
      </c>
      <c r="O668" s="440" t="s">
        <v>159</v>
      </c>
      <c r="P668" s="440" t="s">
        <v>174</v>
      </c>
      <c r="Q668" s="440" t="s">
        <v>160</v>
      </c>
      <c r="R668" s="440" t="s">
        <v>161</v>
      </c>
      <c r="S668" s="440" t="s">
        <v>162</v>
      </c>
      <c r="T668" s="438" t="s">
        <v>163</v>
      </c>
      <c r="U668" s="438" t="s">
        <v>164</v>
      </c>
      <c r="V668" s="438" t="s">
        <v>165</v>
      </c>
      <c r="W668" s="440" t="s">
        <v>113</v>
      </c>
      <c r="X668" s="438" t="s">
        <v>121</v>
      </c>
      <c r="Y668" s="438" t="s">
        <v>166</v>
      </c>
      <c r="Z668" s="442" t="s">
        <v>175</v>
      </c>
      <c r="AA668" s="442" t="s">
        <v>167</v>
      </c>
      <c r="AB668" s="443"/>
    </row>
    <row r="669" spans="1:28" s="444" customFormat="1">
      <c r="A669" s="701"/>
      <c r="B669" s="446" t="s">
        <v>187</v>
      </c>
      <c r="C669" s="447">
        <v>12870</v>
      </c>
      <c r="D669" s="448" t="s">
        <v>353</v>
      </c>
      <c r="E669" s="449" t="s">
        <v>352</v>
      </c>
      <c r="F669" s="448" t="s">
        <v>353</v>
      </c>
      <c r="G669" s="589">
        <v>46214</v>
      </c>
      <c r="H669" s="450"/>
      <c r="I669" s="450" t="s">
        <v>186</v>
      </c>
      <c r="J669" s="295">
        <v>0.31805555555555554</v>
      </c>
      <c r="K669" s="295">
        <v>0.71111111111111114</v>
      </c>
      <c r="L669" s="451" t="s">
        <v>169</v>
      </c>
      <c r="M669" s="452">
        <v>8</v>
      </c>
      <c r="N669" s="452"/>
      <c r="O669" s="452"/>
      <c r="P669" s="452"/>
      <c r="Q669" s="453"/>
      <c r="R669" s="452"/>
      <c r="S669" s="452"/>
      <c r="T669" s="453"/>
      <c r="U669" s="452"/>
      <c r="V669" s="453"/>
      <c r="W669" s="454"/>
      <c r="X669" s="455"/>
      <c r="Y669" s="456"/>
      <c r="Z669" s="457"/>
      <c r="AA669" s="458"/>
      <c r="AB669" s="443"/>
    </row>
    <row r="670" spans="1:28" s="444" customFormat="1">
      <c r="A670" s="702"/>
      <c r="B670" s="446" t="s">
        <v>187</v>
      </c>
      <c r="C670" s="447">
        <v>12870</v>
      </c>
      <c r="D670" s="448" t="s">
        <v>353</v>
      </c>
      <c r="E670" s="449" t="s">
        <v>352</v>
      </c>
      <c r="F670" s="448" t="s">
        <v>353</v>
      </c>
      <c r="G670" s="590">
        <v>46215</v>
      </c>
      <c r="H670" s="450"/>
      <c r="I670" s="346"/>
      <c r="J670" s="699" t="s">
        <v>173</v>
      </c>
      <c r="K670" s="700"/>
      <c r="L670" s="347"/>
      <c r="M670" s="348"/>
      <c r="N670" s="348"/>
      <c r="O670" s="348"/>
      <c r="P670" s="452"/>
      <c r="Q670" s="453"/>
      <c r="R670" s="452"/>
      <c r="S670" s="452"/>
      <c r="T670" s="453"/>
      <c r="U670" s="452"/>
      <c r="V670" s="453"/>
      <c r="W670" s="454"/>
      <c r="X670" s="455"/>
      <c r="Y670" s="456"/>
      <c r="Z670" s="457"/>
      <c r="AA670" s="458"/>
      <c r="AB670" s="443"/>
    </row>
    <row r="671" spans="1:28" s="444" customFormat="1">
      <c r="A671" s="702"/>
      <c r="B671" s="446" t="s">
        <v>187</v>
      </c>
      <c r="C671" s="447">
        <v>12870</v>
      </c>
      <c r="D671" s="448" t="s">
        <v>353</v>
      </c>
      <c r="E671" s="449" t="s">
        <v>352</v>
      </c>
      <c r="F671" s="448" t="s">
        <v>353</v>
      </c>
      <c r="G671" s="589">
        <v>46216</v>
      </c>
      <c r="H671" s="450"/>
      <c r="I671" s="346" t="s">
        <v>183</v>
      </c>
      <c r="J671" s="305">
        <v>0.77847222222222223</v>
      </c>
      <c r="K671" s="305">
        <v>0.16666666666666666</v>
      </c>
      <c r="L671" s="347" t="s">
        <v>168</v>
      </c>
      <c r="M671" s="348">
        <v>8</v>
      </c>
      <c r="N671" s="348"/>
      <c r="O671" s="348">
        <v>6</v>
      </c>
      <c r="P671" s="452"/>
      <c r="Q671" s="453"/>
      <c r="R671" s="452"/>
      <c r="S671" s="452"/>
      <c r="T671" s="453"/>
      <c r="U671" s="452"/>
      <c r="V671" s="453"/>
      <c r="W671" s="454"/>
      <c r="X671" s="455"/>
      <c r="Y671" s="456"/>
      <c r="Z671" s="457"/>
      <c r="AA671" s="458"/>
      <c r="AB671" s="443"/>
    </row>
    <row r="672" spans="1:28" s="444" customFormat="1">
      <c r="A672" s="702"/>
      <c r="B672" s="446" t="s">
        <v>187</v>
      </c>
      <c r="C672" s="447">
        <v>12870</v>
      </c>
      <c r="D672" s="448" t="s">
        <v>353</v>
      </c>
      <c r="E672" s="449" t="s">
        <v>352</v>
      </c>
      <c r="F672" s="448" t="s">
        <v>353</v>
      </c>
      <c r="G672" s="589">
        <v>46217</v>
      </c>
      <c r="H672" s="450"/>
      <c r="I672" s="346" t="s">
        <v>183</v>
      </c>
      <c r="J672" s="305">
        <v>0.77986111111111101</v>
      </c>
      <c r="K672" s="305">
        <v>0.1673611111111111</v>
      </c>
      <c r="L672" s="347" t="s">
        <v>168</v>
      </c>
      <c r="M672" s="348">
        <v>8</v>
      </c>
      <c r="N672" s="348"/>
      <c r="O672" s="348">
        <v>6</v>
      </c>
      <c r="P672" s="462"/>
      <c r="Q672" s="461"/>
      <c r="R672" s="462"/>
      <c r="S672" s="462"/>
      <c r="T672" s="461"/>
      <c r="U672" s="462"/>
      <c r="V672" s="461"/>
      <c r="W672" s="463"/>
      <c r="X672" s="464"/>
      <c r="Y672" s="465"/>
      <c r="Z672" s="466"/>
      <c r="AA672" s="467"/>
      <c r="AB672" s="443"/>
    </row>
    <row r="673" spans="1:28" s="444" customFormat="1">
      <c r="A673" s="702"/>
      <c r="B673" s="446" t="s">
        <v>187</v>
      </c>
      <c r="C673" s="447">
        <v>12870</v>
      </c>
      <c r="D673" s="448" t="s">
        <v>353</v>
      </c>
      <c r="E673" s="449" t="s">
        <v>352</v>
      </c>
      <c r="F673" s="448" t="s">
        <v>353</v>
      </c>
      <c r="G673" s="589">
        <v>46218</v>
      </c>
      <c r="H673" s="450"/>
      <c r="I673" s="346" t="s">
        <v>183</v>
      </c>
      <c r="J673" s="305">
        <v>0.77847222222222223</v>
      </c>
      <c r="K673" s="305">
        <v>0.1673611111111111</v>
      </c>
      <c r="L673" s="347" t="s">
        <v>168</v>
      </c>
      <c r="M673" s="348">
        <v>8</v>
      </c>
      <c r="N673" s="348"/>
      <c r="O673" s="348">
        <v>6</v>
      </c>
      <c r="P673" s="452"/>
      <c r="Q673" s="453"/>
      <c r="R673" s="452"/>
      <c r="S673" s="452"/>
      <c r="T673" s="453"/>
      <c r="U673" s="452"/>
      <c r="V673" s="453"/>
      <c r="W673" s="454"/>
      <c r="X673" s="455"/>
      <c r="Y673" s="456"/>
      <c r="Z673" s="457"/>
      <c r="AA673" s="458"/>
      <c r="AB673" s="443"/>
    </row>
    <row r="674" spans="1:28" s="444" customFormat="1">
      <c r="A674" s="702"/>
      <c r="B674" s="446" t="s">
        <v>187</v>
      </c>
      <c r="C674" s="447">
        <v>12870</v>
      </c>
      <c r="D674" s="448" t="s">
        <v>353</v>
      </c>
      <c r="E674" s="449" t="s">
        <v>352</v>
      </c>
      <c r="F674" s="448" t="s">
        <v>353</v>
      </c>
      <c r="G674" s="589">
        <v>46219</v>
      </c>
      <c r="H674" s="450"/>
      <c r="I674" s="346" t="s">
        <v>183</v>
      </c>
      <c r="J674" s="305">
        <v>0.77430555555555547</v>
      </c>
      <c r="K674" s="305">
        <v>0.1673611111111111</v>
      </c>
      <c r="L674" s="347" t="s">
        <v>168</v>
      </c>
      <c r="M674" s="348">
        <v>8</v>
      </c>
      <c r="N674" s="348"/>
      <c r="O674" s="348">
        <v>6</v>
      </c>
      <c r="P674" s="452"/>
      <c r="Q674" s="453"/>
      <c r="R674" s="452"/>
      <c r="S674" s="452"/>
      <c r="T674" s="453"/>
      <c r="U674" s="452"/>
      <c r="V674" s="453"/>
      <c r="W674" s="454"/>
      <c r="X674" s="455"/>
      <c r="Y674" s="456"/>
      <c r="Z674" s="457"/>
      <c r="AA674" s="458"/>
      <c r="AB674" s="443"/>
    </row>
    <row r="675" spans="1:28" s="444" customFormat="1">
      <c r="A675" s="702"/>
      <c r="B675" s="446" t="s">
        <v>187</v>
      </c>
      <c r="C675" s="447">
        <v>12870</v>
      </c>
      <c r="D675" s="448" t="s">
        <v>353</v>
      </c>
      <c r="E675" s="449" t="s">
        <v>352</v>
      </c>
      <c r="F675" s="448" t="s">
        <v>353</v>
      </c>
      <c r="G675" s="589">
        <v>46220</v>
      </c>
      <c r="H675" s="450"/>
      <c r="I675" s="346" t="s">
        <v>183</v>
      </c>
      <c r="J675" s="305">
        <v>0.77569444444444446</v>
      </c>
      <c r="K675" s="305">
        <v>0.16805555555555557</v>
      </c>
      <c r="L675" s="347" t="s">
        <v>168</v>
      </c>
      <c r="M675" s="348">
        <v>8</v>
      </c>
      <c r="N675" s="348"/>
      <c r="O675" s="348">
        <v>6</v>
      </c>
      <c r="P675" s="452"/>
      <c r="Q675" s="453"/>
      <c r="R675" s="452"/>
      <c r="S675" s="452"/>
      <c r="T675" s="453"/>
      <c r="U675" s="452"/>
      <c r="V675" s="453"/>
      <c r="W675" s="454"/>
      <c r="X675" s="455"/>
      <c r="Y675" s="456"/>
      <c r="Z675" s="457"/>
      <c r="AA675" s="458"/>
      <c r="AB675" s="443"/>
    </row>
    <row r="676" spans="1:28" s="444" customFormat="1">
      <c r="A676" s="702"/>
      <c r="B676" s="446" t="s">
        <v>187</v>
      </c>
      <c r="C676" s="447">
        <v>12870</v>
      </c>
      <c r="D676" s="448" t="s">
        <v>353</v>
      </c>
      <c r="E676" s="449" t="s">
        <v>352</v>
      </c>
      <c r="F676" s="448" t="s">
        <v>353</v>
      </c>
      <c r="G676" s="589">
        <v>46221</v>
      </c>
      <c r="H676" s="450"/>
      <c r="I676" s="346" t="s">
        <v>183</v>
      </c>
      <c r="J676" s="305">
        <v>0.77708333333333335</v>
      </c>
      <c r="K676" s="305">
        <v>0.1673611111111111</v>
      </c>
      <c r="L676" s="347" t="s">
        <v>168</v>
      </c>
      <c r="M676" s="348">
        <v>8</v>
      </c>
      <c r="N676" s="348"/>
      <c r="O676" s="348">
        <v>6</v>
      </c>
      <c r="P676" s="452"/>
      <c r="Q676" s="453"/>
      <c r="R676" s="452"/>
      <c r="S676" s="452"/>
      <c r="T676" s="453"/>
      <c r="U676" s="452"/>
      <c r="V676" s="453"/>
      <c r="W676" s="454"/>
      <c r="X676" s="455"/>
      <c r="Y676" s="456"/>
      <c r="Z676" s="457"/>
      <c r="AA676" s="458"/>
      <c r="AB676" s="443"/>
    </row>
    <row r="677" spans="1:28" s="444" customFormat="1">
      <c r="A677" s="702"/>
      <c r="B677" s="446" t="s">
        <v>187</v>
      </c>
      <c r="C677" s="447">
        <v>12870</v>
      </c>
      <c r="D677" s="448" t="s">
        <v>353</v>
      </c>
      <c r="E677" s="449" t="s">
        <v>352</v>
      </c>
      <c r="F677" s="448" t="s">
        <v>353</v>
      </c>
      <c r="G677" s="590">
        <v>46222</v>
      </c>
      <c r="H677" s="450"/>
      <c r="I677" s="450"/>
      <c r="J677" s="699" t="s">
        <v>173</v>
      </c>
      <c r="K677" s="700"/>
      <c r="L677" s="451"/>
      <c r="M677" s="452"/>
      <c r="N677" s="452"/>
      <c r="O677" s="452"/>
      <c r="P677" s="452"/>
      <c r="Q677" s="453"/>
      <c r="R677" s="452"/>
      <c r="S677" s="452"/>
      <c r="T677" s="453"/>
      <c r="U677" s="452"/>
      <c r="V677" s="453"/>
      <c r="W677" s="454"/>
      <c r="X677" s="455"/>
      <c r="Y677" s="456"/>
      <c r="Z677" s="457"/>
      <c r="AA677" s="458"/>
      <c r="AB677" s="443"/>
    </row>
    <row r="678" spans="1:28" s="444" customFormat="1">
      <c r="A678" s="702"/>
      <c r="B678" s="446" t="s">
        <v>187</v>
      </c>
      <c r="C678" s="447">
        <v>12870</v>
      </c>
      <c r="D678" s="448" t="s">
        <v>353</v>
      </c>
      <c r="E678" s="449" t="s">
        <v>352</v>
      </c>
      <c r="F678" s="448" t="s">
        <v>353</v>
      </c>
      <c r="G678" s="589">
        <v>46223</v>
      </c>
      <c r="H678" s="450"/>
      <c r="I678" s="346" t="s">
        <v>183</v>
      </c>
      <c r="J678" s="295">
        <v>0.77638888888888891</v>
      </c>
      <c r="K678" s="295">
        <v>0.16666666666666666</v>
      </c>
      <c r="L678" s="347" t="s">
        <v>168</v>
      </c>
      <c r="M678" s="348">
        <v>8</v>
      </c>
      <c r="N678" s="348"/>
      <c r="O678" s="348">
        <v>6</v>
      </c>
      <c r="P678" s="462"/>
      <c r="Q678" s="461"/>
      <c r="R678" s="462"/>
      <c r="S678" s="462"/>
      <c r="T678" s="461"/>
      <c r="U678" s="461"/>
      <c r="V678" s="461"/>
      <c r="W678" s="454"/>
      <c r="X678" s="455"/>
      <c r="Y678" s="456"/>
      <c r="Z678" s="457"/>
      <c r="AA678" s="458"/>
      <c r="AB678" s="443"/>
    </row>
    <row r="679" spans="1:28" s="444" customFormat="1">
      <c r="A679" s="702"/>
      <c r="B679" s="446" t="s">
        <v>187</v>
      </c>
      <c r="C679" s="447">
        <v>12870</v>
      </c>
      <c r="D679" s="448" t="s">
        <v>353</v>
      </c>
      <c r="E679" s="449" t="s">
        <v>352</v>
      </c>
      <c r="F679" s="448" t="s">
        <v>353</v>
      </c>
      <c r="G679" s="589">
        <v>46224</v>
      </c>
      <c r="H679" s="450"/>
      <c r="I679" s="346" t="s">
        <v>183</v>
      </c>
      <c r="J679" s="295">
        <v>0.77986111111111112</v>
      </c>
      <c r="K679" s="295">
        <v>0.1673611111111111</v>
      </c>
      <c r="L679" s="347" t="s">
        <v>168</v>
      </c>
      <c r="M679" s="348">
        <v>8</v>
      </c>
      <c r="N679" s="348"/>
      <c r="O679" s="348">
        <v>6</v>
      </c>
      <c r="P679" s="469"/>
      <c r="Q679" s="468"/>
      <c r="R679" s="469"/>
      <c r="S679" s="469"/>
      <c r="T679" s="461"/>
      <c r="U679" s="462"/>
      <c r="V679" s="461"/>
      <c r="W679" s="463"/>
      <c r="X679" s="464"/>
      <c r="Y679" s="465"/>
      <c r="Z679" s="466"/>
      <c r="AA679" s="467"/>
      <c r="AB679" s="443"/>
    </row>
    <row r="680" spans="1:28" s="444" customFormat="1">
      <c r="A680" s="702"/>
      <c r="B680" s="446" t="s">
        <v>187</v>
      </c>
      <c r="C680" s="447">
        <v>12870</v>
      </c>
      <c r="D680" s="448" t="s">
        <v>353</v>
      </c>
      <c r="E680" s="449" t="s">
        <v>352</v>
      </c>
      <c r="F680" s="448" t="s">
        <v>353</v>
      </c>
      <c r="G680" s="589">
        <v>46225</v>
      </c>
      <c r="H680" s="450"/>
      <c r="I680" s="346" t="s">
        <v>183</v>
      </c>
      <c r="J680" s="295">
        <v>0.78055555555555556</v>
      </c>
      <c r="K680" s="295">
        <v>0.1673611111111111</v>
      </c>
      <c r="L680" s="347" t="s">
        <v>168</v>
      </c>
      <c r="M680" s="348">
        <v>8</v>
      </c>
      <c r="N680" s="348"/>
      <c r="O680" s="348">
        <v>6</v>
      </c>
      <c r="P680" s="452"/>
      <c r="Q680" s="453"/>
      <c r="R680" s="452"/>
      <c r="S680" s="452"/>
      <c r="T680" s="453"/>
      <c r="U680" s="452"/>
      <c r="V680" s="453"/>
      <c r="W680" s="454"/>
      <c r="X680" s="455"/>
      <c r="Y680" s="456"/>
      <c r="Z680" s="457"/>
      <c r="AA680" s="458"/>
      <c r="AB680" s="443"/>
    </row>
    <row r="681" spans="1:28" s="444" customFormat="1">
      <c r="A681" s="702"/>
      <c r="B681" s="446" t="s">
        <v>187</v>
      </c>
      <c r="C681" s="447">
        <v>12870</v>
      </c>
      <c r="D681" s="448" t="s">
        <v>353</v>
      </c>
      <c r="E681" s="449" t="s">
        <v>352</v>
      </c>
      <c r="F681" s="448" t="s">
        <v>353</v>
      </c>
      <c r="G681" s="589">
        <v>46226</v>
      </c>
      <c r="H681" s="450"/>
      <c r="I681" s="346" t="s">
        <v>183</v>
      </c>
      <c r="J681" s="295">
        <v>0.77638888888888891</v>
      </c>
      <c r="K681" s="295">
        <v>0.1673611111111111</v>
      </c>
      <c r="L681" s="347" t="s">
        <v>168</v>
      </c>
      <c r="M681" s="348">
        <v>8</v>
      </c>
      <c r="N681" s="348"/>
      <c r="O681" s="348">
        <v>6</v>
      </c>
      <c r="P681" s="470"/>
      <c r="Q681" s="453"/>
      <c r="R681" s="452"/>
      <c r="S681" s="452"/>
      <c r="T681" s="453"/>
      <c r="U681" s="452"/>
      <c r="V681" s="453"/>
      <c r="W681" s="454"/>
      <c r="X681" s="455"/>
      <c r="Y681" s="456"/>
      <c r="Z681" s="457"/>
      <c r="AA681" s="458"/>
      <c r="AB681" s="443"/>
    </row>
    <row r="682" spans="1:28" s="444" customFormat="1">
      <c r="A682" s="702"/>
      <c r="B682" s="446" t="s">
        <v>187</v>
      </c>
      <c r="C682" s="447">
        <v>12870</v>
      </c>
      <c r="D682" s="448" t="s">
        <v>353</v>
      </c>
      <c r="E682" s="449" t="s">
        <v>352</v>
      </c>
      <c r="F682" s="448" t="s">
        <v>353</v>
      </c>
      <c r="G682" s="589">
        <v>46227</v>
      </c>
      <c r="H682" s="450"/>
      <c r="I682" s="346" t="s">
        <v>183</v>
      </c>
      <c r="J682" s="295">
        <v>0.77916666666666667</v>
      </c>
      <c r="K682" s="318">
        <v>0.1673611111111111</v>
      </c>
      <c r="L682" s="347" t="s">
        <v>168</v>
      </c>
      <c r="M682" s="348">
        <v>8</v>
      </c>
      <c r="N682" s="348"/>
      <c r="O682" s="348">
        <v>6</v>
      </c>
      <c r="P682" s="471"/>
      <c r="Q682" s="472"/>
      <c r="R682" s="471"/>
      <c r="S682" s="471"/>
      <c r="T682" s="453"/>
      <c r="U682" s="452"/>
      <c r="V682" s="453"/>
      <c r="W682" s="454"/>
      <c r="X682" s="455"/>
      <c r="Y682" s="456"/>
      <c r="Z682" s="457"/>
      <c r="AA682" s="458"/>
      <c r="AB682" s="443"/>
    </row>
    <row r="683" spans="1:28" s="444" customFormat="1">
      <c r="A683" s="702"/>
      <c r="B683" s="446" t="s">
        <v>187</v>
      </c>
      <c r="C683" s="447">
        <v>12870</v>
      </c>
      <c r="D683" s="448" t="s">
        <v>353</v>
      </c>
      <c r="E683" s="449" t="s">
        <v>352</v>
      </c>
      <c r="F683" s="448" t="s">
        <v>353</v>
      </c>
      <c r="G683" s="589">
        <v>46228</v>
      </c>
      <c r="H683" s="450"/>
      <c r="I683" s="346" t="s">
        <v>183</v>
      </c>
      <c r="J683" s="295"/>
      <c r="K683" s="295"/>
      <c r="L683" s="451"/>
      <c r="M683" s="452"/>
      <c r="N683" s="452"/>
      <c r="O683" s="452"/>
      <c r="P683" s="452"/>
      <c r="Q683" s="453"/>
      <c r="R683" s="452"/>
      <c r="S683" s="473"/>
      <c r="T683" s="453"/>
      <c r="U683" s="452"/>
      <c r="V683" s="453"/>
      <c r="W683" s="454"/>
      <c r="X683" s="455"/>
      <c r="Y683" s="456"/>
      <c r="Z683" s="457"/>
      <c r="AA683" s="458"/>
      <c r="AB683" s="443"/>
    </row>
    <row r="684" spans="1:28" s="444" customFormat="1">
      <c r="A684" s="702"/>
      <c r="B684" s="446"/>
      <c r="C684" s="447"/>
      <c r="D684" s="448"/>
      <c r="E684" s="449"/>
      <c r="F684" s="448"/>
      <c r="G684" s="600"/>
      <c r="H684" s="450"/>
      <c r="I684" s="450"/>
      <c r="J684" s="474"/>
      <c r="K684" s="475"/>
      <c r="L684" s="476"/>
      <c r="M684" s="477"/>
      <c r="N684" s="477"/>
      <c r="O684" s="477"/>
      <c r="P684" s="477"/>
      <c r="Q684" s="478"/>
      <c r="R684" s="477"/>
      <c r="S684" s="479"/>
      <c r="T684" s="453"/>
      <c r="U684" s="452"/>
      <c r="V684" s="453"/>
      <c r="W684" s="454"/>
      <c r="X684" s="455"/>
      <c r="Y684" s="456"/>
      <c r="Z684" s="457"/>
      <c r="AA684" s="458"/>
      <c r="AB684" s="443"/>
    </row>
    <row r="685" spans="1:28" s="444" customFormat="1">
      <c r="A685" s="703"/>
      <c r="B685" s="481"/>
      <c r="C685" s="446"/>
      <c r="D685" s="481"/>
      <c r="E685" s="449"/>
      <c r="F685" s="481"/>
      <c r="G685" s="601"/>
      <c r="H685" s="482"/>
      <c r="I685" s="483"/>
      <c r="J685" s="484"/>
      <c r="K685" s="485"/>
      <c r="L685" s="483"/>
      <c r="M685" s="483">
        <f t="shared" ref="M685:AA685" si="38">SUM(M668:M684)</f>
        <v>96</v>
      </c>
      <c r="N685" s="483">
        <f t="shared" si="38"/>
        <v>0</v>
      </c>
      <c r="O685" s="483">
        <f t="shared" si="38"/>
        <v>66</v>
      </c>
      <c r="P685" s="483">
        <f t="shared" si="38"/>
        <v>0</v>
      </c>
      <c r="Q685" s="483">
        <f t="shared" si="38"/>
        <v>0</v>
      </c>
      <c r="R685" s="483">
        <f t="shared" si="38"/>
        <v>0</v>
      </c>
      <c r="S685" s="483">
        <f t="shared" si="38"/>
        <v>0</v>
      </c>
      <c r="T685" s="483">
        <f t="shared" si="38"/>
        <v>0</v>
      </c>
      <c r="U685" s="483">
        <f t="shared" si="38"/>
        <v>0</v>
      </c>
      <c r="V685" s="483">
        <f t="shared" si="38"/>
        <v>0</v>
      </c>
      <c r="W685" s="483">
        <f t="shared" si="38"/>
        <v>0</v>
      </c>
      <c r="X685" s="483">
        <f t="shared" si="38"/>
        <v>0</v>
      </c>
      <c r="Y685" s="483">
        <f t="shared" si="38"/>
        <v>0</v>
      </c>
      <c r="Z685" s="483">
        <f t="shared" si="38"/>
        <v>0</v>
      </c>
      <c r="AA685" s="491">
        <f t="shared" si="38"/>
        <v>0</v>
      </c>
      <c r="AB685" s="443"/>
    </row>
    <row r="686" spans="1:28" s="444" customFormat="1">
      <c r="A686" s="435" t="s">
        <v>170</v>
      </c>
      <c r="B686" s="435" t="s">
        <v>120</v>
      </c>
      <c r="C686" s="435" t="s">
        <v>152</v>
      </c>
      <c r="D686" s="435" t="s">
        <v>182</v>
      </c>
      <c r="E686" s="492" t="s">
        <v>153</v>
      </c>
      <c r="F686" s="435" t="s">
        <v>182</v>
      </c>
      <c r="G686" s="599" t="s">
        <v>401</v>
      </c>
      <c r="H686" s="437"/>
      <c r="I686" s="438" t="s">
        <v>181</v>
      </c>
      <c r="J686" s="439" t="s">
        <v>154</v>
      </c>
      <c r="K686" s="439" t="s">
        <v>155</v>
      </c>
      <c r="L686" s="440" t="s">
        <v>156</v>
      </c>
      <c r="M686" s="441" t="s">
        <v>157</v>
      </c>
      <c r="N686" s="440" t="s">
        <v>158</v>
      </c>
      <c r="O686" s="440" t="s">
        <v>159</v>
      </c>
      <c r="P686" s="440" t="s">
        <v>174</v>
      </c>
      <c r="Q686" s="440" t="s">
        <v>160</v>
      </c>
      <c r="R686" s="440" t="s">
        <v>161</v>
      </c>
      <c r="S686" s="440" t="s">
        <v>162</v>
      </c>
      <c r="T686" s="438" t="s">
        <v>163</v>
      </c>
      <c r="U686" s="438" t="s">
        <v>164</v>
      </c>
      <c r="V686" s="438" t="s">
        <v>165</v>
      </c>
      <c r="W686" s="440" t="s">
        <v>113</v>
      </c>
      <c r="X686" s="438" t="s">
        <v>121</v>
      </c>
      <c r="Y686" s="438" t="s">
        <v>166</v>
      </c>
      <c r="Z686" s="442" t="s">
        <v>175</v>
      </c>
      <c r="AA686" s="442" t="s">
        <v>167</v>
      </c>
      <c r="AB686" s="443"/>
    </row>
    <row r="687" spans="1:28" s="444" customFormat="1">
      <c r="A687" s="445"/>
      <c r="B687" s="446" t="s">
        <v>187</v>
      </c>
      <c r="C687" s="493">
        <v>8064</v>
      </c>
      <c r="D687" s="448" t="s">
        <v>378</v>
      </c>
      <c r="E687" s="494" t="s">
        <v>351</v>
      </c>
      <c r="F687" s="448" t="s">
        <v>378</v>
      </c>
      <c r="G687" s="589">
        <v>46214</v>
      </c>
      <c r="H687" s="495"/>
      <c r="I687" s="496" t="s">
        <v>186</v>
      </c>
      <c r="J687" s="295">
        <v>0.31805555555555554</v>
      </c>
      <c r="K687" s="295">
        <v>0.7104166666666667</v>
      </c>
      <c r="L687" s="451" t="s">
        <v>169</v>
      </c>
      <c r="M687" s="452">
        <v>8</v>
      </c>
      <c r="N687" s="452"/>
      <c r="O687" s="452"/>
      <c r="P687" s="452"/>
      <c r="Q687" s="453"/>
      <c r="R687" s="452"/>
      <c r="S687" s="452"/>
      <c r="T687" s="453"/>
      <c r="U687" s="452"/>
      <c r="V687" s="453"/>
      <c r="W687" s="454"/>
      <c r="X687" s="455"/>
      <c r="Y687" s="456"/>
      <c r="Z687" s="457"/>
      <c r="AA687" s="458"/>
      <c r="AB687" s="443"/>
    </row>
    <row r="688" spans="1:28" s="444" customFormat="1">
      <c r="A688" s="459"/>
      <c r="B688" s="446" t="s">
        <v>187</v>
      </c>
      <c r="C688" s="493">
        <v>8064</v>
      </c>
      <c r="D688" s="448" t="s">
        <v>378</v>
      </c>
      <c r="E688" s="494" t="s">
        <v>351</v>
      </c>
      <c r="F688" s="448" t="s">
        <v>378</v>
      </c>
      <c r="G688" s="590">
        <v>46215</v>
      </c>
      <c r="H688" s="495"/>
      <c r="I688" s="346"/>
      <c r="J688" s="699" t="s">
        <v>173</v>
      </c>
      <c r="K688" s="700"/>
      <c r="L688" s="347"/>
      <c r="M688" s="348"/>
      <c r="N688" s="348"/>
      <c r="O688" s="348"/>
      <c r="P688" s="452"/>
      <c r="Q688" s="453"/>
      <c r="R688" s="452"/>
      <c r="S688" s="452"/>
      <c r="T688" s="453"/>
      <c r="U688" s="452"/>
      <c r="V688" s="453"/>
      <c r="W688" s="454"/>
      <c r="X688" s="455"/>
      <c r="Y688" s="456"/>
      <c r="Z688" s="457"/>
      <c r="AA688" s="458"/>
      <c r="AB688" s="443"/>
    </row>
    <row r="689" spans="1:28" s="444" customFormat="1">
      <c r="A689" s="459"/>
      <c r="B689" s="446" t="s">
        <v>187</v>
      </c>
      <c r="C689" s="493">
        <v>8064</v>
      </c>
      <c r="D689" s="448" t="s">
        <v>378</v>
      </c>
      <c r="E689" s="494" t="s">
        <v>351</v>
      </c>
      <c r="F689" s="448" t="s">
        <v>378</v>
      </c>
      <c r="G689" s="589">
        <v>46216</v>
      </c>
      <c r="H689" s="495"/>
      <c r="I689" s="346" t="s">
        <v>183</v>
      </c>
      <c r="J689" s="305">
        <v>0.77222222222222225</v>
      </c>
      <c r="K689" s="305">
        <v>0.1673611111111111</v>
      </c>
      <c r="L689" s="347" t="s">
        <v>168</v>
      </c>
      <c r="M689" s="348">
        <v>8</v>
      </c>
      <c r="N689" s="348"/>
      <c r="O689" s="348">
        <v>6</v>
      </c>
      <c r="P689" s="452"/>
      <c r="Q689" s="453"/>
      <c r="R689" s="452"/>
      <c r="S689" s="452"/>
      <c r="T689" s="453"/>
      <c r="U689" s="452"/>
      <c r="V689" s="453"/>
      <c r="W689" s="454"/>
      <c r="X689" s="455"/>
      <c r="Y689" s="456"/>
      <c r="Z689" s="457"/>
      <c r="AA689" s="458"/>
      <c r="AB689" s="443"/>
    </row>
    <row r="690" spans="1:28" s="444" customFormat="1">
      <c r="A690" s="459"/>
      <c r="B690" s="446" t="s">
        <v>187</v>
      </c>
      <c r="C690" s="493">
        <v>8064</v>
      </c>
      <c r="D690" s="448" t="s">
        <v>378</v>
      </c>
      <c r="E690" s="494" t="s">
        <v>351</v>
      </c>
      <c r="F690" s="448" t="s">
        <v>378</v>
      </c>
      <c r="G690" s="589">
        <v>46217</v>
      </c>
      <c r="H690" s="495"/>
      <c r="I690" s="346" t="s">
        <v>183</v>
      </c>
      <c r="J690" s="305">
        <v>0.77569444444444446</v>
      </c>
      <c r="K690" s="305">
        <v>0.1673611111111111</v>
      </c>
      <c r="L690" s="451" t="s">
        <v>168</v>
      </c>
      <c r="M690" s="452">
        <v>8</v>
      </c>
      <c r="N690" s="452"/>
      <c r="O690" s="452">
        <v>6</v>
      </c>
      <c r="P690" s="462"/>
      <c r="Q690" s="461"/>
      <c r="R690" s="462"/>
      <c r="S690" s="462"/>
      <c r="T690" s="461"/>
      <c r="U690" s="462"/>
      <c r="V690" s="461"/>
      <c r="W690" s="463"/>
      <c r="X690" s="464"/>
      <c r="Y690" s="465"/>
      <c r="Z690" s="466"/>
      <c r="AA690" s="467"/>
      <c r="AB690" s="443"/>
    </row>
    <row r="691" spans="1:28" s="444" customFormat="1">
      <c r="A691" s="459"/>
      <c r="B691" s="446" t="s">
        <v>187</v>
      </c>
      <c r="C691" s="493">
        <v>8064</v>
      </c>
      <c r="D691" s="448" t="s">
        <v>378</v>
      </c>
      <c r="E691" s="494" t="s">
        <v>351</v>
      </c>
      <c r="F691" s="448" t="s">
        <v>378</v>
      </c>
      <c r="G691" s="589">
        <v>46218</v>
      </c>
      <c r="H691" s="495"/>
      <c r="I691" s="346" t="s">
        <v>183</v>
      </c>
      <c r="J691" s="434">
        <v>0.79583333333333339</v>
      </c>
      <c r="K691" s="305">
        <v>0.16805555555555554</v>
      </c>
      <c r="L691" s="451" t="s">
        <v>168</v>
      </c>
      <c r="M691" s="452">
        <v>8</v>
      </c>
      <c r="N691" s="452"/>
      <c r="O691" s="452">
        <v>6</v>
      </c>
      <c r="P691" s="452"/>
      <c r="Q691" s="453"/>
      <c r="R691" s="452"/>
      <c r="S691" s="452"/>
      <c r="T691" s="453"/>
      <c r="U691" s="452"/>
      <c r="V691" s="453"/>
      <c r="W691" s="454"/>
      <c r="X691" s="455"/>
      <c r="Y691" s="456"/>
      <c r="Z691" s="457"/>
      <c r="AA691" s="467">
        <v>6</v>
      </c>
      <c r="AB691" s="443"/>
    </row>
    <row r="692" spans="1:28" s="444" customFormat="1">
      <c r="A692" s="459"/>
      <c r="B692" s="446" t="s">
        <v>187</v>
      </c>
      <c r="C692" s="493">
        <v>8064</v>
      </c>
      <c r="D692" s="448" t="s">
        <v>378</v>
      </c>
      <c r="E692" s="494" t="s">
        <v>351</v>
      </c>
      <c r="F692" s="448" t="s">
        <v>378</v>
      </c>
      <c r="G692" s="589">
        <v>46219</v>
      </c>
      <c r="H692" s="495"/>
      <c r="I692" s="346" t="s">
        <v>183</v>
      </c>
      <c r="J692" s="305">
        <v>0.77430555555555547</v>
      </c>
      <c r="K692" s="305">
        <v>0.16944444444444443</v>
      </c>
      <c r="L692" s="451" t="s">
        <v>168</v>
      </c>
      <c r="M692" s="452">
        <v>8</v>
      </c>
      <c r="N692" s="452"/>
      <c r="O692" s="452">
        <v>6</v>
      </c>
      <c r="P692" s="452"/>
      <c r="Q692" s="453"/>
      <c r="R692" s="452"/>
      <c r="S692" s="452"/>
      <c r="T692" s="453"/>
      <c r="U692" s="452"/>
      <c r="V692" s="453"/>
      <c r="W692" s="454"/>
      <c r="X692" s="455"/>
      <c r="Y692" s="456"/>
      <c r="Z692" s="457"/>
      <c r="AA692" s="458"/>
      <c r="AB692" s="443"/>
    </row>
    <row r="693" spans="1:28" s="444" customFormat="1">
      <c r="A693" s="459"/>
      <c r="B693" s="446" t="s">
        <v>187</v>
      </c>
      <c r="C693" s="493">
        <v>8064</v>
      </c>
      <c r="D693" s="448" t="s">
        <v>378</v>
      </c>
      <c r="E693" s="494" t="s">
        <v>351</v>
      </c>
      <c r="F693" s="448" t="s">
        <v>378</v>
      </c>
      <c r="G693" s="589">
        <v>46220</v>
      </c>
      <c r="H693" s="495"/>
      <c r="I693" s="346" t="s">
        <v>183</v>
      </c>
      <c r="J693" s="305">
        <v>0.77569444444444446</v>
      </c>
      <c r="K693" s="305">
        <v>0.16805555555555557</v>
      </c>
      <c r="L693" s="451" t="s">
        <v>168</v>
      </c>
      <c r="M693" s="452">
        <v>8</v>
      </c>
      <c r="N693" s="452"/>
      <c r="O693" s="452">
        <v>6</v>
      </c>
      <c r="P693" s="452"/>
      <c r="Q693" s="453"/>
      <c r="R693" s="452"/>
      <c r="S693" s="452"/>
      <c r="T693" s="453"/>
      <c r="U693" s="452"/>
      <c r="V693" s="453"/>
      <c r="W693" s="454"/>
      <c r="X693" s="455"/>
      <c r="Y693" s="456"/>
      <c r="Z693" s="457"/>
      <c r="AA693" s="458"/>
      <c r="AB693" s="443"/>
    </row>
    <row r="694" spans="1:28" s="444" customFormat="1">
      <c r="A694" s="459"/>
      <c r="B694" s="446" t="s">
        <v>187</v>
      </c>
      <c r="C694" s="493">
        <v>8064</v>
      </c>
      <c r="D694" s="448" t="s">
        <v>378</v>
      </c>
      <c r="E694" s="494" t="s">
        <v>351</v>
      </c>
      <c r="F694" s="448" t="s">
        <v>378</v>
      </c>
      <c r="G694" s="589">
        <v>46221</v>
      </c>
      <c r="H694" s="495"/>
      <c r="I694" s="346" t="s">
        <v>183</v>
      </c>
      <c r="J694" s="305">
        <v>0.77708333333333335</v>
      </c>
      <c r="K694" s="305">
        <v>0.1673611111111111</v>
      </c>
      <c r="L694" s="451" t="s">
        <v>168</v>
      </c>
      <c r="M694" s="452">
        <v>8</v>
      </c>
      <c r="N694" s="452"/>
      <c r="O694" s="452">
        <v>6</v>
      </c>
      <c r="P694" s="452"/>
      <c r="Q694" s="453"/>
      <c r="R694" s="452"/>
      <c r="S694" s="452"/>
      <c r="T694" s="453"/>
      <c r="U694" s="452"/>
      <c r="V694" s="453"/>
      <c r="W694" s="454"/>
      <c r="X694" s="455"/>
      <c r="Y694" s="456"/>
      <c r="Z694" s="457"/>
      <c r="AA694" s="458"/>
      <c r="AB694" s="443"/>
    </row>
    <row r="695" spans="1:28" s="444" customFormat="1">
      <c r="A695" s="459"/>
      <c r="B695" s="446" t="s">
        <v>187</v>
      </c>
      <c r="C695" s="493">
        <v>8064</v>
      </c>
      <c r="D695" s="448" t="s">
        <v>378</v>
      </c>
      <c r="E695" s="494" t="s">
        <v>351</v>
      </c>
      <c r="F695" s="448" t="s">
        <v>378</v>
      </c>
      <c r="G695" s="590">
        <v>46222</v>
      </c>
      <c r="H695" s="495"/>
      <c r="I695" s="496"/>
      <c r="J695" s="699" t="s">
        <v>173</v>
      </c>
      <c r="K695" s="700"/>
      <c r="L695" s="451"/>
      <c r="M695" s="452"/>
      <c r="N695" s="452"/>
      <c r="O695" s="452"/>
      <c r="P695" s="452"/>
      <c r="Q695" s="453"/>
      <c r="R695" s="452"/>
      <c r="S695" s="452"/>
      <c r="T695" s="453"/>
      <c r="U695" s="452"/>
      <c r="V695" s="453"/>
      <c r="W695" s="454"/>
      <c r="X695" s="455"/>
      <c r="Y695" s="456"/>
      <c r="Z695" s="457"/>
      <c r="AA695" s="458"/>
      <c r="AB695" s="443"/>
    </row>
    <row r="696" spans="1:28" s="444" customFormat="1">
      <c r="A696" s="459"/>
      <c r="B696" s="446" t="s">
        <v>187</v>
      </c>
      <c r="C696" s="493">
        <v>8064</v>
      </c>
      <c r="D696" s="448" t="s">
        <v>378</v>
      </c>
      <c r="E696" s="494" t="s">
        <v>351</v>
      </c>
      <c r="F696" s="448" t="s">
        <v>378</v>
      </c>
      <c r="G696" s="589">
        <v>46223</v>
      </c>
      <c r="H696" s="495"/>
      <c r="I696" s="346" t="s">
        <v>183</v>
      </c>
      <c r="J696" s="295">
        <v>0.77638888888888891</v>
      </c>
      <c r="K696" s="295">
        <v>0.16666666666666666</v>
      </c>
      <c r="L696" s="451" t="s">
        <v>168</v>
      </c>
      <c r="M696" s="452">
        <v>8</v>
      </c>
      <c r="N696" s="452"/>
      <c r="O696" s="452">
        <v>6</v>
      </c>
      <c r="P696" s="462"/>
      <c r="Q696" s="461"/>
      <c r="R696" s="462"/>
      <c r="S696" s="462"/>
      <c r="T696" s="461"/>
      <c r="U696" s="462"/>
      <c r="V696" s="461"/>
      <c r="W696" s="454"/>
      <c r="X696" s="455"/>
      <c r="Y696" s="456"/>
      <c r="Z696" s="457"/>
      <c r="AA696" s="458"/>
      <c r="AB696" s="443"/>
    </row>
    <row r="697" spans="1:28" s="444" customFormat="1">
      <c r="A697" s="459"/>
      <c r="B697" s="446" t="s">
        <v>187</v>
      </c>
      <c r="C697" s="493">
        <v>8064</v>
      </c>
      <c r="D697" s="448" t="s">
        <v>378</v>
      </c>
      <c r="E697" s="494" t="s">
        <v>351</v>
      </c>
      <c r="F697" s="448" t="s">
        <v>378</v>
      </c>
      <c r="G697" s="589">
        <v>46224</v>
      </c>
      <c r="H697" s="495"/>
      <c r="I697" s="346" t="s">
        <v>183</v>
      </c>
      <c r="J697" s="295">
        <v>0.77986111111111112</v>
      </c>
      <c r="K697" s="295">
        <v>0.1673611111111111</v>
      </c>
      <c r="L697" s="451" t="s">
        <v>168</v>
      </c>
      <c r="M697" s="452">
        <v>8</v>
      </c>
      <c r="N697" s="452"/>
      <c r="O697" s="452">
        <v>6</v>
      </c>
      <c r="P697" s="469"/>
      <c r="Q697" s="468"/>
      <c r="R697" s="469"/>
      <c r="S697" s="469"/>
      <c r="T697" s="461"/>
      <c r="U697" s="462"/>
      <c r="V697" s="461"/>
      <c r="W697" s="463"/>
      <c r="X697" s="464"/>
      <c r="Y697" s="465"/>
      <c r="Z697" s="466"/>
      <c r="AA697" s="467"/>
      <c r="AB697" s="443"/>
    </row>
    <row r="698" spans="1:28" s="444" customFormat="1">
      <c r="A698" s="459"/>
      <c r="B698" s="446" t="s">
        <v>187</v>
      </c>
      <c r="C698" s="493">
        <v>8064</v>
      </c>
      <c r="D698" s="448" t="s">
        <v>378</v>
      </c>
      <c r="E698" s="494" t="s">
        <v>351</v>
      </c>
      <c r="F698" s="448" t="s">
        <v>378</v>
      </c>
      <c r="G698" s="589">
        <v>46225</v>
      </c>
      <c r="H698" s="495"/>
      <c r="I698" s="346" t="s">
        <v>183</v>
      </c>
      <c r="J698" s="295">
        <v>0.78055555555555556</v>
      </c>
      <c r="K698" s="295">
        <v>0.1673611111111111</v>
      </c>
      <c r="L698" s="451" t="s">
        <v>168</v>
      </c>
      <c r="M698" s="452">
        <v>8</v>
      </c>
      <c r="N698" s="452"/>
      <c r="O698" s="452">
        <v>6</v>
      </c>
      <c r="P698" s="452"/>
      <c r="Q698" s="453"/>
      <c r="R698" s="452"/>
      <c r="S698" s="452"/>
      <c r="T698" s="453"/>
      <c r="U698" s="452"/>
      <c r="V698" s="453"/>
      <c r="W698" s="454"/>
      <c r="X698" s="455"/>
      <c r="Y698" s="456"/>
      <c r="Z698" s="457"/>
      <c r="AA698" s="458"/>
      <c r="AB698" s="443"/>
    </row>
    <row r="699" spans="1:28" s="444" customFormat="1">
      <c r="A699" s="459"/>
      <c r="B699" s="446" t="s">
        <v>187</v>
      </c>
      <c r="C699" s="493">
        <v>8064</v>
      </c>
      <c r="D699" s="448" t="s">
        <v>378</v>
      </c>
      <c r="E699" s="494" t="s">
        <v>351</v>
      </c>
      <c r="F699" s="448" t="s">
        <v>378</v>
      </c>
      <c r="G699" s="589">
        <v>46226</v>
      </c>
      <c r="H699" s="495"/>
      <c r="I699" s="346" t="s">
        <v>183</v>
      </c>
      <c r="J699" s="295">
        <v>0.77638888888888891</v>
      </c>
      <c r="K699" s="295">
        <v>0.1673611111111111</v>
      </c>
      <c r="L699" s="451" t="s">
        <v>168</v>
      </c>
      <c r="M699" s="452">
        <v>8</v>
      </c>
      <c r="N699" s="452"/>
      <c r="O699" s="452">
        <v>6</v>
      </c>
      <c r="P699" s="452"/>
      <c r="Q699" s="453"/>
      <c r="R699" s="452"/>
      <c r="S699" s="452"/>
      <c r="T699" s="453"/>
      <c r="U699" s="452"/>
      <c r="V699" s="453"/>
      <c r="W699" s="454"/>
      <c r="X699" s="455"/>
      <c r="Y699" s="456"/>
      <c r="Z699" s="457"/>
      <c r="AA699" s="458"/>
      <c r="AB699" s="443"/>
    </row>
    <row r="700" spans="1:28" s="444" customFormat="1">
      <c r="A700" s="459"/>
      <c r="B700" s="446" t="s">
        <v>187</v>
      </c>
      <c r="C700" s="493">
        <v>8064</v>
      </c>
      <c r="D700" s="448" t="s">
        <v>378</v>
      </c>
      <c r="E700" s="494" t="s">
        <v>351</v>
      </c>
      <c r="F700" s="448" t="s">
        <v>378</v>
      </c>
      <c r="G700" s="589">
        <v>46227</v>
      </c>
      <c r="H700" s="495"/>
      <c r="I700" s="346" t="s">
        <v>183</v>
      </c>
      <c r="J700" s="295">
        <v>0.77916666666666667</v>
      </c>
      <c r="K700" s="318">
        <v>0.1673611111111111</v>
      </c>
      <c r="L700" s="451" t="s">
        <v>168</v>
      </c>
      <c r="M700" s="452">
        <v>8</v>
      </c>
      <c r="N700" s="452"/>
      <c r="O700" s="452">
        <v>6</v>
      </c>
      <c r="P700" s="452"/>
      <c r="Q700" s="472"/>
      <c r="R700" s="471"/>
      <c r="S700" s="471"/>
      <c r="T700" s="453"/>
      <c r="U700" s="452"/>
      <c r="V700" s="453"/>
      <c r="W700" s="454"/>
      <c r="X700" s="455"/>
      <c r="Y700" s="456"/>
      <c r="Z700" s="457"/>
      <c r="AA700" s="458"/>
      <c r="AB700" s="443"/>
    </row>
    <row r="701" spans="1:28" s="444" customFormat="1">
      <c r="A701" s="459"/>
      <c r="B701" s="446" t="s">
        <v>187</v>
      </c>
      <c r="C701" s="493">
        <v>8064</v>
      </c>
      <c r="D701" s="448" t="s">
        <v>378</v>
      </c>
      <c r="E701" s="494" t="s">
        <v>351</v>
      </c>
      <c r="F701" s="448" t="s">
        <v>378</v>
      </c>
      <c r="G701" s="589">
        <v>46228</v>
      </c>
      <c r="H701" s="495"/>
      <c r="I701" s="346" t="s">
        <v>183</v>
      </c>
      <c r="J701" s="295"/>
      <c r="K701" s="295"/>
      <c r="L701" s="451"/>
      <c r="M701" s="452"/>
      <c r="N701" s="452"/>
      <c r="O701" s="452"/>
      <c r="P701" s="452"/>
      <c r="Q701" s="453"/>
      <c r="R701" s="452"/>
      <c r="S701" s="473"/>
      <c r="T701" s="453"/>
      <c r="U701" s="452"/>
      <c r="V701" s="453"/>
      <c r="W701" s="454"/>
      <c r="X701" s="455"/>
      <c r="Y701" s="456"/>
      <c r="Z701" s="457"/>
      <c r="AA701" s="458"/>
      <c r="AB701" s="443"/>
    </row>
    <row r="702" spans="1:28" s="444" customFormat="1">
      <c r="A702" s="459"/>
      <c r="B702" s="446"/>
      <c r="C702" s="493"/>
      <c r="D702" s="449"/>
      <c r="E702" s="497"/>
      <c r="F702" s="449"/>
      <c r="G702" s="600"/>
      <c r="H702" s="495"/>
      <c r="I702" s="496"/>
      <c r="J702" s="474"/>
      <c r="K702" s="475"/>
      <c r="L702" s="476"/>
      <c r="M702" s="477"/>
      <c r="N702" s="477"/>
      <c r="O702" s="477"/>
      <c r="P702" s="477"/>
      <c r="Q702" s="478"/>
      <c r="R702" s="477"/>
      <c r="S702" s="479"/>
      <c r="T702" s="453"/>
      <c r="U702" s="452"/>
      <c r="V702" s="453"/>
      <c r="W702" s="454"/>
      <c r="X702" s="455"/>
      <c r="Y702" s="456"/>
      <c r="Z702" s="457"/>
      <c r="AA702" s="458"/>
      <c r="AB702" s="443"/>
    </row>
    <row r="703" spans="1:28" s="444" customFormat="1">
      <c r="A703" s="480"/>
      <c r="B703" s="481"/>
      <c r="C703" s="498"/>
      <c r="D703" s="481"/>
      <c r="E703" s="449"/>
      <c r="F703" s="481"/>
      <c r="G703" s="601"/>
      <c r="H703" s="499"/>
      <c r="I703" s="483"/>
      <c r="J703" s="484"/>
      <c r="K703" s="485"/>
      <c r="L703" s="483"/>
      <c r="M703" s="483">
        <f t="shared" ref="M703:AA703" si="39">SUM(M686:M702)</f>
        <v>96</v>
      </c>
      <c r="N703" s="483">
        <f t="shared" si="39"/>
        <v>0</v>
      </c>
      <c r="O703" s="483">
        <f t="shared" si="39"/>
        <v>66</v>
      </c>
      <c r="P703" s="483">
        <f t="shared" si="39"/>
        <v>0</v>
      </c>
      <c r="Q703" s="483">
        <f t="shared" si="39"/>
        <v>0</v>
      </c>
      <c r="R703" s="483">
        <f t="shared" si="39"/>
        <v>0</v>
      </c>
      <c r="S703" s="483">
        <f t="shared" si="39"/>
        <v>0</v>
      </c>
      <c r="T703" s="483">
        <f t="shared" si="39"/>
        <v>0</v>
      </c>
      <c r="U703" s="483">
        <f t="shared" si="39"/>
        <v>0</v>
      </c>
      <c r="V703" s="483">
        <f t="shared" si="39"/>
        <v>0</v>
      </c>
      <c r="W703" s="483">
        <f t="shared" si="39"/>
        <v>0</v>
      </c>
      <c r="X703" s="483">
        <f t="shared" si="39"/>
        <v>0</v>
      </c>
      <c r="Y703" s="483">
        <f t="shared" si="39"/>
        <v>0</v>
      </c>
      <c r="Z703" s="483">
        <f t="shared" si="39"/>
        <v>0</v>
      </c>
      <c r="AA703" s="483">
        <f t="shared" si="39"/>
        <v>6</v>
      </c>
      <c r="AB703" s="443"/>
    </row>
    <row r="704" spans="1:28" s="444" customFormat="1">
      <c r="A704" s="435" t="s">
        <v>170</v>
      </c>
      <c r="B704" s="435" t="s">
        <v>120</v>
      </c>
      <c r="C704" s="435" t="s">
        <v>152</v>
      </c>
      <c r="D704" s="435" t="s">
        <v>182</v>
      </c>
      <c r="E704" s="436" t="s">
        <v>153</v>
      </c>
      <c r="F704" s="435" t="s">
        <v>182</v>
      </c>
      <c r="G704" s="599" t="s">
        <v>401</v>
      </c>
      <c r="H704" s="437"/>
      <c r="I704" s="438" t="s">
        <v>181</v>
      </c>
      <c r="J704" s="439" t="s">
        <v>154</v>
      </c>
      <c r="K704" s="439" t="s">
        <v>155</v>
      </c>
      <c r="L704" s="440" t="s">
        <v>156</v>
      </c>
      <c r="M704" s="441" t="s">
        <v>157</v>
      </c>
      <c r="N704" s="440" t="s">
        <v>158</v>
      </c>
      <c r="O704" s="440" t="s">
        <v>159</v>
      </c>
      <c r="P704" s="440" t="s">
        <v>174</v>
      </c>
      <c r="Q704" s="440" t="s">
        <v>160</v>
      </c>
      <c r="R704" s="440" t="s">
        <v>161</v>
      </c>
      <c r="S704" s="440" t="s">
        <v>162</v>
      </c>
      <c r="T704" s="438" t="s">
        <v>163</v>
      </c>
      <c r="U704" s="438" t="s">
        <v>164</v>
      </c>
      <c r="V704" s="438" t="s">
        <v>165</v>
      </c>
      <c r="W704" s="440" t="s">
        <v>113</v>
      </c>
      <c r="X704" s="438" t="s">
        <v>121</v>
      </c>
      <c r="Y704" s="438" t="s">
        <v>166</v>
      </c>
      <c r="Z704" s="442" t="s">
        <v>175</v>
      </c>
      <c r="AA704" s="442" t="s">
        <v>167</v>
      </c>
      <c r="AB704" s="443"/>
    </row>
    <row r="705" spans="1:28" s="444" customFormat="1">
      <c r="A705" s="701"/>
      <c r="B705" s="446" t="s">
        <v>187</v>
      </c>
      <c r="C705" s="486">
        <v>5983</v>
      </c>
      <c r="D705" s="448" t="s">
        <v>350</v>
      </c>
      <c r="E705" s="449" t="s">
        <v>349</v>
      </c>
      <c r="F705" s="448" t="s">
        <v>350</v>
      </c>
      <c r="G705" s="589">
        <v>46214</v>
      </c>
      <c r="H705" s="450"/>
      <c r="I705" s="450" t="s">
        <v>183</v>
      </c>
      <c r="J705" s="295">
        <v>0.78472222222222221</v>
      </c>
      <c r="K705" s="295">
        <v>0.16666666666666666</v>
      </c>
      <c r="L705" s="451" t="s">
        <v>168</v>
      </c>
      <c r="M705" s="452">
        <v>8</v>
      </c>
      <c r="N705" s="452"/>
      <c r="O705" s="452">
        <v>6</v>
      </c>
      <c r="P705" s="452"/>
      <c r="Q705" s="453"/>
      <c r="R705" s="452"/>
      <c r="S705" s="452"/>
      <c r="T705" s="453"/>
      <c r="U705" s="452"/>
      <c r="V705" s="453"/>
      <c r="W705" s="454"/>
      <c r="X705" s="455"/>
      <c r="Y705" s="456"/>
      <c r="Z705" s="457"/>
      <c r="AA705" s="458"/>
      <c r="AB705" s="443"/>
    </row>
    <row r="706" spans="1:28" s="444" customFormat="1">
      <c r="A706" s="702"/>
      <c r="B706" s="446" t="s">
        <v>187</v>
      </c>
      <c r="C706" s="486">
        <v>5983</v>
      </c>
      <c r="D706" s="448" t="s">
        <v>350</v>
      </c>
      <c r="E706" s="449" t="s">
        <v>349</v>
      </c>
      <c r="F706" s="448" t="s">
        <v>350</v>
      </c>
      <c r="G706" s="590">
        <v>46215</v>
      </c>
      <c r="H706" s="450"/>
      <c r="I706" s="450"/>
      <c r="J706" s="699" t="s">
        <v>173</v>
      </c>
      <c r="K706" s="700"/>
      <c r="L706" s="451"/>
      <c r="M706" s="452"/>
      <c r="N706" s="452"/>
      <c r="O706" s="452"/>
      <c r="P706" s="452"/>
      <c r="Q706" s="453"/>
      <c r="R706" s="452"/>
      <c r="S706" s="452"/>
      <c r="T706" s="453"/>
      <c r="U706" s="452"/>
      <c r="V706" s="453"/>
      <c r="W706" s="454"/>
      <c r="X706" s="455"/>
      <c r="Y706" s="456"/>
      <c r="Z706" s="457"/>
      <c r="AA706" s="458"/>
      <c r="AB706" s="443"/>
    </row>
    <row r="707" spans="1:28" s="444" customFormat="1">
      <c r="A707" s="702"/>
      <c r="B707" s="446" t="s">
        <v>187</v>
      </c>
      <c r="C707" s="486">
        <v>5983</v>
      </c>
      <c r="D707" s="448" t="s">
        <v>350</v>
      </c>
      <c r="E707" s="449" t="s">
        <v>349</v>
      </c>
      <c r="F707" s="448" t="s">
        <v>350</v>
      </c>
      <c r="G707" s="589">
        <v>46216</v>
      </c>
      <c r="H707" s="450"/>
      <c r="I707" s="450" t="s">
        <v>186</v>
      </c>
      <c r="J707" s="305">
        <v>0.32916666666666666</v>
      </c>
      <c r="K707" s="305">
        <v>0.70972222222222225</v>
      </c>
      <c r="L707" s="451" t="s">
        <v>169</v>
      </c>
      <c r="M707" s="452">
        <v>8</v>
      </c>
      <c r="N707" s="452"/>
      <c r="O707" s="452"/>
      <c r="P707" s="452"/>
      <c r="Q707" s="453"/>
      <c r="R707" s="452"/>
      <c r="S707" s="452"/>
      <c r="T707" s="453"/>
      <c r="U707" s="452"/>
      <c r="V707" s="453"/>
      <c r="W707" s="454"/>
      <c r="X707" s="455"/>
      <c r="Y707" s="456"/>
      <c r="Z707" s="457"/>
      <c r="AA707" s="458"/>
      <c r="AB707" s="443"/>
    </row>
    <row r="708" spans="1:28" s="444" customFormat="1">
      <c r="A708" s="702"/>
      <c r="B708" s="446" t="s">
        <v>187</v>
      </c>
      <c r="C708" s="486">
        <v>5983</v>
      </c>
      <c r="D708" s="448" t="s">
        <v>350</v>
      </c>
      <c r="E708" s="449" t="s">
        <v>349</v>
      </c>
      <c r="F708" s="448" t="s">
        <v>350</v>
      </c>
      <c r="G708" s="589">
        <v>46217</v>
      </c>
      <c r="H708" s="450"/>
      <c r="I708" s="450" t="s">
        <v>186</v>
      </c>
      <c r="J708" s="305">
        <v>0.32500000000000001</v>
      </c>
      <c r="K708" s="305">
        <v>0.79236111111111107</v>
      </c>
      <c r="L708" s="451" t="s">
        <v>169</v>
      </c>
      <c r="M708" s="452">
        <v>8</v>
      </c>
      <c r="N708" s="452">
        <v>2</v>
      </c>
      <c r="O708" s="452"/>
      <c r="P708" s="452"/>
      <c r="Q708" s="461"/>
      <c r="R708" s="462"/>
      <c r="S708" s="462"/>
      <c r="T708" s="461"/>
      <c r="U708" s="462"/>
      <c r="V708" s="461"/>
      <c r="W708" s="463"/>
      <c r="X708" s="464"/>
      <c r="Y708" s="465"/>
      <c r="Z708" s="466"/>
      <c r="AA708" s="467"/>
      <c r="AB708" s="443"/>
    </row>
    <row r="709" spans="1:28" s="444" customFormat="1">
      <c r="A709" s="702"/>
      <c r="B709" s="446" t="s">
        <v>187</v>
      </c>
      <c r="C709" s="486">
        <v>5983</v>
      </c>
      <c r="D709" s="448" t="s">
        <v>350</v>
      </c>
      <c r="E709" s="449" t="s">
        <v>349</v>
      </c>
      <c r="F709" s="448" t="s">
        <v>350</v>
      </c>
      <c r="G709" s="589">
        <v>46218</v>
      </c>
      <c r="H709" s="450"/>
      <c r="I709" s="450" t="s">
        <v>186</v>
      </c>
      <c r="J709" s="305">
        <v>0.3263888888888889</v>
      </c>
      <c r="K709" s="305">
        <v>0.7090277777777777</v>
      </c>
      <c r="L709" s="451" t="s">
        <v>169</v>
      </c>
      <c r="M709" s="452">
        <v>8</v>
      </c>
      <c r="N709" s="452"/>
      <c r="O709" s="452"/>
      <c r="P709" s="452"/>
      <c r="Q709" s="453"/>
      <c r="R709" s="452"/>
      <c r="S709" s="452"/>
      <c r="T709" s="453"/>
      <c r="U709" s="452"/>
      <c r="V709" s="453"/>
      <c r="W709" s="454"/>
      <c r="X709" s="455"/>
      <c r="Y709" s="456"/>
      <c r="Z709" s="457"/>
      <c r="AA709" s="458"/>
      <c r="AB709" s="443"/>
    </row>
    <row r="710" spans="1:28" s="444" customFormat="1">
      <c r="A710" s="702"/>
      <c r="B710" s="446" t="s">
        <v>187</v>
      </c>
      <c r="C710" s="486">
        <v>5983</v>
      </c>
      <c r="D710" s="448" t="s">
        <v>350</v>
      </c>
      <c r="E710" s="449" t="s">
        <v>349</v>
      </c>
      <c r="F710" s="448" t="s">
        <v>350</v>
      </c>
      <c r="G710" s="589">
        <v>46219</v>
      </c>
      <c r="H710" s="450"/>
      <c r="I710" s="450" t="s">
        <v>186</v>
      </c>
      <c r="J710" s="305">
        <v>0.32569444444444445</v>
      </c>
      <c r="K710" s="305">
        <v>0.70972222222222225</v>
      </c>
      <c r="L710" s="451" t="s">
        <v>169</v>
      </c>
      <c r="M710" s="452">
        <v>8</v>
      </c>
      <c r="N710" s="452"/>
      <c r="O710" s="452"/>
      <c r="P710" s="452"/>
      <c r="Q710" s="453"/>
      <c r="R710" s="452"/>
      <c r="S710" s="452"/>
      <c r="T710" s="453"/>
      <c r="U710" s="452"/>
      <c r="V710" s="453"/>
      <c r="W710" s="454"/>
      <c r="X710" s="455"/>
      <c r="Y710" s="456"/>
      <c r="Z710" s="457"/>
      <c r="AA710" s="458"/>
      <c r="AB710" s="443"/>
    </row>
    <row r="711" spans="1:28" s="444" customFormat="1">
      <c r="A711" s="702"/>
      <c r="B711" s="446" t="s">
        <v>187</v>
      </c>
      <c r="C711" s="486">
        <v>5983</v>
      </c>
      <c r="D711" s="448" t="s">
        <v>350</v>
      </c>
      <c r="E711" s="449" t="s">
        <v>349</v>
      </c>
      <c r="F711" s="448" t="s">
        <v>350</v>
      </c>
      <c r="G711" s="589">
        <v>46220</v>
      </c>
      <c r="H711" s="450"/>
      <c r="I711" s="450" t="s">
        <v>186</v>
      </c>
      <c r="J711" s="305">
        <v>0.32500000000000001</v>
      </c>
      <c r="K711" s="305">
        <v>0.70972222222222225</v>
      </c>
      <c r="L711" s="451" t="s">
        <v>169</v>
      </c>
      <c r="M711" s="452">
        <v>8</v>
      </c>
      <c r="N711" s="452"/>
      <c r="O711" s="452"/>
      <c r="P711" s="452"/>
      <c r="Q711" s="453"/>
      <c r="R711" s="452"/>
      <c r="S711" s="452"/>
      <c r="T711" s="453"/>
      <c r="U711" s="452"/>
      <c r="V711" s="453"/>
      <c r="W711" s="454"/>
      <c r="X711" s="455"/>
      <c r="Y711" s="456"/>
      <c r="Z711" s="457"/>
      <c r="AA711" s="458"/>
      <c r="AB711" s="443"/>
    </row>
    <row r="712" spans="1:28" s="444" customFormat="1">
      <c r="A712" s="702"/>
      <c r="B712" s="446" t="s">
        <v>187</v>
      </c>
      <c r="C712" s="486">
        <v>5983</v>
      </c>
      <c r="D712" s="448" t="s">
        <v>350</v>
      </c>
      <c r="E712" s="449" t="s">
        <v>349</v>
      </c>
      <c r="F712" s="448" t="s">
        <v>350</v>
      </c>
      <c r="G712" s="589">
        <v>46221</v>
      </c>
      <c r="H712" s="450"/>
      <c r="I712" s="450" t="s">
        <v>186</v>
      </c>
      <c r="J712" s="305">
        <v>0.32847222222222222</v>
      </c>
      <c r="K712" s="305">
        <v>0.70972222222222225</v>
      </c>
      <c r="L712" s="451" t="s">
        <v>169</v>
      </c>
      <c r="M712" s="452">
        <v>8</v>
      </c>
      <c r="N712" s="452"/>
      <c r="O712" s="452"/>
      <c r="P712" s="452"/>
      <c r="Q712" s="453"/>
      <c r="R712" s="452"/>
      <c r="S712" s="452"/>
      <c r="T712" s="453"/>
      <c r="U712" s="452"/>
      <c r="V712" s="453"/>
      <c r="W712" s="454"/>
      <c r="X712" s="455"/>
      <c r="Y712" s="456"/>
      <c r="Z712" s="457"/>
      <c r="AA712" s="458"/>
      <c r="AB712" s="443"/>
    </row>
    <row r="713" spans="1:28" s="444" customFormat="1">
      <c r="A713" s="702"/>
      <c r="B713" s="446" t="s">
        <v>187</v>
      </c>
      <c r="C713" s="486">
        <v>5983</v>
      </c>
      <c r="D713" s="448" t="s">
        <v>350</v>
      </c>
      <c r="E713" s="449" t="s">
        <v>349</v>
      </c>
      <c r="F713" s="448" t="s">
        <v>350</v>
      </c>
      <c r="G713" s="590">
        <v>46222</v>
      </c>
      <c r="H713" s="450"/>
      <c r="I713" s="450"/>
      <c r="J713" s="699" t="s">
        <v>173</v>
      </c>
      <c r="K713" s="700"/>
      <c r="L713" s="451"/>
      <c r="M713" s="452"/>
      <c r="N713" s="452"/>
      <c r="O713" s="452"/>
      <c r="P713" s="452"/>
      <c r="Q713" s="453"/>
      <c r="R713" s="452"/>
      <c r="S713" s="452"/>
      <c r="T713" s="453"/>
      <c r="U713" s="452"/>
      <c r="V713" s="453"/>
      <c r="W713" s="454"/>
      <c r="X713" s="455"/>
      <c r="Y713" s="456"/>
      <c r="Z713" s="457"/>
      <c r="AA713" s="458"/>
      <c r="AB713" s="443"/>
    </row>
    <row r="714" spans="1:28" s="444" customFormat="1">
      <c r="A714" s="702"/>
      <c r="B714" s="446" t="s">
        <v>187</v>
      </c>
      <c r="C714" s="486">
        <v>5983</v>
      </c>
      <c r="D714" s="448" t="s">
        <v>350</v>
      </c>
      <c r="E714" s="449" t="s">
        <v>349</v>
      </c>
      <c r="F714" s="448" t="s">
        <v>350</v>
      </c>
      <c r="G714" s="589">
        <v>46223</v>
      </c>
      <c r="H714" s="450"/>
      <c r="I714" s="450" t="s">
        <v>186</v>
      </c>
      <c r="J714" s="295">
        <v>0.32500000000000001</v>
      </c>
      <c r="K714" s="295">
        <v>0.70902777777777781</v>
      </c>
      <c r="L714" s="451" t="s">
        <v>169</v>
      </c>
      <c r="M714" s="452">
        <v>8</v>
      </c>
      <c r="N714" s="462"/>
      <c r="O714" s="462"/>
      <c r="P714" s="462"/>
      <c r="Q714" s="461"/>
      <c r="R714" s="462"/>
      <c r="S714" s="462"/>
      <c r="T714" s="461"/>
      <c r="U714" s="462"/>
      <c r="V714" s="461"/>
      <c r="W714" s="454"/>
      <c r="X714" s="455"/>
      <c r="Y714" s="456"/>
      <c r="Z714" s="457"/>
      <c r="AA714" s="458"/>
      <c r="AB714" s="443"/>
    </row>
    <row r="715" spans="1:28" s="444" customFormat="1">
      <c r="A715" s="702"/>
      <c r="B715" s="446" t="s">
        <v>187</v>
      </c>
      <c r="C715" s="486">
        <v>5983</v>
      </c>
      <c r="D715" s="448" t="s">
        <v>350</v>
      </c>
      <c r="E715" s="449" t="s">
        <v>349</v>
      </c>
      <c r="F715" s="448" t="s">
        <v>350</v>
      </c>
      <c r="G715" s="589">
        <v>46224</v>
      </c>
      <c r="H715" s="450"/>
      <c r="I715" s="450" t="s">
        <v>186</v>
      </c>
      <c r="J715" s="295">
        <v>0.32569444444444445</v>
      </c>
      <c r="K715" s="295">
        <v>0.70902777777777781</v>
      </c>
      <c r="L715" s="451" t="s">
        <v>169</v>
      </c>
      <c r="M715" s="452">
        <v>8</v>
      </c>
      <c r="N715" s="477"/>
      <c r="O715" s="477"/>
      <c r="P715" s="477"/>
      <c r="Q715" s="468"/>
      <c r="R715" s="469"/>
      <c r="S715" s="469"/>
      <c r="T715" s="461"/>
      <c r="U715" s="462"/>
      <c r="V715" s="461"/>
      <c r="W715" s="463"/>
      <c r="X715" s="464"/>
      <c r="Y715" s="465"/>
      <c r="Z715" s="466"/>
      <c r="AA715" s="467"/>
      <c r="AB715" s="443"/>
    </row>
    <row r="716" spans="1:28" s="444" customFormat="1">
      <c r="A716" s="702"/>
      <c r="B716" s="446" t="s">
        <v>187</v>
      </c>
      <c r="C716" s="486">
        <v>5983</v>
      </c>
      <c r="D716" s="448" t="s">
        <v>350</v>
      </c>
      <c r="E716" s="449" t="s">
        <v>349</v>
      </c>
      <c r="F716" s="448" t="s">
        <v>350</v>
      </c>
      <c r="G716" s="589">
        <v>46225</v>
      </c>
      <c r="H716" s="450"/>
      <c r="I716" s="450" t="s">
        <v>186</v>
      </c>
      <c r="J716" s="295">
        <v>0.32708333333333334</v>
      </c>
      <c r="K716" s="500"/>
      <c r="L716" s="451"/>
      <c r="M716" s="452"/>
      <c r="N716" s="471"/>
      <c r="O716" s="452"/>
      <c r="P716" s="452"/>
      <c r="Q716" s="453"/>
      <c r="R716" s="452"/>
      <c r="S716" s="452"/>
      <c r="T716" s="453"/>
      <c r="U716" s="452"/>
      <c r="V716" s="453"/>
      <c r="W716" s="454"/>
      <c r="X716" s="455"/>
      <c r="Y716" s="456"/>
      <c r="Z716" s="457"/>
      <c r="AA716" s="458"/>
      <c r="AB716" s="443" t="s">
        <v>397</v>
      </c>
    </row>
    <row r="717" spans="1:28" s="444" customFormat="1">
      <c r="A717" s="702"/>
      <c r="B717" s="446" t="s">
        <v>187</v>
      </c>
      <c r="C717" s="486">
        <v>5983</v>
      </c>
      <c r="D717" s="448" t="s">
        <v>350</v>
      </c>
      <c r="E717" s="449" t="s">
        <v>349</v>
      </c>
      <c r="F717" s="448" t="s">
        <v>350</v>
      </c>
      <c r="G717" s="589">
        <v>46226</v>
      </c>
      <c r="H717" s="450"/>
      <c r="I717" s="450" t="s">
        <v>186</v>
      </c>
      <c r="J717" s="295"/>
      <c r="K717" s="295"/>
      <c r="L717" s="451"/>
      <c r="M717" s="501"/>
      <c r="N717" s="471"/>
      <c r="O717" s="470"/>
      <c r="P717" s="470"/>
      <c r="Q717" s="453"/>
      <c r="R717" s="452"/>
      <c r="S717" s="452"/>
      <c r="T717" s="453"/>
      <c r="U717" s="452"/>
      <c r="V717" s="453"/>
      <c r="W717" s="454"/>
      <c r="X717" s="455"/>
      <c r="Y717" s="456"/>
      <c r="Z717" s="457"/>
      <c r="AA717" s="458"/>
      <c r="AB717" s="443"/>
    </row>
    <row r="718" spans="1:28" s="444" customFormat="1">
      <c r="A718" s="702"/>
      <c r="B718" s="446" t="s">
        <v>187</v>
      </c>
      <c r="C718" s="486">
        <v>5983</v>
      </c>
      <c r="D718" s="448" t="s">
        <v>350</v>
      </c>
      <c r="E718" s="449" t="s">
        <v>349</v>
      </c>
      <c r="F718" s="448" t="s">
        <v>350</v>
      </c>
      <c r="G718" s="589">
        <v>46227</v>
      </c>
      <c r="H718" s="450"/>
      <c r="I718" s="450" t="s">
        <v>186</v>
      </c>
      <c r="J718" s="295">
        <v>0.31736111111111109</v>
      </c>
      <c r="K718" s="318">
        <v>0.70902777777777781</v>
      </c>
      <c r="L718" s="451" t="s">
        <v>169</v>
      </c>
      <c r="M718" s="452">
        <v>8</v>
      </c>
      <c r="N718" s="471"/>
      <c r="O718" s="471"/>
      <c r="P718" s="471"/>
      <c r="Q718" s="472"/>
      <c r="R718" s="471"/>
      <c r="S718" s="471"/>
      <c r="T718" s="453"/>
      <c r="U718" s="452"/>
      <c r="V718" s="453"/>
      <c r="W718" s="454"/>
      <c r="X718" s="455"/>
      <c r="Y718" s="456"/>
      <c r="Z718" s="457"/>
      <c r="AA718" s="458"/>
      <c r="AB718" s="443"/>
    </row>
    <row r="719" spans="1:28" s="444" customFormat="1">
      <c r="A719" s="702"/>
      <c r="B719" s="446" t="s">
        <v>187</v>
      </c>
      <c r="C719" s="486">
        <v>5983</v>
      </c>
      <c r="D719" s="448" t="s">
        <v>350</v>
      </c>
      <c r="E719" s="449" t="s">
        <v>349</v>
      </c>
      <c r="F719" s="448" t="s">
        <v>350</v>
      </c>
      <c r="G719" s="589">
        <v>46228</v>
      </c>
      <c r="H719" s="450"/>
      <c r="I719" s="450" t="s">
        <v>186</v>
      </c>
      <c r="J719" s="295"/>
      <c r="K719" s="295"/>
      <c r="L719" s="451"/>
      <c r="M719" s="452"/>
      <c r="N719" s="452"/>
      <c r="O719" s="452"/>
      <c r="P719" s="452"/>
      <c r="Q719" s="453"/>
      <c r="R719" s="452"/>
      <c r="S719" s="473"/>
      <c r="T719" s="453"/>
      <c r="U719" s="452"/>
      <c r="V719" s="453"/>
      <c r="W719" s="454"/>
      <c r="X719" s="455"/>
      <c r="Y719" s="456"/>
      <c r="Z719" s="457"/>
      <c r="AA719" s="458"/>
      <c r="AB719" s="443"/>
    </row>
    <row r="720" spans="1:28" s="444" customFormat="1">
      <c r="A720" s="702"/>
      <c r="B720" s="446"/>
      <c r="C720" s="486"/>
      <c r="D720" s="448"/>
      <c r="E720" s="449"/>
      <c r="F720" s="448"/>
      <c r="G720" s="600"/>
      <c r="H720" s="450"/>
      <c r="I720" s="450"/>
      <c r="J720" s="474"/>
      <c r="K720" s="475"/>
      <c r="L720" s="476"/>
      <c r="M720" s="477"/>
      <c r="N720" s="477"/>
      <c r="O720" s="477"/>
      <c r="P720" s="477"/>
      <c r="Q720" s="478"/>
      <c r="R720" s="477"/>
      <c r="S720" s="479"/>
      <c r="T720" s="453"/>
      <c r="U720" s="452"/>
      <c r="V720" s="453"/>
      <c r="W720" s="454"/>
      <c r="X720" s="455"/>
      <c r="Y720" s="456"/>
      <c r="Z720" s="457"/>
      <c r="AA720" s="458"/>
      <c r="AB720" s="443"/>
    </row>
    <row r="721" spans="1:28" s="444" customFormat="1">
      <c r="A721" s="703"/>
      <c r="B721" s="481"/>
      <c r="C721" s="446"/>
      <c r="D721" s="481"/>
      <c r="E721" s="449"/>
      <c r="F721" s="481"/>
      <c r="G721" s="601"/>
      <c r="H721" s="482"/>
      <c r="I721" s="483"/>
      <c r="J721" s="484"/>
      <c r="K721" s="485"/>
      <c r="L721" s="483"/>
      <c r="M721" s="483">
        <f t="shared" ref="M721:AA721" si="40">SUM(M704:M720)</f>
        <v>80</v>
      </c>
      <c r="N721" s="483">
        <f t="shared" si="40"/>
        <v>2</v>
      </c>
      <c r="O721" s="483">
        <f t="shared" si="40"/>
        <v>6</v>
      </c>
      <c r="P721" s="483">
        <f t="shared" si="40"/>
        <v>0</v>
      </c>
      <c r="Q721" s="483">
        <f t="shared" si="40"/>
        <v>0</v>
      </c>
      <c r="R721" s="483">
        <f t="shared" si="40"/>
        <v>0</v>
      </c>
      <c r="S721" s="483">
        <f t="shared" si="40"/>
        <v>0</v>
      </c>
      <c r="T721" s="483">
        <f t="shared" si="40"/>
        <v>0</v>
      </c>
      <c r="U721" s="483">
        <f t="shared" si="40"/>
        <v>0</v>
      </c>
      <c r="V721" s="483">
        <f t="shared" si="40"/>
        <v>0</v>
      </c>
      <c r="W721" s="483">
        <f t="shared" si="40"/>
        <v>0</v>
      </c>
      <c r="X721" s="483">
        <f t="shared" si="40"/>
        <v>0</v>
      </c>
      <c r="Y721" s="483">
        <f t="shared" si="40"/>
        <v>0</v>
      </c>
      <c r="Z721" s="483">
        <f t="shared" si="40"/>
        <v>0</v>
      </c>
      <c r="AA721" s="483">
        <f t="shared" si="40"/>
        <v>0</v>
      </c>
      <c r="AB721" s="443"/>
    </row>
    <row r="722" spans="1:28" s="444" customFormat="1">
      <c r="A722" s="435" t="s">
        <v>170</v>
      </c>
      <c r="B722" s="435" t="s">
        <v>120</v>
      </c>
      <c r="C722" s="435" t="s">
        <v>152</v>
      </c>
      <c r="D722" s="435" t="s">
        <v>182</v>
      </c>
      <c r="E722" s="436" t="s">
        <v>153</v>
      </c>
      <c r="F722" s="435" t="s">
        <v>182</v>
      </c>
      <c r="G722" s="599" t="s">
        <v>401</v>
      </c>
      <c r="H722" s="437"/>
      <c r="I722" s="438" t="s">
        <v>181</v>
      </c>
      <c r="J722" s="439" t="s">
        <v>154</v>
      </c>
      <c r="K722" s="439" t="s">
        <v>155</v>
      </c>
      <c r="L722" s="440" t="s">
        <v>156</v>
      </c>
      <c r="M722" s="441" t="s">
        <v>157</v>
      </c>
      <c r="N722" s="440" t="s">
        <v>158</v>
      </c>
      <c r="O722" s="440" t="s">
        <v>159</v>
      </c>
      <c r="P722" s="440" t="s">
        <v>174</v>
      </c>
      <c r="Q722" s="440" t="s">
        <v>160</v>
      </c>
      <c r="R722" s="440" t="s">
        <v>161</v>
      </c>
      <c r="S722" s="440" t="s">
        <v>162</v>
      </c>
      <c r="T722" s="438" t="s">
        <v>163</v>
      </c>
      <c r="U722" s="438" t="s">
        <v>164</v>
      </c>
      <c r="V722" s="438" t="s">
        <v>165</v>
      </c>
      <c r="W722" s="440" t="s">
        <v>113</v>
      </c>
      <c r="X722" s="438" t="s">
        <v>121</v>
      </c>
      <c r="Y722" s="438" t="s">
        <v>166</v>
      </c>
      <c r="Z722" s="442" t="s">
        <v>175</v>
      </c>
      <c r="AA722" s="442" t="s">
        <v>167</v>
      </c>
      <c r="AB722" s="443"/>
    </row>
    <row r="723" spans="1:28" s="444" customFormat="1">
      <c r="A723" s="701"/>
      <c r="B723" s="446" t="s">
        <v>187</v>
      </c>
      <c r="C723" s="486">
        <v>6354</v>
      </c>
      <c r="D723" s="448" t="s">
        <v>348</v>
      </c>
      <c r="E723" s="449" t="s">
        <v>347</v>
      </c>
      <c r="F723" s="448" t="s">
        <v>348</v>
      </c>
      <c r="G723" s="589">
        <v>46214</v>
      </c>
      <c r="H723" s="450"/>
      <c r="I723" s="450" t="s">
        <v>186</v>
      </c>
      <c r="J723" s="295">
        <v>0.30486111111111114</v>
      </c>
      <c r="K723" s="295">
        <v>0.7104166666666667</v>
      </c>
      <c r="L723" s="451" t="s">
        <v>169</v>
      </c>
      <c r="M723" s="452">
        <v>8</v>
      </c>
      <c r="N723" s="452"/>
      <c r="O723" s="452"/>
      <c r="P723" s="452"/>
      <c r="Q723" s="453"/>
      <c r="R723" s="452"/>
      <c r="S723" s="452"/>
      <c r="T723" s="453"/>
      <c r="U723" s="452"/>
      <c r="V723" s="453"/>
      <c r="W723" s="454"/>
      <c r="X723" s="455"/>
      <c r="Y723" s="456"/>
      <c r="Z723" s="457"/>
      <c r="AA723" s="458"/>
      <c r="AB723" s="443"/>
    </row>
    <row r="724" spans="1:28" s="444" customFormat="1">
      <c r="A724" s="702"/>
      <c r="B724" s="446" t="s">
        <v>187</v>
      </c>
      <c r="C724" s="486">
        <v>6354</v>
      </c>
      <c r="D724" s="448" t="s">
        <v>348</v>
      </c>
      <c r="E724" s="449" t="s">
        <v>347</v>
      </c>
      <c r="F724" s="448" t="s">
        <v>348</v>
      </c>
      <c r="G724" s="590">
        <v>46215</v>
      </c>
      <c r="H724" s="450"/>
      <c r="I724" s="346"/>
      <c r="J724" s="699" t="s">
        <v>173</v>
      </c>
      <c r="K724" s="700"/>
      <c r="L724" s="347"/>
      <c r="M724" s="348"/>
      <c r="N724" s="348"/>
      <c r="O724" s="348"/>
      <c r="P724" s="452"/>
      <c r="Q724" s="453"/>
      <c r="R724" s="452"/>
      <c r="S724" s="452"/>
      <c r="T724" s="453"/>
      <c r="U724" s="452"/>
      <c r="V724" s="453"/>
      <c r="W724" s="454"/>
      <c r="X724" s="455"/>
      <c r="Y724" s="456"/>
      <c r="Z724" s="457"/>
      <c r="AA724" s="458"/>
      <c r="AB724" s="443"/>
    </row>
    <row r="725" spans="1:28" s="444" customFormat="1">
      <c r="A725" s="702"/>
      <c r="B725" s="446" t="s">
        <v>187</v>
      </c>
      <c r="C725" s="486">
        <v>6354</v>
      </c>
      <c r="D725" s="448" t="s">
        <v>348</v>
      </c>
      <c r="E725" s="449" t="s">
        <v>347</v>
      </c>
      <c r="F725" s="448" t="s">
        <v>348</v>
      </c>
      <c r="G725" s="589">
        <v>46216</v>
      </c>
      <c r="H725" s="450"/>
      <c r="I725" s="346" t="s">
        <v>183</v>
      </c>
      <c r="J725" s="305">
        <v>0.76041666666666663</v>
      </c>
      <c r="K725" s="305">
        <v>0.16666666666666666</v>
      </c>
      <c r="L725" s="347" t="s">
        <v>168</v>
      </c>
      <c r="M725" s="348">
        <v>8</v>
      </c>
      <c r="N725" s="348"/>
      <c r="O725" s="348">
        <v>6</v>
      </c>
      <c r="P725" s="452"/>
      <c r="Q725" s="453"/>
      <c r="R725" s="452"/>
      <c r="S725" s="452"/>
      <c r="T725" s="453"/>
      <c r="U725" s="452"/>
      <c r="V725" s="453"/>
      <c r="W725" s="454"/>
      <c r="X725" s="455"/>
      <c r="Y725" s="456"/>
      <c r="Z725" s="457"/>
      <c r="AA725" s="458"/>
      <c r="AB725" s="443"/>
    </row>
    <row r="726" spans="1:28" s="444" customFormat="1">
      <c r="A726" s="702"/>
      <c r="B726" s="446" t="s">
        <v>187</v>
      </c>
      <c r="C726" s="486">
        <v>6354</v>
      </c>
      <c r="D726" s="448" t="s">
        <v>348</v>
      </c>
      <c r="E726" s="449" t="s">
        <v>347</v>
      </c>
      <c r="F726" s="448" t="s">
        <v>348</v>
      </c>
      <c r="G726" s="589">
        <v>46217</v>
      </c>
      <c r="H726" s="450"/>
      <c r="I726" s="346" t="s">
        <v>183</v>
      </c>
      <c r="J726" s="305">
        <v>0.76458333333333339</v>
      </c>
      <c r="K726" s="305">
        <v>0.16666666666666666</v>
      </c>
      <c r="L726" s="347" t="s">
        <v>168</v>
      </c>
      <c r="M726" s="348">
        <v>8</v>
      </c>
      <c r="N726" s="348"/>
      <c r="O726" s="348">
        <v>6</v>
      </c>
      <c r="P726" s="462"/>
      <c r="Q726" s="461"/>
      <c r="R726" s="462"/>
      <c r="S726" s="462"/>
      <c r="T726" s="461"/>
      <c r="U726" s="462"/>
      <c r="V726" s="461"/>
      <c r="W726" s="463"/>
      <c r="X726" s="464"/>
      <c r="Y726" s="465"/>
      <c r="Z726" s="466"/>
      <c r="AA726" s="467"/>
      <c r="AB726" s="443"/>
    </row>
    <row r="727" spans="1:28" s="444" customFormat="1">
      <c r="A727" s="702"/>
      <c r="B727" s="446" t="s">
        <v>187</v>
      </c>
      <c r="C727" s="486">
        <v>6354</v>
      </c>
      <c r="D727" s="448" t="s">
        <v>348</v>
      </c>
      <c r="E727" s="449" t="s">
        <v>347</v>
      </c>
      <c r="F727" s="448" t="s">
        <v>348</v>
      </c>
      <c r="G727" s="589">
        <v>46218</v>
      </c>
      <c r="H727" s="450"/>
      <c r="I727" s="346" t="s">
        <v>183</v>
      </c>
      <c r="J727" s="305">
        <v>0.76180555555555562</v>
      </c>
      <c r="K727" s="305">
        <v>0.16666666666666666</v>
      </c>
      <c r="L727" s="347" t="s">
        <v>168</v>
      </c>
      <c r="M727" s="348">
        <v>8</v>
      </c>
      <c r="N727" s="348"/>
      <c r="O727" s="348">
        <v>6</v>
      </c>
      <c r="P727" s="452"/>
      <c r="Q727" s="453"/>
      <c r="R727" s="452"/>
      <c r="S727" s="452"/>
      <c r="T727" s="453"/>
      <c r="U727" s="452"/>
      <c r="V727" s="453"/>
      <c r="W727" s="454"/>
      <c r="X727" s="455"/>
      <c r="Y727" s="456"/>
      <c r="Z727" s="457"/>
      <c r="AA727" s="458"/>
      <c r="AB727" s="443"/>
    </row>
    <row r="728" spans="1:28" s="444" customFormat="1">
      <c r="A728" s="702"/>
      <c r="B728" s="446" t="s">
        <v>187</v>
      </c>
      <c r="C728" s="486">
        <v>6354</v>
      </c>
      <c r="D728" s="448" t="s">
        <v>348</v>
      </c>
      <c r="E728" s="449" t="s">
        <v>347</v>
      </c>
      <c r="F728" s="448" t="s">
        <v>348</v>
      </c>
      <c r="G728" s="589">
        <v>46219</v>
      </c>
      <c r="H728" s="450"/>
      <c r="I728" s="346" t="s">
        <v>183</v>
      </c>
      <c r="J728" s="305">
        <v>0.7597222222222223</v>
      </c>
      <c r="K728" s="305">
        <v>0.16666666666666666</v>
      </c>
      <c r="L728" s="347" t="s">
        <v>168</v>
      </c>
      <c r="M728" s="348">
        <v>8</v>
      </c>
      <c r="N728" s="348"/>
      <c r="O728" s="348">
        <v>6</v>
      </c>
      <c r="P728" s="452"/>
      <c r="Q728" s="453"/>
      <c r="R728" s="452"/>
      <c r="S728" s="452"/>
      <c r="T728" s="453"/>
      <c r="U728" s="452"/>
      <c r="V728" s="453"/>
      <c r="W728" s="454"/>
      <c r="X728" s="455"/>
      <c r="Y728" s="456"/>
      <c r="Z728" s="457"/>
      <c r="AA728" s="458"/>
      <c r="AB728" s="443"/>
    </row>
    <row r="729" spans="1:28" s="444" customFormat="1">
      <c r="A729" s="702"/>
      <c r="B729" s="446" t="s">
        <v>187</v>
      </c>
      <c r="C729" s="486">
        <v>6354</v>
      </c>
      <c r="D729" s="448" t="s">
        <v>348</v>
      </c>
      <c r="E729" s="449" t="s">
        <v>347</v>
      </c>
      <c r="F729" s="448" t="s">
        <v>348</v>
      </c>
      <c r="G729" s="589">
        <v>46220</v>
      </c>
      <c r="H729" s="450"/>
      <c r="I729" s="346" t="s">
        <v>183</v>
      </c>
      <c r="J729" s="305">
        <v>0.76249999999999996</v>
      </c>
      <c r="K729" s="305">
        <v>0.1673611111111111</v>
      </c>
      <c r="L729" s="347" t="s">
        <v>168</v>
      </c>
      <c r="M729" s="348">
        <v>8</v>
      </c>
      <c r="N729" s="348"/>
      <c r="O729" s="348">
        <v>6</v>
      </c>
      <c r="P729" s="452"/>
      <c r="Q729" s="453"/>
      <c r="R729" s="452"/>
      <c r="S729" s="452"/>
      <c r="T729" s="453"/>
      <c r="U729" s="452"/>
      <c r="V729" s="453"/>
      <c r="W729" s="454"/>
      <c r="X729" s="455"/>
      <c r="Y729" s="456"/>
      <c r="Z729" s="457"/>
      <c r="AA729" s="458"/>
      <c r="AB729" s="443"/>
    </row>
    <row r="730" spans="1:28" s="444" customFormat="1">
      <c r="A730" s="702"/>
      <c r="B730" s="446" t="s">
        <v>187</v>
      </c>
      <c r="C730" s="486">
        <v>6354</v>
      </c>
      <c r="D730" s="448" t="s">
        <v>348</v>
      </c>
      <c r="E730" s="449" t="s">
        <v>347</v>
      </c>
      <c r="F730" s="448" t="s">
        <v>348</v>
      </c>
      <c r="G730" s="589">
        <v>46221</v>
      </c>
      <c r="H730" s="450"/>
      <c r="I730" s="346" t="s">
        <v>183</v>
      </c>
      <c r="J730" s="305">
        <v>0.7680555555555556</v>
      </c>
      <c r="K730" s="305">
        <v>0.1673611111111111</v>
      </c>
      <c r="L730" s="347" t="s">
        <v>168</v>
      </c>
      <c r="M730" s="348">
        <v>8</v>
      </c>
      <c r="N730" s="348"/>
      <c r="O730" s="348">
        <v>6</v>
      </c>
      <c r="P730" s="452"/>
      <c r="Q730" s="453"/>
      <c r="R730" s="452"/>
      <c r="S730" s="452"/>
      <c r="T730" s="453"/>
      <c r="U730" s="452"/>
      <c r="V730" s="453"/>
      <c r="W730" s="454"/>
      <c r="X730" s="455"/>
      <c r="Y730" s="456"/>
      <c r="Z730" s="457"/>
      <c r="AA730" s="458"/>
      <c r="AB730" s="443"/>
    </row>
    <row r="731" spans="1:28" s="444" customFormat="1">
      <c r="A731" s="702"/>
      <c r="B731" s="446" t="s">
        <v>187</v>
      </c>
      <c r="C731" s="486">
        <v>6354</v>
      </c>
      <c r="D731" s="448" t="s">
        <v>348</v>
      </c>
      <c r="E731" s="449" t="s">
        <v>347</v>
      </c>
      <c r="F731" s="448" t="s">
        <v>348</v>
      </c>
      <c r="G731" s="590">
        <v>46222</v>
      </c>
      <c r="H731" s="450"/>
      <c r="I731" s="450"/>
      <c r="J731" s="699" t="s">
        <v>173</v>
      </c>
      <c r="K731" s="700"/>
      <c r="L731" s="451"/>
      <c r="M731" s="452"/>
      <c r="N731" s="452"/>
      <c r="O731" s="452"/>
      <c r="P731" s="452"/>
      <c r="Q731" s="453"/>
      <c r="R731" s="452"/>
      <c r="S731" s="452"/>
      <c r="T731" s="453"/>
      <c r="U731" s="452"/>
      <c r="V731" s="453"/>
      <c r="W731" s="454"/>
      <c r="X731" s="455"/>
      <c r="Y731" s="456"/>
      <c r="Z731" s="457"/>
      <c r="AA731" s="458"/>
      <c r="AB731" s="443"/>
    </row>
    <row r="732" spans="1:28" s="444" customFormat="1">
      <c r="A732" s="702"/>
      <c r="B732" s="446" t="s">
        <v>187</v>
      </c>
      <c r="C732" s="486">
        <v>6354</v>
      </c>
      <c r="D732" s="448" t="s">
        <v>348</v>
      </c>
      <c r="E732" s="449" t="s">
        <v>347</v>
      </c>
      <c r="F732" s="448" t="s">
        <v>348</v>
      </c>
      <c r="G732" s="589">
        <v>46223</v>
      </c>
      <c r="H732" s="450"/>
      <c r="I732" s="346" t="s">
        <v>183</v>
      </c>
      <c r="J732" s="295">
        <v>0.76249999999999996</v>
      </c>
      <c r="K732" s="295">
        <v>0.16666666666666666</v>
      </c>
      <c r="L732" s="347" t="s">
        <v>168</v>
      </c>
      <c r="M732" s="348">
        <v>8</v>
      </c>
      <c r="N732" s="348"/>
      <c r="O732" s="348">
        <v>6</v>
      </c>
      <c r="P732" s="462"/>
      <c r="Q732" s="461"/>
      <c r="R732" s="462"/>
      <c r="S732" s="462"/>
      <c r="T732" s="461"/>
      <c r="U732" s="462"/>
      <c r="V732" s="461"/>
      <c r="W732" s="454"/>
      <c r="X732" s="455"/>
      <c r="Y732" s="456"/>
      <c r="Z732" s="457"/>
      <c r="AA732" s="458"/>
      <c r="AB732" s="443"/>
    </row>
    <row r="733" spans="1:28" s="444" customFormat="1">
      <c r="A733" s="702"/>
      <c r="B733" s="446" t="s">
        <v>187</v>
      </c>
      <c r="C733" s="486">
        <v>6354</v>
      </c>
      <c r="D733" s="448" t="s">
        <v>348</v>
      </c>
      <c r="E733" s="449" t="s">
        <v>347</v>
      </c>
      <c r="F733" s="448" t="s">
        <v>348</v>
      </c>
      <c r="G733" s="589">
        <v>46224</v>
      </c>
      <c r="H733" s="450"/>
      <c r="I733" s="346" t="s">
        <v>183</v>
      </c>
      <c r="J733" s="295">
        <v>0.77083333333333337</v>
      </c>
      <c r="K733" s="295">
        <v>0.16666666666666666</v>
      </c>
      <c r="L733" s="347" t="s">
        <v>168</v>
      </c>
      <c r="M733" s="348">
        <v>8</v>
      </c>
      <c r="N733" s="348"/>
      <c r="O733" s="348">
        <v>6</v>
      </c>
      <c r="P733" s="469"/>
      <c r="Q733" s="468"/>
      <c r="R733" s="469"/>
      <c r="S733" s="469"/>
      <c r="T733" s="461"/>
      <c r="U733" s="462"/>
      <c r="V733" s="461"/>
      <c r="W733" s="463"/>
      <c r="X733" s="464"/>
      <c r="Y733" s="465"/>
      <c r="Z733" s="466"/>
      <c r="AA733" s="467"/>
      <c r="AB733" s="443"/>
    </row>
    <row r="734" spans="1:28" s="444" customFormat="1">
      <c r="A734" s="702"/>
      <c r="B734" s="446" t="s">
        <v>187</v>
      </c>
      <c r="C734" s="486">
        <v>6354</v>
      </c>
      <c r="D734" s="448" t="s">
        <v>348</v>
      </c>
      <c r="E734" s="449" t="s">
        <v>347</v>
      </c>
      <c r="F734" s="448" t="s">
        <v>348</v>
      </c>
      <c r="G734" s="589">
        <v>46225</v>
      </c>
      <c r="H734" s="450"/>
      <c r="I734" s="346" t="s">
        <v>183</v>
      </c>
      <c r="J734" s="295">
        <v>0.76597222222222228</v>
      </c>
      <c r="K734" s="295">
        <v>0.16666666666666666</v>
      </c>
      <c r="L734" s="347" t="s">
        <v>168</v>
      </c>
      <c r="M734" s="348">
        <v>8</v>
      </c>
      <c r="N734" s="348"/>
      <c r="O734" s="348">
        <v>6</v>
      </c>
      <c r="P734" s="452"/>
      <c r="Q734" s="453"/>
      <c r="R734" s="452"/>
      <c r="S734" s="452"/>
      <c r="T734" s="453"/>
      <c r="U734" s="452"/>
      <c r="V734" s="453"/>
      <c r="W734" s="454"/>
      <c r="X734" s="455"/>
      <c r="Y734" s="456"/>
      <c r="Z734" s="457"/>
      <c r="AA734" s="458"/>
      <c r="AB734" s="443"/>
    </row>
    <row r="735" spans="1:28" s="444" customFormat="1">
      <c r="A735" s="702"/>
      <c r="B735" s="446" t="s">
        <v>187</v>
      </c>
      <c r="C735" s="486">
        <v>6354</v>
      </c>
      <c r="D735" s="448" t="s">
        <v>348</v>
      </c>
      <c r="E735" s="449" t="s">
        <v>347</v>
      </c>
      <c r="F735" s="448" t="s">
        <v>348</v>
      </c>
      <c r="G735" s="589">
        <v>46226</v>
      </c>
      <c r="H735" s="450"/>
      <c r="I735" s="346" t="s">
        <v>183</v>
      </c>
      <c r="J735" s="295">
        <v>0.77013888888888893</v>
      </c>
      <c r="K735" s="295">
        <v>0.16666666666666666</v>
      </c>
      <c r="L735" s="347" t="s">
        <v>168</v>
      </c>
      <c r="M735" s="348">
        <v>8</v>
      </c>
      <c r="N735" s="348"/>
      <c r="O735" s="348">
        <v>6</v>
      </c>
      <c r="P735" s="470"/>
      <c r="Q735" s="453"/>
      <c r="R735" s="452"/>
      <c r="S735" s="452"/>
      <c r="T735" s="453"/>
      <c r="U735" s="452"/>
      <c r="V735" s="453"/>
      <c r="W735" s="454"/>
      <c r="X735" s="455"/>
      <c r="Y735" s="456"/>
      <c r="Z735" s="457"/>
      <c r="AA735" s="458"/>
      <c r="AB735" s="443"/>
    </row>
    <row r="736" spans="1:28" s="444" customFormat="1">
      <c r="A736" s="702"/>
      <c r="B736" s="446" t="s">
        <v>187</v>
      </c>
      <c r="C736" s="486">
        <v>6354</v>
      </c>
      <c r="D736" s="448" t="s">
        <v>348</v>
      </c>
      <c r="E736" s="449" t="s">
        <v>347</v>
      </c>
      <c r="F736" s="448" t="s">
        <v>348</v>
      </c>
      <c r="G736" s="589">
        <v>46227</v>
      </c>
      <c r="H736" s="450"/>
      <c r="I736" s="346" t="s">
        <v>183</v>
      </c>
      <c r="J736" s="295">
        <v>0.77361111111111114</v>
      </c>
      <c r="K736" s="318">
        <v>0.16805555555555557</v>
      </c>
      <c r="L736" s="347" t="s">
        <v>168</v>
      </c>
      <c r="M736" s="348">
        <v>8</v>
      </c>
      <c r="N736" s="348"/>
      <c r="O736" s="348">
        <v>6</v>
      </c>
      <c r="P736" s="471"/>
      <c r="Q736" s="472"/>
      <c r="R736" s="471"/>
      <c r="S736" s="471"/>
      <c r="T736" s="453"/>
      <c r="U736" s="452"/>
      <c r="V736" s="453"/>
      <c r="W736" s="454"/>
      <c r="X736" s="455"/>
      <c r="Y736" s="456"/>
      <c r="Z736" s="457"/>
      <c r="AA736" s="458"/>
      <c r="AB736" s="443"/>
    </row>
    <row r="737" spans="1:28" s="444" customFormat="1">
      <c r="A737" s="702"/>
      <c r="B737" s="446" t="s">
        <v>187</v>
      </c>
      <c r="C737" s="486">
        <v>6354</v>
      </c>
      <c r="D737" s="448" t="s">
        <v>348</v>
      </c>
      <c r="E737" s="449" t="s">
        <v>347</v>
      </c>
      <c r="F737" s="448" t="s">
        <v>348</v>
      </c>
      <c r="G737" s="589">
        <v>46228</v>
      </c>
      <c r="H737" s="450"/>
      <c r="I737" s="346" t="s">
        <v>183</v>
      </c>
      <c r="J737" s="295"/>
      <c r="K737" s="295"/>
      <c r="L737" s="451"/>
      <c r="M737" s="452"/>
      <c r="N737" s="452"/>
      <c r="O737" s="452"/>
      <c r="P737" s="452"/>
      <c r="Q737" s="453"/>
      <c r="R737" s="452"/>
      <c r="S737" s="473"/>
      <c r="T737" s="453"/>
      <c r="U737" s="452"/>
      <c r="V737" s="453"/>
      <c r="W737" s="454"/>
      <c r="X737" s="455"/>
      <c r="Y737" s="456"/>
      <c r="Z737" s="457"/>
      <c r="AA737" s="458"/>
      <c r="AB737" s="443"/>
    </row>
    <row r="738" spans="1:28" s="444" customFormat="1">
      <c r="A738" s="702"/>
      <c r="B738" s="446"/>
      <c r="C738" s="486"/>
      <c r="D738" s="449"/>
      <c r="E738" s="449"/>
      <c r="F738" s="449"/>
      <c r="G738" s="600"/>
      <c r="H738" s="450"/>
      <c r="I738" s="502"/>
      <c r="J738" s="474"/>
      <c r="K738" s="475"/>
      <c r="L738" s="476"/>
      <c r="M738" s="477"/>
      <c r="N738" s="477"/>
      <c r="O738" s="477"/>
      <c r="P738" s="477"/>
      <c r="Q738" s="478"/>
      <c r="R738" s="477"/>
      <c r="S738" s="479"/>
      <c r="T738" s="453"/>
      <c r="U738" s="452"/>
      <c r="V738" s="453"/>
      <c r="W738" s="454"/>
      <c r="X738" s="455"/>
      <c r="Y738" s="456"/>
      <c r="Z738" s="457"/>
      <c r="AA738" s="458"/>
      <c r="AB738" s="443"/>
    </row>
    <row r="739" spans="1:28" s="444" customFormat="1">
      <c r="A739" s="703"/>
      <c r="B739" s="481"/>
      <c r="C739" s="446"/>
      <c r="D739" s="481"/>
      <c r="E739" s="449"/>
      <c r="F739" s="481"/>
      <c r="G739" s="601"/>
      <c r="H739" s="482"/>
      <c r="I739" s="483"/>
      <c r="J739" s="484"/>
      <c r="K739" s="485"/>
      <c r="L739" s="483"/>
      <c r="M739" s="483">
        <f t="shared" ref="M739:AA739" si="41">SUM(M722:M738)</f>
        <v>96</v>
      </c>
      <c r="N739" s="483">
        <f t="shared" si="41"/>
        <v>0</v>
      </c>
      <c r="O739" s="483">
        <f t="shared" si="41"/>
        <v>66</v>
      </c>
      <c r="P739" s="483">
        <f t="shared" si="41"/>
        <v>0</v>
      </c>
      <c r="Q739" s="483">
        <f t="shared" si="41"/>
        <v>0</v>
      </c>
      <c r="R739" s="483">
        <f t="shared" si="41"/>
        <v>0</v>
      </c>
      <c r="S739" s="483">
        <f t="shared" si="41"/>
        <v>0</v>
      </c>
      <c r="T739" s="483">
        <f t="shared" si="41"/>
        <v>0</v>
      </c>
      <c r="U739" s="483">
        <f t="shared" si="41"/>
        <v>0</v>
      </c>
      <c r="V739" s="483">
        <f t="shared" si="41"/>
        <v>0</v>
      </c>
      <c r="W739" s="483">
        <f t="shared" si="41"/>
        <v>0</v>
      </c>
      <c r="X739" s="483">
        <f t="shared" si="41"/>
        <v>0</v>
      </c>
      <c r="Y739" s="483">
        <f t="shared" si="41"/>
        <v>0</v>
      </c>
      <c r="Z739" s="483">
        <f t="shared" si="41"/>
        <v>0</v>
      </c>
      <c r="AA739" s="491">
        <f t="shared" si="41"/>
        <v>0</v>
      </c>
      <c r="AB739" s="443"/>
    </row>
    <row r="740" spans="1:28" s="444" customFormat="1">
      <c r="A740" s="435" t="s">
        <v>170</v>
      </c>
      <c r="B740" s="435" t="s">
        <v>120</v>
      </c>
      <c r="C740" s="435" t="s">
        <v>152</v>
      </c>
      <c r="D740" s="435" t="s">
        <v>182</v>
      </c>
      <c r="E740" s="436" t="s">
        <v>153</v>
      </c>
      <c r="F740" s="435" t="s">
        <v>182</v>
      </c>
      <c r="G740" s="599" t="s">
        <v>401</v>
      </c>
      <c r="H740" s="437"/>
      <c r="I740" s="438" t="s">
        <v>181</v>
      </c>
      <c r="J740" s="439" t="s">
        <v>154</v>
      </c>
      <c r="K740" s="439" t="s">
        <v>155</v>
      </c>
      <c r="L740" s="440" t="s">
        <v>156</v>
      </c>
      <c r="M740" s="441" t="s">
        <v>157</v>
      </c>
      <c r="N740" s="440" t="s">
        <v>158</v>
      </c>
      <c r="O740" s="440" t="s">
        <v>159</v>
      </c>
      <c r="P740" s="440" t="s">
        <v>174</v>
      </c>
      <c r="Q740" s="440" t="s">
        <v>160</v>
      </c>
      <c r="R740" s="440" t="s">
        <v>161</v>
      </c>
      <c r="S740" s="440" t="s">
        <v>162</v>
      </c>
      <c r="T740" s="438" t="s">
        <v>163</v>
      </c>
      <c r="U740" s="438" t="s">
        <v>164</v>
      </c>
      <c r="V740" s="438" t="s">
        <v>165</v>
      </c>
      <c r="W740" s="440" t="s">
        <v>113</v>
      </c>
      <c r="X740" s="438" t="s">
        <v>121</v>
      </c>
      <c r="Y740" s="438" t="s">
        <v>166</v>
      </c>
      <c r="Z740" s="442" t="s">
        <v>175</v>
      </c>
      <c r="AA740" s="442" t="s">
        <v>167</v>
      </c>
      <c r="AB740" s="443"/>
    </row>
    <row r="741" spans="1:28" s="444" customFormat="1">
      <c r="A741" s="701"/>
      <c r="B741" s="446" t="s">
        <v>187</v>
      </c>
      <c r="C741" s="447">
        <v>14267</v>
      </c>
      <c r="D741" s="448" t="s">
        <v>346</v>
      </c>
      <c r="E741" s="449" t="s">
        <v>345</v>
      </c>
      <c r="F741" s="448" t="s">
        <v>346</v>
      </c>
      <c r="G741" s="589">
        <v>46214</v>
      </c>
      <c r="H741" s="450"/>
      <c r="I741" s="450"/>
      <c r="J741" s="295"/>
      <c r="K741" s="295"/>
      <c r="L741" s="451"/>
      <c r="M741" s="452"/>
      <c r="N741" s="452"/>
      <c r="O741" s="452"/>
      <c r="P741" s="452"/>
      <c r="Q741" s="453"/>
      <c r="R741" s="452"/>
      <c r="S741" s="452"/>
      <c r="T741" s="453"/>
      <c r="U741" s="452"/>
      <c r="V741" s="453"/>
      <c r="W741" s="454"/>
      <c r="X741" s="455"/>
      <c r="Y741" s="456"/>
      <c r="Z741" s="457"/>
      <c r="AA741" s="458"/>
      <c r="AB741" s="443"/>
    </row>
    <row r="742" spans="1:28" s="444" customFormat="1">
      <c r="A742" s="702"/>
      <c r="B742" s="446" t="s">
        <v>187</v>
      </c>
      <c r="C742" s="447">
        <v>14267</v>
      </c>
      <c r="D742" s="448" t="s">
        <v>346</v>
      </c>
      <c r="E742" s="449" t="s">
        <v>345</v>
      </c>
      <c r="F742" s="448" t="s">
        <v>346</v>
      </c>
      <c r="G742" s="590">
        <v>46215</v>
      </c>
      <c r="H742" s="450"/>
      <c r="I742" s="346"/>
      <c r="J742" s="699" t="s">
        <v>173</v>
      </c>
      <c r="K742" s="700"/>
      <c r="L742" s="347"/>
      <c r="M742" s="348"/>
      <c r="N742" s="348"/>
      <c r="O742" s="348"/>
      <c r="P742" s="452"/>
      <c r="Q742" s="453"/>
      <c r="R742" s="452"/>
      <c r="S742" s="452"/>
      <c r="T742" s="453"/>
      <c r="U742" s="452"/>
      <c r="V742" s="453"/>
      <c r="W742" s="454"/>
      <c r="X742" s="455"/>
      <c r="Y742" s="456"/>
      <c r="Z742" s="457"/>
      <c r="AA742" s="458"/>
      <c r="AB742" s="443"/>
    </row>
    <row r="743" spans="1:28" s="444" customFormat="1">
      <c r="A743" s="702"/>
      <c r="B743" s="446" t="s">
        <v>187</v>
      </c>
      <c r="C743" s="447">
        <v>14267</v>
      </c>
      <c r="D743" s="448" t="s">
        <v>346</v>
      </c>
      <c r="E743" s="449" t="s">
        <v>345</v>
      </c>
      <c r="F743" s="448" t="s">
        <v>346</v>
      </c>
      <c r="G743" s="589">
        <v>46216</v>
      </c>
      <c r="H743" s="450"/>
      <c r="I743" s="346" t="s">
        <v>183</v>
      </c>
      <c r="J743" s="305">
        <v>0.77222222222222225</v>
      </c>
      <c r="K743" s="305">
        <v>0.16805555555555557</v>
      </c>
      <c r="L743" s="347" t="s">
        <v>168</v>
      </c>
      <c r="M743" s="348">
        <v>8</v>
      </c>
      <c r="N743" s="348"/>
      <c r="O743" s="348">
        <v>6</v>
      </c>
      <c r="P743" s="452"/>
      <c r="Q743" s="453"/>
      <c r="R743" s="452"/>
      <c r="S743" s="452"/>
      <c r="T743" s="453"/>
      <c r="U743" s="452"/>
      <c r="V743" s="453"/>
      <c r="W743" s="454"/>
      <c r="X743" s="455"/>
      <c r="Y743" s="456"/>
      <c r="Z743" s="457"/>
      <c r="AA743" s="458"/>
      <c r="AB743" s="443"/>
    </row>
    <row r="744" spans="1:28" s="444" customFormat="1">
      <c r="A744" s="702"/>
      <c r="B744" s="446" t="s">
        <v>187</v>
      </c>
      <c r="C744" s="447">
        <v>14267</v>
      </c>
      <c r="D744" s="448" t="s">
        <v>346</v>
      </c>
      <c r="E744" s="449" t="s">
        <v>345</v>
      </c>
      <c r="F744" s="448" t="s">
        <v>346</v>
      </c>
      <c r="G744" s="589">
        <v>46217</v>
      </c>
      <c r="H744" s="450"/>
      <c r="I744" s="346" t="s">
        <v>183</v>
      </c>
      <c r="J744" s="305">
        <v>0.76874999999999993</v>
      </c>
      <c r="K744" s="305">
        <v>0.1673611111111111</v>
      </c>
      <c r="L744" s="451" t="s">
        <v>168</v>
      </c>
      <c r="M744" s="348">
        <v>8</v>
      </c>
      <c r="N744" s="348"/>
      <c r="O744" s="348">
        <v>6</v>
      </c>
      <c r="P744" s="462"/>
      <c r="Q744" s="461"/>
      <c r="R744" s="462"/>
      <c r="S744" s="462"/>
      <c r="T744" s="461"/>
      <c r="U744" s="462"/>
      <c r="V744" s="461"/>
      <c r="W744" s="463"/>
      <c r="X744" s="464"/>
      <c r="Y744" s="465"/>
      <c r="Z744" s="466"/>
      <c r="AA744" s="467"/>
      <c r="AB744" s="443"/>
    </row>
    <row r="745" spans="1:28" s="444" customFormat="1">
      <c r="A745" s="702"/>
      <c r="B745" s="446" t="s">
        <v>187</v>
      </c>
      <c r="C745" s="503">
        <v>14267</v>
      </c>
      <c r="D745" s="448" t="s">
        <v>346</v>
      </c>
      <c r="E745" s="504" t="s">
        <v>345</v>
      </c>
      <c r="F745" s="448" t="s">
        <v>346</v>
      </c>
      <c r="G745" s="589">
        <v>46218</v>
      </c>
      <c r="H745" s="450"/>
      <c r="I745" s="346" t="s">
        <v>183</v>
      </c>
      <c r="J745" s="305">
        <v>0.77569444444444446</v>
      </c>
      <c r="K745" s="305">
        <v>0.16805555555555554</v>
      </c>
      <c r="L745" s="451" t="s">
        <v>168</v>
      </c>
      <c r="M745" s="348">
        <v>8</v>
      </c>
      <c r="N745" s="348"/>
      <c r="O745" s="348">
        <v>6</v>
      </c>
      <c r="P745" s="452"/>
      <c r="Q745" s="453"/>
      <c r="R745" s="452"/>
      <c r="S745" s="452"/>
      <c r="T745" s="453"/>
      <c r="U745" s="452"/>
      <c r="V745" s="453"/>
      <c r="W745" s="454"/>
      <c r="X745" s="455"/>
      <c r="Y745" s="456"/>
      <c r="Z745" s="457"/>
      <c r="AA745" s="458"/>
      <c r="AB745" s="443"/>
    </row>
    <row r="746" spans="1:28" s="444" customFormat="1">
      <c r="A746" s="702"/>
      <c r="B746" s="446" t="s">
        <v>187</v>
      </c>
      <c r="C746" s="447">
        <v>14267</v>
      </c>
      <c r="D746" s="448" t="s">
        <v>346</v>
      </c>
      <c r="E746" s="449" t="s">
        <v>345</v>
      </c>
      <c r="F746" s="448" t="s">
        <v>346</v>
      </c>
      <c r="G746" s="589">
        <v>46219</v>
      </c>
      <c r="H746" s="450"/>
      <c r="I746" s="346" t="s">
        <v>183</v>
      </c>
      <c r="J746" s="305">
        <v>0.77430555555555547</v>
      </c>
      <c r="K746" s="305">
        <v>0.16805555555555554</v>
      </c>
      <c r="L746" s="451" t="s">
        <v>168</v>
      </c>
      <c r="M746" s="348">
        <v>8</v>
      </c>
      <c r="N746" s="348"/>
      <c r="O746" s="348">
        <v>6</v>
      </c>
      <c r="P746" s="452"/>
      <c r="Q746" s="453"/>
      <c r="R746" s="452"/>
      <c r="S746" s="452"/>
      <c r="T746" s="453"/>
      <c r="U746" s="452"/>
      <c r="V746" s="453"/>
      <c r="W746" s="454"/>
      <c r="X746" s="455"/>
      <c r="Y746" s="456"/>
      <c r="Z746" s="457"/>
      <c r="AA746" s="458"/>
      <c r="AB746" s="443"/>
    </row>
    <row r="747" spans="1:28" s="444" customFormat="1">
      <c r="A747" s="702"/>
      <c r="B747" s="446" t="s">
        <v>187</v>
      </c>
      <c r="C747" s="503">
        <v>14267</v>
      </c>
      <c r="D747" s="448" t="s">
        <v>346</v>
      </c>
      <c r="E747" s="504" t="s">
        <v>345</v>
      </c>
      <c r="F747" s="448" t="s">
        <v>346</v>
      </c>
      <c r="G747" s="589">
        <v>46220</v>
      </c>
      <c r="H747" s="450"/>
      <c r="I747" s="346" t="s">
        <v>183</v>
      </c>
      <c r="J747" s="305">
        <v>0.77222222222222225</v>
      </c>
      <c r="K747" s="305">
        <v>0.1673611111111111</v>
      </c>
      <c r="L747" s="451" t="s">
        <v>168</v>
      </c>
      <c r="M747" s="348">
        <v>8</v>
      </c>
      <c r="N747" s="348"/>
      <c r="O747" s="348">
        <v>6</v>
      </c>
      <c r="P747" s="452"/>
      <c r="Q747" s="453"/>
      <c r="R747" s="452"/>
      <c r="S747" s="452"/>
      <c r="T747" s="453"/>
      <c r="U747" s="452"/>
      <c r="V747" s="453"/>
      <c r="W747" s="454"/>
      <c r="X747" s="455"/>
      <c r="Y747" s="456"/>
      <c r="Z747" s="457"/>
      <c r="AA747" s="458"/>
      <c r="AB747" s="443"/>
    </row>
    <row r="748" spans="1:28" s="444" customFormat="1">
      <c r="A748" s="702"/>
      <c r="B748" s="446" t="s">
        <v>187</v>
      </c>
      <c r="C748" s="503">
        <v>14267</v>
      </c>
      <c r="D748" s="448" t="s">
        <v>346</v>
      </c>
      <c r="E748" s="504" t="s">
        <v>345</v>
      </c>
      <c r="F748" s="448" t="s">
        <v>346</v>
      </c>
      <c r="G748" s="589">
        <v>46221</v>
      </c>
      <c r="H748" s="450"/>
      <c r="I748" s="346" t="s">
        <v>183</v>
      </c>
      <c r="J748" s="305">
        <v>0.76527777777777772</v>
      </c>
      <c r="K748" s="305">
        <v>0.1673611111111111</v>
      </c>
      <c r="L748" s="451" t="s">
        <v>168</v>
      </c>
      <c r="M748" s="348">
        <v>8</v>
      </c>
      <c r="N748" s="348"/>
      <c r="O748" s="348">
        <v>6</v>
      </c>
      <c r="P748" s="452"/>
      <c r="Q748" s="453"/>
      <c r="R748" s="452"/>
      <c r="S748" s="452"/>
      <c r="T748" s="453"/>
      <c r="U748" s="452"/>
      <c r="V748" s="453"/>
      <c r="W748" s="454"/>
      <c r="X748" s="455"/>
      <c r="Y748" s="456"/>
      <c r="Z748" s="457"/>
      <c r="AA748" s="458"/>
      <c r="AB748" s="443"/>
    </row>
    <row r="749" spans="1:28" s="444" customFormat="1">
      <c r="A749" s="702"/>
      <c r="B749" s="446" t="s">
        <v>187</v>
      </c>
      <c r="C749" s="503">
        <v>14267</v>
      </c>
      <c r="D749" s="448" t="s">
        <v>346</v>
      </c>
      <c r="E749" s="504" t="s">
        <v>345</v>
      </c>
      <c r="F749" s="448" t="s">
        <v>346</v>
      </c>
      <c r="G749" s="590">
        <v>46222</v>
      </c>
      <c r="H749" s="450"/>
      <c r="I749" s="450"/>
      <c r="J749" s="699" t="s">
        <v>173</v>
      </c>
      <c r="K749" s="700"/>
      <c r="L749" s="451"/>
      <c r="M749" s="452"/>
      <c r="N749" s="471"/>
      <c r="O749" s="452"/>
      <c r="P749" s="452"/>
      <c r="Q749" s="453"/>
      <c r="R749" s="452"/>
      <c r="S749" s="452"/>
      <c r="T749" s="453"/>
      <c r="U749" s="452"/>
      <c r="V749" s="453"/>
      <c r="W749" s="454"/>
      <c r="X749" s="455"/>
      <c r="Y749" s="456"/>
      <c r="Z749" s="457"/>
      <c r="AA749" s="458"/>
      <c r="AB749" s="443"/>
    </row>
    <row r="750" spans="1:28" s="444" customFormat="1">
      <c r="A750" s="702"/>
      <c r="B750" s="446" t="s">
        <v>187</v>
      </c>
      <c r="C750" s="503">
        <v>14267</v>
      </c>
      <c r="D750" s="448" t="s">
        <v>346</v>
      </c>
      <c r="E750" s="504" t="s">
        <v>345</v>
      </c>
      <c r="F750" s="448" t="s">
        <v>346</v>
      </c>
      <c r="G750" s="589">
        <v>46223</v>
      </c>
      <c r="H750" s="450"/>
      <c r="I750" s="346" t="s">
        <v>183</v>
      </c>
      <c r="J750" s="295">
        <v>0.77569444444444446</v>
      </c>
      <c r="K750" s="295">
        <v>0.1673611111111111</v>
      </c>
      <c r="L750" s="451" t="s">
        <v>168</v>
      </c>
      <c r="M750" s="348">
        <v>8</v>
      </c>
      <c r="N750" s="348"/>
      <c r="O750" s="348">
        <v>6</v>
      </c>
      <c r="P750" s="462"/>
      <c r="Q750" s="461"/>
      <c r="R750" s="462"/>
      <c r="S750" s="462"/>
      <c r="T750" s="461"/>
      <c r="U750" s="462"/>
      <c r="V750" s="461"/>
      <c r="W750" s="454"/>
      <c r="X750" s="455"/>
      <c r="Y750" s="456"/>
      <c r="Z750" s="457"/>
      <c r="AA750" s="458"/>
      <c r="AB750" s="443"/>
    </row>
    <row r="751" spans="1:28" s="444" customFormat="1">
      <c r="A751" s="702"/>
      <c r="B751" s="446" t="s">
        <v>187</v>
      </c>
      <c r="C751" s="503">
        <v>14267</v>
      </c>
      <c r="D751" s="448" t="s">
        <v>346</v>
      </c>
      <c r="E751" s="504" t="s">
        <v>345</v>
      </c>
      <c r="F751" s="448" t="s">
        <v>346</v>
      </c>
      <c r="G751" s="589">
        <v>46224</v>
      </c>
      <c r="H751" s="450"/>
      <c r="I751" s="346" t="s">
        <v>183</v>
      </c>
      <c r="J751" s="295">
        <v>0.77569444444444446</v>
      </c>
      <c r="K751" s="295">
        <v>0.1673611111111111</v>
      </c>
      <c r="L751" s="451" t="s">
        <v>168</v>
      </c>
      <c r="M751" s="348">
        <v>8</v>
      </c>
      <c r="N751" s="348"/>
      <c r="O751" s="348">
        <v>6</v>
      </c>
      <c r="P751" s="462"/>
      <c r="Q751" s="461"/>
      <c r="R751" s="462"/>
      <c r="S751" s="462"/>
      <c r="T751" s="461"/>
      <c r="U751" s="462"/>
      <c r="V751" s="461"/>
      <c r="W751" s="463"/>
      <c r="X751" s="464"/>
      <c r="Y751" s="465"/>
      <c r="Z751" s="466"/>
      <c r="AA751" s="467"/>
      <c r="AB751" s="443"/>
    </row>
    <row r="752" spans="1:28" s="444" customFormat="1">
      <c r="A752" s="702"/>
      <c r="B752" s="446" t="s">
        <v>187</v>
      </c>
      <c r="C752" s="503">
        <v>14267</v>
      </c>
      <c r="D752" s="448" t="s">
        <v>346</v>
      </c>
      <c r="E752" s="504" t="s">
        <v>345</v>
      </c>
      <c r="F752" s="448" t="s">
        <v>346</v>
      </c>
      <c r="G752" s="589">
        <v>46225</v>
      </c>
      <c r="H752" s="450"/>
      <c r="I752" s="346" t="s">
        <v>183</v>
      </c>
      <c r="J752" s="295">
        <v>0.77777777777777779</v>
      </c>
      <c r="K752" s="295">
        <v>0.1673611111111111</v>
      </c>
      <c r="L752" s="451" t="s">
        <v>168</v>
      </c>
      <c r="M752" s="348">
        <v>8</v>
      </c>
      <c r="N752" s="348"/>
      <c r="O752" s="348">
        <v>6</v>
      </c>
      <c r="P752" s="452"/>
      <c r="Q752" s="453"/>
      <c r="R752" s="452"/>
      <c r="S752" s="452"/>
      <c r="T752" s="453"/>
      <c r="U752" s="452"/>
      <c r="V752" s="453"/>
      <c r="W752" s="454"/>
      <c r="X752" s="455"/>
      <c r="Y752" s="456"/>
      <c r="Z752" s="457"/>
      <c r="AA752" s="458"/>
      <c r="AB752" s="443"/>
    </row>
    <row r="753" spans="1:28" s="444" customFormat="1">
      <c r="A753" s="702"/>
      <c r="B753" s="446" t="s">
        <v>187</v>
      </c>
      <c r="C753" s="503">
        <v>14267</v>
      </c>
      <c r="D753" s="448" t="s">
        <v>346</v>
      </c>
      <c r="E753" s="504" t="s">
        <v>345</v>
      </c>
      <c r="F753" s="448" t="s">
        <v>346</v>
      </c>
      <c r="G753" s="589">
        <v>46226</v>
      </c>
      <c r="H753" s="450"/>
      <c r="I753" s="346" t="s">
        <v>183</v>
      </c>
      <c r="J753" s="295">
        <v>0.77500000000000002</v>
      </c>
      <c r="K753" s="295">
        <v>0.1673611111111111</v>
      </c>
      <c r="L753" s="451" t="s">
        <v>168</v>
      </c>
      <c r="M753" s="348">
        <v>8</v>
      </c>
      <c r="N753" s="348"/>
      <c r="O753" s="348">
        <v>6</v>
      </c>
      <c r="P753" s="470"/>
      <c r="Q753" s="453"/>
      <c r="R753" s="452"/>
      <c r="S753" s="452"/>
      <c r="T753" s="453"/>
      <c r="U753" s="452"/>
      <c r="V753" s="453"/>
      <c r="W753" s="454"/>
      <c r="X753" s="455"/>
      <c r="Y753" s="456"/>
      <c r="Z753" s="457"/>
      <c r="AA753" s="458"/>
      <c r="AB753" s="443"/>
    </row>
    <row r="754" spans="1:28" s="444" customFormat="1">
      <c r="A754" s="702"/>
      <c r="B754" s="446" t="s">
        <v>187</v>
      </c>
      <c r="C754" s="503">
        <v>14267</v>
      </c>
      <c r="D754" s="448" t="s">
        <v>346</v>
      </c>
      <c r="E754" s="504" t="s">
        <v>345</v>
      </c>
      <c r="F754" s="448" t="s">
        <v>346</v>
      </c>
      <c r="G754" s="589">
        <v>46227</v>
      </c>
      <c r="H754" s="450"/>
      <c r="I754" s="346" t="s">
        <v>183</v>
      </c>
      <c r="J754" s="295">
        <v>0.77569444444444446</v>
      </c>
      <c r="K754" s="318">
        <v>0.1673611111111111</v>
      </c>
      <c r="L754" s="451" t="s">
        <v>168</v>
      </c>
      <c r="M754" s="348">
        <v>8</v>
      </c>
      <c r="N754" s="348"/>
      <c r="O754" s="348">
        <v>6</v>
      </c>
      <c r="P754" s="471"/>
      <c r="Q754" s="472"/>
      <c r="R754" s="471"/>
      <c r="S754" s="471"/>
      <c r="T754" s="453"/>
      <c r="U754" s="452"/>
      <c r="V754" s="453"/>
      <c r="W754" s="454"/>
      <c r="X754" s="455"/>
      <c r="Y754" s="456"/>
      <c r="Z754" s="457"/>
      <c r="AA754" s="458"/>
      <c r="AB754" s="443"/>
    </row>
    <row r="755" spans="1:28" s="444" customFormat="1">
      <c r="A755" s="702"/>
      <c r="B755" s="446" t="s">
        <v>187</v>
      </c>
      <c r="C755" s="503">
        <v>14267</v>
      </c>
      <c r="D755" s="448" t="s">
        <v>346</v>
      </c>
      <c r="E755" s="504" t="s">
        <v>345</v>
      </c>
      <c r="F755" s="448" t="s">
        <v>346</v>
      </c>
      <c r="G755" s="589">
        <v>46228</v>
      </c>
      <c r="H755" s="450"/>
      <c r="I755" s="346" t="s">
        <v>183</v>
      </c>
      <c r="J755" s="295"/>
      <c r="K755" s="295"/>
      <c r="L755" s="451"/>
      <c r="M755" s="452"/>
      <c r="N755" s="452"/>
      <c r="O755" s="452"/>
      <c r="P755" s="452"/>
      <c r="Q755" s="453"/>
      <c r="R755" s="452"/>
      <c r="S755" s="473"/>
      <c r="T755" s="453"/>
      <c r="U755" s="452"/>
      <c r="V755" s="453"/>
      <c r="W755" s="454"/>
      <c r="X755" s="455"/>
      <c r="Y755" s="456"/>
      <c r="Z755" s="457"/>
      <c r="AA755" s="458"/>
      <c r="AB755" s="443"/>
    </row>
    <row r="756" spans="1:28" s="444" customFormat="1">
      <c r="A756" s="702"/>
      <c r="B756" s="446"/>
      <c r="C756" s="503"/>
      <c r="D756" s="449"/>
      <c r="E756" s="504"/>
      <c r="F756" s="449"/>
      <c r="G756" s="600"/>
      <c r="H756" s="450"/>
      <c r="I756" s="450"/>
      <c r="J756" s="474"/>
      <c r="K756" s="475"/>
      <c r="L756" s="476"/>
      <c r="M756" s="477"/>
      <c r="N756" s="477"/>
      <c r="O756" s="477"/>
      <c r="P756" s="477"/>
      <c r="Q756" s="478"/>
      <c r="R756" s="477"/>
      <c r="S756" s="479"/>
      <c r="T756" s="453"/>
      <c r="U756" s="452"/>
      <c r="V756" s="453"/>
      <c r="W756" s="454"/>
      <c r="X756" s="455"/>
      <c r="Y756" s="456"/>
      <c r="Z756" s="457"/>
      <c r="AA756" s="458"/>
      <c r="AB756" s="443"/>
    </row>
    <row r="757" spans="1:28" s="444" customFormat="1">
      <c r="A757" s="703"/>
      <c r="B757" s="481"/>
      <c r="C757" s="446"/>
      <c r="D757" s="481"/>
      <c r="E757" s="449"/>
      <c r="F757" s="481"/>
      <c r="G757" s="601"/>
      <c r="H757" s="482"/>
      <c r="I757" s="483"/>
      <c r="J757" s="484"/>
      <c r="K757" s="485"/>
      <c r="L757" s="483"/>
      <c r="M757" s="483">
        <f t="shared" ref="M757:AA757" si="42">SUM(M740:M756)</f>
        <v>88</v>
      </c>
      <c r="N757" s="483">
        <f t="shared" si="42"/>
        <v>0</v>
      </c>
      <c r="O757" s="483">
        <f t="shared" si="42"/>
        <v>66</v>
      </c>
      <c r="P757" s="483">
        <f t="shared" si="42"/>
        <v>0</v>
      </c>
      <c r="Q757" s="483">
        <f t="shared" si="42"/>
        <v>0</v>
      </c>
      <c r="R757" s="483">
        <f t="shared" si="42"/>
        <v>0</v>
      </c>
      <c r="S757" s="483">
        <f t="shared" si="42"/>
        <v>0</v>
      </c>
      <c r="T757" s="483">
        <f t="shared" si="42"/>
        <v>0</v>
      </c>
      <c r="U757" s="483">
        <f t="shared" si="42"/>
        <v>0</v>
      </c>
      <c r="V757" s="483">
        <f t="shared" si="42"/>
        <v>0</v>
      </c>
      <c r="W757" s="483">
        <f t="shared" si="42"/>
        <v>0</v>
      </c>
      <c r="X757" s="483">
        <f t="shared" si="42"/>
        <v>0</v>
      </c>
      <c r="Y757" s="483">
        <f t="shared" si="42"/>
        <v>0</v>
      </c>
      <c r="Z757" s="483">
        <f t="shared" si="42"/>
        <v>0</v>
      </c>
      <c r="AA757" s="483">
        <f t="shared" si="42"/>
        <v>0</v>
      </c>
      <c r="AB757" s="443"/>
    </row>
    <row r="758" spans="1:28" s="444" customFormat="1">
      <c r="A758" s="435" t="s">
        <v>170</v>
      </c>
      <c r="B758" s="435" t="s">
        <v>120</v>
      </c>
      <c r="C758" s="435" t="s">
        <v>152</v>
      </c>
      <c r="D758" s="435" t="s">
        <v>182</v>
      </c>
      <c r="E758" s="436" t="s">
        <v>153</v>
      </c>
      <c r="F758" s="435" t="s">
        <v>182</v>
      </c>
      <c r="G758" s="599" t="s">
        <v>401</v>
      </c>
      <c r="H758" s="437"/>
      <c r="I758" s="438" t="s">
        <v>181</v>
      </c>
      <c r="J758" s="439" t="s">
        <v>154</v>
      </c>
      <c r="K758" s="439" t="s">
        <v>155</v>
      </c>
      <c r="L758" s="440" t="s">
        <v>156</v>
      </c>
      <c r="M758" s="441" t="s">
        <v>157</v>
      </c>
      <c r="N758" s="440" t="s">
        <v>158</v>
      </c>
      <c r="O758" s="440" t="s">
        <v>159</v>
      </c>
      <c r="P758" s="440" t="s">
        <v>174</v>
      </c>
      <c r="Q758" s="440" t="s">
        <v>160</v>
      </c>
      <c r="R758" s="440" t="s">
        <v>161</v>
      </c>
      <c r="S758" s="440" t="s">
        <v>162</v>
      </c>
      <c r="T758" s="438" t="s">
        <v>163</v>
      </c>
      <c r="U758" s="438" t="s">
        <v>164</v>
      </c>
      <c r="V758" s="438" t="s">
        <v>165</v>
      </c>
      <c r="W758" s="440" t="s">
        <v>113</v>
      </c>
      <c r="X758" s="438" t="s">
        <v>121</v>
      </c>
      <c r="Y758" s="438" t="s">
        <v>166</v>
      </c>
      <c r="Z758" s="442" t="s">
        <v>175</v>
      </c>
      <c r="AA758" s="442" t="s">
        <v>167</v>
      </c>
      <c r="AB758" s="443"/>
    </row>
    <row r="759" spans="1:28" s="444" customFormat="1">
      <c r="A759" s="701"/>
      <c r="B759" s="446" t="s">
        <v>187</v>
      </c>
      <c r="C759" s="447">
        <v>10424</v>
      </c>
      <c r="D759" s="448" t="s">
        <v>344</v>
      </c>
      <c r="E759" s="449" t="s">
        <v>343</v>
      </c>
      <c r="F759" s="448" t="s">
        <v>344</v>
      </c>
      <c r="G759" s="589">
        <v>46214</v>
      </c>
      <c r="H759" s="450"/>
      <c r="I759" s="450" t="s">
        <v>186</v>
      </c>
      <c r="J759" s="295">
        <v>0.31458333333333333</v>
      </c>
      <c r="K759" s="295">
        <v>0.7104166666666667</v>
      </c>
      <c r="L759" s="451" t="s">
        <v>169</v>
      </c>
      <c r="M759" s="452">
        <v>8</v>
      </c>
      <c r="N759" s="452"/>
      <c r="O759" s="452"/>
      <c r="P759" s="452"/>
      <c r="Q759" s="453"/>
      <c r="R759" s="452"/>
      <c r="S759" s="452"/>
      <c r="T759" s="453"/>
      <c r="U759" s="452"/>
      <c r="V759" s="453"/>
      <c r="W759" s="454"/>
      <c r="X759" s="455"/>
      <c r="Y759" s="456"/>
      <c r="Z759" s="457"/>
      <c r="AA759" s="458"/>
      <c r="AB759" s="443"/>
    </row>
    <row r="760" spans="1:28" s="444" customFormat="1">
      <c r="A760" s="702"/>
      <c r="B760" s="446" t="s">
        <v>187</v>
      </c>
      <c r="C760" s="447">
        <v>10424</v>
      </c>
      <c r="D760" s="448" t="s">
        <v>344</v>
      </c>
      <c r="E760" s="449" t="s">
        <v>343</v>
      </c>
      <c r="F760" s="448" t="s">
        <v>344</v>
      </c>
      <c r="G760" s="590">
        <v>46215</v>
      </c>
      <c r="H760" s="450"/>
      <c r="I760" s="346"/>
      <c r="J760" s="699" t="s">
        <v>173</v>
      </c>
      <c r="K760" s="700"/>
      <c r="L760" s="347"/>
      <c r="M760" s="348"/>
      <c r="N760" s="348"/>
      <c r="O760" s="348"/>
      <c r="P760" s="452"/>
      <c r="Q760" s="453"/>
      <c r="R760" s="452"/>
      <c r="S760" s="452"/>
      <c r="T760" s="453"/>
      <c r="U760" s="452"/>
      <c r="V760" s="453"/>
      <c r="W760" s="454"/>
      <c r="X760" s="455"/>
      <c r="Y760" s="456"/>
      <c r="Z760" s="457"/>
      <c r="AA760" s="458"/>
      <c r="AB760" s="443"/>
    </row>
    <row r="761" spans="1:28" s="444" customFormat="1">
      <c r="A761" s="702"/>
      <c r="B761" s="446" t="s">
        <v>187</v>
      </c>
      <c r="C761" s="446">
        <v>10424</v>
      </c>
      <c r="D761" s="448" t="s">
        <v>344</v>
      </c>
      <c r="E761" s="449" t="s">
        <v>343</v>
      </c>
      <c r="F761" s="448" t="s">
        <v>344</v>
      </c>
      <c r="G761" s="589">
        <v>46216</v>
      </c>
      <c r="H761" s="450"/>
      <c r="I761" s="346" t="s">
        <v>183</v>
      </c>
      <c r="J761" s="305">
        <v>0.77361111111111114</v>
      </c>
      <c r="K761" s="305">
        <v>0.16805555555555557</v>
      </c>
      <c r="L761" s="347" t="s">
        <v>168</v>
      </c>
      <c r="M761" s="348">
        <v>8</v>
      </c>
      <c r="N761" s="348"/>
      <c r="O761" s="348">
        <v>6</v>
      </c>
      <c r="P761" s="452"/>
      <c r="Q761" s="453"/>
      <c r="R761" s="452"/>
      <c r="S761" s="452"/>
      <c r="T761" s="453"/>
      <c r="U761" s="452"/>
      <c r="V761" s="453"/>
      <c r="W761" s="454"/>
      <c r="X761" s="455"/>
      <c r="Y761" s="456"/>
      <c r="Z761" s="457"/>
      <c r="AA761" s="458"/>
      <c r="AB761" s="443"/>
    </row>
    <row r="762" spans="1:28" s="444" customFormat="1">
      <c r="A762" s="702"/>
      <c r="B762" s="446" t="s">
        <v>187</v>
      </c>
      <c r="C762" s="446">
        <v>10424</v>
      </c>
      <c r="D762" s="448" t="s">
        <v>344</v>
      </c>
      <c r="E762" s="449" t="s">
        <v>343</v>
      </c>
      <c r="F762" s="448" t="s">
        <v>344</v>
      </c>
      <c r="G762" s="589">
        <v>46217</v>
      </c>
      <c r="H762" s="450"/>
      <c r="I762" s="346" t="s">
        <v>183</v>
      </c>
      <c r="J762" s="305">
        <v>0.77222222222222225</v>
      </c>
      <c r="K762" s="305">
        <v>0.16805555555555554</v>
      </c>
      <c r="L762" s="347" t="s">
        <v>168</v>
      </c>
      <c r="M762" s="348">
        <v>8</v>
      </c>
      <c r="N762" s="348"/>
      <c r="O762" s="348">
        <v>6</v>
      </c>
      <c r="P762" s="462"/>
      <c r="Q762" s="461"/>
      <c r="R762" s="462"/>
      <c r="S762" s="462"/>
      <c r="T762" s="461"/>
      <c r="U762" s="462"/>
      <c r="V762" s="461"/>
      <c r="W762" s="463"/>
      <c r="X762" s="464"/>
      <c r="Y762" s="465"/>
      <c r="Z762" s="466"/>
      <c r="AA762" s="467"/>
      <c r="AB762" s="443"/>
    </row>
    <row r="763" spans="1:28" s="444" customFormat="1">
      <c r="A763" s="702"/>
      <c r="B763" s="446" t="s">
        <v>187</v>
      </c>
      <c r="C763" s="446">
        <v>10424</v>
      </c>
      <c r="D763" s="448" t="s">
        <v>344</v>
      </c>
      <c r="E763" s="449" t="s">
        <v>343</v>
      </c>
      <c r="F763" s="448" t="s">
        <v>344</v>
      </c>
      <c r="G763" s="589">
        <v>46218</v>
      </c>
      <c r="H763" s="450"/>
      <c r="I763" s="346" t="s">
        <v>183</v>
      </c>
      <c r="J763" s="305">
        <v>0.77500000000000002</v>
      </c>
      <c r="K763" s="305">
        <v>0.16874999999999998</v>
      </c>
      <c r="L763" s="347" t="s">
        <v>168</v>
      </c>
      <c r="M763" s="348">
        <v>8</v>
      </c>
      <c r="N763" s="348"/>
      <c r="O763" s="348">
        <v>6</v>
      </c>
      <c r="P763" s="452"/>
      <c r="Q763" s="453"/>
      <c r="R763" s="452"/>
      <c r="S763" s="452"/>
      <c r="T763" s="453"/>
      <c r="U763" s="452"/>
      <c r="V763" s="453"/>
      <c r="W763" s="454"/>
      <c r="X763" s="455"/>
      <c r="Y763" s="456"/>
      <c r="Z763" s="457"/>
      <c r="AA763" s="458"/>
      <c r="AB763" s="443"/>
    </row>
    <row r="764" spans="1:28" s="444" customFormat="1">
      <c r="A764" s="702"/>
      <c r="B764" s="446" t="s">
        <v>187</v>
      </c>
      <c r="C764" s="446">
        <v>10424</v>
      </c>
      <c r="D764" s="448" t="s">
        <v>344</v>
      </c>
      <c r="E764" s="449" t="s">
        <v>343</v>
      </c>
      <c r="F764" s="448" t="s">
        <v>344</v>
      </c>
      <c r="G764" s="589">
        <v>46219</v>
      </c>
      <c r="H764" s="450"/>
      <c r="I764" s="346" t="s">
        <v>183</v>
      </c>
      <c r="J764" s="305">
        <v>0.77430555555555547</v>
      </c>
      <c r="K764" s="305">
        <v>0.1673611111111111</v>
      </c>
      <c r="L764" s="347" t="s">
        <v>168</v>
      </c>
      <c r="M764" s="348">
        <v>8</v>
      </c>
      <c r="N764" s="348"/>
      <c r="O764" s="348">
        <v>6</v>
      </c>
      <c r="P764" s="452"/>
      <c r="Q764" s="453"/>
      <c r="R764" s="452"/>
      <c r="S764" s="452"/>
      <c r="T764" s="453"/>
      <c r="U764" s="452"/>
      <c r="V764" s="453"/>
      <c r="W764" s="454"/>
      <c r="X764" s="455"/>
      <c r="Y764" s="456"/>
      <c r="Z764" s="457"/>
      <c r="AA764" s="458"/>
      <c r="AB764" s="443"/>
    </row>
    <row r="765" spans="1:28" s="444" customFormat="1">
      <c r="A765" s="702"/>
      <c r="B765" s="446" t="s">
        <v>187</v>
      </c>
      <c r="C765" s="446">
        <v>10424</v>
      </c>
      <c r="D765" s="448" t="s">
        <v>344</v>
      </c>
      <c r="E765" s="449" t="s">
        <v>343</v>
      </c>
      <c r="F765" s="448" t="s">
        <v>344</v>
      </c>
      <c r="G765" s="589">
        <v>46220</v>
      </c>
      <c r="H765" s="450"/>
      <c r="I765" s="346" t="s">
        <v>183</v>
      </c>
      <c r="J765" s="305">
        <v>0.77083333333333337</v>
      </c>
      <c r="K765" s="305">
        <v>0.16805555555555557</v>
      </c>
      <c r="L765" s="347" t="s">
        <v>168</v>
      </c>
      <c r="M765" s="348">
        <v>8</v>
      </c>
      <c r="N765" s="348"/>
      <c r="O765" s="348">
        <v>6</v>
      </c>
      <c r="P765" s="452"/>
      <c r="Q765" s="453"/>
      <c r="R765" s="452"/>
      <c r="S765" s="452"/>
      <c r="T765" s="453"/>
      <c r="U765" s="452"/>
      <c r="V765" s="453"/>
      <c r="W765" s="454"/>
      <c r="X765" s="455"/>
      <c r="Y765" s="456"/>
      <c r="Z765" s="457"/>
      <c r="AA765" s="458"/>
      <c r="AB765" s="443"/>
    </row>
    <row r="766" spans="1:28" s="444" customFormat="1">
      <c r="A766" s="702"/>
      <c r="B766" s="446" t="s">
        <v>187</v>
      </c>
      <c r="C766" s="446">
        <v>10424</v>
      </c>
      <c r="D766" s="448" t="s">
        <v>344</v>
      </c>
      <c r="E766" s="449" t="s">
        <v>343</v>
      </c>
      <c r="F766" s="448" t="s">
        <v>344</v>
      </c>
      <c r="G766" s="589">
        <v>46221</v>
      </c>
      <c r="H766" s="450"/>
      <c r="I766" s="346" t="s">
        <v>183</v>
      </c>
      <c r="J766" s="305">
        <v>0.7729166666666667</v>
      </c>
      <c r="K766" s="305">
        <v>0.16805555555555557</v>
      </c>
      <c r="L766" s="347" t="s">
        <v>168</v>
      </c>
      <c r="M766" s="348">
        <v>8</v>
      </c>
      <c r="N766" s="348"/>
      <c r="O766" s="348">
        <v>6</v>
      </c>
      <c r="P766" s="452"/>
      <c r="Q766" s="453"/>
      <c r="R766" s="452"/>
      <c r="S766" s="452"/>
      <c r="T766" s="453"/>
      <c r="U766" s="452"/>
      <c r="V766" s="453"/>
      <c r="W766" s="454"/>
      <c r="X766" s="455"/>
      <c r="Y766" s="456"/>
      <c r="Z766" s="457"/>
      <c r="AA766" s="458"/>
      <c r="AB766" s="443"/>
    </row>
    <row r="767" spans="1:28" s="444" customFormat="1">
      <c r="A767" s="702"/>
      <c r="B767" s="446" t="s">
        <v>187</v>
      </c>
      <c r="C767" s="446">
        <v>10424</v>
      </c>
      <c r="D767" s="448" t="s">
        <v>344</v>
      </c>
      <c r="E767" s="449" t="s">
        <v>343</v>
      </c>
      <c r="F767" s="448" t="s">
        <v>344</v>
      </c>
      <c r="G767" s="590">
        <v>46222</v>
      </c>
      <c r="H767" s="450"/>
      <c r="I767" s="450"/>
      <c r="J767" s="699" t="s">
        <v>173</v>
      </c>
      <c r="K767" s="700"/>
      <c r="L767" s="451"/>
      <c r="M767" s="452"/>
      <c r="N767" s="452"/>
      <c r="O767" s="452"/>
      <c r="P767" s="452"/>
      <c r="Q767" s="453"/>
      <c r="R767" s="452"/>
      <c r="S767" s="452"/>
      <c r="T767" s="453"/>
      <c r="U767" s="452"/>
      <c r="V767" s="453"/>
      <c r="W767" s="454"/>
      <c r="X767" s="455"/>
      <c r="Y767" s="456"/>
      <c r="Z767" s="457"/>
      <c r="AA767" s="458"/>
      <c r="AB767" s="443"/>
    </row>
    <row r="768" spans="1:28" s="444" customFormat="1">
      <c r="A768" s="702"/>
      <c r="B768" s="446" t="s">
        <v>187</v>
      </c>
      <c r="C768" s="446">
        <v>10424</v>
      </c>
      <c r="D768" s="448" t="s">
        <v>344</v>
      </c>
      <c r="E768" s="449" t="s">
        <v>343</v>
      </c>
      <c r="F768" s="448" t="s">
        <v>344</v>
      </c>
      <c r="G768" s="589">
        <v>46223</v>
      </c>
      <c r="H768" s="450"/>
      <c r="I768" s="346" t="s">
        <v>183</v>
      </c>
      <c r="J768" s="295">
        <v>0.77152777777777781</v>
      </c>
      <c r="K768" s="295">
        <v>0.16805555555555557</v>
      </c>
      <c r="L768" s="347" t="s">
        <v>168</v>
      </c>
      <c r="M768" s="348">
        <v>8</v>
      </c>
      <c r="N768" s="348"/>
      <c r="O768" s="348">
        <v>6</v>
      </c>
      <c r="P768" s="462"/>
      <c r="Q768" s="461"/>
      <c r="R768" s="462"/>
      <c r="S768" s="462"/>
      <c r="T768" s="461"/>
      <c r="U768" s="462"/>
      <c r="V768" s="461"/>
      <c r="W768" s="454"/>
      <c r="X768" s="455"/>
      <c r="Y768" s="456"/>
      <c r="Z768" s="457"/>
      <c r="AA768" s="458"/>
      <c r="AB768" s="443"/>
    </row>
    <row r="769" spans="1:28" s="444" customFormat="1">
      <c r="A769" s="702"/>
      <c r="B769" s="446" t="s">
        <v>187</v>
      </c>
      <c r="C769" s="446">
        <v>10424</v>
      </c>
      <c r="D769" s="448" t="s">
        <v>344</v>
      </c>
      <c r="E769" s="449" t="s">
        <v>343</v>
      </c>
      <c r="F769" s="448" t="s">
        <v>344</v>
      </c>
      <c r="G769" s="589">
        <v>46224</v>
      </c>
      <c r="H769" s="450"/>
      <c r="I769" s="346" t="s">
        <v>183</v>
      </c>
      <c r="J769" s="295">
        <v>0.77013888888888893</v>
      </c>
      <c r="K769" s="295">
        <v>0.16805555555555557</v>
      </c>
      <c r="L769" s="347" t="s">
        <v>168</v>
      </c>
      <c r="M769" s="348">
        <v>8</v>
      </c>
      <c r="N769" s="348"/>
      <c r="O769" s="348">
        <v>6</v>
      </c>
      <c r="P769" s="469"/>
      <c r="Q769" s="468"/>
      <c r="R769" s="469"/>
      <c r="S769" s="469"/>
      <c r="T769" s="461"/>
      <c r="U769" s="462"/>
      <c r="V769" s="461"/>
      <c r="W769" s="463"/>
      <c r="X769" s="464"/>
      <c r="Y769" s="465"/>
      <c r="Z769" s="466"/>
      <c r="AA769" s="467"/>
      <c r="AB769" s="443"/>
    </row>
    <row r="770" spans="1:28" s="444" customFormat="1">
      <c r="A770" s="702"/>
      <c r="B770" s="446" t="s">
        <v>187</v>
      </c>
      <c r="C770" s="446">
        <v>10424</v>
      </c>
      <c r="D770" s="448" t="s">
        <v>344</v>
      </c>
      <c r="E770" s="449" t="s">
        <v>343</v>
      </c>
      <c r="F770" s="448" t="s">
        <v>344</v>
      </c>
      <c r="G770" s="589">
        <v>46225</v>
      </c>
      <c r="H770" s="450"/>
      <c r="I770" s="346" t="s">
        <v>183</v>
      </c>
      <c r="J770" s="295">
        <v>0.77361111111111114</v>
      </c>
      <c r="K770" s="295">
        <v>0.25138888888888888</v>
      </c>
      <c r="L770" s="347" t="s">
        <v>168</v>
      </c>
      <c r="M770" s="348">
        <v>8</v>
      </c>
      <c r="N770" s="348">
        <v>2</v>
      </c>
      <c r="O770" s="348">
        <v>6</v>
      </c>
      <c r="P770" s="452">
        <v>2</v>
      </c>
      <c r="Q770" s="453"/>
      <c r="R770" s="452"/>
      <c r="S770" s="452"/>
      <c r="T770" s="453"/>
      <c r="U770" s="452"/>
      <c r="V770" s="453"/>
      <c r="W770" s="454"/>
      <c r="X770" s="455"/>
      <c r="Y770" s="456"/>
      <c r="Z770" s="457"/>
      <c r="AA770" s="458"/>
      <c r="AB770" s="443"/>
    </row>
    <row r="771" spans="1:28" s="444" customFormat="1">
      <c r="A771" s="702"/>
      <c r="B771" s="446" t="s">
        <v>187</v>
      </c>
      <c r="C771" s="446">
        <v>10424</v>
      </c>
      <c r="D771" s="448" t="s">
        <v>344</v>
      </c>
      <c r="E771" s="449" t="s">
        <v>343</v>
      </c>
      <c r="F771" s="448" t="s">
        <v>344</v>
      </c>
      <c r="G771" s="589">
        <v>46226</v>
      </c>
      <c r="H771" s="450"/>
      <c r="I771" s="346" t="s">
        <v>183</v>
      </c>
      <c r="J771" s="295">
        <v>0.77013888888888893</v>
      </c>
      <c r="K771" s="295">
        <v>0.25</v>
      </c>
      <c r="L771" s="347" t="s">
        <v>168</v>
      </c>
      <c r="M771" s="348">
        <v>8</v>
      </c>
      <c r="N771" s="348">
        <v>2</v>
      </c>
      <c r="O771" s="348">
        <v>6</v>
      </c>
      <c r="P771" s="470">
        <v>2</v>
      </c>
      <c r="Q771" s="453"/>
      <c r="R771" s="452"/>
      <c r="S771" s="452"/>
      <c r="T771" s="453"/>
      <c r="U771" s="452"/>
      <c r="V771" s="453"/>
      <c r="W771" s="454"/>
      <c r="X771" s="455"/>
      <c r="Y771" s="456"/>
      <c r="Z771" s="457"/>
      <c r="AA771" s="458"/>
      <c r="AB771" s="443"/>
    </row>
    <row r="772" spans="1:28" s="444" customFormat="1">
      <c r="A772" s="702"/>
      <c r="B772" s="446" t="s">
        <v>187</v>
      </c>
      <c r="C772" s="446">
        <v>10424</v>
      </c>
      <c r="D772" s="448" t="s">
        <v>344</v>
      </c>
      <c r="E772" s="449" t="s">
        <v>343</v>
      </c>
      <c r="F772" s="448" t="s">
        <v>344</v>
      </c>
      <c r="G772" s="589">
        <v>46227</v>
      </c>
      <c r="H772" s="450"/>
      <c r="I772" s="346" t="s">
        <v>183</v>
      </c>
      <c r="J772" s="295">
        <v>0.77361111111111114</v>
      </c>
      <c r="K772" s="318">
        <v>0.16805555555555557</v>
      </c>
      <c r="L772" s="347" t="s">
        <v>168</v>
      </c>
      <c r="M772" s="348">
        <v>8</v>
      </c>
      <c r="N772" s="348"/>
      <c r="O772" s="348">
        <v>6</v>
      </c>
      <c r="P772" s="471"/>
      <c r="Q772" s="472"/>
      <c r="R772" s="471"/>
      <c r="S772" s="471"/>
      <c r="T772" s="453"/>
      <c r="U772" s="452"/>
      <c r="V772" s="453"/>
      <c r="W772" s="454"/>
      <c r="X772" s="455"/>
      <c r="Y772" s="456"/>
      <c r="Z772" s="457"/>
      <c r="AA772" s="458"/>
      <c r="AB772" s="443"/>
    </row>
    <row r="773" spans="1:28" s="444" customFormat="1">
      <c r="A773" s="702"/>
      <c r="B773" s="446" t="s">
        <v>187</v>
      </c>
      <c r="C773" s="446">
        <v>10424</v>
      </c>
      <c r="D773" s="448" t="s">
        <v>344</v>
      </c>
      <c r="E773" s="449" t="s">
        <v>343</v>
      </c>
      <c r="F773" s="448" t="s">
        <v>344</v>
      </c>
      <c r="G773" s="589">
        <v>46228</v>
      </c>
      <c r="H773" s="450"/>
      <c r="I773" s="346" t="s">
        <v>183</v>
      </c>
      <c r="J773" s="295"/>
      <c r="K773" s="295"/>
      <c r="L773" s="451"/>
      <c r="M773" s="452"/>
      <c r="N773" s="452"/>
      <c r="O773" s="452"/>
      <c r="P773" s="452"/>
      <c r="Q773" s="453"/>
      <c r="R773" s="452"/>
      <c r="S773" s="473"/>
      <c r="T773" s="453"/>
      <c r="U773" s="452"/>
      <c r="V773" s="453"/>
      <c r="W773" s="454"/>
      <c r="X773" s="455"/>
      <c r="Y773" s="456"/>
      <c r="Z773" s="457"/>
      <c r="AA773" s="458"/>
      <c r="AB773" s="443"/>
    </row>
    <row r="774" spans="1:28" s="444" customFormat="1">
      <c r="A774" s="702"/>
      <c r="B774" s="446"/>
      <c r="C774" s="446"/>
      <c r="D774" s="449"/>
      <c r="E774" s="449"/>
      <c r="F774" s="449"/>
      <c r="G774" s="600"/>
      <c r="H774" s="450"/>
      <c r="I774" s="450"/>
      <c r="J774" s="474"/>
      <c r="K774" s="475"/>
      <c r="L774" s="476"/>
      <c r="M774" s="477"/>
      <c r="N774" s="477"/>
      <c r="O774" s="477"/>
      <c r="P774" s="477"/>
      <c r="Q774" s="478"/>
      <c r="R774" s="477"/>
      <c r="S774" s="479"/>
      <c r="T774" s="453"/>
      <c r="U774" s="452"/>
      <c r="V774" s="453"/>
      <c r="W774" s="454"/>
      <c r="X774" s="455"/>
      <c r="Y774" s="456"/>
      <c r="Z774" s="457"/>
      <c r="AA774" s="458"/>
      <c r="AB774" s="443"/>
    </row>
    <row r="775" spans="1:28" s="444" customFormat="1">
      <c r="A775" s="703"/>
      <c r="B775" s="481"/>
      <c r="C775" s="446"/>
      <c r="D775" s="481"/>
      <c r="E775" s="449"/>
      <c r="F775" s="481"/>
      <c r="G775" s="601"/>
      <c r="H775" s="482"/>
      <c r="I775" s="483"/>
      <c r="J775" s="484"/>
      <c r="K775" s="485"/>
      <c r="L775" s="483"/>
      <c r="M775" s="483">
        <f t="shared" ref="M775:AA775" si="43">SUM(M758:M774)</f>
        <v>96</v>
      </c>
      <c r="N775" s="483">
        <f t="shared" si="43"/>
        <v>4</v>
      </c>
      <c r="O775" s="483">
        <f t="shared" si="43"/>
        <v>66</v>
      </c>
      <c r="P775" s="483">
        <f t="shared" si="43"/>
        <v>4</v>
      </c>
      <c r="Q775" s="483">
        <f t="shared" si="43"/>
        <v>0</v>
      </c>
      <c r="R775" s="483">
        <f t="shared" si="43"/>
        <v>0</v>
      </c>
      <c r="S775" s="483">
        <f t="shared" si="43"/>
        <v>0</v>
      </c>
      <c r="T775" s="483">
        <f t="shared" si="43"/>
        <v>0</v>
      </c>
      <c r="U775" s="483">
        <f t="shared" si="43"/>
        <v>0</v>
      </c>
      <c r="V775" s="483">
        <f t="shared" si="43"/>
        <v>0</v>
      </c>
      <c r="W775" s="483">
        <f t="shared" si="43"/>
        <v>0</v>
      </c>
      <c r="X775" s="483">
        <f t="shared" si="43"/>
        <v>0</v>
      </c>
      <c r="Y775" s="483">
        <f t="shared" si="43"/>
        <v>0</v>
      </c>
      <c r="Z775" s="483">
        <f t="shared" si="43"/>
        <v>0</v>
      </c>
      <c r="AA775" s="483">
        <f t="shared" si="43"/>
        <v>0</v>
      </c>
      <c r="AB775" s="443"/>
    </row>
    <row r="776" spans="1:28" s="444" customFormat="1">
      <c r="A776" s="435" t="s">
        <v>170</v>
      </c>
      <c r="B776" s="435" t="s">
        <v>120</v>
      </c>
      <c r="C776" s="435" t="s">
        <v>152</v>
      </c>
      <c r="D776" s="435" t="s">
        <v>182</v>
      </c>
      <c r="E776" s="436" t="s">
        <v>153</v>
      </c>
      <c r="F776" s="435" t="s">
        <v>182</v>
      </c>
      <c r="G776" s="599" t="s">
        <v>401</v>
      </c>
      <c r="H776" s="437"/>
      <c r="I776" s="438" t="s">
        <v>181</v>
      </c>
      <c r="J776" s="439" t="s">
        <v>154</v>
      </c>
      <c r="K776" s="439" t="s">
        <v>155</v>
      </c>
      <c r="L776" s="440" t="s">
        <v>156</v>
      </c>
      <c r="M776" s="441" t="s">
        <v>157</v>
      </c>
      <c r="N776" s="440" t="s">
        <v>158</v>
      </c>
      <c r="O776" s="440" t="s">
        <v>159</v>
      </c>
      <c r="P776" s="440" t="s">
        <v>174</v>
      </c>
      <c r="Q776" s="440" t="s">
        <v>160</v>
      </c>
      <c r="R776" s="440" t="s">
        <v>161</v>
      </c>
      <c r="S776" s="440" t="s">
        <v>162</v>
      </c>
      <c r="T776" s="438" t="s">
        <v>163</v>
      </c>
      <c r="U776" s="438" t="s">
        <v>164</v>
      </c>
      <c r="V776" s="438" t="s">
        <v>165</v>
      </c>
      <c r="W776" s="440" t="s">
        <v>113</v>
      </c>
      <c r="X776" s="438" t="s">
        <v>121</v>
      </c>
      <c r="Y776" s="438" t="s">
        <v>166</v>
      </c>
      <c r="Z776" s="442" t="s">
        <v>175</v>
      </c>
      <c r="AA776" s="442" t="s">
        <v>167</v>
      </c>
      <c r="AB776" s="443"/>
    </row>
    <row r="777" spans="1:28" s="444" customFormat="1">
      <c r="A777" s="701"/>
      <c r="B777" s="446" t="s">
        <v>187</v>
      </c>
      <c r="C777" s="449">
        <v>6244</v>
      </c>
      <c r="D777" s="448" t="s">
        <v>199</v>
      </c>
      <c r="E777" s="449" t="s">
        <v>342</v>
      </c>
      <c r="F777" s="448" t="s">
        <v>199</v>
      </c>
      <c r="G777" s="589">
        <v>46214</v>
      </c>
      <c r="H777" s="450"/>
      <c r="I777" s="450" t="s">
        <v>186</v>
      </c>
      <c r="J777" s="295">
        <v>0.31805555555555554</v>
      </c>
      <c r="K777" s="295">
        <v>0.71180555555555558</v>
      </c>
      <c r="L777" s="451" t="s">
        <v>169</v>
      </c>
      <c r="M777" s="452">
        <v>8</v>
      </c>
      <c r="N777" s="452"/>
      <c r="O777" s="452"/>
      <c r="P777" s="452"/>
      <c r="Q777" s="453"/>
      <c r="R777" s="452"/>
      <c r="S777" s="452"/>
      <c r="T777" s="453"/>
      <c r="U777" s="452"/>
      <c r="V777" s="453"/>
      <c r="W777" s="454"/>
      <c r="X777" s="455"/>
      <c r="Y777" s="456"/>
      <c r="Z777" s="457"/>
      <c r="AA777" s="458"/>
      <c r="AB777" s="443"/>
    </row>
    <row r="778" spans="1:28" s="444" customFormat="1">
      <c r="A778" s="702"/>
      <c r="B778" s="446" t="s">
        <v>187</v>
      </c>
      <c r="C778" s="449">
        <v>6244</v>
      </c>
      <c r="D778" s="448" t="s">
        <v>199</v>
      </c>
      <c r="E778" s="449" t="s">
        <v>342</v>
      </c>
      <c r="F778" s="448" t="s">
        <v>199</v>
      </c>
      <c r="G778" s="590">
        <v>46215</v>
      </c>
      <c r="H778" s="450"/>
      <c r="I778" s="346"/>
      <c r="J778" s="699" t="s">
        <v>173</v>
      </c>
      <c r="K778" s="700"/>
      <c r="L778" s="347"/>
      <c r="M778" s="348"/>
      <c r="N778" s="348"/>
      <c r="O778" s="348"/>
      <c r="P778" s="452"/>
      <c r="Q778" s="453"/>
      <c r="R778" s="452"/>
      <c r="S778" s="452"/>
      <c r="T778" s="453"/>
      <c r="U778" s="452"/>
      <c r="V778" s="453"/>
      <c r="W778" s="454"/>
      <c r="X778" s="455"/>
      <c r="Y778" s="456"/>
      <c r="Z778" s="457"/>
      <c r="AA778" s="458"/>
      <c r="AB778" s="443"/>
    </row>
    <row r="779" spans="1:28" s="444" customFormat="1">
      <c r="A779" s="702"/>
      <c r="B779" s="446" t="s">
        <v>187</v>
      </c>
      <c r="C779" s="486">
        <v>6244</v>
      </c>
      <c r="D779" s="448" t="s">
        <v>199</v>
      </c>
      <c r="E779" s="449" t="s">
        <v>342</v>
      </c>
      <c r="F779" s="448" t="s">
        <v>199</v>
      </c>
      <c r="G779" s="589">
        <v>46216</v>
      </c>
      <c r="H779" s="450"/>
      <c r="I779" s="346" t="s">
        <v>183</v>
      </c>
      <c r="J779" s="305">
        <v>0.76458333333333328</v>
      </c>
      <c r="K779" s="305">
        <v>0.16944444444444445</v>
      </c>
      <c r="L779" s="347" t="s">
        <v>168</v>
      </c>
      <c r="M779" s="348">
        <v>8</v>
      </c>
      <c r="N779" s="348"/>
      <c r="O779" s="348">
        <v>6</v>
      </c>
      <c r="P779" s="452"/>
      <c r="Q779" s="453"/>
      <c r="R779" s="452"/>
      <c r="S779" s="452"/>
      <c r="T779" s="453"/>
      <c r="U779" s="452"/>
      <c r="V779" s="453"/>
      <c r="W779" s="454"/>
      <c r="X779" s="455"/>
      <c r="Y779" s="456"/>
      <c r="Z779" s="457"/>
      <c r="AA779" s="458"/>
      <c r="AB779" s="443"/>
    </row>
    <row r="780" spans="1:28" s="444" customFormat="1">
      <c r="A780" s="702"/>
      <c r="B780" s="446" t="s">
        <v>187</v>
      </c>
      <c r="C780" s="486">
        <v>6244</v>
      </c>
      <c r="D780" s="448" t="s">
        <v>199</v>
      </c>
      <c r="E780" s="449" t="s">
        <v>342</v>
      </c>
      <c r="F780" s="448" t="s">
        <v>199</v>
      </c>
      <c r="G780" s="589">
        <v>46217</v>
      </c>
      <c r="H780" s="450"/>
      <c r="I780" s="346" t="s">
        <v>183</v>
      </c>
      <c r="J780" s="305">
        <v>0.77500000000000002</v>
      </c>
      <c r="K780" s="305">
        <v>0.16874999999999998</v>
      </c>
      <c r="L780" s="347" t="s">
        <v>168</v>
      </c>
      <c r="M780" s="348">
        <v>8</v>
      </c>
      <c r="N780" s="348"/>
      <c r="O780" s="348">
        <v>6</v>
      </c>
      <c r="P780" s="462"/>
      <c r="Q780" s="461"/>
      <c r="R780" s="462"/>
      <c r="S780" s="462"/>
      <c r="T780" s="461"/>
      <c r="U780" s="462"/>
      <c r="V780" s="461"/>
      <c r="W780" s="463"/>
      <c r="X780" s="464"/>
      <c r="Y780" s="465"/>
      <c r="Z780" s="466"/>
      <c r="AA780" s="467"/>
      <c r="AB780" s="443"/>
    </row>
    <row r="781" spans="1:28" s="444" customFormat="1">
      <c r="A781" s="702"/>
      <c r="B781" s="446" t="s">
        <v>187</v>
      </c>
      <c r="C781" s="486">
        <v>6244</v>
      </c>
      <c r="D781" s="448" t="s">
        <v>199</v>
      </c>
      <c r="E781" s="449" t="s">
        <v>342</v>
      </c>
      <c r="F781" s="448" t="s">
        <v>199</v>
      </c>
      <c r="G781" s="589">
        <v>46218</v>
      </c>
      <c r="H781" s="450"/>
      <c r="I781" s="346" t="s">
        <v>183</v>
      </c>
      <c r="J781" s="305">
        <v>0.77986111111111101</v>
      </c>
      <c r="K781" s="305">
        <v>0.16944444444444443</v>
      </c>
      <c r="L781" s="347" t="s">
        <v>168</v>
      </c>
      <c r="M781" s="348">
        <v>8</v>
      </c>
      <c r="N781" s="348"/>
      <c r="O781" s="348">
        <v>6</v>
      </c>
      <c r="P781" s="452"/>
      <c r="Q781" s="453"/>
      <c r="R781" s="452"/>
      <c r="S781" s="452"/>
      <c r="T781" s="453"/>
      <c r="U781" s="452"/>
      <c r="V781" s="453"/>
      <c r="W781" s="454"/>
      <c r="X781" s="455"/>
      <c r="Y781" s="456"/>
      <c r="Z781" s="457"/>
      <c r="AA781" s="458"/>
      <c r="AB781" s="443"/>
    </row>
    <row r="782" spans="1:28" s="444" customFormat="1">
      <c r="A782" s="702"/>
      <c r="B782" s="446" t="s">
        <v>187</v>
      </c>
      <c r="C782" s="486">
        <v>6244</v>
      </c>
      <c r="D782" s="448" t="s">
        <v>199</v>
      </c>
      <c r="E782" s="449" t="s">
        <v>342</v>
      </c>
      <c r="F782" s="448" t="s">
        <v>199</v>
      </c>
      <c r="G782" s="589">
        <v>46219</v>
      </c>
      <c r="H782" s="450"/>
      <c r="I782" s="346" t="s">
        <v>183</v>
      </c>
      <c r="J782" s="305">
        <v>0.75208333333333333</v>
      </c>
      <c r="K782" s="305">
        <v>0.17013888888888887</v>
      </c>
      <c r="L782" s="347" t="s">
        <v>168</v>
      </c>
      <c r="M782" s="348">
        <v>8</v>
      </c>
      <c r="N782" s="348"/>
      <c r="O782" s="348">
        <v>6</v>
      </c>
      <c r="P782" s="452"/>
      <c r="Q782" s="453"/>
      <c r="R782" s="452"/>
      <c r="S782" s="452"/>
      <c r="T782" s="453"/>
      <c r="U782" s="452"/>
      <c r="V782" s="453"/>
      <c r="W782" s="454"/>
      <c r="X782" s="455"/>
      <c r="Y782" s="456"/>
      <c r="Z782" s="457"/>
      <c r="AA782" s="458"/>
      <c r="AB782" s="443"/>
    </row>
    <row r="783" spans="1:28" s="444" customFormat="1">
      <c r="A783" s="702"/>
      <c r="B783" s="446" t="s">
        <v>187</v>
      </c>
      <c r="C783" s="486">
        <v>6244</v>
      </c>
      <c r="D783" s="448" t="s">
        <v>199</v>
      </c>
      <c r="E783" s="449" t="s">
        <v>342</v>
      </c>
      <c r="F783" s="448" t="s">
        <v>199</v>
      </c>
      <c r="G783" s="589">
        <v>46220</v>
      </c>
      <c r="H783" s="450"/>
      <c r="I783" s="450"/>
      <c r="J783" s="305"/>
      <c r="K783" s="305"/>
      <c r="L783" s="451"/>
      <c r="M783" s="452"/>
      <c r="N783" s="452"/>
      <c r="O783" s="452"/>
      <c r="P783" s="452"/>
      <c r="Q783" s="453"/>
      <c r="R783" s="452"/>
      <c r="S783" s="452"/>
      <c r="T783" s="453"/>
      <c r="U783" s="452"/>
      <c r="V783" s="453"/>
      <c r="W783" s="454"/>
      <c r="X783" s="455"/>
      <c r="Y783" s="456"/>
      <c r="Z783" s="457"/>
      <c r="AA783" s="458"/>
      <c r="AB783" s="443"/>
    </row>
    <row r="784" spans="1:28" s="444" customFormat="1">
      <c r="A784" s="702"/>
      <c r="B784" s="446" t="s">
        <v>187</v>
      </c>
      <c r="C784" s="486">
        <v>6244</v>
      </c>
      <c r="D784" s="448" t="s">
        <v>199</v>
      </c>
      <c r="E784" s="449" t="s">
        <v>342</v>
      </c>
      <c r="F784" s="448" t="s">
        <v>199</v>
      </c>
      <c r="G784" s="589">
        <v>46221</v>
      </c>
      <c r="H784" s="450"/>
      <c r="I784" s="450"/>
      <c r="J784" s="305"/>
      <c r="K784" s="305"/>
      <c r="L784" s="451"/>
      <c r="M784" s="452"/>
      <c r="N784" s="452"/>
      <c r="O784" s="452"/>
      <c r="P784" s="452"/>
      <c r="Q784" s="453"/>
      <c r="R784" s="452"/>
      <c r="S784" s="452"/>
      <c r="T784" s="453"/>
      <c r="U784" s="452"/>
      <c r="V784" s="453"/>
      <c r="W784" s="454"/>
      <c r="X784" s="455"/>
      <c r="Y784" s="456"/>
      <c r="Z784" s="457"/>
      <c r="AA784" s="458"/>
      <c r="AB784" s="443"/>
    </row>
    <row r="785" spans="1:28" s="444" customFormat="1">
      <c r="A785" s="702"/>
      <c r="B785" s="446" t="s">
        <v>187</v>
      </c>
      <c r="C785" s="486">
        <v>6244</v>
      </c>
      <c r="D785" s="448" t="s">
        <v>199</v>
      </c>
      <c r="E785" s="449" t="s">
        <v>342</v>
      </c>
      <c r="F785" s="448" t="s">
        <v>199</v>
      </c>
      <c r="G785" s="590">
        <v>46222</v>
      </c>
      <c r="H785" s="450"/>
      <c r="I785" s="450"/>
      <c r="J785" s="699" t="s">
        <v>173</v>
      </c>
      <c r="K785" s="700"/>
      <c r="L785" s="451"/>
      <c r="M785" s="452"/>
      <c r="N785" s="452"/>
      <c r="O785" s="452"/>
      <c r="P785" s="452"/>
      <c r="Q785" s="453"/>
      <c r="R785" s="452"/>
      <c r="S785" s="452"/>
      <c r="T785" s="453"/>
      <c r="U785" s="452"/>
      <c r="V785" s="453"/>
      <c r="W785" s="454"/>
      <c r="X785" s="455"/>
      <c r="Y785" s="456"/>
      <c r="Z785" s="457"/>
      <c r="AA785" s="458"/>
      <c r="AB785" s="443"/>
    </row>
    <row r="786" spans="1:28" s="444" customFormat="1">
      <c r="A786" s="702"/>
      <c r="B786" s="446" t="s">
        <v>187</v>
      </c>
      <c r="C786" s="486">
        <v>6244</v>
      </c>
      <c r="D786" s="448" t="s">
        <v>199</v>
      </c>
      <c r="E786" s="449" t="s">
        <v>342</v>
      </c>
      <c r="F786" s="448" t="s">
        <v>199</v>
      </c>
      <c r="G786" s="589">
        <v>46223</v>
      </c>
      <c r="H786" s="450"/>
      <c r="I786" s="346" t="s">
        <v>183</v>
      </c>
      <c r="J786" s="295">
        <v>0.77986111111111112</v>
      </c>
      <c r="K786" s="295">
        <v>0.1701388888888889</v>
      </c>
      <c r="L786" s="347" t="s">
        <v>168</v>
      </c>
      <c r="M786" s="348">
        <v>8</v>
      </c>
      <c r="N786" s="348"/>
      <c r="O786" s="348">
        <v>6</v>
      </c>
      <c r="P786" s="462"/>
      <c r="Q786" s="461"/>
      <c r="R786" s="462"/>
      <c r="S786" s="462"/>
      <c r="T786" s="461"/>
      <c r="U786" s="462"/>
      <c r="V786" s="461"/>
      <c r="W786" s="454"/>
      <c r="X786" s="455"/>
      <c r="Y786" s="456"/>
      <c r="Z786" s="457"/>
      <c r="AA786" s="458"/>
      <c r="AB786" s="443"/>
    </row>
    <row r="787" spans="1:28" s="444" customFormat="1">
      <c r="A787" s="702"/>
      <c r="B787" s="446" t="s">
        <v>187</v>
      </c>
      <c r="C787" s="486">
        <v>6244</v>
      </c>
      <c r="D787" s="448" t="s">
        <v>199</v>
      </c>
      <c r="E787" s="449" t="s">
        <v>342</v>
      </c>
      <c r="F787" s="448" t="s">
        <v>199</v>
      </c>
      <c r="G787" s="589">
        <v>46224</v>
      </c>
      <c r="H787" s="450"/>
      <c r="I787" s="346" t="s">
        <v>183</v>
      </c>
      <c r="J787" s="295">
        <v>0.78472222222222221</v>
      </c>
      <c r="K787" s="295">
        <v>0.17083333333333334</v>
      </c>
      <c r="L787" s="347" t="s">
        <v>168</v>
      </c>
      <c r="M787" s="348">
        <v>8</v>
      </c>
      <c r="N787" s="348"/>
      <c r="O787" s="348">
        <v>6</v>
      </c>
      <c r="P787" s="469"/>
      <c r="Q787" s="468"/>
      <c r="R787" s="469"/>
      <c r="S787" s="469"/>
      <c r="T787" s="461"/>
      <c r="U787" s="462"/>
      <c r="V787" s="461"/>
      <c r="W787" s="463"/>
      <c r="X787" s="464"/>
      <c r="Y787" s="465"/>
      <c r="Z787" s="466"/>
      <c r="AA787" s="467"/>
      <c r="AB787" s="443"/>
    </row>
    <row r="788" spans="1:28" s="444" customFormat="1">
      <c r="A788" s="702"/>
      <c r="B788" s="446" t="s">
        <v>187</v>
      </c>
      <c r="C788" s="486">
        <v>6244</v>
      </c>
      <c r="D788" s="448" t="s">
        <v>199</v>
      </c>
      <c r="E788" s="449" t="s">
        <v>342</v>
      </c>
      <c r="F788" s="448" t="s">
        <v>199</v>
      </c>
      <c r="G788" s="589">
        <v>46225</v>
      </c>
      <c r="H788" s="450"/>
      <c r="I788" s="346" t="s">
        <v>183</v>
      </c>
      <c r="J788" s="295">
        <v>0.78263888888888888</v>
      </c>
      <c r="K788" s="295">
        <v>0.16805555555555557</v>
      </c>
      <c r="L788" s="347" t="s">
        <v>168</v>
      </c>
      <c r="M788" s="348">
        <v>8</v>
      </c>
      <c r="N788" s="348"/>
      <c r="O788" s="348">
        <v>6</v>
      </c>
      <c r="P788" s="452"/>
      <c r="Q788" s="453"/>
      <c r="R788" s="452"/>
      <c r="S788" s="452"/>
      <c r="T788" s="453"/>
      <c r="U788" s="452"/>
      <c r="V788" s="453"/>
      <c r="W788" s="454"/>
      <c r="X788" s="455"/>
      <c r="Y788" s="456"/>
      <c r="Z788" s="457"/>
      <c r="AA788" s="458"/>
      <c r="AB788" s="443"/>
    </row>
    <row r="789" spans="1:28" s="444" customFormat="1">
      <c r="A789" s="702"/>
      <c r="B789" s="446" t="s">
        <v>187</v>
      </c>
      <c r="C789" s="486">
        <v>6244</v>
      </c>
      <c r="D789" s="448" t="s">
        <v>199</v>
      </c>
      <c r="E789" s="449" t="s">
        <v>342</v>
      </c>
      <c r="F789" s="448" t="s">
        <v>199</v>
      </c>
      <c r="G789" s="589">
        <v>46226</v>
      </c>
      <c r="H789" s="450"/>
      <c r="I789" s="346" t="s">
        <v>183</v>
      </c>
      <c r="J789" s="295">
        <v>0.77916666666666667</v>
      </c>
      <c r="K789" s="295">
        <v>0.16805555555555557</v>
      </c>
      <c r="L789" s="347" t="s">
        <v>168</v>
      </c>
      <c r="M789" s="348">
        <v>8</v>
      </c>
      <c r="N789" s="348"/>
      <c r="O789" s="348">
        <v>6</v>
      </c>
      <c r="P789" s="470"/>
      <c r="Q789" s="453"/>
      <c r="R789" s="452"/>
      <c r="S789" s="452"/>
      <c r="T789" s="453"/>
      <c r="U789" s="452"/>
      <c r="V789" s="453"/>
      <c r="W789" s="454"/>
      <c r="X789" s="455"/>
      <c r="Y789" s="456"/>
      <c r="Z789" s="457"/>
      <c r="AA789" s="458"/>
      <c r="AB789" s="443"/>
    </row>
    <row r="790" spans="1:28" s="444" customFormat="1">
      <c r="A790" s="702"/>
      <c r="B790" s="446" t="s">
        <v>187</v>
      </c>
      <c r="C790" s="486">
        <v>6244</v>
      </c>
      <c r="D790" s="448" t="s">
        <v>199</v>
      </c>
      <c r="E790" s="449" t="s">
        <v>342</v>
      </c>
      <c r="F790" s="448" t="s">
        <v>199</v>
      </c>
      <c r="G790" s="589">
        <v>46227</v>
      </c>
      <c r="H790" s="450"/>
      <c r="I790" s="346" t="s">
        <v>183</v>
      </c>
      <c r="J790" s="295">
        <v>0.78055555555555556</v>
      </c>
      <c r="K790" s="318">
        <v>0.16875000000000001</v>
      </c>
      <c r="L790" s="347" t="s">
        <v>168</v>
      </c>
      <c r="M790" s="348">
        <v>8</v>
      </c>
      <c r="N790" s="348"/>
      <c r="O790" s="348">
        <v>6</v>
      </c>
      <c r="P790" s="471"/>
      <c r="Q790" s="472"/>
      <c r="R790" s="471"/>
      <c r="S790" s="471"/>
      <c r="T790" s="453"/>
      <c r="U790" s="452"/>
      <c r="V790" s="453"/>
      <c r="W790" s="454"/>
      <c r="X790" s="455"/>
      <c r="Y790" s="456"/>
      <c r="Z790" s="457"/>
      <c r="AA790" s="458"/>
      <c r="AB790" s="443"/>
    </row>
    <row r="791" spans="1:28" s="444" customFormat="1">
      <c r="A791" s="702"/>
      <c r="B791" s="446" t="s">
        <v>187</v>
      </c>
      <c r="C791" s="486">
        <v>6244</v>
      </c>
      <c r="D791" s="448" t="s">
        <v>199</v>
      </c>
      <c r="E791" s="449" t="s">
        <v>342</v>
      </c>
      <c r="F791" s="448" t="s">
        <v>199</v>
      </c>
      <c r="G791" s="589">
        <v>46228</v>
      </c>
      <c r="H791" s="450"/>
      <c r="I791" s="346" t="s">
        <v>183</v>
      </c>
      <c r="J791" s="295"/>
      <c r="K791" s="295"/>
      <c r="L791" s="451"/>
      <c r="M791" s="452"/>
      <c r="N791" s="452"/>
      <c r="O791" s="452"/>
      <c r="P791" s="452"/>
      <c r="Q791" s="453"/>
      <c r="R791" s="452"/>
      <c r="S791" s="473"/>
      <c r="T791" s="453"/>
      <c r="U791" s="452"/>
      <c r="V791" s="453"/>
      <c r="W791" s="454"/>
      <c r="X791" s="455"/>
      <c r="Y791" s="456"/>
      <c r="Z791" s="457"/>
      <c r="AA791" s="458"/>
      <c r="AB791" s="443"/>
    </row>
    <row r="792" spans="1:28" s="444" customFormat="1">
      <c r="A792" s="702"/>
      <c r="B792" s="446"/>
      <c r="C792" s="486"/>
      <c r="D792" s="448"/>
      <c r="E792" s="449"/>
      <c r="F792" s="448"/>
      <c r="G792" s="600"/>
      <c r="H792" s="450"/>
      <c r="I792" s="450"/>
      <c r="J792" s="474"/>
      <c r="K792" s="475"/>
      <c r="L792" s="476"/>
      <c r="M792" s="477"/>
      <c r="N792" s="477"/>
      <c r="O792" s="477"/>
      <c r="P792" s="477"/>
      <c r="Q792" s="478"/>
      <c r="R792" s="477"/>
      <c r="S792" s="479"/>
      <c r="T792" s="453"/>
      <c r="U792" s="452"/>
      <c r="V792" s="453"/>
      <c r="W792" s="454"/>
      <c r="X792" s="455"/>
      <c r="Y792" s="456"/>
      <c r="Z792" s="457"/>
      <c r="AA792" s="458"/>
      <c r="AB792" s="443"/>
    </row>
    <row r="793" spans="1:28" s="444" customFormat="1">
      <c r="A793" s="703"/>
      <c r="B793" s="481"/>
      <c r="C793" s="446"/>
      <c r="D793" s="448"/>
      <c r="E793" s="449"/>
      <c r="F793" s="448"/>
      <c r="G793" s="601"/>
      <c r="H793" s="482"/>
      <c r="I793" s="483"/>
      <c r="J793" s="484"/>
      <c r="K793" s="485"/>
      <c r="L793" s="483"/>
      <c r="M793" s="483">
        <f t="shared" ref="M793:AA793" si="44">SUM(M776:M792)</f>
        <v>80</v>
      </c>
      <c r="N793" s="483">
        <f t="shared" si="44"/>
        <v>0</v>
      </c>
      <c r="O793" s="483">
        <f t="shared" si="44"/>
        <v>54</v>
      </c>
      <c r="P793" s="483">
        <f t="shared" si="44"/>
        <v>0</v>
      </c>
      <c r="Q793" s="483">
        <f t="shared" si="44"/>
        <v>0</v>
      </c>
      <c r="R793" s="483">
        <f t="shared" si="44"/>
        <v>0</v>
      </c>
      <c r="S793" s="483">
        <f t="shared" si="44"/>
        <v>0</v>
      </c>
      <c r="T793" s="483">
        <f t="shared" si="44"/>
        <v>0</v>
      </c>
      <c r="U793" s="483">
        <f t="shared" si="44"/>
        <v>0</v>
      </c>
      <c r="V793" s="483">
        <f t="shared" si="44"/>
        <v>0</v>
      </c>
      <c r="W793" s="483">
        <f t="shared" si="44"/>
        <v>0</v>
      </c>
      <c r="X793" s="483">
        <f t="shared" si="44"/>
        <v>0</v>
      </c>
      <c r="Y793" s="483">
        <f t="shared" si="44"/>
        <v>0</v>
      </c>
      <c r="Z793" s="483">
        <f t="shared" si="44"/>
        <v>0</v>
      </c>
      <c r="AA793" s="491">
        <f t="shared" si="44"/>
        <v>0</v>
      </c>
      <c r="AB793" s="443"/>
    </row>
    <row r="794" spans="1:28" s="444" customFormat="1">
      <c r="A794" s="435" t="s">
        <v>170</v>
      </c>
      <c r="B794" s="435" t="s">
        <v>120</v>
      </c>
      <c r="C794" s="435" t="s">
        <v>152</v>
      </c>
      <c r="D794" s="435" t="s">
        <v>182</v>
      </c>
      <c r="E794" s="436" t="s">
        <v>153</v>
      </c>
      <c r="F794" s="435" t="s">
        <v>182</v>
      </c>
      <c r="G794" s="599" t="s">
        <v>401</v>
      </c>
      <c r="H794" s="437"/>
      <c r="I794" s="438" t="s">
        <v>181</v>
      </c>
      <c r="J794" s="439" t="s">
        <v>154</v>
      </c>
      <c r="K794" s="439" t="s">
        <v>155</v>
      </c>
      <c r="L794" s="440" t="s">
        <v>156</v>
      </c>
      <c r="M794" s="441" t="s">
        <v>157</v>
      </c>
      <c r="N794" s="440" t="s">
        <v>158</v>
      </c>
      <c r="O794" s="440" t="s">
        <v>159</v>
      </c>
      <c r="P794" s="440" t="s">
        <v>174</v>
      </c>
      <c r="Q794" s="440" t="s">
        <v>160</v>
      </c>
      <c r="R794" s="440" t="s">
        <v>161</v>
      </c>
      <c r="S794" s="440" t="s">
        <v>162</v>
      </c>
      <c r="T794" s="438" t="s">
        <v>163</v>
      </c>
      <c r="U794" s="438" t="s">
        <v>164</v>
      </c>
      <c r="V794" s="438" t="s">
        <v>165</v>
      </c>
      <c r="W794" s="440" t="s">
        <v>113</v>
      </c>
      <c r="X794" s="438" t="s">
        <v>121</v>
      </c>
      <c r="Y794" s="438" t="s">
        <v>166</v>
      </c>
      <c r="Z794" s="442" t="s">
        <v>175</v>
      </c>
      <c r="AA794" s="442" t="s">
        <v>167</v>
      </c>
      <c r="AB794" s="443"/>
    </row>
    <row r="795" spans="1:28" s="444" customFormat="1">
      <c r="A795" s="445"/>
      <c r="B795" s="446" t="s">
        <v>187</v>
      </c>
      <c r="C795" s="449">
        <v>3866</v>
      </c>
      <c r="D795" s="448" t="s">
        <v>341</v>
      </c>
      <c r="E795" s="449" t="s">
        <v>340</v>
      </c>
      <c r="F795" s="448" t="s">
        <v>341</v>
      </c>
      <c r="G795" s="589">
        <v>46214</v>
      </c>
      <c r="H795" s="450"/>
      <c r="I795" s="450" t="s">
        <v>186</v>
      </c>
      <c r="J795" s="295">
        <v>0.31736111111111109</v>
      </c>
      <c r="K795" s="295">
        <v>0.71111111111111114</v>
      </c>
      <c r="L795" s="451" t="s">
        <v>169</v>
      </c>
      <c r="M795" s="452">
        <v>8</v>
      </c>
      <c r="N795" s="452"/>
      <c r="O795" s="452"/>
      <c r="P795" s="452"/>
      <c r="Q795" s="453"/>
      <c r="R795" s="452"/>
      <c r="S795" s="452"/>
      <c r="T795" s="453"/>
      <c r="U795" s="452"/>
      <c r="V795" s="453"/>
      <c r="W795" s="454"/>
      <c r="X795" s="455"/>
      <c r="Y795" s="456"/>
      <c r="Z795" s="457"/>
      <c r="AA795" s="458"/>
      <c r="AB795" s="443"/>
    </row>
    <row r="796" spans="1:28" s="444" customFormat="1">
      <c r="A796" s="459"/>
      <c r="B796" s="446" t="s">
        <v>187</v>
      </c>
      <c r="C796" s="449">
        <v>3866</v>
      </c>
      <c r="D796" s="448" t="s">
        <v>341</v>
      </c>
      <c r="E796" s="449" t="s">
        <v>340</v>
      </c>
      <c r="F796" s="448" t="s">
        <v>341</v>
      </c>
      <c r="G796" s="590">
        <v>46215</v>
      </c>
      <c r="H796" s="450"/>
      <c r="I796" s="346"/>
      <c r="J796" s="699" t="s">
        <v>173</v>
      </c>
      <c r="K796" s="700"/>
      <c r="L796" s="347"/>
      <c r="M796" s="348"/>
      <c r="N796" s="348"/>
      <c r="O796" s="348"/>
      <c r="P796" s="452"/>
      <c r="Q796" s="453"/>
      <c r="R796" s="452"/>
      <c r="S796" s="452"/>
      <c r="T796" s="453"/>
      <c r="U796" s="452"/>
      <c r="V796" s="453"/>
      <c r="W796" s="454"/>
      <c r="X796" s="455"/>
      <c r="Y796" s="456"/>
      <c r="Z796" s="457"/>
      <c r="AA796" s="458"/>
      <c r="AB796" s="443"/>
    </row>
    <row r="797" spans="1:28" s="444" customFormat="1">
      <c r="A797" s="459"/>
      <c r="B797" s="446" t="s">
        <v>187</v>
      </c>
      <c r="C797" s="486">
        <v>3866</v>
      </c>
      <c r="D797" s="448" t="s">
        <v>341</v>
      </c>
      <c r="E797" s="449" t="s">
        <v>340</v>
      </c>
      <c r="F797" s="448" t="s">
        <v>341</v>
      </c>
      <c r="G797" s="589">
        <v>46216</v>
      </c>
      <c r="H797" s="450"/>
      <c r="I797" s="346" t="s">
        <v>183</v>
      </c>
      <c r="J797" s="305">
        <v>0.77847222222222223</v>
      </c>
      <c r="K797" s="305">
        <v>0.1673611111111111</v>
      </c>
      <c r="L797" s="347" t="s">
        <v>168</v>
      </c>
      <c r="M797" s="348">
        <v>8</v>
      </c>
      <c r="N797" s="348"/>
      <c r="O797" s="348">
        <v>6</v>
      </c>
      <c r="P797" s="452"/>
      <c r="Q797" s="453"/>
      <c r="R797" s="452"/>
      <c r="S797" s="452"/>
      <c r="T797" s="453"/>
      <c r="U797" s="452"/>
      <c r="V797" s="453"/>
      <c r="W797" s="454"/>
      <c r="X797" s="455"/>
      <c r="Y797" s="456"/>
      <c r="Z797" s="457"/>
      <c r="AA797" s="458"/>
      <c r="AB797" s="443"/>
    </row>
    <row r="798" spans="1:28" s="444" customFormat="1">
      <c r="A798" s="459"/>
      <c r="B798" s="446" t="s">
        <v>187</v>
      </c>
      <c r="C798" s="486">
        <v>3866</v>
      </c>
      <c r="D798" s="448" t="s">
        <v>341</v>
      </c>
      <c r="E798" s="449" t="s">
        <v>340</v>
      </c>
      <c r="F798" s="448" t="s">
        <v>341</v>
      </c>
      <c r="G798" s="589">
        <v>46217</v>
      </c>
      <c r="H798" s="450"/>
      <c r="I798" s="346" t="s">
        <v>183</v>
      </c>
      <c r="J798" s="305">
        <v>0.77361111111111114</v>
      </c>
      <c r="K798" s="305">
        <v>0.16805555555555554</v>
      </c>
      <c r="L798" s="347" t="s">
        <v>168</v>
      </c>
      <c r="M798" s="348">
        <v>8</v>
      </c>
      <c r="N798" s="348"/>
      <c r="O798" s="348">
        <v>6</v>
      </c>
      <c r="P798" s="462"/>
      <c r="Q798" s="461"/>
      <c r="R798" s="462"/>
      <c r="S798" s="462"/>
      <c r="T798" s="461"/>
      <c r="U798" s="462"/>
      <c r="V798" s="461"/>
      <c r="W798" s="463"/>
      <c r="X798" s="464"/>
      <c r="Y798" s="465"/>
      <c r="Z798" s="466"/>
      <c r="AA798" s="467"/>
      <c r="AB798" s="443"/>
    </row>
    <row r="799" spans="1:28" s="444" customFormat="1">
      <c r="A799" s="459"/>
      <c r="B799" s="446" t="s">
        <v>187</v>
      </c>
      <c r="C799" s="486">
        <v>3866</v>
      </c>
      <c r="D799" s="448" t="s">
        <v>341</v>
      </c>
      <c r="E799" s="449" t="s">
        <v>340</v>
      </c>
      <c r="F799" s="448" t="s">
        <v>341</v>
      </c>
      <c r="G799" s="589">
        <v>46218</v>
      </c>
      <c r="H799" s="450"/>
      <c r="I799" s="346" t="s">
        <v>183</v>
      </c>
      <c r="J799" s="305">
        <v>0.77847222222222223</v>
      </c>
      <c r="K799" s="305">
        <v>0.16805555555555554</v>
      </c>
      <c r="L799" s="347" t="s">
        <v>168</v>
      </c>
      <c r="M799" s="348">
        <v>8</v>
      </c>
      <c r="N799" s="348"/>
      <c r="O799" s="348">
        <v>6</v>
      </c>
      <c r="P799" s="452"/>
      <c r="Q799" s="453"/>
      <c r="R799" s="452"/>
      <c r="S799" s="452"/>
      <c r="T799" s="453"/>
      <c r="U799" s="452"/>
      <c r="V799" s="453"/>
      <c r="W799" s="454"/>
      <c r="X799" s="455"/>
      <c r="Y799" s="456"/>
      <c r="Z799" s="457"/>
      <c r="AA799" s="458"/>
      <c r="AB799" s="443"/>
    </row>
    <row r="800" spans="1:28" s="444" customFormat="1">
      <c r="A800" s="459"/>
      <c r="B800" s="446" t="s">
        <v>187</v>
      </c>
      <c r="C800" s="486">
        <v>3866</v>
      </c>
      <c r="D800" s="448" t="s">
        <v>341</v>
      </c>
      <c r="E800" s="449" t="s">
        <v>340</v>
      </c>
      <c r="F800" s="448" t="s">
        <v>341</v>
      </c>
      <c r="G800" s="589">
        <v>46219</v>
      </c>
      <c r="H800" s="450"/>
      <c r="I800" s="346" t="s">
        <v>183</v>
      </c>
      <c r="J800" s="305">
        <v>0.77361111111111114</v>
      </c>
      <c r="K800" s="305">
        <v>0.25208333333333333</v>
      </c>
      <c r="L800" s="451" t="s">
        <v>168</v>
      </c>
      <c r="M800" s="452">
        <v>8</v>
      </c>
      <c r="N800" s="452">
        <v>2</v>
      </c>
      <c r="O800" s="452">
        <v>6</v>
      </c>
      <c r="P800" s="452">
        <v>2</v>
      </c>
      <c r="Q800" s="453"/>
      <c r="R800" s="452"/>
      <c r="S800" s="452"/>
      <c r="T800" s="453"/>
      <c r="U800" s="452"/>
      <c r="V800" s="453"/>
      <c r="W800" s="454"/>
      <c r="X800" s="455"/>
      <c r="Y800" s="456"/>
      <c r="Z800" s="457"/>
      <c r="AA800" s="458"/>
      <c r="AB800" s="443"/>
    </row>
    <row r="801" spans="1:28" s="444" customFormat="1">
      <c r="A801" s="459"/>
      <c r="B801" s="446" t="s">
        <v>187</v>
      </c>
      <c r="C801" s="486">
        <v>3866</v>
      </c>
      <c r="D801" s="448" t="s">
        <v>341</v>
      </c>
      <c r="E801" s="449" t="s">
        <v>340</v>
      </c>
      <c r="F801" s="448" t="s">
        <v>341</v>
      </c>
      <c r="G801" s="589">
        <v>46220</v>
      </c>
      <c r="H801" s="450"/>
      <c r="I801" s="346" t="s">
        <v>183</v>
      </c>
      <c r="J801" s="305">
        <v>0.77500000000000002</v>
      </c>
      <c r="K801" s="305">
        <v>0.25</v>
      </c>
      <c r="L801" s="451" t="s">
        <v>168</v>
      </c>
      <c r="M801" s="452">
        <v>8</v>
      </c>
      <c r="N801" s="452">
        <v>2</v>
      </c>
      <c r="O801" s="452">
        <v>6</v>
      </c>
      <c r="P801" s="452">
        <v>2</v>
      </c>
      <c r="Q801" s="453"/>
      <c r="R801" s="452"/>
      <c r="S801" s="452"/>
      <c r="T801" s="453"/>
      <c r="U801" s="452"/>
      <c r="V801" s="453"/>
      <c r="W801" s="454"/>
      <c r="X801" s="455"/>
      <c r="Y801" s="456"/>
      <c r="Z801" s="457"/>
      <c r="AA801" s="458"/>
      <c r="AB801" s="443"/>
    </row>
    <row r="802" spans="1:28" s="444" customFormat="1">
      <c r="A802" s="459"/>
      <c r="B802" s="446" t="s">
        <v>187</v>
      </c>
      <c r="C802" s="486">
        <v>3866</v>
      </c>
      <c r="D802" s="448" t="s">
        <v>341</v>
      </c>
      <c r="E802" s="449" t="s">
        <v>340</v>
      </c>
      <c r="F802" s="448" t="s">
        <v>341</v>
      </c>
      <c r="G802" s="589">
        <v>46221</v>
      </c>
      <c r="H802" s="450"/>
      <c r="I802" s="346" t="s">
        <v>183</v>
      </c>
      <c r="J802" s="305">
        <v>0.77708333333333335</v>
      </c>
      <c r="K802" s="305">
        <v>0.16805555555555557</v>
      </c>
      <c r="L802" s="347" t="s">
        <v>168</v>
      </c>
      <c r="M802" s="348">
        <v>8</v>
      </c>
      <c r="N802" s="348"/>
      <c r="O802" s="348">
        <v>6</v>
      </c>
      <c r="P802" s="452"/>
      <c r="Q802" s="453"/>
      <c r="R802" s="452"/>
      <c r="S802" s="452"/>
      <c r="T802" s="453"/>
      <c r="U802" s="452"/>
      <c r="V802" s="453"/>
      <c r="W802" s="454"/>
      <c r="X802" s="455"/>
      <c r="Y802" s="456"/>
      <c r="Z802" s="457"/>
      <c r="AA802" s="458"/>
      <c r="AB802" s="443"/>
    </row>
    <row r="803" spans="1:28" s="444" customFormat="1">
      <c r="A803" s="459"/>
      <c r="B803" s="446" t="s">
        <v>187</v>
      </c>
      <c r="C803" s="486">
        <v>3866</v>
      </c>
      <c r="D803" s="448" t="s">
        <v>341</v>
      </c>
      <c r="E803" s="449" t="s">
        <v>340</v>
      </c>
      <c r="F803" s="448" t="s">
        <v>341</v>
      </c>
      <c r="G803" s="590">
        <v>46222</v>
      </c>
      <c r="H803" s="450"/>
      <c r="I803" s="450"/>
      <c r="J803" s="699" t="s">
        <v>173</v>
      </c>
      <c r="K803" s="700"/>
      <c r="L803" s="451"/>
      <c r="M803" s="452"/>
      <c r="N803" s="452"/>
      <c r="O803" s="452"/>
      <c r="P803" s="452"/>
      <c r="Q803" s="453"/>
      <c r="R803" s="452"/>
      <c r="S803" s="452"/>
      <c r="T803" s="453"/>
      <c r="U803" s="452"/>
      <c r="V803" s="453"/>
      <c r="W803" s="454"/>
      <c r="X803" s="455"/>
      <c r="Y803" s="456"/>
      <c r="Z803" s="457"/>
      <c r="AA803" s="458"/>
      <c r="AB803" s="443"/>
    </row>
    <row r="804" spans="1:28" s="444" customFormat="1">
      <c r="A804" s="459"/>
      <c r="B804" s="446" t="s">
        <v>187</v>
      </c>
      <c r="C804" s="486">
        <v>3866</v>
      </c>
      <c r="D804" s="448" t="s">
        <v>341</v>
      </c>
      <c r="E804" s="449" t="s">
        <v>340</v>
      </c>
      <c r="F804" s="448" t="s">
        <v>341</v>
      </c>
      <c r="G804" s="589">
        <v>46223</v>
      </c>
      <c r="H804" s="450"/>
      <c r="I804" s="346" t="s">
        <v>183</v>
      </c>
      <c r="J804" s="295">
        <v>0.76875000000000004</v>
      </c>
      <c r="K804" s="295">
        <v>0.1673611111111111</v>
      </c>
      <c r="L804" s="347" t="s">
        <v>168</v>
      </c>
      <c r="M804" s="348">
        <v>8</v>
      </c>
      <c r="N804" s="348"/>
      <c r="O804" s="348">
        <v>6</v>
      </c>
      <c r="P804" s="462"/>
      <c r="Q804" s="461"/>
      <c r="R804" s="462"/>
      <c r="S804" s="462"/>
      <c r="T804" s="461"/>
      <c r="U804" s="462"/>
      <c r="V804" s="461"/>
      <c r="W804" s="454"/>
      <c r="X804" s="455"/>
      <c r="Y804" s="456"/>
      <c r="Z804" s="457"/>
      <c r="AA804" s="458"/>
      <c r="AB804" s="443"/>
    </row>
    <row r="805" spans="1:28" s="444" customFormat="1">
      <c r="A805" s="459"/>
      <c r="B805" s="446" t="s">
        <v>187</v>
      </c>
      <c r="C805" s="486">
        <v>3866</v>
      </c>
      <c r="D805" s="448" t="s">
        <v>341</v>
      </c>
      <c r="E805" s="449" t="s">
        <v>340</v>
      </c>
      <c r="F805" s="448" t="s">
        <v>341</v>
      </c>
      <c r="G805" s="589">
        <v>46224</v>
      </c>
      <c r="H805" s="450"/>
      <c r="I805" s="346" t="s">
        <v>183</v>
      </c>
      <c r="J805" s="295">
        <v>0.77500000000000002</v>
      </c>
      <c r="K805" s="295">
        <v>0.1673611111111111</v>
      </c>
      <c r="L805" s="347" t="s">
        <v>168</v>
      </c>
      <c r="M805" s="348">
        <v>8</v>
      </c>
      <c r="N805" s="348"/>
      <c r="O805" s="348">
        <v>6</v>
      </c>
      <c r="P805" s="469"/>
      <c r="Q805" s="468"/>
      <c r="R805" s="469"/>
      <c r="S805" s="469"/>
      <c r="T805" s="461"/>
      <c r="U805" s="462"/>
      <c r="V805" s="461"/>
      <c r="W805" s="463"/>
      <c r="X805" s="464"/>
      <c r="Y805" s="465"/>
      <c r="Z805" s="466"/>
      <c r="AA805" s="467"/>
      <c r="AB805" s="443"/>
    </row>
    <row r="806" spans="1:28" s="444" customFormat="1">
      <c r="A806" s="459"/>
      <c r="B806" s="446" t="s">
        <v>187</v>
      </c>
      <c r="C806" s="486">
        <v>3866</v>
      </c>
      <c r="D806" s="448" t="s">
        <v>341</v>
      </c>
      <c r="E806" s="449" t="s">
        <v>340</v>
      </c>
      <c r="F806" s="448" t="s">
        <v>341</v>
      </c>
      <c r="G806" s="589">
        <v>46225</v>
      </c>
      <c r="H806" s="450"/>
      <c r="I806" s="346" t="s">
        <v>183</v>
      </c>
      <c r="J806" s="295">
        <v>0.78055555555555556</v>
      </c>
      <c r="K806" s="295">
        <v>0.25069444444444444</v>
      </c>
      <c r="L806" s="451" t="s">
        <v>168</v>
      </c>
      <c r="M806" s="452">
        <v>8</v>
      </c>
      <c r="N806" s="452">
        <v>2</v>
      </c>
      <c r="O806" s="452">
        <v>6</v>
      </c>
      <c r="P806" s="452">
        <v>2</v>
      </c>
      <c r="Q806" s="453"/>
      <c r="R806" s="452"/>
      <c r="S806" s="452"/>
      <c r="T806" s="453"/>
      <c r="U806" s="452"/>
      <c r="V806" s="453"/>
      <c r="W806" s="454"/>
      <c r="X806" s="455"/>
      <c r="Y806" s="456"/>
      <c r="Z806" s="457"/>
      <c r="AA806" s="458"/>
      <c r="AB806" s="443"/>
    </row>
    <row r="807" spans="1:28" s="444" customFormat="1">
      <c r="A807" s="459"/>
      <c r="B807" s="446" t="s">
        <v>187</v>
      </c>
      <c r="C807" s="486">
        <v>3866</v>
      </c>
      <c r="D807" s="448" t="s">
        <v>341</v>
      </c>
      <c r="E807" s="449" t="s">
        <v>340</v>
      </c>
      <c r="F807" s="448" t="s">
        <v>341</v>
      </c>
      <c r="G807" s="589">
        <v>46226</v>
      </c>
      <c r="H807" s="450"/>
      <c r="I807" s="346" t="s">
        <v>183</v>
      </c>
      <c r="J807" s="295">
        <v>0.76944444444444449</v>
      </c>
      <c r="K807" s="295">
        <v>0.25208333333333333</v>
      </c>
      <c r="L807" s="451" t="s">
        <v>168</v>
      </c>
      <c r="M807" s="452">
        <v>8</v>
      </c>
      <c r="N807" s="452">
        <v>2</v>
      </c>
      <c r="O807" s="452">
        <v>6</v>
      </c>
      <c r="P807" s="452">
        <v>2</v>
      </c>
      <c r="Q807" s="453"/>
      <c r="R807" s="452"/>
      <c r="S807" s="452"/>
      <c r="T807" s="453"/>
      <c r="U807" s="452"/>
      <c r="V807" s="453"/>
      <c r="W807" s="454"/>
      <c r="X807" s="455"/>
      <c r="Y807" s="456"/>
      <c r="Z807" s="457"/>
      <c r="AA807" s="458"/>
      <c r="AB807" s="443"/>
    </row>
    <row r="808" spans="1:28" s="444" customFormat="1">
      <c r="A808" s="459"/>
      <c r="B808" s="446" t="s">
        <v>187</v>
      </c>
      <c r="C808" s="486">
        <v>3866</v>
      </c>
      <c r="D808" s="448" t="s">
        <v>341</v>
      </c>
      <c r="E808" s="449" t="s">
        <v>340</v>
      </c>
      <c r="F808" s="448" t="s">
        <v>341</v>
      </c>
      <c r="G808" s="589">
        <v>46227</v>
      </c>
      <c r="H808" s="450"/>
      <c r="I808" s="346" t="s">
        <v>183</v>
      </c>
      <c r="J808" s="295">
        <v>0.77916666666666667</v>
      </c>
      <c r="K808" s="318">
        <v>0.16805555555555557</v>
      </c>
      <c r="L808" s="347" t="s">
        <v>168</v>
      </c>
      <c r="M808" s="348">
        <v>8</v>
      </c>
      <c r="N808" s="348"/>
      <c r="O808" s="348">
        <v>6</v>
      </c>
      <c r="P808" s="471"/>
      <c r="Q808" s="472"/>
      <c r="R808" s="471"/>
      <c r="S808" s="471"/>
      <c r="T808" s="453"/>
      <c r="U808" s="452"/>
      <c r="V808" s="453"/>
      <c r="W808" s="454"/>
      <c r="X808" s="455"/>
      <c r="Y808" s="456"/>
      <c r="Z808" s="457"/>
      <c r="AA808" s="458"/>
      <c r="AB808" s="443"/>
    </row>
    <row r="809" spans="1:28" s="444" customFormat="1">
      <c r="A809" s="459"/>
      <c r="B809" s="446" t="s">
        <v>187</v>
      </c>
      <c r="C809" s="486">
        <v>3866</v>
      </c>
      <c r="D809" s="448" t="s">
        <v>341</v>
      </c>
      <c r="E809" s="449" t="s">
        <v>340</v>
      </c>
      <c r="F809" s="448" t="s">
        <v>341</v>
      </c>
      <c r="G809" s="589">
        <v>46228</v>
      </c>
      <c r="H809" s="450"/>
      <c r="I809" s="346" t="s">
        <v>183</v>
      </c>
      <c r="J809" s="295"/>
      <c r="K809" s="295"/>
      <c r="L809" s="451"/>
      <c r="M809" s="452"/>
      <c r="N809" s="452"/>
      <c r="O809" s="452"/>
      <c r="P809" s="452"/>
      <c r="Q809" s="453"/>
      <c r="R809" s="452"/>
      <c r="S809" s="473"/>
      <c r="T809" s="453"/>
      <c r="U809" s="452"/>
      <c r="V809" s="453"/>
      <c r="W809" s="454"/>
      <c r="X809" s="455"/>
      <c r="Y809" s="456"/>
      <c r="Z809" s="457"/>
      <c r="AA809" s="458"/>
      <c r="AB809" s="443"/>
    </row>
    <row r="810" spans="1:28" s="444" customFormat="1">
      <c r="A810" s="459"/>
      <c r="B810" s="446"/>
      <c r="C810" s="486"/>
      <c r="D810" s="449"/>
      <c r="E810" s="449"/>
      <c r="F810" s="449"/>
      <c r="G810" s="600"/>
      <c r="H810" s="450"/>
      <c r="I810" s="450"/>
      <c r="J810" s="474"/>
      <c r="K810" s="475"/>
      <c r="L810" s="476"/>
      <c r="M810" s="477"/>
      <c r="N810" s="477"/>
      <c r="O810" s="477"/>
      <c r="P810" s="477"/>
      <c r="Q810" s="478"/>
      <c r="R810" s="477"/>
      <c r="S810" s="479"/>
      <c r="T810" s="453"/>
      <c r="U810" s="452"/>
      <c r="V810" s="453"/>
      <c r="W810" s="454"/>
      <c r="X810" s="455"/>
      <c r="Y810" s="456"/>
      <c r="Z810" s="457"/>
      <c r="AA810" s="458"/>
      <c r="AB810" s="443"/>
    </row>
    <row r="811" spans="1:28" s="444" customFormat="1">
      <c r="A811" s="480"/>
      <c r="B811" s="481"/>
      <c r="C811" s="446"/>
      <c r="D811" s="481"/>
      <c r="E811" s="449"/>
      <c r="F811" s="481"/>
      <c r="G811" s="601"/>
      <c r="H811" s="482"/>
      <c r="I811" s="483"/>
      <c r="J811" s="484"/>
      <c r="K811" s="485"/>
      <c r="L811" s="483"/>
      <c r="M811" s="483">
        <f t="shared" ref="M811:AA811" si="45">SUM(M794:M810)</f>
        <v>96</v>
      </c>
      <c r="N811" s="483">
        <f t="shared" si="45"/>
        <v>8</v>
      </c>
      <c r="O811" s="483">
        <f t="shared" si="45"/>
        <v>66</v>
      </c>
      <c r="P811" s="483">
        <f t="shared" si="45"/>
        <v>8</v>
      </c>
      <c r="Q811" s="483">
        <f t="shared" si="45"/>
        <v>0</v>
      </c>
      <c r="R811" s="483">
        <f t="shared" si="45"/>
        <v>0</v>
      </c>
      <c r="S811" s="483">
        <f t="shared" si="45"/>
        <v>0</v>
      </c>
      <c r="T811" s="483">
        <f t="shared" si="45"/>
        <v>0</v>
      </c>
      <c r="U811" s="483">
        <f t="shared" si="45"/>
        <v>0</v>
      </c>
      <c r="V811" s="483">
        <f t="shared" si="45"/>
        <v>0</v>
      </c>
      <c r="W811" s="483">
        <f t="shared" si="45"/>
        <v>0</v>
      </c>
      <c r="X811" s="483">
        <f t="shared" si="45"/>
        <v>0</v>
      </c>
      <c r="Y811" s="483">
        <f t="shared" si="45"/>
        <v>0</v>
      </c>
      <c r="Z811" s="483">
        <f t="shared" si="45"/>
        <v>0</v>
      </c>
      <c r="AA811" s="491">
        <f t="shared" si="45"/>
        <v>0</v>
      </c>
      <c r="AB811" s="443"/>
    </row>
    <row r="812" spans="1:28" s="444" customFormat="1">
      <c r="A812" s="435" t="s">
        <v>170</v>
      </c>
      <c r="B812" s="435" t="s">
        <v>120</v>
      </c>
      <c r="C812" s="435" t="s">
        <v>152</v>
      </c>
      <c r="D812" s="435" t="s">
        <v>182</v>
      </c>
      <c r="E812" s="436" t="s">
        <v>153</v>
      </c>
      <c r="F812" s="435" t="s">
        <v>182</v>
      </c>
      <c r="G812" s="599" t="s">
        <v>401</v>
      </c>
      <c r="H812" s="437"/>
      <c r="I812" s="438" t="s">
        <v>181</v>
      </c>
      <c r="J812" s="439" t="s">
        <v>154</v>
      </c>
      <c r="K812" s="439" t="s">
        <v>155</v>
      </c>
      <c r="L812" s="440" t="s">
        <v>156</v>
      </c>
      <c r="M812" s="441" t="s">
        <v>157</v>
      </c>
      <c r="N812" s="440" t="s">
        <v>158</v>
      </c>
      <c r="O812" s="440" t="s">
        <v>159</v>
      </c>
      <c r="P812" s="440" t="s">
        <v>174</v>
      </c>
      <c r="Q812" s="440" t="s">
        <v>160</v>
      </c>
      <c r="R812" s="440" t="s">
        <v>161</v>
      </c>
      <c r="S812" s="440" t="s">
        <v>162</v>
      </c>
      <c r="T812" s="438" t="s">
        <v>163</v>
      </c>
      <c r="U812" s="438" t="s">
        <v>164</v>
      </c>
      <c r="V812" s="438" t="s">
        <v>165</v>
      </c>
      <c r="W812" s="440" t="s">
        <v>113</v>
      </c>
      <c r="X812" s="438" t="s">
        <v>121</v>
      </c>
      <c r="Y812" s="438" t="s">
        <v>166</v>
      </c>
      <c r="Z812" s="442" t="s">
        <v>175</v>
      </c>
      <c r="AA812" s="442" t="s">
        <v>167</v>
      </c>
      <c r="AB812" s="443"/>
    </row>
    <row r="813" spans="1:28" s="444" customFormat="1">
      <c r="A813" s="445"/>
      <c r="B813" s="446" t="s">
        <v>187</v>
      </c>
      <c r="C813" s="449">
        <v>7505</v>
      </c>
      <c r="D813" s="448" t="s">
        <v>339</v>
      </c>
      <c r="E813" s="449" t="s">
        <v>338</v>
      </c>
      <c r="F813" s="448" t="s">
        <v>339</v>
      </c>
      <c r="G813" s="589">
        <v>46214</v>
      </c>
      <c r="H813" s="450"/>
      <c r="I813" s="450" t="s">
        <v>186</v>
      </c>
      <c r="J813" s="295">
        <v>0.28680555555555554</v>
      </c>
      <c r="K813" s="295">
        <v>0.70972222222222225</v>
      </c>
      <c r="L813" s="451" t="s">
        <v>169</v>
      </c>
      <c r="M813" s="452">
        <v>8</v>
      </c>
      <c r="N813" s="452"/>
      <c r="O813" s="452"/>
      <c r="P813" s="452"/>
      <c r="Q813" s="453"/>
      <c r="R813" s="452"/>
      <c r="S813" s="452"/>
      <c r="T813" s="453"/>
      <c r="U813" s="452"/>
      <c r="V813" s="453"/>
      <c r="W813" s="454"/>
      <c r="X813" s="455"/>
      <c r="Y813" s="456"/>
      <c r="Z813" s="457"/>
      <c r="AA813" s="458"/>
      <c r="AB813" s="443"/>
    </row>
    <row r="814" spans="1:28" s="444" customFormat="1">
      <c r="A814" s="459"/>
      <c r="B814" s="446" t="s">
        <v>187</v>
      </c>
      <c r="C814" s="449">
        <v>7505</v>
      </c>
      <c r="D814" s="448" t="s">
        <v>339</v>
      </c>
      <c r="E814" s="449" t="s">
        <v>338</v>
      </c>
      <c r="F814" s="448" t="s">
        <v>339</v>
      </c>
      <c r="G814" s="590">
        <v>46215</v>
      </c>
      <c r="H814" s="450"/>
      <c r="I814" s="346"/>
      <c r="J814" s="699" t="s">
        <v>173</v>
      </c>
      <c r="K814" s="700"/>
      <c r="L814" s="347"/>
      <c r="M814" s="348"/>
      <c r="N814" s="348"/>
      <c r="O814" s="348"/>
      <c r="P814" s="452"/>
      <c r="Q814" s="453"/>
      <c r="R814" s="452"/>
      <c r="S814" s="452"/>
      <c r="T814" s="453"/>
      <c r="U814" s="452"/>
      <c r="V814" s="453"/>
      <c r="W814" s="454"/>
      <c r="X814" s="455"/>
      <c r="Y814" s="456"/>
      <c r="Z814" s="457"/>
      <c r="AA814" s="458"/>
      <c r="AB814" s="443"/>
    </row>
    <row r="815" spans="1:28" s="444" customFormat="1">
      <c r="A815" s="459"/>
      <c r="B815" s="446" t="s">
        <v>187</v>
      </c>
      <c r="C815" s="486">
        <v>7505</v>
      </c>
      <c r="D815" s="448" t="s">
        <v>339</v>
      </c>
      <c r="E815" s="449" t="s">
        <v>338</v>
      </c>
      <c r="F815" s="448" t="s">
        <v>339</v>
      </c>
      <c r="G815" s="589">
        <v>46216</v>
      </c>
      <c r="H815" s="450"/>
      <c r="I815" s="346" t="s">
        <v>183</v>
      </c>
      <c r="J815" s="305">
        <v>0.76041666666666663</v>
      </c>
      <c r="K815" s="305">
        <v>0.1673611111111111</v>
      </c>
      <c r="L815" s="347" t="s">
        <v>168</v>
      </c>
      <c r="M815" s="348">
        <v>8</v>
      </c>
      <c r="N815" s="348"/>
      <c r="O815" s="348">
        <v>6</v>
      </c>
      <c r="P815" s="452"/>
      <c r="Q815" s="453"/>
      <c r="R815" s="452"/>
      <c r="S815" s="452"/>
      <c r="T815" s="453"/>
      <c r="U815" s="452"/>
      <c r="V815" s="453"/>
      <c r="W815" s="454"/>
      <c r="X815" s="455"/>
      <c r="Y815" s="456"/>
      <c r="Z815" s="457"/>
      <c r="AA815" s="458"/>
      <c r="AB815" s="443"/>
    </row>
    <row r="816" spans="1:28" s="444" customFormat="1">
      <c r="A816" s="459"/>
      <c r="B816" s="446" t="s">
        <v>187</v>
      </c>
      <c r="C816" s="486">
        <v>7505</v>
      </c>
      <c r="D816" s="448" t="s">
        <v>339</v>
      </c>
      <c r="E816" s="449" t="s">
        <v>338</v>
      </c>
      <c r="F816" s="448" t="s">
        <v>339</v>
      </c>
      <c r="G816" s="589">
        <v>46217</v>
      </c>
      <c r="H816" s="450"/>
      <c r="I816" s="346" t="s">
        <v>183</v>
      </c>
      <c r="J816" s="305">
        <v>0.76458333333333339</v>
      </c>
      <c r="K816" s="305">
        <v>0.16666666666666666</v>
      </c>
      <c r="L816" s="347" t="s">
        <v>168</v>
      </c>
      <c r="M816" s="348">
        <v>8</v>
      </c>
      <c r="N816" s="348"/>
      <c r="O816" s="348">
        <v>6</v>
      </c>
      <c r="P816" s="462"/>
      <c r="Q816" s="461"/>
      <c r="R816" s="462"/>
      <c r="S816" s="462"/>
      <c r="T816" s="461"/>
      <c r="U816" s="462"/>
      <c r="V816" s="461"/>
      <c r="W816" s="463"/>
      <c r="X816" s="464"/>
      <c r="Y816" s="465"/>
      <c r="Z816" s="466"/>
      <c r="AA816" s="467"/>
      <c r="AB816" s="443"/>
    </row>
    <row r="817" spans="1:28" s="444" customFormat="1">
      <c r="A817" s="459"/>
      <c r="B817" s="446" t="s">
        <v>187</v>
      </c>
      <c r="C817" s="486">
        <v>7505</v>
      </c>
      <c r="D817" s="448" t="s">
        <v>339</v>
      </c>
      <c r="E817" s="449" t="s">
        <v>338</v>
      </c>
      <c r="F817" s="448" t="s">
        <v>339</v>
      </c>
      <c r="G817" s="589">
        <v>46218</v>
      </c>
      <c r="H817" s="450"/>
      <c r="I817" s="346" t="s">
        <v>183</v>
      </c>
      <c r="J817" s="305">
        <v>0.77708333333333324</v>
      </c>
      <c r="K817" s="305">
        <v>0.16944444444444443</v>
      </c>
      <c r="L817" s="347" t="s">
        <v>168</v>
      </c>
      <c r="M817" s="348">
        <v>8</v>
      </c>
      <c r="N817" s="348"/>
      <c r="O817" s="348">
        <v>6</v>
      </c>
      <c r="P817" s="452"/>
      <c r="Q817" s="453"/>
      <c r="R817" s="452"/>
      <c r="S817" s="452"/>
      <c r="T817" s="453"/>
      <c r="U817" s="452"/>
      <c r="V817" s="453"/>
      <c r="W817" s="454"/>
      <c r="X817" s="455"/>
      <c r="Y817" s="456"/>
      <c r="Z817" s="457"/>
      <c r="AA817" s="458"/>
      <c r="AB817" s="443"/>
    </row>
    <row r="818" spans="1:28" s="444" customFormat="1">
      <c r="A818" s="459"/>
      <c r="B818" s="446" t="s">
        <v>187</v>
      </c>
      <c r="C818" s="486">
        <v>7505</v>
      </c>
      <c r="D818" s="448" t="s">
        <v>339</v>
      </c>
      <c r="E818" s="449" t="s">
        <v>338</v>
      </c>
      <c r="F818" s="448" t="s">
        <v>339</v>
      </c>
      <c r="G818" s="589">
        <v>46219</v>
      </c>
      <c r="H818" s="450"/>
      <c r="I818" s="346" t="s">
        <v>183</v>
      </c>
      <c r="J818" s="305">
        <v>0.7597222222222223</v>
      </c>
      <c r="K818" s="305">
        <v>0.1673611111111111</v>
      </c>
      <c r="L818" s="347" t="s">
        <v>168</v>
      </c>
      <c r="M818" s="348">
        <v>8</v>
      </c>
      <c r="N818" s="348"/>
      <c r="O818" s="348">
        <v>6</v>
      </c>
      <c r="P818" s="452"/>
      <c r="Q818" s="453"/>
      <c r="R818" s="452"/>
      <c r="S818" s="452"/>
      <c r="T818" s="453"/>
      <c r="U818" s="452"/>
      <c r="V818" s="453"/>
      <c r="W818" s="454"/>
      <c r="X818" s="455"/>
      <c r="Y818" s="456"/>
      <c r="Z818" s="457"/>
      <c r="AA818" s="458"/>
      <c r="AB818" s="443"/>
    </row>
    <row r="819" spans="1:28" s="444" customFormat="1">
      <c r="A819" s="459"/>
      <c r="B819" s="446" t="s">
        <v>187</v>
      </c>
      <c r="C819" s="486">
        <v>7505</v>
      </c>
      <c r="D819" s="448" t="s">
        <v>339</v>
      </c>
      <c r="E819" s="449" t="s">
        <v>338</v>
      </c>
      <c r="F819" s="448" t="s">
        <v>339</v>
      </c>
      <c r="G819" s="589">
        <v>46220</v>
      </c>
      <c r="H819" s="450"/>
      <c r="I819" s="346" t="s">
        <v>183</v>
      </c>
      <c r="J819" s="305">
        <v>0.76180555555555551</v>
      </c>
      <c r="K819" s="305">
        <v>0.1673611111111111</v>
      </c>
      <c r="L819" s="347" t="s">
        <v>168</v>
      </c>
      <c r="M819" s="348">
        <v>8</v>
      </c>
      <c r="N819" s="348"/>
      <c r="O819" s="348">
        <v>6</v>
      </c>
      <c r="P819" s="452"/>
      <c r="Q819" s="453"/>
      <c r="R819" s="452"/>
      <c r="S819" s="452"/>
      <c r="T819" s="453"/>
      <c r="U819" s="452"/>
      <c r="V819" s="453"/>
      <c r="W819" s="454"/>
      <c r="X819" s="455"/>
      <c r="Y819" s="456"/>
      <c r="Z819" s="457"/>
      <c r="AA819" s="458"/>
      <c r="AB819" s="443"/>
    </row>
    <row r="820" spans="1:28" s="444" customFormat="1">
      <c r="A820" s="459"/>
      <c r="B820" s="446" t="s">
        <v>187</v>
      </c>
      <c r="C820" s="486">
        <v>7505</v>
      </c>
      <c r="D820" s="448" t="s">
        <v>339</v>
      </c>
      <c r="E820" s="449" t="s">
        <v>338</v>
      </c>
      <c r="F820" s="448" t="s">
        <v>339</v>
      </c>
      <c r="G820" s="589">
        <v>46221</v>
      </c>
      <c r="H820" s="450"/>
      <c r="I820" s="346" t="s">
        <v>183</v>
      </c>
      <c r="J820" s="305">
        <v>0.78194444444444444</v>
      </c>
      <c r="K820" s="305">
        <v>0.1673611111111111</v>
      </c>
      <c r="L820" s="347" t="s">
        <v>168</v>
      </c>
      <c r="M820" s="348">
        <v>8</v>
      </c>
      <c r="N820" s="348"/>
      <c r="O820" s="348">
        <v>6</v>
      </c>
      <c r="P820" s="452"/>
      <c r="Q820" s="453"/>
      <c r="R820" s="452"/>
      <c r="S820" s="452"/>
      <c r="T820" s="453"/>
      <c r="U820" s="452"/>
      <c r="V820" s="453"/>
      <c r="W820" s="454"/>
      <c r="X820" s="455"/>
      <c r="Y820" s="456"/>
      <c r="Z820" s="457"/>
      <c r="AA820" s="458"/>
      <c r="AB820" s="443"/>
    </row>
    <row r="821" spans="1:28" s="444" customFormat="1">
      <c r="A821" s="459"/>
      <c r="B821" s="446" t="s">
        <v>187</v>
      </c>
      <c r="C821" s="486">
        <v>7505</v>
      </c>
      <c r="D821" s="448" t="s">
        <v>339</v>
      </c>
      <c r="E821" s="449" t="s">
        <v>338</v>
      </c>
      <c r="F821" s="448" t="s">
        <v>339</v>
      </c>
      <c r="G821" s="590">
        <v>46222</v>
      </c>
      <c r="H821" s="450"/>
      <c r="I821" s="450"/>
      <c r="J821" s="699" t="s">
        <v>173</v>
      </c>
      <c r="K821" s="700"/>
      <c r="L821" s="451"/>
      <c r="M821" s="452"/>
      <c r="N821" s="452"/>
      <c r="O821" s="452"/>
      <c r="P821" s="452"/>
      <c r="Q821" s="453"/>
      <c r="R821" s="452"/>
      <c r="S821" s="452"/>
      <c r="T821" s="453"/>
      <c r="U821" s="452"/>
      <c r="V821" s="453"/>
      <c r="W821" s="454"/>
      <c r="X821" s="455"/>
      <c r="Y821" s="456"/>
      <c r="Z821" s="457"/>
      <c r="AA821" s="458"/>
      <c r="AB821" s="443"/>
    </row>
    <row r="822" spans="1:28" s="444" customFormat="1">
      <c r="A822" s="459"/>
      <c r="B822" s="446" t="s">
        <v>187</v>
      </c>
      <c r="C822" s="486">
        <v>7505</v>
      </c>
      <c r="D822" s="448" t="s">
        <v>339</v>
      </c>
      <c r="E822" s="449" t="s">
        <v>338</v>
      </c>
      <c r="F822" s="448" t="s">
        <v>339</v>
      </c>
      <c r="G822" s="589">
        <v>46223</v>
      </c>
      <c r="H822" s="450"/>
      <c r="I822" s="346" t="s">
        <v>183</v>
      </c>
      <c r="J822" s="295">
        <v>0.76249999999999996</v>
      </c>
      <c r="K822" s="295">
        <v>0.16666666666666666</v>
      </c>
      <c r="L822" s="347" t="s">
        <v>168</v>
      </c>
      <c r="M822" s="348">
        <v>8</v>
      </c>
      <c r="N822" s="348"/>
      <c r="O822" s="348">
        <v>6</v>
      </c>
      <c r="P822" s="462"/>
      <c r="Q822" s="461"/>
      <c r="R822" s="462"/>
      <c r="S822" s="462"/>
      <c r="T822" s="461"/>
      <c r="U822" s="462"/>
      <c r="V822" s="461"/>
      <c r="W822" s="463"/>
      <c r="X822" s="455"/>
      <c r="Y822" s="456"/>
      <c r="Z822" s="457"/>
      <c r="AA822" s="458"/>
      <c r="AB822" s="443"/>
    </row>
    <row r="823" spans="1:28" s="444" customFormat="1">
      <c r="A823" s="459"/>
      <c r="B823" s="446" t="s">
        <v>187</v>
      </c>
      <c r="C823" s="486">
        <v>7505</v>
      </c>
      <c r="D823" s="448" t="s">
        <v>339</v>
      </c>
      <c r="E823" s="449" t="s">
        <v>338</v>
      </c>
      <c r="F823" s="448" t="s">
        <v>339</v>
      </c>
      <c r="G823" s="589">
        <v>46224</v>
      </c>
      <c r="H823" s="450"/>
      <c r="I823" s="346" t="s">
        <v>183</v>
      </c>
      <c r="J823" s="295">
        <v>0.76458333333333328</v>
      </c>
      <c r="K823" s="295">
        <v>0.16666666666666666</v>
      </c>
      <c r="L823" s="347" t="s">
        <v>168</v>
      </c>
      <c r="M823" s="348">
        <v>8</v>
      </c>
      <c r="N823" s="348"/>
      <c r="O823" s="348">
        <v>6</v>
      </c>
      <c r="P823" s="469"/>
      <c r="Q823" s="468"/>
      <c r="R823" s="469"/>
      <c r="S823" s="469"/>
      <c r="T823" s="461"/>
      <c r="U823" s="462"/>
      <c r="V823" s="461"/>
      <c r="W823" s="463"/>
      <c r="X823" s="464"/>
      <c r="Y823" s="465"/>
      <c r="Z823" s="466"/>
      <c r="AA823" s="467"/>
      <c r="AB823" s="443"/>
    </row>
    <row r="824" spans="1:28" s="444" customFormat="1">
      <c r="A824" s="459"/>
      <c r="B824" s="446" t="s">
        <v>187</v>
      </c>
      <c r="C824" s="486">
        <v>7505</v>
      </c>
      <c r="D824" s="448" t="s">
        <v>339</v>
      </c>
      <c r="E824" s="449" t="s">
        <v>338</v>
      </c>
      <c r="F824" s="448" t="s">
        <v>339</v>
      </c>
      <c r="G824" s="589">
        <v>46225</v>
      </c>
      <c r="H824" s="450"/>
      <c r="I824" s="346" t="s">
        <v>183</v>
      </c>
      <c r="J824" s="295">
        <v>0.76527777777777772</v>
      </c>
      <c r="K824" s="295">
        <v>0.16666666666666666</v>
      </c>
      <c r="L824" s="347" t="s">
        <v>168</v>
      </c>
      <c r="M824" s="348">
        <v>8</v>
      </c>
      <c r="N824" s="348"/>
      <c r="O824" s="348">
        <v>6</v>
      </c>
      <c r="P824" s="452"/>
      <c r="Q824" s="453"/>
      <c r="R824" s="452"/>
      <c r="S824" s="452"/>
      <c r="T824" s="453"/>
      <c r="U824" s="452"/>
      <c r="V824" s="453"/>
      <c r="W824" s="454"/>
      <c r="X824" s="455"/>
      <c r="Y824" s="456"/>
      <c r="Z824" s="457"/>
      <c r="AA824" s="458"/>
      <c r="AB824" s="443"/>
    </row>
    <row r="825" spans="1:28" s="444" customFormat="1">
      <c r="A825" s="459"/>
      <c r="B825" s="446" t="s">
        <v>187</v>
      </c>
      <c r="C825" s="486">
        <v>7505</v>
      </c>
      <c r="D825" s="448" t="s">
        <v>339</v>
      </c>
      <c r="E825" s="449" t="s">
        <v>338</v>
      </c>
      <c r="F825" s="448" t="s">
        <v>339</v>
      </c>
      <c r="G825" s="589">
        <v>46226</v>
      </c>
      <c r="H825" s="450"/>
      <c r="I825" s="346" t="s">
        <v>183</v>
      </c>
      <c r="J825" s="295">
        <v>0.7631944444444444</v>
      </c>
      <c r="K825" s="295">
        <v>0.1673611111111111</v>
      </c>
      <c r="L825" s="347" t="s">
        <v>168</v>
      </c>
      <c r="M825" s="348">
        <v>8</v>
      </c>
      <c r="N825" s="348"/>
      <c r="O825" s="348">
        <v>6</v>
      </c>
      <c r="P825" s="470"/>
      <c r="Q825" s="453"/>
      <c r="R825" s="452"/>
      <c r="S825" s="452"/>
      <c r="T825" s="453"/>
      <c r="U825" s="452"/>
      <c r="V825" s="453"/>
      <c r="W825" s="454"/>
      <c r="X825" s="455"/>
      <c r="Y825" s="456"/>
      <c r="Z825" s="457"/>
      <c r="AA825" s="458"/>
      <c r="AB825" s="443"/>
    </row>
    <row r="826" spans="1:28" s="444" customFormat="1">
      <c r="A826" s="459"/>
      <c r="B826" s="446" t="s">
        <v>187</v>
      </c>
      <c r="C826" s="486">
        <v>7505</v>
      </c>
      <c r="D826" s="448" t="s">
        <v>339</v>
      </c>
      <c r="E826" s="449" t="s">
        <v>338</v>
      </c>
      <c r="F826" s="448" t="s">
        <v>339</v>
      </c>
      <c r="G826" s="589">
        <v>46227</v>
      </c>
      <c r="H826" s="450"/>
      <c r="I826" s="346" t="s">
        <v>183</v>
      </c>
      <c r="J826" s="295">
        <v>0.76458333333333328</v>
      </c>
      <c r="K826" s="318">
        <v>0.16666666666666666</v>
      </c>
      <c r="L826" s="347" t="s">
        <v>168</v>
      </c>
      <c r="M826" s="348">
        <v>8</v>
      </c>
      <c r="N826" s="348"/>
      <c r="O826" s="348">
        <v>6</v>
      </c>
      <c r="P826" s="471"/>
      <c r="Q826" s="472"/>
      <c r="R826" s="471"/>
      <c r="S826" s="471"/>
      <c r="T826" s="453"/>
      <c r="U826" s="452"/>
      <c r="V826" s="453"/>
      <c r="W826" s="454"/>
      <c r="X826" s="455"/>
      <c r="Y826" s="456"/>
      <c r="Z826" s="457"/>
      <c r="AA826" s="458"/>
      <c r="AB826" s="443"/>
    </row>
    <row r="827" spans="1:28" s="444" customFormat="1">
      <c r="A827" s="459"/>
      <c r="B827" s="446" t="s">
        <v>187</v>
      </c>
      <c r="C827" s="486">
        <v>7505</v>
      </c>
      <c r="D827" s="448" t="s">
        <v>339</v>
      </c>
      <c r="E827" s="449" t="s">
        <v>338</v>
      </c>
      <c r="F827" s="448" t="s">
        <v>339</v>
      </c>
      <c r="G827" s="589">
        <v>46228</v>
      </c>
      <c r="H827" s="450"/>
      <c r="I827" s="346" t="s">
        <v>183</v>
      </c>
      <c r="J827" s="295"/>
      <c r="K827" s="295"/>
      <c r="L827" s="451"/>
      <c r="M827" s="452"/>
      <c r="N827" s="452"/>
      <c r="O827" s="452"/>
      <c r="P827" s="452"/>
      <c r="Q827" s="453"/>
      <c r="R827" s="452"/>
      <c r="S827" s="473"/>
      <c r="T827" s="453"/>
      <c r="U827" s="452"/>
      <c r="V827" s="453"/>
      <c r="W827" s="454"/>
      <c r="X827" s="455"/>
      <c r="Y827" s="456"/>
      <c r="Z827" s="457"/>
      <c r="AA827" s="458"/>
      <c r="AB827" s="443"/>
    </row>
    <row r="828" spans="1:28" s="444" customFormat="1">
      <c r="A828" s="459"/>
      <c r="B828" s="446"/>
      <c r="C828" s="505"/>
      <c r="D828" s="449"/>
      <c r="E828" s="488"/>
      <c r="F828" s="449"/>
      <c r="G828" s="600"/>
      <c r="H828" s="450"/>
      <c r="I828" s="450"/>
      <c r="J828" s="474"/>
      <c r="K828" s="475"/>
      <c r="L828" s="476"/>
      <c r="M828" s="477"/>
      <c r="N828" s="477"/>
      <c r="O828" s="477"/>
      <c r="P828" s="477"/>
      <c r="Q828" s="478"/>
      <c r="R828" s="477"/>
      <c r="S828" s="479"/>
      <c r="T828" s="453"/>
      <c r="U828" s="452"/>
      <c r="V828" s="453"/>
      <c r="W828" s="454"/>
      <c r="X828" s="455"/>
      <c r="Y828" s="456"/>
      <c r="Z828" s="457"/>
      <c r="AA828" s="458"/>
      <c r="AB828" s="443"/>
    </row>
    <row r="829" spans="1:28" s="444" customFormat="1">
      <c r="A829" s="480"/>
      <c r="B829" s="481"/>
      <c r="C829" s="446"/>
      <c r="D829" s="481"/>
      <c r="E829" s="449"/>
      <c r="F829" s="481"/>
      <c r="G829" s="601"/>
      <c r="H829" s="482"/>
      <c r="I829" s="483"/>
      <c r="J829" s="484"/>
      <c r="K829" s="485"/>
      <c r="L829" s="483"/>
      <c r="M829" s="483">
        <f t="shared" ref="M829:AA829" si="46">SUM(M812:M828)</f>
        <v>96</v>
      </c>
      <c r="N829" s="483">
        <f t="shared" si="46"/>
        <v>0</v>
      </c>
      <c r="O829" s="483">
        <f t="shared" si="46"/>
        <v>66</v>
      </c>
      <c r="P829" s="483">
        <f t="shared" si="46"/>
        <v>0</v>
      </c>
      <c r="Q829" s="483">
        <f t="shared" si="46"/>
        <v>0</v>
      </c>
      <c r="R829" s="483">
        <f t="shared" si="46"/>
        <v>0</v>
      </c>
      <c r="S829" s="483">
        <f t="shared" si="46"/>
        <v>0</v>
      </c>
      <c r="T829" s="483">
        <f t="shared" si="46"/>
        <v>0</v>
      </c>
      <c r="U829" s="483">
        <f t="shared" si="46"/>
        <v>0</v>
      </c>
      <c r="V829" s="483">
        <f t="shared" si="46"/>
        <v>0</v>
      </c>
      <c r="W829" s="483">
        <f t="shared" si="46"/>
        <v>0</v>
      </c>
      <c r="X829" s="483">
        <f t="shared" si="46"/>
        <v>0</v>
      </c>
      <c r="Y829" s="483">
        <f t="shared" si="46"/>
        <v>0</v>
      </c>
      <c r="Z829" s="483">
        <f t="shared" si="46"/>
        <v>0</v>
      </c>
      <c r="AA829" s="483">
        <f t="shared" si="46"/>
        <v>0</v>
      </c>
      <c r="AB829" s="443"/>
    </row>
    <row r="830" spans="1:28" s="444" customFormat="1">
      <c r="A830" s="435" t="s">
        <v>170</v>
      </c>
      <c r="B830" s="435" t="s">
        <v>120</v>
      </c>
      <c r="C830" s="435" t="s">
        <v>152</v>
      </c>
      <c r="D830" s="435" t="s">
        <v>182</v>
      </c>
      <c r="E830" s="436" t="s">
        <v>153</v>
      </c>
      <c r="F830" s="435" t="s">
        <v>182</v>
      </c>
      <c r="G830" s="599" t="s">
        <v>401</v>
      </c>
      <c r="H830" s="437"/>
      <c r="I830" s="438" t="s">
        <v>181</v>
      </c>
      <c r="J830" s="439" t="s">
        <v>154</v>
      </c>
      <c r="K830" s="439" t="s">
        <v>155</v>
      </c>
      <c r="L830" s="440" t="s">
        <v>156</v>
      </c>
      <c r="M830" s="441" t="s">
        <v>157</v>
      </c>
      <c r="N830" s="440" t="s">
        <v>158</v>
      </c>
      <c r="O830" s="440" t="s">
        <v>159</v>
      </c>
      <c r="P830" s="440" t="s">
        <v>174</v>
      </c>
      <c r="Q830" s="440" t="s">
        <v>160</v>
      </c>
      <c r="R830" s="440" t="s">
        <v>161</v>
      </c>
      <c r="S830" s="440" t="s">
        <v>162</v>
      </c>
      <c r="T830" s="438" t="s">
        <v>163</v>
      </c>
      <c r="U830" s="438" t="s">
        <v>164</v>
      </c>
      <c r="V830" s="438" t="s">
        <v>165</v>
      </c>
      <c r="W830" s="440" t="s">
        <v>113</v>
      </c>
      <c r="X830" s="438" t="s">
        <v>121</v>
      </c>
      <c r="Y830" s="438" t="s">
        <v>166</v>
      </c>
      <c r="Z830" s="442" t="s">
        <v>175</v>
      </c>
      <c r="AA830" s="442" t="s">
        <v>167</v>
      </c>
      <c r="AB830" s="443"/>
    </row>
    <row r="831" spans="1:28" s="444" customFormat="1">
      <c r="A831" s="445"/>
      <c r="B831" s="446" t="s">
        <v>187</v>
      </c>
      <c r="C831" s="449">
        <v>7502</v>
      </c>
      <c r="D831" s="448" t="s">
        <v>337</v>
      </c>
      <c r="E831" s="449" t="s">
        <v>336</v>
      </c>
      <c r="F831" s="448" t="s">
        <v>337</v>
      </c>
      <c r="G831" s="589">
        <v>46214</v>
      </c>
      <c r="H831" s="450"/>
      <c r="I831" s="450" t="s">
        <v>186</v>
      </c>
      <c r="J831" s="295">
        <v>0.32222222222222224</v>
      </c>
      <c r="K831" s="421">
        <v>0.71180555555555558</v>
      </c>
      <c r="L831" s="451" t="s">
        <v>169</v>
      </c>
      <c r="M831" s="452">
        <v>8</v>
      </c>
      <c r="N831" s="452"/>
      <c r="O831" s="452"/>
      <c r="P831" s="452"/>
      <c r="Q831" s="453"/>
      <c r="R831" s="452"/>
      <c r="S831" s="452"/>
      <c r="T831" s="453"/>
      <c r="U831" s="452"/>
      <c r="V831" s="453"/>
      <c r="W831" s="454"/>
      <c r="X831" s="455"/>
      <c r="Y831" s="456"/>
      <c r="Z831" s="457"/>
      <c r="AA831" s="458"/>
      <c r="AB831" s="443"/>
    </row>
    <row r="832" spans="1:28" s="444" customFormat="1">
      <c r="A832" s="459"/>
      <c r="B832" s="446" t="s">
        <v>187</v>
      </c>
      <c r="C832" s="449">
        <v>7502</v>
      </c>
      <c r="D832" s="448" t="s">
        <v>337</v>
      </c>
      <c r="E832" s="449" t="s">
        <v>336</v>
      </c>
      <c r="F832" s="448" t="s">
        <v>337</v>
      </c>
      <c r="G832" s="590">
        <v>46215</v>
      </c>
      <c r="H832" s="450"/>
      <c r="I832" s="346"/>
      <c r="J832" s="699" t="s">
        <v>173</v>
      </c>
      <c r="K832" s="700"/>
      <c r="L832" s="347"/>
      <c r="M832" s="348"/>
      <c r="N832" s="348"/>
      <c r="O832" s="348"/>
      <c r="P832" s="452"/>
      <c r="Q832" s="453"/>
      <c r="R832" s="452"/>
      <c r="S832" s="452"/>
      <c r="T832" s="453"/>
      <c r="U832" s="452"/>
      <c r="V832" s="453"/>
      <c r="W832" s="454"/>
      <c r="X832" s="455"/>
      <c r="Y832" s="456"/>
      <c r="Z832" s="457"/>
      <c r="AA832" s="458"/>
      <c r="AB832" s="443"/>
    </row>
    <row r="833" spans="1:28" s="444" customFormat="1">
      <c r="A833" s="459"/>
      <c r="B833" s="446" t="s">
        <v>187</v>
      </c>
      <c r="C833" s="486">
        <v>7502</v>
      </c>
      <c r="D833" s="448" t="s">
        <v>337</v>
      </c>
      <c r="E833" s="449" t="s">
        <v>336</v>
      </c>
      <c r="F833" s="448" t="s">
        <v>337</v>
      </c>
      <c r="G833" s="589">
        <v>46216</v>
      </c>
      <c r="H833" s="450"/>
      <c r="I833" s="346" t="s">
        <v>183</v>
      </c>
      <c r="J833" s="434">
        <v>0.8666666666666667</v>
      </c>
      <c r="K833" s="305">
        <v>0.17083333333333334</v>
      </c>
      <c r="L833" s="347" t="s">
        <v>168</v>
      </c>
      <c r="M833" s="348">
        <v>8</v>
      </c>
      <c r="N833" s="348"/>
      <c r="O833" s="348">
        <v>6</v>
      </c>
      <c r="P833" s="452"/>
      <c r="Q833" s="453"/>
      <c r="R833" s="452"/>
      <c r="S833" s="452"/>
      <c r="T833" s="453"/>
      <c r="U833" s="452"/>
      <c r="V833" s="453"/>
      <c r="W833" s="454"/>
      <c r="X833" s="455"/>
      <c r="Y833" s="456"/>
      <c r="Z833" s="457"/>
      <c r="AA833" s="467">
        <v>108</v>
      </c>
      <c r="AB833" s="443"/>
    </row>
    <row r="834" spans="1:28" s="444" customFormat="1">
      <c r="A834" s="459"/>
      <c r="B834" s="446" t="s">
        <v>187</v>
      </c>
      <c r="C834" s="486">
        <v>7502</v>
      </c>
      <c r="D834" s="448" t="s">
        <v>337</v>
      </c>
      <c r="E834" s="449" t="s">
        <v>336</v>
      </c>
      <c r="F834" s="448" t="s">
        <v>337</v>
      </c>
      <c r="G834" s="589">
        <v>46217</v>
      </c>
      <c r="H834" s="450"/>
      <c r="I834" s="346" t="s">
        <v>183</v>
      </c>
      <c r="J834" s="305">
        <v>0.77916666666666667</v>
      </c>
      <c r="K834" s="305">
        <v>0.25138888888888888</v>
      </c>
      <c r="L834" s="347" t="s">
        <v>168</v>
      </c>
      <c r="M834" s="348">
        <v>8</v>
      </c>
      <c r="N834" s="348">
        <v>2</v>
      </c>
      <c r="O834" s="348">
        <v>6</v>
      </c>
      <c r="P834" s="452">
        <v>2</v>
      </c>
      <c r="Q834" s="461"/>
      <c r="R834" s="462"/>
      <c r="S834" s="462"/>
      <c r="T834" s="461"/>
      <c r="U834" s="462"/>
      <c r="V834" s="461"/>
      <c r="W834" s="463"/>
      <c r="X834" s="464"/>
      <c r="Y834" s="465"/>
      <c r="Z834" s="466"/>
      <c r="AA834" s="467"/>
      <c r="AB834" s="443"/>
    </row>
    <row r="835" spans="1:28" s="444" customFormat="1">
      <c r="A835" s="459"/>
      <c r="B835" s="446" t="s">
        <v>187</v>
      </c>
      <c r="C835" s="486">
        <v>7502</v>
      </c>
      <c r="D835" s="448" t="s">
        <v>337</v>
      </c>
      <c r="E835" s="449" t="s">
        <v>336</v>
      </c>
      <c r="F835" s="448" t="s">
        <v>337</v>
      </c>
      <c r="G835" s="589">
        <v>46218</v>
      </c>
      <c r="H835" s="450"/>
      <c r="I835" s="346" t="s">
        <v>183</v>
      </c>
      <c r="J835" s="305">
        <v>0.77708333333333324</v>
      </c>
      <c r="K835" s="305">
        <v>0.16944444444444443</v>
      </c>
      <c r="L835" s="347" t="s">
        <v>168</v>
      </c>
      <c r="M835" s="348">
        <v>8</v>
      </c>
      <c r="N835" s="348"/>
      <c r="O835" s="348">
        <v>6</v>
      </c>
      <c r="P835" s="452"/>
      <c r="Q835" s="453"/>
      <c r="R835" s="452"/>
      <c r="S835" s="452"/>
      <c r="T835" s="453"/>
      <c r="U835" s="452"/>
      <c r="V835" s="453"/>
      <c r="W835" s="454"/>
      <c r="X835" s="455"/>
      <c r="Y835" s="456"/>
      <c r="Z835" s="457"/>
      <c r="AA835" s="458"/>
      <c r="AB835" s="443"/>
    </row>
    <row r="836" spans="1:28" s="444" customFormat="1">
      <c r="A836" s="459"/>
      <c r="B836" s="446" t="s">
        <v>187</v>
      </c>
      <c r="C836" s="486">
        <v>7502</v>
      </c>
      <c r="D836" s="448" t="s">
        <v>337</v>
      </c>
      <c r="E836" s="449" t="s">
        <v>336</v>
      </c>
      <c r="F836" s="448" t="s">
        <v>337</v>
      </c>
      <c r="G836" s="589">
        <v>46219</v>
      </c>
      <c r="H836" s="450"/>
      <c r="I836" s="346" t="s">
        <v>183</v>
      </c>
      <c r="J836" s="305">
        <v>0.77777777777777779</v>
      </c>
      <c r="K836" s="305">
        <v>0.25208333333333333</v>
      </c>
      <c r="L836" s="347" t="s">
        <v>168</v>
      </c>
      <c r="M836" s="348">
        <v>8</v>
      </c>
      <c r="N836" s="348">
        <v>2</v>
      </c>
      <c r="O836" s="348">
        <v>6</v>
      </c>
      <c r="P836" s="452">
        <v>2</v>
      </c>
      <c r="Q836" s="453"/>
      <c r="R836" s="452"/>
      <c r="S836" s="452"/>
      <c r="T836" s="453"/>
      <c r="U836" s="452"/>
      <c r="V836" s="453"/>
      <c r="W836" s="454"/>
      <c r="X836" s="455"/>
      <c r="Y836" s="456"/>
      <c r="Z836" s="457"/>
      <c r="AA836" s="458"/>
      <c r="AB836" s="443"/>
    </row>
    <row r="837" spans="1:28" s="444" customFormat="1">
      <c r="A837" s="459"/>
      <c r="B837" s="446" t="s">
        <v>187</v>
      </c>
      <c r="C837" s="486">
        <v>7502</v>
      </c>
      <c r="D837" s="448" t="s">
        <v>337</v>
      </c>
      <c r="E837" s="449" t="s">
        <v>336</v>
      </c>
      <c r="F837" s="448" t="s">
        <v>337</v>
      </c>
      <c r="G837" s="589">
        <v>46220</v>
      </c>
      <c r="H837" s="450"/>
      <c r="I837" s="346" t="s">
        <v>183</v>
      </c>
      <c r="J837" s="305">
        <v>0.77638888888888891</v>
      </c>
      <c r="K837" s="305">
        <v>0.25069444444444444</v>
      </c>
      <c r="L837" s="347" t="s">
        <v>168</v>
      </c>
      <c r="M837" s="348">
        <v>8</v>
      </c>
      <c r="N837" s="348">
        <v>2</v>
      </c>
      <c r="O837" s="348">
        <v>6</v>
      </c>
      <c r="P837" s="452">
        <v>2</v>
      </c>
      <c r="Q837" s="453"/>
      <c r="R837" s="452"/>
      <c r="S837" s="452"/>
      <c r="T837" s="453"/>
      <c r="U837" s="452"/>
      <c r="V837" s="453"/>
      <c r="W837" s="454"/>
      <c r="X837" s="455"/>
      <c r="Y837" s="456"/>
      <c r="Z837" s="457"/>
      <c r="AA837" s="458"/>
      <c r="AB837" s="443"/>
    </row>
    <row r="838" spans="1:28" s="444" customFormat="1">
      <c r="A838" s="459"/>
      <c r="B838" s="446" t="s">
        <v>187</v>
      </c>
      <c r="C838" s="486">
        <v>7502</v>
      </c>
      <c r="D838" s="448" t="s">
        <v>337</v>
      </c>
      <c r="E838" s="449" t="s">
        <v>336</v>
      </c>
      <c r="F838" s="448" t="s">
        <v>337</v>
      </c>
      <c r="G838" s="589">
        <v>46221</v>
      </c>
      <c r="H838" s="450"/>
      <c r="I838" s="346" t="s">
        <v>183</v>
      </c>
      <c r="J838" s="305">
        <v>0.77916666666666667</v>
      </c>
      <c r="K838" s="305">
        <v>0.16875000000000001</v>
      </c>
      <c r="L838" s="347" t="s">
        <v>168</v>
      </c>
      <c r="M838" s="348">
        <v>8</v>
      </c>
      <c r="N838" s="348"/>
      <c r="O838" s="348">
        <v>6</v>
      </c>
      <c r="P838" s="452"/>
      <c r="Q838" s="453"/>
      <c r="R838" s="452"/>
      <c r="S838" s="452"/>
      <c r="T838" s="453"/>
      <c r="U838" s="452"/>
      <c r="V838" s="453"/>
      <c r="W838" s="454"/>
      <c r="X838" s="455"/>
      <c r="Y838" s="456"/>
      <c r="Z838" s="457"/>
      <c r="AA838" s="458"/>
      <c r="AB838" s="443"/>
    </row>
    <row r="839" spans="1:28" s="444" customFormat="1">
      <c r="A839" s="459"/>
      <c r="B839" s="446" t="s">
        <v>187</v>
      </c>
      <c r="C839" s="486">
        <v>7502</v>
      </c>
      <c r="D839" s="448" t="s">
        <v>337</v>
      </c>
      <c r="E839" s="449" t="s">
        <v>336</v>
      </c>
      <c r="F839" s="448" t="s">
        <v>337</v>
      </c>
      <c r="G839" s="590">
        <v>46222</v>
      </c>
      <c r="H839" s="450"/>
      <c r="I839" s="450"/>
      <c r="J839" s="699" t="s">
        <v>173</v>
      </c>
      <c r="K839" s="700"/>
      <c r="L839" s="451"/>
      <c r="M839" s="452"/>
      <c r="N839" s="452"/>
      <c r="O839" s="452"/>
      <c r="P839" s="452"/>
      <c r="Q839" s="453"/>
      <c r="R839" s="452"/>
      <c r="S839" s="452"/>
      <c r="T839" s="453"/>
      <c r="U839" s="452"/>
      <c r="V839" s="453"/>
      <c r="W839" s="454"/>
      <c r="X839" s="455"/>
      <c r="Y839" s="456"/>
      <c r="Z839" s="457"/>
      <c r="AA839" s="458"/>
      <c r="AB839" s="443"/>
    </row>
    <row r="840" spans="1:28" s="444" customFormat="1">
      <c r="A840" s="459"/>
      <c r="B840" s="446" t="s">
        <v>187</v>
      </c>
      <c r="C840" s="486">
        <v>7502</v>
      </c>
      <c r="D840" s="448" t="s">
        <v>337</v>
      </c>
      <c r="E840" s="449" t="s">
        <v>336</v>
      </c>
      <c r="F840" s="448" t="s">
        <v>337</v>
      </c>
      <c r="G840" s="589">
        <v>46223</v>
      </c>
      <c r="H840" s="450"/>
      <c r="I840" s="346" t="s">
        <v>183</v>
      </c>
      <c r="J840" s="295">
        <v>0.75138888888888888</v>
      </c>
      <c r="K840" s="295">
        <v>0.16944444444444445</v>
      </c>
      <c r="L840" s="347" t="s">
        <v>168</v>
      </c>
      <c r="M840" s="348">
        <v>8</v>
      </c>
      <c r="N840" s="348"/>
      <c r="O840" s="348">
        <v>6</v>
      </c>
      <c r="P840" s="462"/>
      <c r="Q840" s="461"/>
      <c r="R840" s="462"/>
      <c r="S840" s="462"/>
      <c r="T840" s="461"/>
      <c r="U840" s="462"/>
      <c r="V840" s="461"/>
      <c r="W840" s="454"/>
      <c r="X840" s="455"/>
      <c r="Y840" s="456"/>
      <c r="Z840" s="457"/>
      <c r="AA840" s="458"/>
      <c r="AB840" s="443"/>
    </row>
    <row r="841" spans="1:28" s="444" customFormat="1">
      <c r="A841" s="459"/>
      <c r="B841" s="446" t="s">
        <v>187</v>
      </c>
      <c r="C841" s="486">
        <v>7502</v>
      </c>
      <c r="D841" s="448" t="s">
        <v>337</v>
      </c>
      <c r="E841" s="449" t="s">
        <v>336</v>
      </c>
      <c r="F841" s="448" t="s">
        <v>337</v>
      </c>
      <c r="G841" s="589">
        <v>46224</v>
      </c>
      <c r="H841" s="450"/>
      <c r="I841" s="346" t="s">
        <v>183</v>
      </c>
      <c r="J841" s="295">
        <v>0.77361111111111114</v>
      </c>
      <c r="K841" s="295">
        <v>0.25138888888888888</v>
      </c>
      <c r="L841" s="347" t="s">
        <v>168</v>
      </c>
      <c r="M841" s="348">
        <v>8</v>
      </c>
      <c r="N841" s="348">
        <v>2</v>
      </c>
      <c r="O841" s="348">
        <v>6</v>
      </c>
      <c r="P841" s="452">
        <v>2</v>
      </c>
      <c r="Q841" s="468"/>
      <c r="R841" s="469"/>
      <c r="S841" s="469"/>
      <c r="T841" s="461"/>
      <c r="U841" s="462"/>
      <c r="V841" s="461"/>
      <c r="W841" s="463"/>
      <c r="X841" s="464"/>
      <c r="Y841" s="465"/>
      <c r="Z841" s="466"/>
      <c r="AA841" s="467"/>
      <c r="AB841" s="443"/>
    </row>
    <row r="842" spans="1:28" s="444" customFormat="1">
      <c r="A842" s="459"/>
      <c r="B842" s="446" t="s">
        <v>187</v>
      </c>
      <c r="C842" s="486">
        <v>7502</v>
      </c>
      <c r="D842" s="448" t="s">
        <v>337</v>
      </c>
      <c r="E842" s="449" t="s">
        <v>336</v>
      </c>
      <c r="F842" s="448" t="s">
        <v>337</v>
      </c>
      <c r="G842" s="589">
        <v>46225</v>
      </c>
      <c r="H842" s="450"/>
      <c r="I842" s="346" t="s">
        <v>183</v>
      </c>
      <c r="J842" s="295">
        <v>0.77916666666666667</v>
      </c>
      <c r="K842" s="295">
        <v>0.25277777777777777</v>
      </c>
      <c r="L842" s="347" t="s">
        <v>168</v>
      </c>
      <c r="M842" s="348">
        <v>8</v>
      </c>
      <c r="N842" s="348">
        <v>2</v>
      </c>
      <c r="O842" s="348">
        <v>6</v>
      </c>
      <c r="P842" s="452">
        <v>2</v>
      </c>
      <c r="Q842" s="453"/>
      <c r="R842" s="452"/>
      <c r="S842" s="452"/>
      <c r="T842" s="453"/>
      <c r="U842" s="452"/>
      <c r="V842" s="453"/>
      <c r="W842" s="454"/>
      <c r="X842" s="455"/>
      <c r="Y842" s="456"/>
      <c r="Z842" s="457"/>
      <c r="AA842" s="458"/>
      <c r="AB842" s="443"/>
    </row>
    <row r="843" spans="1:28" s="444" customFormat="1">
      <c r="A843" s="459"/>
      <c r="B843" s="446" t="s">
        <v>187</v>
      </c>
      <c r="C843" s="486">
        <v>7502</v>
      </c>
      <c r="D843" s="448" t="s">
        <v>337</v>
      </c>
      <c r="E843" s="449" t="s">
        <v>336</v>
      </c>
      <c r="F843" s="448" t="s">
        <v>337</v>
      </c>
      <c r="G843" s="589">
        <v>46226</v>
      </c>
      <c r="H843" s="450"/>
      <c r="I843" s="346" t="s">
        <v>183</v>
      </c>
      <c r="J843" s="295">
        <v>0.77638888888888891</v>
      </c>
      <c r="K843" s="295">
        <v>0.25208333333333333</v>
      </c>
      <c r="L843" s="347" t="s">
        <v>168</v>
      </c>
      <c r="M843" s="348">
        <v>8</v>
      </c>
      <c r="N843" s="348">
        <v>2</v>
      </c>
      <c r="O843" s="348">
        <v>6</v>
      </c>
      <c r="P843" s="452">
        <v>2</v>
      </c>
      <c r="Q843" s="453"/>
      <c r="R843" s="452"/>
      <c r="S843" s="452"/>
      <c r="T843" s="453"/>
      <c r="U843" s="452"/>
      <c r="V843" s="453"/>
      <c r="W843" s="454"/>
      <c r="X843" s="455"/>
      <c r="Y843" s="456"/>
      <c r="Z843" s="457"/>
      <c r="AA843" s="458"/>
      <c r="AB843" s="443"/>
    </row>
    <row r="844" spans="1:28" s="444" customFormat="1">
      <c r="A844" s="459"/>
      <c r="B844" s="446" t="s">
        <v>187</v>
      </c>
      <c r="C844" s="486">
        <v>7502</v>
      </c>
      <c r="D844" s="448" t="s">
        <v>337</v>
      </c>
      <c r="E844" s="449" t="s">
        <v>336</v>
      </c>
      <c r="F844" s="448" t="s">
        <v>337</v>
      </c>
      <c r="G844" s="589">
        <v>46227</v>
      </c>
      <c r="H844" s="450"/>
      <c r="I844" s="346" t="s">
        <v>183</v>
      </c>
      <c r="J844" s="295">
        <v>0.77430555555555558</v>
      </c>
      <c r="K844" s="318">
        <v>0.16875000000000001</v>
      </c>
      <c r="L844" s="347" t="s">
        <v>168</v>
      </c>
      <c r="M844" s="348">
        <v>8</v>
      </c>
      <c r="N844" s="348"/>
      <c r="O844" s="348">
        <v>6</v>
      </c>
      <c r="P844" s="471"/>
      <c r="Q844" s="472"/>
      <c r="R844" s="471"/>
      <c r="S844" s="471"/>
      <c r="T844" s="453"/>
      <c r="U844" s="452"/>
      <c r="V844" s="453"/>
      <c r="W844" s="454"/>
      <c r="X844" s="455"/>
      <c r="Y844" s="456"/>
      <c r="Z844" s="457"/>
      <c r="AA844" s="458"/>
      <c r="AB844" s="443"/>
    </row>
    <row r="845" spans="1:28" s="444" customFormat="1">
      <c r="A845" s="459"/>
      <c r="B845" s="446" t="s">
        <v>187</v>
      </c>
      <c r="C845" s="486">
        <v>7502</v>
      </c>
      <c r="D845" s="448" t="s">
        <v>337</v>
      </c>
      <c r="E845" s="449" t="s">
        <v>336</v>
      </c>
      <c r="F845" s="448" t="s">
        <v>337</v>
      </c>
      <c r="G845" s="589">
        <v>46228</v>
      </c>
      <c r="H845" s="450"/>
      <c r="I845" s="346" t="s">
        <v>183</v>
      </c>
      <c r="J845" s="295"/>
      <c r="K845" s="295"/>
      <c r="L845" s="451"/>
      <c r="M845" s="452"/>
      <c r="N845" s="452"/>
      <c r="O845" s="452"/>
      <c r="P845" s="452"/>
      <c r="Q845" s="453"/>
      <c r="R845" s="452"/>
      <c r="S845" s="473"/>
      <c r="T845" s="453"/>
      <c r="U845" s="452"/>
      <c r="V845" s="453"/>
      <c r="W845" s="454"/>
      <c r="X845" s="455"/>
      <c r="Y845" s="456"/>
      <c r="Z845" s="457"/>
      <c r="AA845" s="458"/>
      <c r="AB845" s="443"/>
    </row>
    <row r="846" spans="1:28" s="444" customFormat="1">
      <c r="A846" s="459"/>
      <c r="B846" s="446"/>
      <c r="C846" s="505"/>
      <c r="D846" s="449"/>
      <c r="E846" s="488"/>
      <c r="F846" s="449"/>
      <c r="G846" s="600"/>
      <c r="H846" s="450"/>
      <c r="I846" s="450"/>
      <c r="J846" s="474"/>
      <c r="K846" s="475"/>
      <c r="L846" s="476"/>
      <c r="M846" s="477"/>
      <c r="N846" s="477"/>
      <c r="O846" s="477"/>
      <c r="P846" s="477"/>
      <c r="Q846" s="478"/>
      <c r="R846" s="477"/>
      <c r="S846" s="479"/>
      <c r="T846" s="453"/>
      <c r="U846" s="452"/>
      <c r="V846" s="453"/>
      <c r="W846" s="454"/>
      <c r="X846" s="455"/>
      <c r="Y846" s="456"/>
      <c r="Z846" s="457"/>
      <c r="AA846" s="458"/>
      <c r="AB846" s="443"/>
    </row>
    <row r="847" spans="1:28" s="444" customFormat="1">
      <c r="A847" s="480"/>
      <c r="B847" s="481"/>
      <c r="C847" s="446"/>
      <c r="D847" s="481"/>
      <c r="E847" s="449"/>
      <c r="F847" s="481"/>
      <c r="G847" s="601"/>
      <c r="H847" s="482"/>
      <c r="I847" s="483"/>
      <c r="J847" s="484"/>
      <c r="K847" s="485"/>
      <c r="L847" s="483"/>
      <c r="M847" s="483">
        <f t="shared" ref="M847:AA847" si="47">SUM(M830:M846)</f>
        <v>96</v>
      </c>
      <c r="N847" s="483">
        <f t="shared" si="47"/>
        <v>12</v>
      </c>
      <c r="O847" s="483">
        <f t="shared" si="47"/>
        <v>66</v>
      </c>
      <c r="P847" s="483">
        <f t="shared" si="47"/>
        <v>12</v>
      </c>
      <c r="Q847" s="483">
        <f t="shared" si="47"/>
        <v>0</v>
      </c>
      <c r="R847" s="483">
        <f t="shared" si="47"/>
        <v>0</v>
      </c>
      <c r="S847" s="483">
        <f t="shared" si="47"/>
        <v>0</v>
      </c>
      <c r="T847" s="483">
        <f t="shared" si="47"/>
        <v>0</v>
      </c>
      <c r="U847" s="483">
        <f t="shared" si="47"/>
        <v>0</v>
      </c>
      <c r="V847" s="483">
        <f t="shared" si="47"/>
        <v>0</v>
      </c>
      <c r="W847" s="483">
        <f t="shared" si="47"/>
        <v>0</v>
      </c>
      <c r="X847" s="483">
        <f t="shared" si="47"/>
        <v>0</v>
      </c>
      <c r="Y847" s="483">
        <f t="shared" si="47"/>
        <v>0</v>
      </c>
      <c r="Z847" s="483">
        <f t="shared" si="47"/>
        <v>0</v>
      </c>
      <c r="AA847" s="483">
        <f t="shared" si="47"/>
        <v>108</v>
      </c>
      <c r="AB847" s="443"/>
    </row>
    <row r="848" spans="1:28" s="444" customFormat="1">
      <c r="A848" s="435" t="s">
        <v>170</v>
      </c>
      <c r="B848" s="435" t="s">
        <v>120</v>
      </c>
      <c r="C848" s="435" t="s">
        <v>152</v>
      </c>
      <c r="D848" s="435" t="s">
        <v>182</v>
      </c>
      <c r="E848" s="436" t="s">
        <v>153</v>
      </c>
      <c r="F848" s="435" t="s">
        <v>182</v>
      </c>
      <c r="G848" s="599" t="s">
        <v>401</v>
      </c>
      <c r="H848" s="437"/>
      <c r="I848" s="438" t="s">
        <v>181</v>
      </c>
      <c r="J848" s="439" t="s">
        <v>154</v>
      </c>
      <c r="K848" s="439" t="s">
        <v>155</v>
      </c>
      <c r="L848" s="440" t="s">
        <v>156</v>
      </c>
      <c r="M848" s="441" t="s">
        <v>157</v>
      </c>
      <c r="N848" s="440" t="s">
        <v>158</v>
      </c>
      <c r="O848" s="440" t="s">
        <v>159</v>
      </c>
      <c r="P848" s="440" t="s">
        <v>174</v>
      </c>
      <c r="Q848" s="440" t="s">
        <v>160</v>
      </c>
      <c r="R848" s="440" t="s">
        <v>161</v>
      </c>
      <c r="S848" s="440" t="s">
        <v>162</v>
      </c>
      <c r="T848" s="438" t="s">
        <v>163</v>
      </c>
      <c r="U848" s="438" t="s">
        <v>164</v>
      </c>
      <c r="V848" s="438" t="s">
        <v>165</v>
      </c>
      <c r="W848" s="440" t="s">
        <v>113</v>
      </c>
      <c r="X848" s="438" t="s">
        <v>121</v>
      </c>
      <c r="Y848" s="438" t="s">
        <v>166</v>
      </c>
      <c r="Z848" s="442" t="s">
        <v>175</v>
      </c>
      <c r="AA848" s="442" t="s">
        <v>167</v>
      </c>
      <c r="AB848" s="443"/>
    </row>
    <row r="849" spans="1:28" s="444" customFormat="1">
      <c r="A849" s="701"/>
      <c r="B849" s="446" t="s">
        <v>187</v>
      </c>
      <c r="C849" s="486">
        <v>12810</v>
      </c>
      <c r="D849" s="448" t="s">
        <v>335</v>
      </c>
      <c r="E849" s="449" t="s">
        <v>334</v>
      </c>
      <c r="F849" s="448" t="s">
        <v>335</v>
      </c>
      <c r="G849" s="589">
        <v>46214</v>
      </c>
      <c r="H849" s="450"/>
      <c r="I849" s="450" t="s">
        <v>183</v>
      </c>
      <c r="J849" s="295">
        <v>0.77569444444444446</v>
      </c>
      <c r="K849" s="295">
        <v>0.1673611111111111</v>
      </c>
      <c r="L849" s="451" t="s">
        <v>168</v>
      </c>
      <c r="M849" s="452">
        <v>8</v>
      </c>
      <c r="N849" s="452"/>
      <c r="O849" s="452">
        <v>6</v>
      </c>
      <c r="P849" s="452"/>
      <c r="Q849" s="453"/>
      <c r="R849" s="452"/>
      <c r="S849" s="452"/>
      <c r="T849" s="453"/>
      <c r="U849" s="452"/>
      <c r="V849" s="453"/>
      <c r="W849" s="454"/>
      <c r="X849" s="455"/>
      <c r="Y849" s="456"/>
      <c r="Z849" s="457"/>
      <c r="AA849" s="458"/>
      <c r="AB849" s="443"/>
    </row>
    <row r="850" spans="1:28" s="444" customFormat="1">
      <c r="A850" s="702"/>
      <c r="B850" s="446" t="s">
        <v>187</v>
      </c>
      <c r="C850" s="486">
        <v>12810</v>
      </c>
      <c r="D850" s="448" t="s">
        <v>335</v>
      </c>
      <c r="E850" s="449" t="s">
        <v>334</v>
      </c>
      <c r="F850" s="448" t="s">
        <v>335</v>
      </c>
      <c r="G850" s="590">
        <v>46215</v>
      </c>
      <c r="H850" s="450"/>
      <c r="I850" s="450"/>
      <c r="L850" s="451"/>
      <c r="M850" s="452"/>
      <c r="N850" s="452"/>
      <c r="O850" s="452"/>
      <c r="P850" s="452"/>
      <c r="Q850" s="453"/>
      <c r="R850" s="452"/>
      <c r="S850" s="452"/>
      <c r="T850" s="453"/>
      <c r="U850" s="452"/>
      <c r="V850" s="453"/>
      <c r="W850" s="454"/>
      <c r="X850" s="455"/>
      <c r="Y850" s="456"/>
      <c r="Z850" s="457"/>
      <c r="AA850" s="458"/>
      <c r="AB850" s="443"/>
    </row>
    <row r="851" spans="1:28" s="444" customFormat="1">
      <c r="A851" s="702"/>
      <c r="B851" s="446" t="s">
        <v>187</v>
      </c>
      <c r="C851" s="486">
        <v>12810</v>
      </c>
      <c r="D851" s="448" t="s">
        <v>335</v>
      </c>
      <c r="E851" s="449" t="s">
        <v>334</v>
      </c>
      <c r="F851" s="448" t="s">
        <v>335</v>
      </c>
      <c r="G851" s="589">
        <v>46216</v>
      </c>
      <c r="H851" s="450"/>
      <c r="I851" s="450"/>
      <c r="J851" s="382"/>
      <c r="K851" s="382"/>
      <c r="L851" s="451"/>
      <c r="M851" s="452"/>
      <c r="N851" s="452"/>
      <c r="O851" s="452"/>
      <c r="P851" s="452"/>
      <c r="Q851" s="453"/>
      <c r="R851" s="452"/>
      <c r="S851" s="452"/>
      <c r="T851" s="453"/>
      <c r="U851" s="452"/>
      <c r="V851" s="453"/>
      <c r="W851" s="454"/>
      <c r="X851" s="455"/>
      <c r="Y851" s="456"/>
      <c r="Z851" s="457"/>
      <c r="AA851" s="458"/>
      <c r="AB851" s="443"/>
    </row>
    <row r="852" spans="1:28" s="444" customFormat="1">
      <c r="A852" s="702"/>
      <c r="B852" s="446" t="s">
        <v>187</v>
      </c>
      <c r="C852" s="486">
        <v>12810</v>
      </c>
      <c r="D852" s="448" t="s">
        <v>335</v>
      </c>
      <c r="E852" s="449" t="s">
        <v>334</v>
      </c>
      <c r="F852" s="448" t="s">
        <v>335</v>
      </c>
      <c r="G852" s="589">
        <v>46217</v>
      </c>
      <c r="H852" s="450"/>
      <c r="I852" s="450" t="s">
        <v>186</v>
      </c>
      <c r="J852" s="382">
        <v>0.30833333333333335</v>
      </c>
      <c r="K852" s="382">
        <v>0.70972222222222225</v>
      </c>
      <c r="L852" s="451" t="s">
        <v>169</v>
      </c>
      <c r="M852" s="452">
        <v>8</v>
      </c>
      <c r="N852" s="452"/>
      <c r="O852" s="452"/>
      <c r="P852" s="452"/>
      <c r="Q852" s="461"/>
      <c r="R852" s="462"/>
      <c r="S852" s="462"/>
      <c r="T852" s="461"/>
      <c r="U852" s="462"/>
      <c r="V852" s="461"/>
      <c r="W852" s="463"/>
      <c r="X852" s="464"/>
      <c r="Y852" s="465"/>
      <c r="Z852" s="466"/>
      <c r="AA852" s="467"/>
      <c r="AB852" s="443"/>
    </row>
    <row r="853" spans="1:28" s="444" customFormat="1">
      <c r="A853" s="702"/>
      <c r="B853" s="446" t="s">
        <v>187</v>
      </c>
      <c r="C853" s="486">
        <v>12810</v>
      </c>
      <c r="D853" s="448" t="s">
        <v>335</v>
      </c>
      <c r="E853" s="449" t="s">
        <v>334</v>
      </c>
      <c r="F853" s="448" t="s">
        <v>335</v>
      </c>
      <c r="G853" s="589">
        <v>46218</v>
      </c>
      <c r="H853" s="450"/>
      <c r="I853" s="450" t="s">
        <v>186</v>
      </c>
      <c r="J853" s="382">
        <v>0.3125</v>
      </c>
      <c r="K853" s="382">
        <v>0.71111111111111114</v>
      </c>
      <c r="L853" s="451" t="s">
        <v>169</v>
      </c>
      <c r="M853" s="452">
        <v>8</v>
      </c>
      <c r="N853" s="452"/>
      <c r="O853" s="452"/>
      <c r="P853" s="452"/>
      <c r="Q853" s="453"/>
      <c r="R853" s="452"/>
      <c r="S853" s="452"/>
      <c r="T853" s="453"/>
      <c r="U853" s="452"/>
      <c r="V853" s="453"/>
      <c r="W853" s="454"/>
      <c r="X853" s="455"/>
      <c r="Y853" s="456"/>
      <c r="Z853" s="457"/>
      <c r="AA853" s="458"/>
      <c r="AB853" s="443"/>
    </row>
    <row r="854" spans="1:28" s="444" customFormat="1">
      <c r="A854" s="702"/>
      <c r="B854" s="446" t="s">
        <v>187</v>
      </c>
      <c r="C854" s="486">
        <v>12810</v>
      </c>
      <c r="D854" s="448" t="s">
        <v>335</v>
      </c>
      <c r="E854" s="449" t="s">
        <v>334</v>
      </c>
      <c r="F854" s="448" t="s">
        <v>335</v>
      </c>
      <c r="G854" s="589">
        <v>46219</v>
      </c>
      <c r="H854" s="450"/>
      <c r="I854" s="450" t="s">
        <v>186</v>
      </c>
      <c r="J854" s="382">
        <v>0.31597222222222221</v>
      </c>
      <c r="K854" s="382">
        <v>0.7104166666666667</v>
      </c>
      <c r="L854" s="451" t="s">
        <v>169</v>
      </c>
      <c r="M854" s="452">
        <v>8</v>
      </c>
      <c r="N854" s="452"/>
      <c r="O854" s="452"/>
      <c r="P854" s="452"/>
      <c r="Q854" s="453"/>
      <c r="R854" s="452"/>
      <c r="S854" s="452"/>
      <c r="T854" s="453"/>
      <c r="U854" s="452"/>
      <c r="V854" s="453"/>
      <c r="W854" s="454"/>
      <c r="X854" s="455"/>
      <c r="Y854" s="456"/>
      <c r="Z854" s="457"/>
      <c r="AA854" s="458"/>
      <c r="AB854" s="443"/>
    </row>
    <row r="855" spans="1:28" s="444" customFormat="1">
      <c r="A855" s="702"/>
      <c r="B855" s="446" t="s">
        <v>187</v>
      </c>
      <c r="C855" s="486">
        <v>12810</v>
      </c>
      <c r="D855" s="448" t="s">
        <v>335</v>
      </c>
      <c r="E855" s="449" t="s">
        <v>334</v>
      </c>
      <c r="F855" s="448" t="s">
        <v>335</v>
      </c>
      <c r="G855" s="589">
        <v>46220</v>
      </c>
      <c r="H855" s="450"/>
      <c r="I855" s="450" t="s">
        <v>186</v>
      </c>
      <c r="J855" s="382">
        <v>0.31319444444444444</v>
      </c>
      <c r="K855" s="382">
        <v>0.7104166666666667</v>
      </c>
      <c r="L855" s="451" t="s">
        <v>169</v>
      </c>
      <c r="M855" s="452">
        <v>8</v>
      </c>
      <c r="N855" s="452"/>
      <c r="O855" s="452"/>
      <c r="P855" s="452"/>
      <c r="Q855" s="453"/>
      <c r="R855" s="452"/>
      <c r="S855" s="452"/>
      <c r="T855" s="453"/>
      <c r="U855" s="452"/>
      <c r="V855" s="453"/>
      <c r="W855" s="454"/>
      <c r="X855" s="455"/>
      <c r="Y855" s="456"/>
      <c r="Z855" s="457"/>
      <c r="AA855" s="458"/>
      <c r="AB855" s="443"/>
    </row>
    <row r="856" spans="1:28" s="444" customFormat="1">
      <c r="A856" s="702"/>
      <c r="B856" s="446" t="s">
        <v>187</v>
      </c>
      <c r="C856" s="486">
        <v>12810</v>
      </c>
      <c r="D856" s="448" t="s">
        <v>335</v>
      </c>
      <c r="E856" s="449" t="s">
        <v>334</v>
      </c>
      <c r="F856" s="448" t="s">
        <v>335</v>
      </c>
      <c r="G856" s="589">
        <v>46221</v>
      </c>
      <c r="H856" s="450"/>
      <c r="I856" s="450" t="s">
        <v>186</v>
      </c>
      <c r="J856" s="382">
        <v>0.31527777777777777</v>
      </c>
      <c r="K856" s="382">
        <v>0.71319444444444446</v>
      </c>
      <c r="L856" s="451" t="s">
        <v>169</v>
      </c>
      <c r="M856" s="452">
        <v>8</v>
      </c>
      <c r="N856" s="452"/>
      <c r="O856" s="452"/>
      <c r="P856" s="452"/>
      <c r="Q856" s="453"/>
      <c r="R856" s="452"/>
      <c r="S856" s="452"/>
      <c r="T856" s="453"/>
      <c r="U856" s="452"/>
      <c r="V856" s="453"/>
      <c r="W856" s="454"/>
      <c r="X856" s="455"/>
      <c r="Y856" s="456"/>
      <c r="Z856" s="457"/>
      <c r="AA856" s="458"/>
      <c r="AB856" s="443"/>
    </row>
    <row r="857" spans="1:28" s="444" customFormat="1">
      <c r="A857" s="702"/>
      <c r="B857" s="446" t="s">
        <v>187</v>
      </c>
      <c r="C857" s="486">
        <v>12810</v>
      </c>
      <c r="D857" s="448" t="s">
        <v>335</v>
      </c>
      <c r="E857" s="449" t="s">
        <v>334</v>
      </c>
      <c r="F857" s="448" t="s">
        <v>335</v>
      </c>
      <c r="G857" s="590">
        <v>46222</v>
      </c>
      <c r="H857" s="450"/>
      <c r="I857" s="450"/>
      <c r="J857" s="699" t="s">
        <v>173</v>
      </c>
      <c r="K857" s="700"/>
      <c r="L857" s="451"/>
      <c r="M857" s="452"/>
      <c r="N857" s="452"/>
      <c r="O857" s="452"/>
      <c r="P857" s="452"/>
      <c r="Q857" s="453"/>
      <c r="R857" s="452"/>
      <c r="S857" s="452"/>
      <c r="T857" s="453"/>
      <c r="U857" s="452"/>
      <c r="V857" s="453"/>
      <c r="W857" s="454"/>
      <c r="X857" s="455"/>
      <c r="Y857" s="456"/>
      <c r="Z857" s="457"/>
      <c r="AA857" s="458"/>
      <c r="AB857" s="443"/>
    </row>
    <row r="858" spans="1:28" s="444" customFormat="1">
      <c r="A858" s="702"/>
      <c r="B858" s="446" t="s">
        <v>187</v>
      </c>
      <c r="C858" s="486">
        <v>12810</v>
      </c>
      <c r="D858" s="448" t="s">
        <v>335</v>
      </c>
      <c r="E858" s="449" t="s">
        <v>334</v>
      </c>
      <c r="F858" s="448" t="s">
        <v>335</v>
      </c>
      <c r="G858" s="589">
        <v>46223</v>
      </c>
      <c r="H858" s="450"/>
      <c r="I858" s="450" t="s">
        <v>186</v>
      </c>
      <c r="J858" s="295">
        <v>0.31458333333333333</v>
      </c>
      <c r="K858" s="295">
        <v>0.7104166666666667</v>
      </c>
      <c r="L858" s="451" t="s">
        <v>169</v>
      </c>
      <c r="M858" s="452">
        <v>8</v>
      </c>
      <c r="N858" s="462"/>
      <c r="O858" s="462"/>
      <c r="P858" s="462"/>
      <c r="Q858" s="461"/>
      <c r="R858" s="462"/>
      <c r="S858" s="462"/>
      <c r="T858" s="461"/>
      <c r="U858" s="461"/>
      <c r="V858" s="461"/>
      <c r="W858" s="454"/>
      <c r="X858" s="455"/>
      <c r="Y858" s="456"/>
      <c r="Z858" s="457"/>
      <c r="AA858" s="458"/>
      <c r="AB858" s="443"/>
    </row>
    <row r="859" spans="1:28" s="444" customFormat="1">
      <c r="A859" s="702"/>
      <c r="B859" s="446" t="s">
        <v>187</v>
      </c>
      <c r="C859" s="486">
        <v>12810</v>
      </c>
      <c r="D859" s="448" t="s">
        <v>335</v>
      </c>
      <c r="E859" s="449" t="s">
        <v>334</v>
      </c>
      <c r="F859" s="448" t="s">
        <v>335</v>
      </c>
      <c r="G859" s="589">
        <v>46224</v>
      </c>
      <c r="H859" s="450"/>
      <c r="I859" s="450" t="s">
        <v>186</v>
      </c>
      <c r="J859" s="295">
        <v>0.30902777777777779</v>
      </c>
      <c r="K859" s="295">
        <v>0.7104166666666667</v>
      </c>
      <c r="L859" s="451" t="s">
        <v>169</v>
      </c>
      <c r="M859" s="452">
        <v>8</v>
      </c>
      <c r="N859" s="477"/>
      <c r="O859" s="477"/>
      <c r="P859" s="477"/>
      <c r="Q859" s="468"/>
      <c r="R859" s="469"/>
      <c r="S859" s="469"/>
      <c r="T859" s="461"/>
      <c r="U859" s="462"/>
      <c r="V859" s="461"/>
      <c r="W859" s="463"/>
      <c r="X859" s="464"/>
      <c r="Y859" s="465"/>
      <c r="Z859" s="466"/>
      <c r="AA859" s="467"/>
      <c r="AB859" s="443"/>
    </row>
    <row r="860" spans="1:28" s="444" customFormat="1">
      <c r="A860" s="702"/>
      <c r="B860" s="446" t="s">
        <v>187</v>
      </c>
      <c r="C860" s="486">
        <v>12810</v>
      </c>
      <c r="D860" s="448" t="s">
        <v>335</v>
      </c>
      <c r="E860" s="449" t="s">
        <v>334</v>
      </c>
      <c r="F860" s="448" t="s">
        <v>335</v>
      </c>
      <c r="G860" s="589">
        <v>46225</v>
      </c>
      <c r="H860" s="450"/>
      <c r="I860" s="450" t="s">
        <v>186</v>
      </c>
      <c r="J860" s="295">
        <v>0.32500000000000001</v>
      </c>
      <c r="K860" s="295">
        <v>0.7104166666666667</v>
      </c>
      <c r="L860" s="451" t="s">
        <v>169</v>
      </c>
      <c r="M860" s="452">
        <v>8</v>
      </c>
      <c r="N860" s="471"/>
      <c r="O860" s="452"/>
      <c r="P860" s="452"/>
      <c r="Q860" s="453"/>
      <c r="R860" s="452"/>
      <c r="S860" s="452"/>
      <c r="T860" s="453"/>
      <c r="U860" s="452"/>
      <c r="V860" s="453"/>
      <c r="W860" s="454"/>
      <c r="X860" s="455"/>
      <c r="Y860" s="456"/>
      <c r="Z860" s="457"/>
      <c r="AA860" s="458"/>
      <c r="AB860" s="443"/>
    </row>
    <row r="861" spans="1:28" s="444" customFormat="1">
      <c r="A861" s="702"/>
      <c r="B861" s="446" t="s">
        <v>187</v>
      </c>
      <c r="C861" s="486">
        <v>12810</v>
      </c>
      <c r="D861" s="448" t="s">
        <v>335</v>
      </c>
      <c r="E861" s="449" t="s">
        <v>334</v>
      </c>
      <c r="F861" s="448" t="s">
        <v>335</v>
      </c>
      <c r="G861" s="589">
        <v>46226</v>
      </c>
      <c r="H861" s="450"/>
      <c r="I861" s="450" t="s">
        <v>186</v>
      </c>
      <c r="J861" s="295">
        <v>0.30069444444444443</v>
      </c>
      <c r="K861" s="295">
        <v>0.7104166666666667</v>
      </c>
      <c r="L861" s="451" t="s">
        <v>169</v>
      </c>
      <c r="M861" s="452">
        <v>8</v>
      </c>
      <c r="N861" s="471"/>
      <c r="O861" s="470"/>
      <c r="P861" s="470"/>
      <c r="Q861" s="453"/>
      <c r="R861" s="452"/>
      <c r="S861" s="452"/>
      <c r="T861" s="453"/>
      <c r="U861" s="452"/>
      <c r="V861" s="453"/>
      <c r="W861" s="454"/>
      <c r="X861" s="455"/>
      <c r="Y861" s="456"/>
      <c r="Z861" s="457"/>
      <c r="AA861" s="458"/>
      <c r="AB861" s="443"/>
    </row>
    <row r="862" spans="1:28" s="444" customFormat="1">
      <c r="A862" s="702"/>
      <c r="B862" s="446" t="s">
        <v>187</v>
      </c>
      <c r="C862" s="486">
        <v>12810</v>
      </c>
      <c r="D862" s="448" t="s">
        <v>335</v>
      </c>
      <c r="E862" s="449" t="s">
        <v>334</v>
      </c>
      <c r="F862" s="448" t="s">
        <v>335</v>
      </c>
      <c r="G862" s="589">
        <v>46227</v>
      </c>
      <c r="H862" s="450"/>
      <c r="I862" s="450" t="s">
        <v>186</v>
      </c>
      <c r="J862" s="295">
        <v>0.32569444444444445</v>
      </c>
      <c r="K862" s="318">
        <v>0.75</v>
      </c>
      <c r="L862" s="451" t="s">
        <v>169</v>
      </c>
      <c r="M862" s="452">
        <v>8</v>
      </c>
      <c r="N862" s="471">
        <v>1</v>
      </c>
      <c r="O862" s="471"/>
      <c r="P862" s="471"/>
      <c r="Q862" s="472"/>
      <c r="R862" s="471"/>
      <c r="S862" s="471"/>
      <c r="T862" s="453"/>
      <c r="U862" s="452"/>
      <c r="V862" s="453"/>
      <c r="W862" s="454"/>
      <c r="X862" s="455"/>
      <c r="Y862" s="456"/>
      <c r="Z862" s="457"/>
      <c r="AA862" s="458"/>
      <c r="AB862" s="443"/>
    </row>
    <row r="863" spans="1:28" s="444" customFormat="1">
      <c r="A863" s="702"/>
      <c r="B863" s="446" t="s">
        <v>187</v>
      </c>
      <c r="C863" s="486">
        <v>12810</v>
      </c>
      <c r="D863" s="448" t="s">
        <v>335</v>
      </c>
      <c r="E863" s="449" t="s">
        <v>334</v>
      </c>
      <c r="F863" s="448" t="s">
        <v>335</v>
      </c>
      <c r="G863" s="589">
        <v>46228</v>
      </c>
      <c r="H863" s="450"/>
      <c r="I863" s="450" t="s">
        <v>186</v>
      </c>
      <c r="J863" s="295"/>
      <c r="K863" s="295"/>
      <c r="L863" s="451"/>
      <c r="M863" s="452"/>
      <c r="N863" s="452"/>
      <c r="O863" s="452"/>
      <c r="P863" s="452"/>
      <c r="Q863" s="453"/>
      <c r="R863" s="452"/>
      <c r="S863" s="473"/>
      <c r="T863" s="453"/>
      <c r="U863" s="452"/>
      <c r="V863" s="453"/>
      <c r="W863" s="454"/>
      <c r="X863" s="455"/>
      <c r="Y863" s="456"/>
      <c r="Z863" s="457"/>
      <c r="AA863" s="458"/>
      <c r="AB863" s="443"/>
    </row>
    <row r="864" spans="1:28" s="444" customFormat="1">
      <c r="A864" s="702"/>
      <c r="B864" s="446"/>
      <c r="C864" s="486"/>
      <c r="D864" s="448"/>
      <c r="E864" s="449"/>
      <c r="F864" s="448"/>
      <c r="G864" s="600"/>
      <c r="H864" s="450"/>
      <c r="I864" s="450"/>
      <c r="J864" s="474"/>
      <c r="K864" s="475"/>
      <c r="L864" s="476"/>
      <c r="M864" s="477"/>
      <c r="N864" s="477"/>
      <c r="O864" s="477"/>
      <c r="P864" s="477"/>
      <c r="Q864" s="478"/>
      <c r="R864" s="477"/>
      <c r="S864" s="479"/>
      <c r="T864" s="453"/>
      <c r="U864" s="452"/>
      <c r="V864" s="453"/>
      <c r="W864" s="454"/>
      <c r="X864" s="455"/>
      <c r="Y864" s="456"/>
      <c r="Z864" s="457"/>
      <c r="AA864" s="458"/>
      <c r="AB864" s="443"/>
    </row>
    <row r="865" spans="1:28" s="444" customFormat="1">
      <c r="A865" s="703"/>
      <c r="B865" s="481"/>
      <c r="C865" s="481"/>
      <c r="D865" s="481"/>
      <c r="E865" s="481"/>
      <c r="F865" s="481"/>
      <c r="G865" s="601"/>
      <c r="H865" s="482"/>
      <c r="I865" s="483"/>
      <c r="J865" s="484"/>
      <c r="K865" s="485"/>
      <c r="L865" s="483"/>
      <c r="M865" s="483">
        <f t="shared" ref="M865:AA865" si="48">SUM(M848:M864)</f>
        <v>88</v>
      </c>
      <c r="N865" s="483">
        <f t="shared" si="48"/>
        <v>1</v>
      </c>
      <c r="O865" s="483">
        <f t="shared" si="48"/>
        <v>6</v>
      </c>
      <c r="P865" s="483">
        <f t="shared" si="48"/>
        <v>0</v>
      </c>
      <c r="Q865" s="483">
        <f t="shared" si="48"/>
        <v>0</v>
      </c>
      <c r="R865" s="483">
        <f t="shared" si="48"/>
        <v>0</v>
      </c>
      <c r="S865" s="483">
        <f t="shared" si="48"/>
        <v>0</v>
      </c>
      <c r="T865" s="483">
        <f t="shared" si="48"/>
        <v>0</v>
      </c>
      <c r="U865" s="483">
        <f t="shared" si="48"/>
        <v>0</v>
      </c>
      <c r="V865" s="483">
        <f t="shared" si="48"/>
        <v>0</v>
      </c>
      <c r="W865" s="483">
        <f t="shared" si="48"/>
        <v>0</v>
      </c>
      <c r="X865" s="483">
        <f t="shared" si="48"/>
        <v>0</v>
      </c>
      <c r="Y865" s="483">
        <f t="shared" si="48"/>
        <v>0</v>
      </c>
      <c r="Z865" s="483">
        <f t="shared" si="48"/>
        <v>0</v>
      </c>
      <c r="AA865" s="483">
        <f t="shared" si="48"/>
        <v>0</v>
      </c>
      <c r="AB865" s="443"/>
    </row>
    <row r="866" spans="1:28" s="444" customFormat="1">
      <c r="A866" s="435" t="s">
        <v>170</v>
      </c>
      <c r="B866" s="435" t="s">
        <v>120</v>
      </c>
      <c r="C866" s="435" t="s">
        <v>152</v>
      </c>
      <c r="D866" s="435" t="s">
        <v>182</v>
      </c>
      <c r="E866" s="436" t="s">
        <v>153</v>
      </c>
      <c r="F866" s="435" t="s">
        <v>182</v>
      </c>
      <c r="G866" s="599" t="s">
        <v>401</v>
      </c>
      <c r="H866" s="437"/>
      <c r="I866" s="438" t="s">
        <v>181</v>
      </c>
      <c r="J866" s="439" t="s">
        <v>154</v>
      </c>
      <c r="K866" s="439" t="s">
        <v>155</v>
      </c>
      <c r="L866" s="440" t="s">
        <v>156</v>
      </c>
      <c r="M866" s="441" t="s">
        <v>157</v>
      </c>
      <c r="N866" s="440" t="s">
        <v>158</v>
      </c>
      <c r="O866" s="440" t="s">
        <v>159</v>
      </c>
      <c r="P866" s="440" t="s">
        <v>174</v>
      </c>
      <c r="Q866" s="440" t="s">
        <v>160</v>
      </c>
      <c r="R866" s="440" t="s">
        <v>161</v>
      </c>
      <c r="S866" s="440" t="s">
        <v>162</v>
      </c>
      <c r="T866" s="438" t="s">
        <v>163</v>
      </c>
      <c r="U866" s="438" t="s">
        <v>164</v>
      </c>
      <c r="V866" s="438" t="s">
        <v>165</v>
      </c>
      <c r="W866" s="440" t="s">
        <v>113</v>
      </c>
      <c r="X866" s="438" t="s">
        <v>121</v>
      </c>
      <c r="Y866" s="438" t="s">
        <v>166</v>
      </c>
      <c r="Z866" s="442" t="s">
        <v>175</v>
      </c>
      <c r="AA866" s="442" t="s">
        <v>167</v>
      </c>
      <c r="AB866" s="443"/>
    </row>
    <row r="867" spans="1:28" s="444" customFormat="1">
      <c r="A867" s="701"/>
      <c r="B867" s="446" t="s">
        <v>187</v>
      </c>
      <c r="C867" s="486">
        <v>7708</v>
      </c>
      <c r="D867" s="448" t="s">
        <v>333</v>
      </c>
      <c r="E867" s="449" t="s">
        <v>332</v>
      </c>
      <c r="F867" s="448" t="s">
        <v>333</v>
      </c>
      <c r="G867" s="589">
        <v>46214</v>
      </c>
      <c r="H867" s="450"/>
      <c r="I867" s="450" t="s">
        <v>183</v>
      </c>
      <c r="J867" s="295">
        <v>0.78125</v>
      </c>
      <c r="K867" s="295">
        <v>0.1673611111111111</v>
      </c>
      <c r="L867" s="451" t="s">
        <v>168</v>
      </c>
      <c r="M867" s="452">
        <v>8</v>
      </c>
      <c r="N867" s="452"/>
      <c r="O867" s="452">
        <v>6</v>
      </c>
      <c r="P867" s="452"/>
      <c r="Q867" s="453"/>
      <c r="R867" s="452"/>
      <c r="S867" s="452"/>
      <c r="T867" s="453"/>
      <c r="U867" s="452"/>
      <c r="V867" s="453"/>
      <c r="W867" s="454"/>
      <c r="X867" s="455"/>
      <c r="Y867" s="456"/>
      <c r="Z867" s="457"/>
      <c r="AA867" s="458"/>
      <c r="AB867" s="443"/>
    </row>
    <row r="868" spans="1:28" s="444" customFormat="1">
      <c r="A868" s="702"/>
      <c r="B868" s="446" t="s">
        <v>187</v>
      </c>
      <c r="C868" s="486">
        <v>7708</v>
      </c>
      <c r="D868" s="448" t="s">
        <v>333</v>
      </c>
      <c r="E868" s="449" t="s">
        <v>332</v>
      </c>
      <c r="F868" s="448" t="s">
        <v>333</v>
      </c>
      <c r="G868" s="590">
        <v>46215</v>
      </c>
      <c r="H868" s="450"/>
      <c r="I868" s="450"/>
      <c r="J868" s="699" t="s">
        <v>173</v>
      </c>
      <c r="K868" s="700"/>
      <c r="L868" s="451"/>
      <c r="M868" s="452"/>
      <c r="N868" s="452"/>
      <c r="O868" s="452"/>
      <c r="P868" s="452"/>
      <c r="Q868" s="453"/>
      <c r="R868" s="452"/>
      <c r="S868" s="452"/>
      <c r="T868" s="453"/>
      <c r="U868" s="452"/>
      <c r="V868" s="453"/>
      <c r="W868" s="454"/>
      <c r="X868" s="455"/>
      <c r="Y868" s="456"/>
      <c r="Z868" s="457"/>
      <c r="AA868" s="458"/>
      <c r="AB868" s="443"/>
    </row>
    <row r="869" spans="1:28" s="444" customFormat="1">
      <c r="A869" s="702"/>
      <c r="B869" s="446" t="s">
        <v>187</v>
      </c>
      <c r="C869" s="486">
        <v>7708</v>
      </c>
      <c r="D869" s="448" t="s">
        <v>333</v>
      </c>
      <c r="E869" s="449" t="s">
        <v>332</v>
      </c>
      <c r="F869" s="448" t="s">
        <v>333</v>
      </c>
      <c r="G869" s="589">
        <v>46216</v>
      </c>
      <c r="H869" s="450"/>
      <c r="I869" s="450" t="s">
        <v>186</v>
      </c>
      <c r="J869" s="305">
        <v>0.3215277777777778</v>
      </c>
      <c r="K869" s="305">
        <v>0.71180555555555558</v>
      </c>
      <c r="L869" s="451" t="s">
        <v>169</v>
      </c>
      <c r="M869" s="452">
        <v>8</v>
      </c>
      <c r="N869" s="452"/>
      <c r="O869" s="452"/>
      <c r="P869" s="452"/>
      <c r="Q869" s="453"/>
      <c r="R869" s="452"/>
      <c r="S869" s="452"/>
      <c r="T869" s="453"/>
      <c r="U869" s="452"/>
      <c r="V869" s="453"/>
      <c r="W869" s="454"/>
      <c r="X869" s="455"/>
      <c r="Y869" s="456"/>
      <c r="Z869" s="457"/>
      <c r="AA869" s="458"/>
      <c r="AB869" s="443"/>
    </row>
    <row r="870" spans="1:28" s="444" customFormat="1">
      <c r="A870" s="702"/>
      <c r="B870" s="446" t="s">
        <v>187</v>
      </c>
      <c r="C870" s="486">
        <v>7708</v>
      </c>
      <c r="D870" s="448" t="s">
        <v>333</v>
      </c>
      <c r="E870" s="449" t="s">
        <v>332</v>
      </c>
      <c r="F870" s="448" t="s">
        <v>333</v>
      </c>
      <c r="G870" s="589">
        <v>46217</v>
      </c>
      <c r="H870" s="450"/>
      <c r="I870" s="450" t="s">
        <v>186</v>
      </c>
      <c r="J870" s="305">
        <v>0.32013888888888886</v>
      </c>
      <c r="K870" s="305">
        <v>0.71250000000000002</v>
      </c>
      <c r="L870" s="451" t="s">
        <v>169</v>
      </c>
      <c r="M870" s="452">
        <v>8</v>
      </c>
      <c r="N870" s="452"/>
      <c r="O870" s="452"/>
      <c r="P870" s="452"/>
      <c r="Q870" s="461"/>
      <c r="R870" s="462"/>
      <c r="S870" s="462"/>
      <c r="T870" s="461"/>
      <c r="U870" s="462"/>
      <c r="V870" s="461"/>
      <c r="W870" s="463"/>
      <c r="X870" s="464"/>
      <c r="Y870" s="465"/>
      <c r="Z870" s="466"/>
      <c r="AA870" s="467"/>
      <c r="AB870" s="443"/>
    </row>
    <row r="871" spans="1:28" s="444" customFormat="1">
      <c r="A871" s="702"/>
      <c r="B871" s="446" t="s">
        <v>187</v>
      </c>
      <c r="C871" s="486">
        <v>7708</v>
      </c>
      <c r="D871" s="448" t="s">
        <v>333</v>
      </c>
      <c r="E871" s="449" t="s">
        <v>332</v>
      </c>
      <c r="F871" s="448" t="s">
        <v>333</v>
      </c>
      <c r="G871" s="589">
        <v>46218</v>
      </c>
      <c r="H871" s="450"/>
      <c r="I871" s="450" t="s">
        <v>186</v>
      </c>
      <c r="J871" s="305">
        <v>0.32013888888888892</v>
      </c>
      <c r="K871" s="305">
        <v>0.71319444444444446</v>
      </c>
      <c r="L871" s="451" t="s">
        <v>169</v>
      </c>
      <c r="M871" s="452">
        <v>8</v>
      </c>
      <c r="N871" s="452"/>
      <c r="O871" s="452"/>
      <c r="P871" s="452"/>
      <c r="Q871" s="453"/>
      <c r="R871" s="452"/>
      <c r="S871" s="452"/>
      <c r="T871" s="453"/>
      <c r="U871" s="452"/>
      <c r="V871" s="453"/>
      <c r="W871" s="454"/>
      <c r="X871" s="455"/>
      <c r="Y871" s="456"/>
      <c r="Z871" s="457"/>
      <c r="AA871" s="458"/>
      <c r="AB871" s="443"/>
    </row>
    <row r="872" spans="1:28" s="444" customFormat="1">
      <c r="A872" s="702"/>
      <c r="B872" s="446" t="s">
        <v>187</v>
      </c>
      <c r="C872" s="486">
        <v>7708</v>
      </c>
      <c r="D872" s="448" t="s">
        <v>333</v>
      </c>
      <c r="E872" s="449" t="s">
        <v>332</v>
      </c>
      <c r="F872" s="448" t="s">
        <v>333</v>
      </c>
      <c r="G872" s="589">
        <v>46219</v>
      </c>
      <c r="H872" s="450"/>
      <c r="I872" s="450" t="s">
        <v>186</v>
      </c>
      <c r="J872" s="305">
        <v>0.31458333333333333</v>
      </c>
      <c r="K872" s="305">
        <v>0.71250000000000002</v>
      </c>
      <c r="L872" s="451" t="s">
        <v>169</v>
      </c>
      <c r="M872" s="452">
        <v>8</v>
      </c>
      <c r="N872" s="452"/>
      <c r="O872" s="452"/>
      <c r="P872" s="452"/>
      <c r="Q872" s="453"/>
      <c r="R872" s="452"/>
      <c r="S872" s="452"/>
      <c r="T872" s="453"/>
      <c r="U872" s="452"/>
      <c r="V872" s="453"/>
      <c r="W872" s="454"/>
      <c r="X872" s="455"/>
      <c r="Y872" s="456"/>
      <c r="Z872" s="457"/>
      <c r="AA872" s="458"/>
      <c r="AB872" s="443"/>
    </row>
    <row r="873" spans="1:28" s="444" customFormat="1">
      <c r="A873" s="702"/>
      <c r="B873" s="446" t="s">
        <v>187</v>
      </c>
      <c r="C873" s="486">
        <v>7708</v>
      </c>
      <c r="D873" s="448" t="s">
        <v>333</v>
      </c>
      <c r="E873" s="449" t="s">
        <v>332</v>
      </c>
      <c r="F873" s="448" t="s">
        <v>333</v>
      </c>
      <c r="G873" s="589">
        <v>46220</v>
      </c>
      <c r="H873" s="450"/>
      <c r="I873" s="450" t="s">
        <v>186</v>
      </c>
      <c r="J873" s="305">
        <v>0.31736111111111115</v>
      </c>
      <c r="K873" s="305">
        <v>0.71250000000000002</v>
      </c>
      <c r="L873" s="451" t="s">
        <v>169</v>
      </c>
      <c r="M873" s="452">
        <v>8</v>
      </c>
      <c r="N873" s="452"/>
      <c r="O873" s="452"/>
      <c r="P873" s="452"/>
      <c r="Q873" s="453"/>
      <c r="R873" s="452"/>
      <c r="S873" s="452"/>
      <c r="T873" s="453"/>
      <c r="U873" s="452"/>
      <c r="V873" s="453"/>
      <c r="W873" s="454"/>
      <c r="X873" s="455"/>
      <c r="Y873" s="456"/>
      <c r="Z873" s="457"/>
      <c r="AA873" s="458"/>
      <c r="AB873" s="443"/>
    </row>
    <row r="874" spans="1:28" s="444" customFormat="1">
      <c r="A874" s="702"/>
      <c r="B874" s="446" t="s">
        <v>187</v>
      </c>
      <c r="C874" s="486">
        <v>7708</v>
      </c>
      <c r="D874" s="448" t="s">
        <v>333</v>
      </c>
      <c r="E874" s="449" t="s">
        <v>332</v>
      </c>
      <c r="F874" s="448" t="s">
        <v>333</v>
      </c>
      <c r="G874" s="589">
        <v>46221</v>
      </c>
      <c r="H874" s="450"/>
      <c r="I874" s="450" t="s">
        <v>186</v>
      </c>
      <c r="J874" s="305">
        <v>0.31111111111111112</v>
      </c>
      <c r="K874" s="305">
        <v>0.71180555555555558</v>
      </c>
      <c r="L874" s="451" t="s">
        <v>169</v>
      </c>
      <c r="M874" s="452">
        <v>8</v>
      </c>
      <c r="N874" s="452"/>
      <c r="O874" s="452"/>
      <c r="P874" s="452"/>
      <c r="Q874" s="453"/>
      <c r="R874" s="452"/>
      <c r="S874" s="452"/>
      <c r="T874" s="453"/>
      <c r="U874" s="452"/>
      <c r="V874" s="453"/>
      <c r="W874" s="454"/>
      <c r="X874" s="455"/>
      <c r="Y874" s="456"/>
      <c r="Z874" s="457"/>
      <c r="AA874" s="458"/>
      <c r="AB874" s="443"/>
    </row>
    <row r="875" spans="1:28" s="444" customFormat="1">
      <c r="A875" s="702"/>
      <c r="B875" s="446" t="s">
        <v>187</v>
      </c>
      <c r="C875" s="486">
        <v>7708</v>
      </c>
      <c r="D875" s="448" t="s">
        <v>333</v>
      </c>
      <c r="E875" s="449" t="s">
        <v>332</v>
      </c>
      <c r="F875" s="448" t="s">
        <v>333</v>
      </c>
      <c r="G875" s="590">
        <v>46222</v>
      </c>
      <c r="H875" s="450"/>
      <c r="I875" s="450"/>
      <c r="J875" s="699" t="s">
        <v>173</v>
      </c>
      <c r="K875" s="700"/>
      <c r="L875" s="451"/>
      <c r="M875" s="452"/>
      <c r="N875" s="452"/>
      <c r="O875" s="452"/>
      <c r="P875" s="452"/>
      <c r="Q875" s="453"/>
      <c r="R875" s="452"/>
      <c r="S875" s="452"/>
      <c r="T875" s="453"/>
      <c r="U875" s="452"/>
      <c r="V875" s="453"/>
      <c r="W875" s="454"/>
      <c r="X875" s="455"/>
      <c r="Y875" s="456"/>
      <c r="Z875" s="457"/>
      <c r="AA875" s="458"/>
      <c r="AB875" s="443"/>
    </row>
    <row r="876" spans="1:28" s="444" customFormat="1">
      <c r="A876" s="702"/>
      <c r="B876" s="446" t="s">
        <v>187</v>
      </c>
      <c r="C876" s="486">
        <v>7708</v>
      </c>
      <c r="D876" s="448" t="s">
        <v>333</v>
      </c>
      <c r="E876" s="449" t="s">
        <v>332</v>
      </c>
      <c r="F876" s="448" t="s">
        <v>333</v>
      </c>
      <c r="G876" s="589">
        <v>46223</v>
      </c>
      <c r="H876" s="450"/>
      <c r="I876" s="450" t="s">
        <v>186</v>
      </c>
      <c r="J876" s="295">
        <v>0.3215277777777778</v>
      </c>
      <c r="K876" s="295">
        <v>0.71180555555555558</v>
      </c>
      <c r="L876" s="451" t="s">
        <v>169</v>
      </c>
      <c r="M876" s="452">
        <v>8</v>
      </c>
      <c r="N876" s="462"/>
      <c r="O876" s="462"/>
      <c r="P876" s="462"/>
      <c r="Q876" s="461"/>
      <c r="R876" s="462"/>
      <c r="S876" s="462"/>
      <c r="T876" s="461"/>
      <c r="U876" s="462"/>
      <c r="V876" s="461"/>
      <c r="W876" s="454"/>
      <c r="X876" s="455"/>
      <c r="Y876" s="456"/>
      <c r="Z876" s="457"/>
      <c r="AA876" s="458"/>
      <c r="AB876" s="443"/>
    </row>
    <row r="877" spans="1:28" s="444" customFormat="1">
      <c r="A877" s="702"/>
      <c r="B877" s="446" t="s">
        <v>187</v>
      </c>
      <c r="C877" s="486">
        <v>7708</v>
      </c>
      <c r="D877" s="448" t="s">
        <v>333</v>
      </c>
      <c r="E877" s="449" t="s">
        <v>332</v>
      </c>
      <c r="F877" s="448" t="s">
        <v>333</v>
      </c>
      <c r="G877" s="589">
        <v>46224</v>
      </c>
      <c r="H877" s="450"/>
      <c r="I877" s="450" t="s">
        <v>186</v>
      </c>
      <c r="J877" s="295">
        <v>0.31666666666666665</v>
      </c>
      <c r="K877" s="295">
        <v>0.71180555555555558</v>
      </c>
      <c r="L877" s="451" t="s">
        <v>169</v>
      </c>
      <c r="M877" s="452">
        <v>8</v>
      </c>
      <c r="N877" s="477"/>
      <c r="O877" s="477"/>
      <c r="P877" s="477"/>
      <c r="Q877" s="468"/>
      <c r="R877" s="469"/>
      <c r="S877" s="469"/>
      <c r="T877" s="461"/>
      <c r="U877" s="462"/>
      <c r="V877" s="461"/>
      <c r="W877" s="463"/>
      <c r="X877" s="464"/>
      <c r="Y877" s="465"/>
      <c r="Z877" s="466"/>
      <c r="AA877" s="467"/>
      <c r="AB877" s="443"/>
    </row>
    <row r="878" spans="1:28" s="444" customFormat="1">
      <c r="A878" s="702"/>
      <c r="B878" s="446" t="s">
        <v>187</v>
      </c>
      <c r="C878" s="486">
        <v>7708</v>
      </c>
      <c r="D878" s="448" t="s">
        <v>333</v>
      </c>
      <c r="E878" s="449" t="s">
        <v>332</v>
      </c>
      <c r="F878" s="448" t="s">
        <v>333</v>
      </c>
      <c r="G878" s="589">
        <v>46225</v>
      </c>
      <c r="H878" s="450"/>
      <c r="I878" s="450" t="s">
        <v>186</v>
      </c>
      <c r="J878" s="295">
        <v>0.31874999999999998</v>
      </c>
      <c r="K878" s="295">
        <v>0.71458333333333335</v>
      </c>
      <c r="L878" s="451" t="s">
        <v>169</v>
      </c>
      <c r="M878" s="452">
        <v>8</v>
      </c>
      <c r="N878" s="471"/>
      <c r="O878" s="452"/>
      <c r="P878" s="452"/>
      <c r="Q878" s="453"/>
      <c r="R878" s="452"/>
      <c r="S878" s="452"/>
      <c r="T878" s="453"/>
      <c r="U878" s="452"/>
      <c r="V878" s="453"/>
      <c r="W878" s="454"/>
      <c r="X878" s="455"/>
      <c r="Y878" s="456"/>
      <c r="Z878" s="457"/>
      <c r="AA878" s="458"/>
      <c r="AB878" s="443"/>
    </row>
    <row r="879" spans="1:28" s="444" customFormat="1">
      <c r="A879" s="702"/>
      <c r="B879" s="446" t="s">
        <v>187</v>
      </c>
      <c r="C879" s="486">
        <v>7708</v>
      </c>
      <c r="D879" s="448" t="s">
        <v>333</v>
      </c>
      <c r="E879" s="449" t="s">
        <v>332</v>
      </c>
      <c r="F879" s="448" t="s">
        <v>333</v>
      </c>
      <c r="G879" s="589">
        <v>46226</v>
      </c>
      <c r="H879" s="450"/>
      <c r="I879" s="450" t="s">
        <v>186</v>
      </c>
      <c r="J879" s="295">
        <v>0.31805555555555554</v>
      </c>
      <c r="K879" s="295">
        <v>0.71388888888888891</v>
      </c>
      <c r="L879" s="451" t="s">
        <v>169</v>
      </c>
      <c r="M879" s="452">
        <v>8</v>
      </c>
      <c r="N879" s="471"/>
      <c r="O879" s="470"/>
      <c r="P879" s="470"/>
      <c r="Q879" s="453"/>
      <c r="R879" s="452"/>
      <c r="S879" s="452"/>
      <c r="T879" s="453"/>
      <c r="U879" s="452"/>
      <c r="V879" s="453"/>
      <c r="W879" s="454"/>
      <c r="X879" s="455"/>
      <c r="Y879" s="456"/>
      <c r="Z879" s="457"/>
      <c r="AA879" s="458"/>
      <c r="AB879" s="443"/>
    </row>
    <row r="880" spans="1:28" s="444" customFormat="1">
      <c r="A880" s="702"/>
      <c r="B880" s="446" t="s">
        <v>187</v>
      </c>
      <c r="C880" s="486">
        <v>7708</v>
      </c>
      <c r="D880" s="448" t="s">
        <v>333</v>
      </c>
      <c r="E880" s="449" t="s">
        <v>332</v>
      </c>
      <c r="F880" s="448" t="s">
        <v>333</v>
      </c>
      <c r="G880" s="589">
        <v>46227</v>
      </c>
      <c r="H880" s="450"/>
      <c r="I880" s="450" t="s">
        <v>186</v>
      </c>
      <c r="J880" s="295">
        <v>0.32013888888888886</v>
      </c>
      <c r="K880" s="318">
        <v>0.71180555555555558</v>
      </c>
      <c r="L880" s="451" t="s">
        <v>169</v>
      </c>
      <c r="M880" s="452">
        <v>8</v>
      </c>
      <c r="N880" s="471"/>
      <c r="O880" s="471"/>
      <c r="P880" s="471"/>
      <c r="Q880" s="472"/>
      <c r="R880" s="471"/>
      <c r="S880" s="471"/>
      <c r="T880" s="453"/>
      <c r="U880" s="452"/>
      <c r="V880" s="453"/>
      <c r="W880" s="454"/>
      <c r="X880" s="455"/>
      <c r="Y880" s="456"/>
      <c r="Z880" s="457"/>
      <c r="AA880" s="458"/>
      <c r="AB880" s="443"/>
    </row>
    <row r="881" spans="1:28" s="444" customFormat="1">
      <c r="A881" s="702"/>
      <c r="B881" s="446" t="s">
        <v>187</v>
      </c>
      <c r="C881" s="486">
        <v>7708</v>
      </c>
      <c r="D881" s="448" t="s">
        <v>333</v>
      </c>
      <c r="E881" s="449" t="s">
        <v>332</v>
      </c>
      <c r="F881" s="448" t="s">
        <v>333</v>
      </c>
      <c r="G881" s="589">
        <v>46228</v>
      </c>
      <c r="H881" s="450"/>
      <c r="I881" s="450" t="s">
        <v>186</v>
      </c>
      <c r="J881" s="295"/>
      <c r="K881" s="295"/>
      <c r="L881" s="451"/>
      <c r="M881" s="452"/>
      <c r="N881" s="452"/>
      <c r="O881" s="452"/>
      <c r="P881" s="452"/>
      <c r="Q881" s="453"/>
      <c r="R881" s="452"/>
      <c r="S881" s="473"/>
      <c r="T881" s="453"/>
      <c r="U881" s="452"/>
      <c r="V881" s="453"/>
      <c r="W881" s="454"/>
      <c r="X881" s="455"/>
      <c r="Y881" s="456"/>
      <c r="Z881" s="457"/>
      <c r="AA881" s="458"/>
      <c r="AB881" s="443"/>
    </row>
    <row r="882" spans="1:28" s="444" customFormat="1">
      <c r="A882" s="702"/>
      <c r="B882" s="446"/>
      <c r="C882" s="486"/>
      <c r="D882" s="448"/>
      <c r="E882" s="449"/>
      <c r="F882" s="448"/>
      <c r="G882" s="600"/>
      <c r="H882" s="450"/>
      <c r="I882" s="450"/>
      <c r="J882" s="474"/>
      <c r="K882" s="475"/>
      <c r="L882" s="476"/>
      <c r="M882" s="477"/>
      <c r="N882" s="477"/>
      <c r="O882" s="477"/>
      <c r="P882" s="477"/>
      <c r="Q882" s="478"/>
      <c r="R882" s="477"/>
      <c r="S882" s="479"/>
      <c r="T882" s="453"/>
      <c r="U882" s="452"/>
      <c r="V882" s="453"/>
      <c r="W882" s="454"/>
      <c r="X882" s="455"/>
      <c r="Y882" s="456"/>
      <c r="Z882" s="457"/>
      <c r="AA882" s="458"/>
      <c r="AB882" s="443"/>
    </row>
    <row r="883" spans="1:28" s="444" customFormat="1">
      <c r="A883" s="703"/>
      <c r="B883" s="481"/>
      <c r="C883" s="446"/>
      <c r="D883" s="481"/>
      <c r="E883" s="449"/>
      <c r="F883" s="481"/>
      <c r="G883" s="601"/>
      <c r="H883" s="482"/>
      <c r="I883" s="483"/>
      <c r="J883" s="484"/>
      <c r="K883" s="485"/>
      <c r="L883" s="483"/>
      <c r="M883" s="483">
        <f t="shared" ref="M883:AA883" si="49">SUM(M866:M882)</f>
        <v>96</v>
      </c>
      <c r="N883" s="483">
        <f t="shared" si="49"/>
        <v>0</v>
      </c>
      <c r="O883" s="483">
        <f t="shared" si="49"/>
        <v>6</v>
      </c>
      <c r="P883" s="483">
        <f t="shared" si="49"/>
        <v>0</v>
      </c>
      <c r="Q883" s="483">
        <f t="shared" si="49"/>
        <v>0</v>
      </c>
      <c r="R883" s="483">
        <f t="shared" si="49"/>
        <v>0</v>
      </c>
      <c r="S883" s="483">
        <f t="shared" si="49"/>
        <v>0</v>
      </c>
      <c r="T883" s="483">
        <f t="shared" si="49"/>
        <v>0</v>
      </c>
      <c r="U883" s="483">
        <f t="shared" si="49"/>
        <v>0</v>
      </c>
      <c r="V883" s="483">
        <f t="shared" si="49"/>
        <v>0</v>
      </c>
      <c r="W883" s="483">
        <f t="shared" si="49"/>
        <v>0</v>
      </c>
      <c r="X883" s="483">
        <f t="shared" si="49"/>
        <v>0</v>
      </c>
      <c r="Y883" s="483">
        <f t="shared" si="49"/>
        <v>0</v>
      </c>
      <c r="Z883" s="483">
        <f t="shared" si="49"/>
        <v>0</v>
      </c>
      <c r="AA883" s="483">
        <f t="shared" si="49"/>
        <v>0</v>
      </c>
      <c r="AB883" s="443"/>
    </row>
    <row r="884" spans="1:28" s="444" customFormat="1">
      <c r="A884" s="435" t="s">
        <v>170</v>
      </c>
      <c r="B884" s="435" t="s">
        <v>120</v>
      </c>
      <c r="C884" s="435" t="s">
        <v>152</v>
      </c>
      <c r="D884" s="435" t="s">
        <v>182</v>
      </c>
      <c r="E884" s="436" t="s">
        <v>153</v>
      </c>
      <c r="F884" s="435" t="s">
        <v>182</v>
      </c>
      <c r="G884" s="599" t="s">
        <v>401</v>
      </c>
      <c r="H884" s="437"/>
      <c r="I884" s="438" t="s">
        <v>181</v>
      </c>
      <c r="J884" s="439" t="s">
        <v>154</v>
      </c>
      <c r="K884" s="439" t="s">
        <v>155</v>
      </c>
      <c r="L884" s="440" t="s">
        <v>156</v>
      </c>
      <c r="M884" s="441" t="s">
        <v>157</v>
      </c>
      <c r="N884" s="440" t="s">
        <v>158</v>
      </c>
      <c r="O884" s="440" t="s">
        <v>159</v>
      </c>
      <c r="P884" s="440" t="s">
        <v>174</v>
      </c>
      <c r="Q884" s="440" t="s">
        <v>160</v>
      </c>
      <c r="R884" s="440" t="s">
        <v>161</v>
      </c>
      <c r="S884" s="440" t="s">
        <v>162</v>
      </c>
      <c r="T884" s="438" t="s">
        <v>163</v>
      </c>
      <c r="U884" s="438" t="s">
        <v>164</v>
      </c>
      <c r="V884" s="438" t="s">
        <v>165</v>
      </c>
      <c r="W884" s="440" t="s">
        <v>113</v>
      </c>
      <c r="X884" s="438" t="s">
        <v>121</v>
      </c>
      <c r="Y884" s="438" t="s">
        <v>166</v>
      </c>
      <c r="Z884" s="442" t="s">
        <v>175</v>
      </c>
      <c r="AA884" s="442" t="s">
        <v>167</v>
      </c>
      <c r="AB884" s="443"/>
    </row>
    <row r="885" spans="1:28" s="444" customFormat="1">
      <c r="A885" s="701"/>
      <c r="B885" s="446" t="s">
        <v>187</v>
      </c>
      <c r="C885" s="486">
        <v>11863</v>
      </c>
      <c r="D885" s="448" t="s">
        <v>331</v>
      </c>
      <c r="E885" s="449" t="s">
        <v>330</v>
      </c>
      <c r="F885" s="448" t="s">
        <v>331</v>
      </c>
      <c r="G885" s="589">
        <v>46214</v>
      </c>
      <c r="H885" s="450"/>
      <c r="I885" s="450" t="s">
        <v>183</v>
      </c>
      <c r="J885" s="295">
        <v>0.77569444444444446</v>
      </c>
      <c r="K885" s="295">
        <v>0.1673611111111111</v>
      </c>
      <c r="L885" s="451" t="s">
        <v>168</v>
      </c>
      <c r="M885" s="452">
        <v>8</v>
      </c>
      <c r="N885" s="452"/>
      <c r="O885" s="452">
        <v>6</v>
      </c>
      <c r="P885" s="452"/>
      <c r="Q885" s="453"/>
      <c r="R885" s="452"/>
      <c r="S885" s="452"/>
      <c r="T885" s="453"/>
      <c r="U885" s="452"/>
      <c r="V885" s="453"/>
      <c r="W885" s="454"/>
      <c r="X885" s="455"/>
      <c r="Y885" s="456"/>
      <c r="Z885" s="457"/>
      <c r="AA885" s="458"/>
      <c r="AB885" s="443"/>
    </row>
    <row r="886" spans="1:28" s="444" customFormat="1">
      <c r="A886" s="702"/>
      <c r="B886" s="446" t="s">
        <v>187</v>
      </c>
      <c r="C886" s="486">
        <v>11863</v>
      </c>
      <c r="D886" s="448" t="s">
        <v>331</v>
      </c>
      <c r="E886" s="449" t="s">
        <v>330</v>
      </c>
      <c r="F886" s="448" t="s">
        <v>331</v>
      </c>
      <c r="G886" s="590">
        <v>46215</v>
      </c>
      <c r="H886" s="450"/>
      <c r="I886" s="450"/>
      <c r="J886" s="699" t="s">
        <v>173</v>
      </c>
      <c r="K886" s="700"/>
      <c r="L886" s="451"/>
      <c r="M886" s="452"/>
      <c r="N886" s="452"/>
      <c r="O886" s="452"/>
      <c r="P886" s="452"/>
      <c r="Q886" s="453"/>
      <c r="R886" s="452"/>
      <c r="S886" s="452"/>
      <c r="T886" s="453"/>
      <c r="U886" s="452"/>
      <c r="V886" s="453"/>
      <c r="W886" s="454"/>
      <c r="X886" s="455"/>
      <c r="Y886" s="456"/>
      <c r="Z886" s="457"/>
      <c r="AA886" s="458"/>
      <c r="AB886" s="443"/>
    </row>
    <row r="887" spans="1:28" s="444" customFormat="1">
      <c r="A887" s="702"/>
      <c r="B887" s="446" t="s">
        <v>187</v>
      </c>
      <c r="C887" s="486">
        <v>11863</v>
      </c>
      <c r="D887" s="448" t="s">
        <v>331</v>
      </c>
      <c r="E887" s="449" t="s">
        <v>330</v>
      </c>
      <c r="F887" s="448" t="s">
        <v>331</v>
      </c>
      <c r="G887" s="589">
        <v>46216</v>
      </c>
      <c r="H887" s="450"/>
      <c r="I887" s="450" t="s">
        <v>186</v>
      </c>
      <c r="J887" s="305">
        <v>0.31319444444444444</v>
      </c>
      <c r="K887" s="305">
        <v>0.7104166666666667</v>
      </c>
      <c r="L887" s="451" t="s">
        <v>169</v>
      </c>
      <c r="M887" s="452">
        <v>8</v>
      </c>
      <c r="N887" s="452"/>
      <c r="O887" s="452"/>
      <c r="P887" s="452"/>
      <c r="Q887" s="453"/>
      <c r="R887" s="452"/>
      <c r="S887" s="452"/>
      <c r="T887" s="453"/>
      <c r="U887" s="452"/>
      <c r="V887" s="453"/>
      <c r="W887" s="454"/>
      <c r="X887" s="455"/>
      <c r="Y887" s="456"/>
      <c r="Z887" s="457"/>
      <c r="AA887" s="458"/>
      <c r="AB887" s="443"/>
    </row>
    <row r="888" spans="1:28" s="444" customFormat="1">
      <c r="A888" s="702"/>
      <c r="B888" s="446" t="s">
        <v>187</v>
      </c>
      <c r="C888" s="486">
        <v>11863</v>
      </c>
      <c r="D888" s="448" t="s">
        <v>331</v>
      </c>
      <c r="E888" s="449" t="s">
        <v>330</v>
      </c>
      <c r="F888" s="448" t="s">
        <v>331</v>
      </c>
      <c r="G888" s="589">
        <v>46217</v>
      </c>
      <c r="H888" s="450"/>
      <c r="I888" s="450" t="s">
        <v>186</v>
      </c>
      <c r="J888" s="305">
        <v>0.30833333333333335</v>
      </c>
      <c r="K888" s="305">
        <v>0.70972222222222225</v>
      </c>
      <c r="L888" s="451" t="s">
        <v>169</v>
      </c>
      <c r="M888" s="452">
        <v>8</v>
      </c>
      <c r="N888" s="452"/>
      <c r="O888" s="462"/>
      <c r="P888" s="462"/>
      <c r="Q888" s="461"/>
      <c r="R888" s="462"/>
      <c r="S888" s="462"/>
      <c r="T888" s="461"/>
      <c r="U888" s="462"/>
      <c r="V888" s="461"/>
      <c r="W888" s="463"/>
      <c r="X888" s="464"/>
      <c r="Y888" s="465"/>
      <c r="Z888" s="466"/>
      <c r="AA888" s="467"/>
      <c r="AB888" s="443"/>
    </row>
    <row r="889" spans="1:28" s="444" customFormat="1">
      <c r="A889" s="702"/>
      <c r="B889" s="446" t="s">
        <v>187</v>
      </c>
      <c r="C889" s="486">
        <v>11863</v>
      </c>
      <c r="D889" s="448" t="s">
        <v>331</v>
      </c>
      <c r="E889" s="449" t="s">
        <v>330</v>
      </c>
      <c r="F889" s="448" t="s">
        <v>331</v>
      </c>
      <c r="G889" s="589">
        <v>46218</v>
      </c>
      <c r="H889" s="450"/>
      <c r="I889" s="450" t="s">
        <v>186</v>
      </c>
      <c r="J889" s="305">
        <v>0.31180555555555556</v>
      </c>
      <c r="K889" s="305">
        <v>0.71111111111111114</v>
      </c>
      <c r="L889" s="451" t="s">
        <v>169</v>
      </c>
      <c r="M889" s="452">
        <v>8</v>
      </c>
      <c r="N889" s="452"/>
      <c r="O889" s="452"/>
      <c r="P889" s="452"/>
      <c r="Q889" s="453"/>
      <c r="R889" s="452"/>
      <c r="S889" s="452"/>
      <c r="T889" s="453"/>
      <c r="U889" s="452"/>
      <c r="V889" s="453"/>
      <c r="W889" s="454"/>
      <c r="X889" s="455"/>
      <c r="Y889" s="456"/>
      <c r="Z889" s="457"/>
      <c r="AA889" s="458"/>
      <c r="AB889" s="443"/>
    </row>
    <row r="890" spans="1:28" s="444" customFormat="1">
      <c r="A890" s="702"/>
      <c r="B890" s="446" t="s">
        <v>187</v>
      </c>
      <c r="C890" s="486">
        <v>11863</v>
      </c>
      <c r="D890" s="448" t="s">
        <v>331</v>
      </c>
      <c r="E890" s="449" t="s">
        <v>330</v>
      </c>
      <c r="F890" s="448" t="s">
        <v>331</v>
      </c>
      <c r="G890" s="589">
        <v>46219</v>
      </c>
      <c r="H890" s="450"/>
      <c r="I890" s="450" t="s">
        <v>186</v>
      </c>
      <c r="J890" s="305">
        <v>0.32083333333333336</v>
      </c>
      <c r="K890" s="305">
        <v>0.71111111111111114</v>
      </c>
      <c r="L890" s="451" t="s">
        <v>169</v>
      </c>
      <c r="M890" s="452">
        <v>8</v>
      </c>
      <c r="N890" s="452"/>
      <c r="O890" s="452"/>
      <c r="P890" s="452"/>
      <c r="Q890" s="453"/>
      <c r="R890" s="452"/>
      <c r="S890" s="452"/>
      <c r="T890" s="453"/>
      <c r="U890" s="452"/>
      <c r="V890" s="453"/>
      <c r="W890" s="454"/>
      <c r="X890" s="455"/>
      <c r="Y890" s="456"/>
      <c r="Z890" s="457"/>
      <c r="AA890" s="458"/>
      <c r="AB890" s="443"/>
    </row>
    <row r="891" spans="1:28" s="444" customFormat="1">
      <c r="A891" s="702"/>
      <c r="B891" s="446" t="s">
        <v>187</v>
      </c>
      <c r="C891" s="486">
        <v>11863</v>
      </c>
      <c r="D891" s="448" t="s">
        <v>331</v>
      </c>
      <c r="E891" s="449" t="s">
        <v>330</v>
      </c>
      <c r="F891" s="448" t="s">
        <v>331</v>
      </c>
      <c r="G891" s="589">
        <v>46220</v>
      </c>
      <c r="H891" s="450"/>
      <c r="I891" s="450" t="s">
        <v>186</v>
      </c>
      <c r="J891" s="305">
        <v>0.29652777777777778</v>
      </c>
      <c r="K891" s="305">
        <v>0.7104166666666667</v>
      </c>
      <c r="L891" s="451" t="s">
        <v>169</v>
      </c>
      <c r="M891" s="452">
        <v>8</v>
      </c>
      <c r="N891" s="452"/>
      <c r="O891" s="452"/>
      <c r="P891" s="452"/>
      <c r="Q891" s="453"/>
      <c r="R891" s="452"/>
      <c r="S891" s="452"/>
      <c r="T891" s="453"/>
      <c r="U891" s="452"/>
      <c r="V891" s="453"/>
      <c r="W891" s="454"/>
      <c r="X891" s="455"/>
      <c r="Y891" s="456"/>
      <c r="Z891" s="457"/>
      <c r="AA891" s="458"/>
      <c r="AB891" s="443"/>
    </row>
    <row r="892" spans="1:28" s="444" customFormat="1">
      <c r="A892" s="702"/>
      <c r="B892" s="446" t="s">
        <v>187</v>
      </c>
      <c r="C892" s="486">
        <v>11863</v>
      </c>
      <c r="D892" s="448" t="s">
        <v>331</v>
      </c>
      <c r="E892" s="449" t="s">
        <v>330</v>
      </c>
      <c r="F892" s="448" t="s">
        <v>331</v>
      </c>
      <c r="G892" s="589">
        <v>46221</v>
      </c>
      <c r="H892" s="450"/>
      <c r="I892" s="450" t="s">
        <v>186</v>
      </c>
      <c r="J892" s="305">
        <v>0.31527777777777777</v>
      </c>
      <c r="K892" s="305">
        <v>0.71111111111111114</v>
      </c>
      <c r="L892" s="451" t="s">
        <v>169</v>
      </c>
      <c r="M892" s="452">
        <v>8</v>
      </c>
      <c r="N892" s="452"/>
      <c r="O892" s="452"/>
      <c r="P892" s="452"/>
      <c r="Q892" s="453"/>
      <c r="R892" s="452"/>
      <c r="S892" s="452"/>
      <c r="T892" s="453"/>
      <c r="U892" s="452"/>
      <c r="V892" s="453"/>
      <c r="W892" s="454"/>
      <c r="X892" s="455"/>
      <c r="Y892" s="456"/>
      <c r="Z892" s="457"/>
      <c r="AA892" s="458"/>
      <c r="AB892" s="443"/>
    </row>
    <row r="893" spans="1:28" s="444" customFormat="1">
      <c r="A893" s="702"/>
      <c r="B893" s="446" t="s">
        <v>187</v>
      </c>
      <c r="C893" s="486">
        <v>11863</v>
      </c>
      <c r="D893" s="448" t="s">
        <v>331</v>
      </c>
      <c r="E893" s="449" t="s">
        <v>330</v>
      </c>
      <c r="F893" s="448" t="s">
        <v>331</v>
      </c>
      <c r="G893" s="590">
        <v>46222</v>
      </c>
      <c r="H893" s="450"/>
      <c r="I893" s="450"/>
      <c r="J893" s="699" t="s">
        <v>173</v>
      </c>
      <c r="K893" s="700"/>
      <c r="L893" s="451"/>
      <c r="M893" s="452"/>
      <c r="N893" s="452"/>
      <c r="O893" s="452"/>
      <c r="P893" s="452"/>
      <c r="Q893" s="453"/>
      <c r="R893" s="452"/>
      <c r="S893" s="452"/>
      <c r="T893" s="453"/>
      <c r="U893" s="452"/>
      <c r="V893" s="453"/>
      <c r="W893" s="454"/>
      <c r="X893" s="455"/>
      <c r="Y893" s="456"/>
      <c r="Z893" s="457"/>
      <c r="AA893" s="458"/>
      <c r="AB893" s="443"/>
    </row>
    <row r="894" spans="1:28" s="444" customFormat="1">
      <c r="A894" s="702"/>
      <c r="B894" s="446" t="s">
        <v>187</v>
      </c>
      <c r="C894" s="486">
        <v>11863</v>
      </c>
      <c r="D894" s="448" t="s">
        <v>331</v>
      </c>
      <c r="E894" s="449" t="s">
        <v>330</v>
      </c>
      <c r="F894" s="448" t="s">
        <v>331</v>
      </c>
      <c r="G894" s="589">
        <v>46223</v>
      </c>
      <c r="H894" s="450"/>
      <c r="I894" s="450" t="s">
        <v>186</v>
      </c>
      <c r="J894" s="295">
        <v>0.31458333333333333</v>
      </c>
      <c r="K894" s="295">
        <v>0.7104166666666667</v>
      </c>
      <c r="L894" s="451" t="s">
        <v>169</v>
      </c>
      <c r="M894" s="452">
        <v>8</v>
      </c>
      <c r="N894" s="462"/>
      <c r="O894" s="462"/>
      <c r="P894" s="462"/>
      <c r="Q894" s="461"/>
      <c r="R894" s="462"/>
      <c r="S894" s="462"/>
      <c r="T894" s="461"/>
      <c r="U894" s="462"/>
      <c r="V894" s="461"/>
      <c r="W894" s="454"/>
      <c r="X894" s="455"/>
      <c r="Y894" s="456"/>
      <c r="Z894" s="457"/>
      <c r="AA894" s="458"/>
      <c r="AB894" s="443"/>
    </row>
    <row r="895" spans="1:28" s="444" customFormat="1">
      <c r="A895" s="702"/>
      <c r="B895" s="446" t="s">
        <v>187</v>
      </c>
      <c r="C895" s="486">
        <v>11863</v>
      </c>
      <c r="D895" s="448" t="s">
        <v>331</v>
      </c>
      <c r="E895" s="449" t="s">
        <v>330</v>
      </c>
      <c r="F895" s="448" t="s">
        <v>331</v>
      </c>
      <c r="G895" s="589">
        <v>46224</v>
      </c>
      <c r="H895" s="450"/>
      <c r="I895" s="450" t="s">
        <v>186</v>
      </c>
      <c r="J895" s="295">
        <v>0.30902777777777779</v>
      </c>
      <c r="K895" s="295">
        <v>0.71111111111111114</v>
      </c>
      <c r="L895" s="451" t="s">
        <v>169</v>
      </c>
      <c r="M895" s="452">
        <v>8</v>
      </c>
      <c r="N895" s="477"/>
      <c r="O895" s="477"/>
      <c r="P895" s="477"/>
      <c r="Q895" s="468"/>
      <c r="R895" s="469"/>
      <c r="S895" s="469"/>
      <c r="T895" s="461"/>
      <c r="U895" s="462"/>
      <c r="V895" s="461"/>
      <c r="W895" s="463"/>
      <c r="X895" s="464"/>
      <c r="Y895" s="465"/>
      <c r="Z895" s="466"/>
      <c r="AA895" s="467"/>
      <c r="AB895" s="443"/>
    </row>
    <row r="896" spans="1:28" s="444" customFormat="1">
      <c r="A896" s="702"/>
      <c r="B896" s="446" t="s">
        <v>187</v>
      </c>
      <c r="C896" s="486">
        <v>11863</v>
      </c>
      <c r="D896" s="448" t="s">
        <v>331</v>
      </c>
      <c r="E896" s="449" t="s">
        <v>330</v>
      </c>
      <c r="F896" s="448" t="s">
        <v>331</v>
      </c>
      <c r="G896" s="589">
        <v>46225</v>
      </c>
      <c r="H896" s="450"/>
      <c r="I896" s="450" t="s">
        <v>186</v>
      </c>
      <c r="J896" s="295">
        <v>0.31111111111111112</v>
      </c>
      <c r="K896" s="295">
        <v>0.71111111111111114</v>
      </c>
      <c r="L896" s="451" t="s">
        <v>169</v>
      </c>
      <c r="M896" s="452">
        <v>8</v>
      </c>
      <c r="N896" s="471"/>
      <c r="O896" s="452"/>
      <c r="P896" s="452"/>
      <c r="Q896" s="453"/>
      <c r="R896" s="452"/>
      <c r="S896" s="452"/>
      <c r="T896" s="453"/>
      <c r="U896" s="452"/>
      <c r="V896" s="453"/>
      <c r="W896" s="454"/>
      <c r="X896" s="455"/>
      <c r="Y896" s="456"/>
      <c r="Z896" s="457"/>
      <c r="AA896" s="458"/>
      <c r="AB896" s="443"/>
    </row>
    <row r="897" spans="1:28" s="444" customFormat="1">
      <c r="A897" s="702"/>
      <c r="B897" s="446" t="s">
        <v>187</v>
      </c>
      <c r="C897" s="486">
        <v>11863</v>
      </c>
      <c r="D897" s="448" t="s">
        <v>331</v>
      </c>
      <c r="E897" s="449" t="s">
        <v>330</v>
      </c>
      <c r="F897" s="448" t="s">
        <v>331</v>
      </c>
      <c r="G897" s="589">
        <v>46226</v>
      </c>
      <c r="H897" s="450"/>
      <c r="I897" s="450" t="s">
        <v>186</v>
      </c>
      <c r="J897" s="295">
        <v>0.29722222222222222</v>
      </c>
      <c r="K897" s="295">
        <v>0.7104166666666667</v>
      </c>
      <c r="L897" s="451" t="s">
        <v>169</v>
      </c>
      <c r="M897" s="452">
        <v>8</v>
      </c>
      <c r="N897" s="471"/>
      <c r="O897" s="470"/>
      <c r="P897" s="470"/>
      <c r="Q897" s="453"/>
      <c r="R897" s="452"/>
      <c r="S897" s="452"/>
      <c r="T897" s="453"/>
      <c r="U897" s="452"/>
      <c r="V897" s="453"/>
      <c r="W897" s="454"/>
      <c r="X897" s="455"/>
      <c r="Y897" s="456"/>
      <c r="Z897" s="457"/>
      <c r="AA897" s="458"/>
      <c r="AB897" s="443"/>
    </row>
    <row r="898" spans="1:28" s="444" customFormat="1">
      <c r="A898" s="702"/>
      <c r="B898" s="446" t="s">
        <v>187</v>
      </c>
      <c r="C898" s="486">
        <v>11863</v>
      </c>
      <c r="D898" s="448" t="s">
        <v>331</v>
      </c>
      <c r="E898" s="449" t="s">
        <v>330</v>
      </c>
      <c r="F898" s="448" t="s">
        <v>331</v>
      </c>
      <c r="G898" s="589">
        <v>46227</v>
      </c>
      <c r="H898" s="450"/>
      <c r="I898" s="450" t="s">
        <v>186</v>
      </c>
      <c r="J898" s="295">
        <v>0.32569444444444445</v>
      </c>
      <c r="K898" s="318">
        <v>0.71111111111111114</v>
      </c>
      <c r="L898" s="451" t="s">
        <v>169</v>
      </c>
      <c r="M898" s="452">
        <v>8</v>
      </c>
      <c r="N898" s="471"/>
      <c r="O898" s="471"/>
      <c r="P898" s="471"/>
      <c r="Q898" s="472"/>
      <c r="R898" s="471"/>
      <c r="S898" s="471"/>
      <c r="T898" s="453"/>
      <c r="U898" s="452"/>
      <c r="V898" s="453"/>
      <c r="W898" s="454"/>
      <c r="X898" s="455"/>
      <c r="Y898" s="456"/>
      <c r="Z898" s="457"/>
      <c r="AA898" s="458"/>
      <c r="AB898" s="443"/>
    </row>
    <row r="899" spans="1:28" s="444" customFormat="1">
      <c r="A899" s="702"/>
      <c r="B899" s="446" t="s">
        <v>187</v>
      </c>
      <c r="C899" s="486">
        <v>11863</v>
      </c>
      <c r="D899" s="448" t="s">
        <v>331</v>
      </c>
      <c r="E899" s="449" t="s">
        <v>330</v>
      </c>
      <c r="F899" s="448" t="s">
        <v>331</v>
      </c>
      <c r="G899" s="589">
        <v>46228</v>
      </c>
      <c r="H899" s="450"/>
      <c r="I899" s="450" t="s">
        <v>186</v>
      </c>
      <c r="J899" s="295"/>
      <c r="K899" s="295"/>
      <c r="L899" s="451"/>
      <c r="M899" s="452"/>
      <c r="N899" s="452"/>
      <c r="O899" s="452"/>
      <c r="P899" s="452"/>
      <c r="Q899" s="453"/>
      <c r="R899" s="452"/>
      <c r="S899" s="473"/>
      <c r="T899" s="453"/>
      <c r="U899" s="452"/>
      <c r="V899" s="453"/>
      <c r="W899" s="454"/>
      <c r="X899" s="455"/>
      <c r="Y899" s="456"/>
      <c r="Z899" s="457"/>
      <c r="AA899" s="458"/>
      <c r="AB899" s="443"/>
    </row>
    <row r="900" spans="1:28" s="444" customFormat="1">
      <c r="A900" s="702"/>
      <c r="B900" s="446"/>
      <c r="C900" s="486"/>
      <c r="D900" s="448"/>
      <c r="E900" s="449"/>
      <c r="F900" s="448"/>
      <c r="G900" s="600"/>
      <c r="H900" s="450"/>
      <c r="I900" s="502"/>
      <c r="J900" s="474"/>
      <c r="K900" s="475"/>
      <c r="L900" s="476"/>
      <c r="M900" s="477"/>
      <c r="N900" s="477"/>
      <c r="O900" s="477"/>
      <c r="P900" s="477"/>
      <c r="Q900" s="478"/>
      <c r="R900" s="477"/>
      <c r="S900" s="479"/>
      <c r="T900" s="453"/>
      <c r="U900" s="452"/>
      <c r="V900" s="453"/>
      <c r="W900" s="454"/>
      <c r="X900" s="455"/>
      <c r="Y900" s="456"/>
      <c r="Z900" s="457"/>
      <c r="AA900" s="458"/>
      <c r="AB900" s="443"/>
    </row>
    <row r="901" spans="1:28" s="444" customFormat="1">
      <c r="A901" s="703"/>
      <c r="B901" s="481"/>
      <c r="C901" s="446"/>
      <c r="D901" s="481"/>
      <c r="E901" s="449"/>
      <c r="F901" s="481"/>
      <c r="G901" s="601"/>
      <c r="H901" s="482"/>
      <c r="I901" s="483"/>
      <c r="J901" s="484"/>
      <c r="K901" s="485"/>
      <c r="L901" s="483"/>
      <c r="M901" s="483">
        <f t="shared" ref="M901:AA901" si="50">SUM(M884:M900)</f>
        <v>96</v>
      </c>
      <c r="N901" s="483">
        <f t="shared" si="50"/>
        <v>0</v>
      </c>
      <c r="O901" s="483">
        <f t="shared" si="50"/>
        <v>6</v>
      </c>
      <c r="P901" s="483">
        <f t="shared" si="50"/>
        <v>0</v>
      </c>
      <c r="Q901" s="483">
        <f t="shared" si="50"/>
        <v>0</v>
      </c>
      <c r="R901" s="483">
        <f t="shared" si="50"/>
        <v>0</v>
      </c>
      <c r="S901" s="483">
        <f t="shared" si="50"/>
        <v>0</v>
      </c>
      <c r="T901" s="483">
        <f t="shared" si="50"/>
        <v>0</v>
      </c>
      <c r="U901" s="483">
        <f t="shared" si="50"/>
        <v>0</v>
      </c>
      <c r="V901" s="483">
        <f t="shared" si="50"/>
        <v>0</v>
      </c>
      <c r="W901" s="483">
        <f t="shared" si="50"/>
        <v>0</v>
      </c>
      <c r="X901" s="483">
        <f t="shared" si="50"/>
        <v>0</v>
      </c>
      <c r="Y901" s="483">
        <f t="shared" si="50"/>
        <v>0</v>
      </c>
      <c r="Z901" s="483">
        <f t="shared" si="50"/>
        <v>0</v>
      </c>
      <c r="AA901" s="483">
        <f t="shared" si="50"/>
        <v>0</v>
      </c>
      <c r="AB901" s="443"/>
    </row>
    <row r="902" spans="1:28" s="444" customFormat="1">
      <c r="A902" s="435" t="s">
        <v>170</v>
      </c>
      <c r="B902" s="435" t="s">
        <v>120</v>
      </c>
      <c r="C902" s="435" t="s">
        <v>152</v>
      </c>
      <c r="D902" s="435" t="s">
        <v>182</v>
      </c>
      <c r="E902" s="436" t="s">
        <v>153</v>
      </c>
      <c r="F902" s="435" t="s">
        <v>182</v>
      </c>
      <c r="G902" s="599" t="s">
        <v>401</v>
      </c>
      <c r="H902" s="437"/>
      <c r="I902" s="438" t="s">
        <v>181</v>
      </c>
      <c r="J902" s="439" t="s">
        <v>154</v>
      </c>
      <c r="K902" s="439" t="s">
        <v>155</v>
      </c>
      <c r="L902" s="440" t="s">
        <v>156</v>
      </c>
      <c r="M902" s="441" t="s">
        <v>157</v>
      </c>
      <c r="N902" s="440" t="s">
        <v>158</v>
      </c>
      <c r="O902" s="440" t="s">
        <v>159</v>
      </c>
      <c r="P902" s="440" t="s">
        <v>174</v>
      </c>
      <c r="Q902" s="440" t="s">
        <v>160</v>
      </c>
      <c r="R902" s="440" t="s">
        <v>161</v>
      </c>
      <c r="S902" s="440" t="s">
        <v>162</v>
      </c>
      <c r="T902" s="438" t="s">
        <v>163</v>
      </c>
      <c r="U902" s="438" t="s">
        <v>164</v>
      </c>
      <c r="V902" s="438" t="s">
        <v>165</v>
      </c>
      <c r="W902" s="440" t="s">
        <v>113</v>
      </c>
      <c r="X902" s="438" t="s">
        <v>121</v>
      </c>
      <c r="Y902" s="438" t="s">
        <v>166</v>
      </c>
      <c r="Z902" s="442" t="s">
        <v>175</v>
      </c>
      <c r="AA902" s="442" t="s">
        <v>167</v>
      </c>
      <c r="AB902" s="443"/>
    </row>
    <row r="903" spans="1:28" s="444" customFormat="1">
      <c r="A903" s="701"/>
      <c r="B903" s="446" t="s">
        <v>187</v>
      </c>
      <c r="C903" s="505">
        <v>30766</v>
      </c>
      <c r="D903" s="448" t="s">
        <v>329</v>
      </c>
      <c r="E903" s="449" t="s">
        <v>328</v>
      </c>
      <c r="F903" s="448" t="s">
        <v>329</v>
      </c>
      <c r="G903" s="589">
        <v>46214</v>
      </c>
      <c r="H903" s="506"/>
      <c r="I903" s="450"/>
      <c r="J903" s="295"/>
      <c r="K903" s="295"/>
      <c r="L903" s="451"/>
      <c r="M903" s="452"/>
      <c r="N903" s="452"/>
      <c r="O903" s="452"/>
      <c r="P903" s="452"/>
      <c r="Q903" s="453"/>
      <c r="R903" s="452"/>
      <c r="S903" s="452"/>
      <c r="T903" s="453"/>
      <c r="U903" s="452"/>
      <c r="V903" s="453"/>
      <c r="W903" s="454"/>
      <c r="X903" s="455"/>
      <c r="Y903" s="456"/>
      <c r="Z903" s="457"/>
      <c r="AA903" s="458"/>
      <c r="AB903" s="443"/>
    </row>
    <row r="904" spans="1:28" s="444" customFormat="1">
      <c r="A904" s="702"/>
      <c r="B904" s="446" t="s">
        <v>187</v>
      </c>
      <c r="C904" s="505">
        <v>30766</v>
      </c>
      <c r="D904" s="448" t="s">
        <v>329</v>
      </c>
      <c r="E904" s="449" t="s">
        <v>328</v>
      </c>
      <c r="F904" s="448" t="s">
        <v>329</v>
      </c>
      <c r="G904" s="590">
        <v>46215</v>
      </c>
      <c r="H904" s="506"/>
      <c r="I904" s="450"/>
      <c r="J904" s="699" t="s">
        <v>173</v>
      </c>
      <c r="K904" s="700"/>
      <c r="L904" s="451"/>
      <c r="M904" s="452"/>
      <c r="N904" s="452"/>
      <c r="O904" s="452"/>
      <c r="P904" s="452"/>
      <c r="Q904" s="453"/>
      <c r="R904" s="452"/>
      <c r="S904" s="452"/>
      <c r="T904" s="453"/>
      <c r="U904" s="452"/>
      <c r="V904" s="453"/>
      <c r="W904" s="454"/>
      <c r="X904" s="455"/>
      <c r="Y904" s="456"/>
      <c r="Z904" s="457"/>
      <c r="AA904" s="458"/>
      <c r="AB904" s="443"/>
    </row>
    <row r="905" spans="1:28" s="444" customFormat="1">
      <c r="A905" s="702"/>
      <c r="B905" s="446" t="s">
        <v>187</v>
      </c>
      <c r="C905" s="505">
        <v>30766</v>
      </c>
      <c r="D905" s="448" t="s">
        <v>329</v>
      </c>
      <c r="E905" s="449" t="s">
        <v>328</v>
      </c>
      <c r="F905" s="448" t="s">
        <v>329</v>
      </c>
      <c r="G905" s="589">
        <v>46216</v>
      </c>
      <c r="H905" s="506"/>
      <c r="I905" s="450" t="s">
        <v>186</v>
      </c>
      <c r="J905" s="305">
        <v>0.32013888888888886</v>
      </c>
      <c r="K905" s="305">
        <v>0.70972222222222225</v>
      </c>
      <c r="L905" s="451" t="s">
        <v>169</v>
      </c>
      <c r="M905" s="452">
        <v>8</v>
      </c>
      <c r="N905" s="452"/>
      <c r="O905" s="452"/>
      <c r="P905" s="452"/>
      <c r="Q905" s="453"/>
      <c r="R905" s="452"/>
      <c r="S905" s="452"/>
      <c r="T905" s="453"/>
      <c r="U905" s="452"/>
      <c r="V905" s="453"/>
      <c r="W905" s="454"/>
      <c r="X905" s="455"/>
      <c r="Y905" s="456"/>
      <c r="Z905" s="457"/>
      <c r="AA905" s="458"/>
      <c r="AB905" s="443"/>
    </row>
    <row r="906" spans="1:28" s="444" customFormat="1">
      <c r="A906" s="702"/>
      <c r="B906" s="446" t="s">
        <v>187</v>
      </c>
      <c r="C906" s="505">
        <v>30766</v>
      </c>
      <c r="D906" s="448" t="s">
        <v>329</v>
      </c>
      <c r="E906" s="449" t="s">
        <v>328</v>
      </c>
      <c r="F906" s="448" t="s">
        <v>329</v>
      </c>
      <c r="G906" s="589">
        <v>46217</v>
      </c>
      <c r="H906" s="506"/>
      <c r="I906" s="450" t="s">
        <v>186</v>
      </c>
      <c r="J906" s="305">
        <v>0.3125</v>
      </c>
      <c r="K906" s="305">
        <v>0.70972222222222225</v>
      </c>
      <c r="L906" s="451" t="s">
        <v>169</v>
      </c>
      <c r="M906" s="452">
        <v>8</v>
      </c>
      <c r="N906" s="452"/>
      <c r="O906" s="452"/>
      <c r="P906" s="452"/>
      <c r="Q906" s="461"/>
      <c r="R906" s="462"/>
      <c r="S906" s="462"/>
      <c r="T906" s="461"/>
      <c r="U906" s="462"/>
      <c r="V906" s="461"/>
      <c r="W906" s="463"/>
      <c r="X906" s="464"/>
      <c r="Y906" s="465"/>
      <c r="Z906" s="466"/>
      <c r="AA906" s="467"/>
      <c r="AB906" s="443"/>
    </row>
    <row r="907" spans="1:28" s="444" customFormat="1">
      <c r="A907" s="702"/>
      <c r="B907" s="446" t="s">
        <v>187</v>
      </c>
      <c r="C907" s="505">
        <v>30766</v>
      </c>
      <c r="D907" s="448" t="s">
        <v>329</v>
      </c>
      <c r="E907" s="449" t="s">
        <v>328</v>
      </c>
      <c r="F907" s="448" t="s">
        <v>329</v>
      </c>
      <c r="G907" s="589">
        <v>46218</v>
      </c>
      <c r="H907" s="506"/>
      <c r="I907" s="450" t="s">
        <v>186</v>
      </c>
      <c r="J907" s="305">
        <v>0.31527777777777777</v>
      </c>
      <c r="K907" s="305">
        <v>0.70972222222222225</v>
      </c>
      <c r="L907" s="451" t="s">
        <v>169</v>
      </c>
      <c r="M907" s="452">
        <v>8</v>
      </c>
      <c r="N907" s="452"/>
      <c r="O907" s="452"/>
      <c r="P907" s="452"/>
      <c r="Q907" s="453"/>
      <c r="R907" s="452"/>
      <c r="S907" s="452"/>
      <c r="T907" s="453"/>
      <c r="U907" s="452"/>
      <c r="V907" s="453"/>
      <c r="W907" s="454"/>
      <c r="X907" s="455"/>
      <c r="Y907" s="456"/>
      <c r="Z907" s="457"/>
      <c r="AA907" s="458"/>
      <c r="AB907" s="443"/>
    </row>
    <row r="908" spans="1:28" s="444" customFormat="1">
      <c r="A908" s="702"/>
      <c r="B908" s="446" t="s">
        <v>187</v>
      </c>
      <c r="C908" s="505">
        <v>30766</v>
      </c>
      <c r="D908" s="448" t="s">
        <v>329</v>
      </c>
      <c r="E908" s="449" t="s">
        <v>328</v>
      </c>
      <c r="F908" s="448" t="s">
        <v>329</v>
      </c>
      <c r="G908" s="589">
        <v>46219</v>
      </c>
      <c r="H908" s="506"/>
      <c r="I908" s="450" t="s">
        <v>186</v>
      </c>
      <c r="J908" s="305">
        <v>0.32083333333333336</v>
      </c>
      <c r="K908" s="305">
        <v>0.70972222222222225</v>
      </c>
      <c r="L908" s="451" t="s">
        <v>169</v>
      </c>
      <c r="M908" s="452">
        <v>8</v>
      </c>
      <c r="N908" s="452"/>
      <c r="O908" s="452"/>
      <c r="P908" s="452"/>
      <c r="Q908" s="453"/>
      <c r="R908" s="452"/>
      <c r="S908" s="452"/>
      <c r="T908" s="453"/>
      <c r="U908" s="452"/>
      <c r="V908" s="453"/>
      <c r="W908" s="454"/>
      <c r="X908" s="455"/>
      <c r="Y908" s="456"/>
      <c r="Z908" s="457"/>
      <c r="AA908" s="458"/>
      <c r="AB908" s="443"/>
    </row>
    <row r="909" spans="1:28" s="444" customFormat="1">
      <c r="A909" s="702"/>
      <c r="B909" s="446" t="s">
        <v>187</v>
      </c>
      <c r="C909" s="505">
        <v>30766</v>
      </c>
      <c r="D909" s="448" t="s">
        <v>329</v>
      </c>
      <c r="E909" s="449" t="s">
        <v>328</v>
      </c>
      <c r="F909" s="448" t="s">
        <v>329</v>
      </c>
      <c r="G909" s="589">
        <v>46220</v>
      </c>
      <c r="H909" s="506"/>
      <c r="I909" s="450" t="s">
        <v>186</v>
      </c>
      <c r="J909" s="305">
        <v>0.31527777777777777</v>
      </c>
      <c r="K909" s="305">
        <v>0.5</v>
      </c>
      <c r="L909" s="451" t="s">
        <v>169</v>
      </c>
      <c r="M909" s="447">
        <v>4</v>
      </c>
      <c r="N909" s="452"/>
      <c r="O909" s="452"/>
      <c r="P909" s="452"/>
      <c r="Q909" s="453"/>
      <c r="R909" s="452"/>
      <c r="S909" s="452"/>
      <c r="T909" s="453"/>
      <c r="U909" s="452"/>
      <c r="V909" s="453"/>
      <c r="W909" s="454"/>
      <c r="X909" s="455"/>
      <c r="Y909" s="456"/>
      <c r="Z909" s="457"/>
      <c r="AA909" s="458"/>
      <c r="AB909" s="443"/>
    </row>
    <row r="910" spans="1:28" s="444" customFormat="1">
      <c r="A910" s="702"/>
      <c r="B910" s="446" t="s">
        <v>187</v>
      </c>
      <c r="C910" s="505">
        <v>30766</v>
      </c>
      <c r="D910" s="448" t="s">
        <v>329</v>
      </c>
      <c r="E910" s="449" t="s">
        <v>328</v>
      </c>
      <c r="F910" s="448" t="s">
        <v>329</v>
      </c>
      <c r="G910" s="589">
        <v>46221</v>
      </c>
      <c r="H910" s="506"/>
      <c r="I910" s="450" t="s">
        <v>186</v>
      </c>
      <c r="J910" s="305"/>
      <c r="K910" s="305"/>
      <c r="L910" s="451"/>
      <c r="M910" s="452"/>
      <c r="N910" s="452"/>
      <c r="O910" s="452"/>
      <c r="P910" s="452"/>
      <c r="Q910" s="453"/>
      <c r="R910" s="452"/>
      <c r="S910" s="452"/>
      <c r="T910" s="453"/>
      <c r="U910" s="452"/>
      <c r="V910" s="453"/>
      <c r="W910" s="454"/>
      <c r="X910" s="455"/>
      <c r="Y910" s="456"/>
      <c r="Z910" s="457"/>
      <c r="AA910" s="458"/>
      <c r="AB910" s="443"/>
    </row>
    <row r="911" spans="1:28" s="444" customFormat="1">
      <c r="A911" s="702"/>
      <c r="B911" s="446" t="s">
        <v>187</v>
      </c>
      <c r="C911" s="505">
        <v>30766</v>
      </c>
      <c r="D911" s="448" t="s">
        <v>329</v>
      </c>
      <c r="E911" s="449" t="s">
        <v>328</v>
      </c>
      <c r="F911" s="448" t="s">
        <v>329</v>
      </c>
      <c r="G911" s="590">
        <v>46222</v>
      </c>
      <c r="H911" s="506"/>
      <c r="I911" s="450"/>
      <c r="J911" s="699" t="s">
        <v>173</v>
      </c>
      <c r="K911" s="700"/>
      <c r="L911" s="451"/>
      <c r="M911" s="452"/>
      <c r="N911" s="452"/>
      <c r="O911" s="452"/>
      <c r="P911" s="452"/>
      <c r="Q911" s="453"/>
      <c r="R911" s="452"/>
      <c r="S911" s="452"/>
      <c r="T911" s="453"/>
      <c r="U911" s="452"/>
      <c r="V911" s="453"/>
      <c r="W911" s="454"/>
      <c r="X911" s="455"/>
      <c r="Y911" s="456"/>
      <c r="Z911" s="457"/>
      <c r="AA911" s="458"/>
      <c r="AB911" s="443"/>
    </row>
    <row r="912" spans="1:28" s="444" customFormat="1">
      <c r="A912" s="702"/>
      <c r="B912" s="446" t="s">
        <v>187</v>
      </c>
      <c r="C912" s="505">
        <v>30766</v>
      </c>
      <c r="D912" s="448" t="s">
        <v>329</v>
      </c>
      <c r="E912" s="449" t="s">
        <v>328</v>
      </c>
      <c r="F912" s="448" t="s">
        <v>329</v>
      </c>
      <c r="G912" s="589">
        <v>46223</v>
      </c>
      <c r="H912" s="506"/>
      <c r="I912" s="450" t="s">
        <v>186</v>
      </c>
      <c r="J912" s="295">
        <v>0.31180555555555556</v>
      </c>
      <c r="K912" s="295">
        <v>0.70833333333333337</v>
      </c>
      <c r="L912" s="451" t="s">
        <v>169</v>
      </c>
      <c r="M912" s="452">
        <v>8</v>
      </c>
      <c r="N912" s="462"/>
      <c r="O912" s="462"/>
      <c r="P912" s="462"/>
      <c r="Q912" s="461"/>
      <c r="R912" s="462"/>
      <c r="S912" s="462"/>
      <c r="T912" s="461"/>
      <c r="U912" s="462"/>
      <c r="V912" s="461"/>
      <c r="W912" s="454"/>
      <c r="X912" s="455"/>
      <c r="Y912" s="456"/>
      <c r="Z912" s="457"/>
      <c r="AA912" s="458"/>
      <c r="AB912" s="443"/>
    </row>
    <row r="913" spans="1:28" s="444" customFormat="1">
      <c r="A913" s="702"/>
      <c r="B913" s="446" t="s">
        <v>187</v>
      </c>
      <c r="C913" s="505">
        <v>30766</v>
      </c>
      <c r="D913" s="448" t="s">
        <v>329</v>
      </c>
      <c r="E913" s="449" t="s">
        <v>328</v>
      </c>
      <c r="F913" s="448" t="s">
        <v>329</v>
      </c>
      <c r="G913" s="589">
        <v>46224</v>
      </c>
      <c r="H913" s="506"/>
      <c r="I913" s="450" t="s">
        <v>186</v>
      </c>
      <c r="J913" s="295">
        <v>0.31041666666666667</v>
      </c>
      <c r="K913" s="295">
        <v>0.70833333333333337</v>
      </c>
      <c r="L913" s="451" t="s">
        <v>169</v>
      </c>
      <c r="M913" s="452">
        <v>8</v>
      </c>
      <c r="N913" s="477"/>
      <c r="O913" s="477"/>
      <c r="P913" s="477"/>
      <c r="Q913" s="468"/>
      <c r="R913" s="469"/>
      <c r="S913" s="469"/>
      <c r="T913" s="461"/>
      <c r="U913" s="462"/>
      <c r="V913" s="461"/>
      <c r="W913" s="463"/>
      <c r="X913" s="464"/>
      <c r="Y913" s="465"/>
      <c r="Z913" s="466"/>
      <c r="AA913" s="467"/>
      <c r="AB913" s="443"/>
    </row>
    <row r="914" spans="1:28" s="444" customFormat="1">
      <c r="A914" s="702"/>
      <c r="B914" s="446" t="s">
        <v>187</v>
      </c>
      <c r="C914" s="505">
        <v>30766</v>
      </c>
      <c r="D914" s="448" t="s">
        <v>329</v>
      </c>
      <c r="E914" s="449" t="s">
        <v>328</v>
      </c>
      <c r="F914" s="448" t="s">
        <v>329</v>
      </c>
      <c r="G914" s="589">
        <v>46225</v>
      </c>
      <c r="H914" s="506"/>
      <c r="I914" s="450" t="s">
        <v>186</v>
      </c>
      <c r="J914" s="295">
        <v>0.3125</v>
      </c>
      <c r="K914" s="295">
        <v>0.70833333333333337</v>
      </c>
      <c r="L914" s="451" t="s">
        <v>169</v>
      </c>
      <c r="M914" s="452">
        <v>8</v>
      </c>
      <c r="N914" s="471"/>
      <c r="O914" s="452"/>
      <c r="P914" s="452"/>
      <c r="Q914" s="453"/>
      <c r="R914" s="452"/>
      <c r="S914" s="452"/>
      <c r="T914" s="453"/>
      <c r="U914" s="452"/>
      <c r="V914" s="453"/>
      <c r="W914" s="454"/>
      <c r="X914" s="455"/>
      <c r="Y914" s="456"/>
      <c r="Z914" s="457"/>
      <c r="AA914" s="458"/>
      <c r="AB914" s="443"/>
    </row>
    <row r="915" spans="1:28" s="444" customFormat="1">
      <c r="A915" s="702"/>
      <c r="B915" s="446" t="s">
        <v>187</v>
      </c>
      <c r="C915" s="505">
        <v>30766</v>
      </c>
      <c r="D915" s="448" t="s">
        <v>329</v>
      </c>
      <c r="E915" s="449" t="s">
        <v>328</v>
      </c>
      <c r="F915" s="448" t="s">
        <v>329</v>
      </c>
      <c r="G915" s="589">
        <v>46226</v>
      </c>
      <c r="H915" s="506"/>
      <c r="I915" s="450" t="s">
        <v>186</v>
      </c>
      <c r="J915" s="295">
        <v>0.31944444444444442</v>
      </c>
      <c r="K915" s="295">
        <v>0.70833333333333337</v>
      </c>
      <c r="L915" s="451" t="s">
        <v>169</v>
      </c>
      <c r="M915" s="452">
        <v>8</v>
      </c>
      <c r="N915" s="471"/>
      <c r="O915" s="470"/>
      <c r="P915" s="470"/>
      <c r="Q915" s="453"/>
      <c r="R915" s="452"/>
      <c r="S915" s="452"/>
      <c r="T915" s="453"/>
      <c r="U915" s="452"/>
      <c r="V915" s="453"/>
      <c r="W915" s="454"/>
      <c r="X915" s="455"/>
      <c r="Y915" s="456"/>
      <c r="Z915" s="457"/>
      <c r="AA915" s="458"/>
      <c r="AB915" s="443"/>
    </row>
    <row r="916" spans="1:28" s="444" customFormat="1">
      <c r="A916" s="702"/>
      <c r="B916" s="446" t="s">
        <v>187</v>
      </c>
      <c r="C916" s="505">
        <v>30766</v>
      </c>
      <c r="D916" s="448" t="s">
        <v>329</v>
      </c>
      <c r="E916" s="449" t="s">
        <v>328</v>
      </c>
      <c r="F916" s="448" t="s">
        <v>329</v>
      </c>
      <c r="G916" s="589">
        <v>46227</v>
      </c>
      <c r="H916" s="506"/>
      <c r="I916" s="450" t="s">
        <v>186</v>
      </c>
      <c r="J916" s="295">
        <v>0.31458333333333333</v>
      </c>
      <c r="K916" s="295">
        <v>0.70833333333333337</v>
      </c>
      <c r="L916" s="451" t="s">
        <v>169</v>
      </c>
      <c r="M916" s="452">
        <v>8</v>
      </c>
      <c r="N916" s="471"/>
      <c r="O916" s="471"/>
      <c r="P916" s="471"/>
      <c r="Q916" s="472"/>
      <c r="R916" s="471"/>
      <c r="S916" s="471"/>
      <c r="T916" s="453"/>
      <c r="U916" s="452"/>
      <c r="V916" s="453"/>
      <c r="W916" s="454"/>
      <c r="X916" s="455"/>
      <c r="Y916" s="456"/>
      <c r="Z916" s="457"/>
      <c r="AA916" s="458"/>
      <c r="AB916" s="443"/>
    </row>
    <row r="917" spans="1:28" s="444" customFormat="1">
      <c r="A917" s="702"/>
      <c r="B917" s="446" t="s">
        <v>187</v>
      </c>
      <c r="C917" s="505">
        <v>30766</v>
      </c>
      <c r="D917" s="448" t="s">
        <v>329</v>
      </c>
      <c r="E917" s="449" t="s">
        <v>328</v>
      </c>
      <c r="F917" s="448" t="s">
        <v>329</v>
      </c>
      <c r="G917" s="589">
        <v>46228</v>
      </c>
      <c r="H917" s="506"/>
      <c r="I917" s="450" t="s">
        <v>186</v>
      </c>
      <c r="J917" s="295"/>
      <c r="K917" s="295"/>
      <c r="L917" s="451"/>
      <c r="M917" s="452"/>
      <c r="N917" s="452"/>
      <c r="O917" s="452"/>
      <c r="P917" s="452"/>
      <c r="Q917" s="453"/>
      <c r="R917" s="452"/>
      <c r="S917" s="473"/>
      <c r="T917" s="453"/>
      <c r="U917" s="452"/>
      <c r="V917" s="453"/>
      <c r="W917" s="454"/>
      <c r="X917" s="455"/>
      <c r="Y917" s="456"/>
      <c r="Z917" s="457"/>
      <c r="AA917" s="458"/>
      <c r="AB917" s="443"/>
    </row>
    <row r="918" spans="1:28" s="444" customFormat="1">
      <c r="A918" s="702"/>
      <c r="B918" s="446"/>
      <c r="C918" s="505"/>
      <c r="D918" s="449"/>
      <c r="E918" s="449"/>
      <c r="F918" s="449"/>
      <c r="G918" s="600"/>
      <c r="H918" s="450"/>
      <c r="I918" s="450"/>
      <c r="J918" s="474"/>
      <c r="K918" s="475"/>
      <c r="L918" s="476"/>
      <c r="M918" s="477"/>
      <c r="N918" s="477"/>
      <c r="O918" s="477"/>
      <c r="P918" s="477"/>
      <c r="Q918" s="478"/>
      <c r="R918" s="477"/>
      <c r="S918" s="479"/>
      <c r="T918" s="453"/>
      <c r="U918" s="452"/>
      <c r="V918" s="453"/>
      <c r="W918" s="454"/>
      <c r="X918" s="455"/>
      <c r="Y918" s="456"/>
      <c r="Z918" s="457"/>
      <c r="AA918" s="458"/>
      <c r="AB918" s="443"/>
    </row>
    <row r="919" spans="1:28" s="444" customFormat="1">
      <c r="A919" s="703"/>
      <c r="B919" s="481"/>
      <c r="C919" s="446"/>
      <c r="D919" s="481"/>
      <c r="E919" s="449"/>
      <c r="F919" s="481"/>
      <c r="G919" s="603"/>
      <c r="H919" s="482"/>
      <c r="I919" s="483"/>
      <c r="J919" s="484"/>
      <c r="K919" s="485"/>
      <c r="L919" s="483"/>
      <c r="M919" s="483">
        <f t="shared" ref="M919:AA919" si="51">SUM(M902:M918)</f>
        <v>76</v>
      </c>
      <c r="N919" s="483">
        <f t="shared" si="51"/>
        <v>0</v>
      </c>
      <c r="O919" s="483">
        <f t="shared" si="51"/>
        <v>0</v>
      </c>
      <c r="P919" s="483">
        <f t="shared" si="51"/>
        <v>0</v>
      </c>
      <c r="Q919" s="483">
        <f t="shared" si="51"/>
        <v>0</v>
      </c>
      <c r="R919" s="483">
        <f t="shared" si="51"/>
        <v>0</v>
      </c>
      <c r="S919" s="483">
        <f t="shared" si="51"/>
        <v>0</v>
      </c>
      <c r="T919" s="483">
        <f t="shared" si="51"/>
        <v>0</v>
      </c>
      <c r="U919" s="483">
        <f t="shared" si="51"/>
        <v>0</v>
      </c>
      <c r="V919" s="483">
        <f t="shared" si="51"/>
        <v>0</v>
      </c>
      <c r="W919" s="483">
        <f t="shared" si="51"/>
        <v>0</v>
      </c>
      <c r="X919" s="483">
        <f t="shared" si="51"/>
        <v>0</v>
      </c>
      <c r="Y919" s="483">
        <f t="shared" si="51"/>
        <v>0</v>
      </c>
      <c r="Z919" s="483">
        <f t="shared" si="51"/>
        <v>0</v>
      </c>
      <c r="AA919" s="491">
        <f t="shared" si="51"/>
        <v>0</v>
      </c>
      <c r="AB919" s="443"/>
    </row>
    <row r="920" spans="1:28" s="444" customFormat="1">
      <c r="A920" s="435" t="s">
        <v>170</v>
      </c>
      <c r="B920" s="435" t="s">
        <v>120</v>
      </c>
      <c r="C920" s="435" t="s">
        <v>152</v>
      </c>
      <c r="D920" s="435" t="s">
        <v>182</v>
      </c>
      <c r="E920" s="436" t="s">
        <v>153</v>
      </c>
      <c r="F920" s="435" t="s">
        <v>182</v>
      </c>
      <c r="G920" s="601"/>
      <c r="H920" s="437"/>
      <c r="I920" s="438" t="s">
        <v>181</v>
      </c>
      <c r="J920" s="439" t="s">
        <v>154</v>
      </c>
      <c r="K920" s="439" t="s">
        <v>155</v>
      </c>
      <c r="L920" s="440" t="s">
        <v>156</v>
      </c>
      <c r="M920" s="441" t="s">
        <v>157</v>
      </c>
      <c r="N920" s="440" t="s">
        <v>158</v>
      </c>
      <c r="O920" s="440" t="s">
        <v>159</v>
      </c>
      <c r="P920" s="440" t="s">
        <v>174</v>
      </c>
      <c r="Q920" s="440" t="s">
        <v>160</v>
      </c>
      <c r="R920" s="440" t="s">
        <v>161</v>
      </c>
      <c r="S920" s="440" t="s">
        <v>162</v>
      </c>
      <c r="T920" s="438" t="s">
        <v>163</v>
      </c>
      <c r="U920" s="438" t="s">
        <v>164</v>
      </c>
      <c r="V920" s="438" t="s">
        <v>165</v>
      </c>
      <c r="W920" s="440" t="s">
        <v>113</v>
      </c>
      <c r="X920" s="438" t="s">
        <v>121</v>
      </c>
      <c r="Y920" s="438" t="s">
        <v>166</v>
      </c>
      <c r="Z920" s="442" t="s">
        <v>175</v>
      </c>
      <c r="AA920" s="442" t="s">
        <v>167</v>
      </c>
      <c r="AB920" s="443"/>
    </row>
    <row r="921" spans="1:28" s="444" customFormat="1">
      <c r="A921" s="701"/>
      <c r="B921" s="446" t="s">
        <v>187</v>
      </c>
      <c r="C921" s="446">
        <v>12985</v>
      </c>
      <c r="D921" s="448" t="s">
        <v>327</v>
      </c>
      <c r="E921" s="449" t="s">
        <v>326</v>
      </c>
      <c r="F921" s="448" t="s">
        <v>327</v>
      </c>
      <c r="G921" s="599" t="s">
        <v>401</v>
      </c>
      <c r="H921" s="450"/>
      <c r="I921" s="450" t="s">
        <v>183</v>
      </c>
      <c r="J921" s="295">
        <v>0.78125</v>
      </c>
      <c r="K921" s="295">
        <v>0.16666666666666666</v>
      </c>
      <c r="L921" s="451" t="s">
        <v>168</v>
      </c>
      <c r="M921" s="452">
        <v>8</v>
      </c>
      <c r="N921" s="452"/>
      <c r="O921" s="452">
        <v>6</v>
      </c>
      <c r="P921" s="452"/>
      <c r="Q921" s="453"/>
      <c r="R921" s="452"/>
      <c r="S921" s="452"/>
      <c r="T921" s="453"/>
      <c r="U921" s="452"/>
      <c r="V921" s="453"/>
      <c r="W921" s="454"/>
      <c r="X921" s="455"/>
      <c r="Y921" s="456"/>
      <c r="Z921" s="457"/>
      <c r="AA921" s="458"/>
      <c r="AB921" s="443"/>
    </row>
    <row r="922" spans="1:28" s="444" customFormat="1">
      <c r="A922" s="702"/>
      <c r="B922" s="446" t="s">
        <v>187</v>
      </c>
      <c r="C922" s="446">
        <v>12985</v>
      </c>
      <c r="D922" s="448" t="s">
        <v>327</v>
      </c>
      <c r="E922" s="449" t="s">
        <v>326</v>
      </c>
      <c r="F922" s="448" t="s">
        <v>327</v>
      </c>
      <c r="G922" s="589">
        <v>46214</v>
      </c>
      <c r="H922" s="450"/>
      <c r="I922" s="450"/>
      <c r="J922" s="699" t="s">
        <v>173</v>
      </c>
      <c r="K922" s="700"/>
      <c r="L922" s="451"/>
      <c r="M922" s="452"/>
      <c r="N922" s="452"/>
      <c r="O922" s="452"/>
      <c r="P922" s="452"/>
      <c r="Q922" s="453"/>
      <c r="R922" s="452"/>
      <c r="S922" s="452"/>
      <c r="T922" s="453"/>
      <c r="U922" s="452"/>
      <c r="V922" s="453"/>
      <c r="W922" s="454"/>
      <c r="X922" s="455"/>
      <c r="Y922" s="456"/>
      <c r="Z922" s="457"/>
      <c r="AA922" s="458"/>
      <c r="AB922" s="443"/>
    </row>
    <row r="923" spans="1:28" s="444" customFormat="1">
      <c r="A923" s="702"/>
      <c r="B923" s="446" t="s">
        <v>187</v>
      </c>
      <c r="C923" s="446">
        <v>12985</v>
      </c>
      <c r="D923" s="448" t="s">
        <v>327</v>
      </c>
      <c r="E923" s="449" t="s">
        <v>326</v>
      </c>
      <c r="F923" s="448" t="s">
        <v>327</v>
      </c>
      <c r="G923" s="590">
        <v>46215</v>
      </c>
      <c r="H923" s="450"/>
      <c r="I923" s="450" t="s">
        <v>186</v>
      </c>
      <c r="J923" s="305">
        <v>0.31805555555555554</v>
      </c>
      <c r="K923" s="305">
        <v>0.71111111111111114</v>
      </c>
      <c r="L923" s="451" t="s">
        <v>169</v>
      </c>
      <c r="M923" s="452">
        <v>8</v>
      </c>
      <c r="N923" s="452"/>
      <c r="O923" s="452"/>
      <c r="P923" s="452"/>
      <c r="Q923" s="453"/>
      <c r="R923" s="452"/>
      <c r="S923" s="452"/>
      <c r="T923" s="453"/>
      <c r="U923" s="452"/>
      <c r="V923" s="453"/>
      <c r="W923" s="454"/>
      <c r="X923" s="455"/>
      <c r="Y923" s="456"/>
      <c r="Z923" s="457"/>
      <c r="AA923" s="458"/>
      <c r="AB923" s="443"/>
    </row>
    <row r="924" spans="1:28" s="444" customFormat="1">
      <c r="A924" s="702"/>
      <c r="B924" s="446" t="s">
        <v>187</v>
      </c>
      <c r="C924" s="446">
        <v>12985</v>
      </c>
      <c r="D924" s="448" t="s">
        <v>327</v>
      </c>
      <c r="E924" s="449" t="s">
        <v>326</v>
      </c>
      <c r="F924" s="448" t="s">
        <v>327</v>
      </c>
      <c r="G924" s="589">
        <v>46216</v>
      </c>
      <c r="H924" s="450"/>
      <c r="I924" s="450" t="s">
        <v>186</v>
      </c>
      <c r="J924" s="382">
        <v>0.31666666666666665</v>
      </c>
      <c r="K924" s="305">
        <v>0.70972222222222225</v>
      </c>
      <c r="L924" s="451" t="s">
        <v>169</v>
      </c>
      <c r="M924" s="452">
        <v>8</v>
      </c>
      <c r="N924" s="452"/>
      <c r="O924" s="452"/>
      <c r="P924" s="452"/>
      <c r="Q924" s="461"/>
      <c r="R924" s="462"/>
      <c r="S924" s="462"/>
      <c r="T924" s="461"/>
      <c r="U924" s="462"/>
      <c r="V924" s="461"/>
      <c r="W924" s="463"/>
      <c r="X924" s="464"/>
      <c r="Y924" s="465"/>
      <c r="Z924" s="466"/>
      <c r="AA924" s="467"/>
      <c r="AB924" s="443"/>
    </row>
    <row r="925" spans="1:28" s="444" customFormat="1">
      <c r="A925" s="702"/>
      <c r="B925" s="446" t="s">
        <v>187</v>
      </c>
      <c r="C925" s="446">
        <v>12985</v>
      </c>
      <c r="D925" s="448" t="s">
        <v>327</v>
      </c>
      <c r="E925" s="449" t="s">
        <v>326</v>
      </c>
      <c r="F925" s="448" t="s">
        <v>327</v>
      </c>
      <c r="G925" s="589">
        <v>46217</v>
      </c>
      <c r="H925" s="450"/>
      <c r="I925" s="450" t="s">
        <v>186</v>
      </c>
      <c r="J925" s="305">
        <v>0.32083333333333336</v>
      </c>
      <c r="K925" s="305">
        <v>0.71111111111111114</v>
      </c>
      <c r="L925" s="451" t="s">
        <v>169</v>
      </c>
      <c r="M925" s="452">
        <v>8</v>
      </c>
      <c r="N925" s="452"/>
      <c r="O925" s="452"/>
      <c r="P925" s="452"/>
      <c r="Q925" s="453"/>
      <c r="R925" s="452"/>
      <c r="S925" s="452"/>
      <c r="T925" s="453"/>
      <c r="U925" s="452"/>
      <c r="V925" s="453"/>
      <c r="W925" s="454"/>
      <c r="X925" s="455"/>
      <c r="Y925" s="456"/>
      <c r="Z925" s="457"/>
      <c r="AA925" s="458"/>
      <c r="AB925" s="443"/>
    </row>
    <row r="926" spans="1:28" s="444" customFormat="1">
      <c r="A926" s="702"/>
      <c r="B926" s="446" t="s">
        <v>187</v>
      </c>
      <c r="C926" s="446">
        <v>12985</v>
      </c>
      <c r="D926" s="448" t="s">
        <v>327</v>
      </c>
      <c r="E926" s="449" t="s">
        <v>326</v>
      </c>
      <c r="F926" s="448" t="s">
        <v>327</v>
      </c>
      <c r="G926" s="589">
        <v>46218</v>
      </c>
      <c r="H926" s="450"/>
      <c r="I926" s="450" t="s">
        <v>186</v>
      </c>
      <c r="J926" s="305">
        <v>0.31597222222222221</v>
      </c>
      <c r="K926" s="305">
        <v>0.7104166666666667</v>
      </c>
      <c r="L926" s="451" t="s">
        <v>169</v>
      </c>
      <c r="M926" s="452">
        <v>8</v>
      </c>
      <c r="N926" s="452"/>
      <c r="O926" s="452"/>
      <c r="P926" s="452"/>
      <c r="Q926" s="453"/>
      <c r="R926" s="452"/>
      <c r="S926" s="452"/>
      <c r="T926" s="453"/>
      <c r="U926" s="452"/>
      <c r="V926" s="453"/>
      <c r="W926" s="454"/>
      <c r="X926" s="455"/>
      <c r="Y926" s="456"/>
      <c r="Z926" s="457"/>
      <c r="AA926" s="458"/>
      <c r="AB926" s="443"/>
    </row>
    <row r="927" spans="1:28" s="444" customFormat="1">
      <c r="A927" s="702"/>
      <c r="B927" s="446" t="s">
        <v>187</v>
      </c>
      <c r="C927" s="446">
        <v>12985</v>
      </c>
      <c r="D927" s="448" t="s">
        <v>327</v>
      </c>
      <c r="E927" s="449" t="s">
        <v>326</v>
      </c>
      <c r="F927" s="448" t="s">
        <v>327</v>
      </c>
      <c r="G927" s="589">
        <v>46219</v>
      </c>
      <c r="H927" s="450"/>
      <c r="I927" s="450" t="s">
        <v>186</v>
      </c>
      <c r="J927" s="305">
        <v>0.32361111111111113</v>
      </c>
      <c r="K927" s="305">
        <v>0.70972222222222225</v>
      </c>
      <c r="L927" s="451" t="s">
        <v>169</v>
      </c>
      <c r="M927" s="452">
        <v>8</v>
      </c>
      <c r="N927" s="452"/>
      <c r="O927" s="452"/>
      <c r="P927" s="452"/>
      <c r="Q927" s="453"/>
      <c r="R927" s="452"/>
      <c r="S927" s="452"/>
      <c r="T927" s="453"/>
      <c r="U927" s="452"/>
      <c r="V927" s="453"/>
      <c r="W927" s="454"/>
      <c r="X927" s="455"/>
      <c r="Y927" s="456"/>
      <c r="Z927" s="457"/>
      <c r="AA927" s="458"/>
      <c r="AB927" s="443"/>
    </row>
    <row r="928" spans="1:28" s="444" customFormat="1">
      <c r="A928" s="702"/>
      <c r="B928" s="446" t="s">
        <v>187</v>
      </c>
      <c r="C928" s="446">
        <v>12985</v>
      </c>
      <c r="D928" s="448" t="s">
        <v>327</v>
      </c>
      <c r="E928" s="449" t="s">
        <v>326</v>
      </c>
      <c r="F928" s="448" t="s">
        <v>327</v>
      </c>
      <c r="G928" s="589">
        <v>46220</v>
      </c>
      <c r="H928" s="450"/>
      <c r="I928" s="450" t="s">
        <v>186</v>
      </c>
      <c r="J928" s="305">
        <v>0.31041666666666667</v>
      </c>
      <c r="K928" s="305">
        <v>0.70833333333333337</v>
      </c>
      <c r="L928" s="451" t="s">
        <v>169</v>
      </c>
      <c r="M928" s="452">
        <v>8</v>
      </c>
      <c r="N928" s="452"/>
      <c r="O928" s="452"/>
      <c r="P928" s="452"/>
      <c r="Q928" s="453"/>
      <c r="R928" s="452"/>
      <c r="S928" s="452"/>
      <c r="T928" s="453"/>
      <c r="U928" s="452"/>
      <c r="V928" s="453"/>
      <c r="W928" s="454"/>
      <c r="X928" s="455"/>
      <c r="Y928" s="456"/>
      <c r="Z928" s="457"/>
      <c r="AA928" s="458"/>
      <c r="AB928" s="443"/>
    </row>
    <row r="929" spans="1:28" s="444" customFormat="1">
      <c r="A929" s="702"/>
      <c r="B929" s="446" t="s">
        <v>187</v>
      </c>
      <c r="C929" s="446">
        <v>12985</v>
      </c>
      <c r="D929" s="448" t="s">
        <v>327</v>
      </c>
      <c r="E929" s="449" t="s">
        <v>326</v>
      </c>
      <c r="F929" s="448" t="s">
        <v>327</v>
      </c>
      <c r="G929" s="589">
        <v>46221</v>
      </c>
      <c r="H929" s="450"/>
      <c r="I929" s="450"/>
      <c r="J929" s="699" t="s">
        <v>173</v>
      </c>
      <c r="K929" s="700"/>
      <c r="L929" s="451"/>
      <c r="M929" s="452"/>
      <c r="N929" s="452"/>
      <c r="O929" s="452"/>
      <c r="P929" s="452"/>
      <c r="Q929" s="453"/>
      <c r="R929" s="452"/>
      <c r="S929" s="452"/>
      <c r="T929" s="453"/>
      <c r="U929" s="452"/>
      <c r="V929" s="453"/>
      <c r="W929" s="454"/>
      <c r="X929" s="455"/>
      <c r="Y929" s="456"/>
      <c r="Z929" s="457"/>
      <c r="AA929" s="458"/>
      <c r="AB929" s="443"/>
    </row>
    <row r="930" spans="1:28" s="444" customFormat="1">
      <c r="A930" s="702"/>
      <c r="B930" s="446" t="s">
        <v>187</v>
      </c>
      <c r="C930" s="446">
        <v>12985</v>
      </c>
      <c r="D930" s="448" t="s">
        <v>327</v>
      </c>
      <c r="E930" s="449" t="s">
        <v>326</v>
      </c>
      <c r="F930" s="448" t="s">
        <v>327</v>
      </c>
      <c r="G930" s="590">
        <v>46222</v>
      </c>
      <c r="H930" s="450"/>
      <c r="I930" s="450" t="s">
        <v>186</v>
      </c>
      <c r="J930" s="295">
        <v>0.31180555555555556</v>
      </c>
      <c r="K930" s="295">
        <v>0.70902777777777781</v>
      </c>
      <c r="L930" s="451" t="s">
        <v>169</v>
      </c>
      <c r="M930" s="452">
        <v>8</v>
      </c>
      <c r="N930" s="462"/>
      <c r="O930" s="462"/>
      <c r="P930" s="462"/>
      <c r="Q930" s="461"/>
      <c r="R930" s="462"/>
      <c r="S930" s="462"/>
      <c r="T930" s="461"/>
      <c r="U930" s="462"/>
      <c r="V930" s="461"/>
      <c r="W930" s="454"/>
      <c r="X930" s="455"/>
      <c r="Y930" s="456"/>
      <c r="Z930" s="457"/>
      <c r="AA930" s="458"/>
      <c r="AB930" s="443"/>
    </row>
    <row r="931" spans="1:28" s="444" customFormat="1">
      <c r="A931" s="702"/>
      <c r="B931" s="446" t="s">
        <v>187</v>
      </c>
      <c r="C931" s="446">
        <v>12985</v>
      </c>
      <c r="D931" s="448" t="s">
        <v>327</v>
      </c>
      <c r="E931" s="449" t="s">
        <v>326</v>
      </c>
      <c r="F931" s="448" t="s">
        <v>327</v>
      </c>
      <c r="G931" s="589">
        <v>46223</v>
      </c>
      <c r="H931" s="450"/>
      <c r="I931" s="450" t="s">
        <v>186</v>
      </c>
      <c r="J931" s="295">
        <v>0.31041666666666667</v>
      </c>
      <c r="K931" s="295">
        <v>0.70833333333333337</v>
      </c>
      <c r="L931" s="451" t="s">
        <v>169</v>
      </c>
      <c r="M931" s="452">
        <v>8</v>
      </c>
      <c r="N931" s="477"/>
      <c r="O931" s="477"/>
      <c r="P931" s="477"/>
      <c r="Q931" s="468"/>
      <c r="R931" s="469"/>
      <c r="S931" s="469"/>
      <c r="T931" s="461"/>
      <c r="U931" s="462"/>
      <c r="V931" s="461"/>
      <c r="W931" s="463"/>
      <c r="X931" s="464"/>
      <c r="Y931" s="465"/>
      <c r="Z931" s="466"/>
      <c r="AA931" s="467"/>
      <c r="AB931" s="443"/>
    </row>
    <row r="932" spans="1:28" s="444" customFormat="1">
      <c r="A932" s="702"/>
      <c r="B932" s="446" t="s">
        <v>187</v>
      </c>
      <c r="C932" s="446">
        <v>12985</v>
      </c>
      <c r="D932" s="448" t="s">
        <v>327</v>
      </c>
      <c r="E932" s="449" t="s">
        <v>326</v>
      </c>
      <c r="F932" s="448" t="s">
        <v>327</v>
      </c>
      <c r="G932" s="589">
        <v>46224</v>
      </c>
      <c r="H932" s="450"/>
      <c r="I932" s="450" t="s">
        <v>186</v>
      </c>
      <c r="J932" s="295">
        <v>0.3125</v>
      </c>
      <c r="K932" s="295">
        <v>0.70972222222222225</v>
      </c>
      <c r="L932" s="451" t="s">
        <v>169</v>
      </c>
      <c r="M932" s="452">
        <v>8</v>
      </c>
      <c r="N932" s="471"/>
      <c r="O932" s="452"/>
      <c r="P932" s="452"/>
      <c r="Q932" s="453"/>
      <c r="R932" s="452"/>
      <c r="S932" s="452"/>
      <c r="T932" s="453"/>
      <c r="U932" s="452"/>
      <c r="V932" s="453"/>
      <c r="W932" s="454"/>
      <c r="X932" s="455"/>
      <c r="Y932" s="456"/>
      <c r="Z932" s="457"/>
      <c r="AA932" s="458"/>
      <c r="AB932" s="443"/>
    </row>
    <row r="933" spans="1:28" s="444" customFormat="1">
      <c r="A933" s="702"/>
      <c r="B933" s="446" t="s">
        <v>187</v>
      </c>
      <c r="C933" s="446">
        <v>12985</v>
      </c>
      <c r="D933" s="448" t="s">
        <v>327</v>
      </c>
      <c r="E933" s="449" t="s">
        <v>326</v>
      </c>
      <c r="F933" s="448" t="s">
        <v>327</v>
      </c>
      <c r="G933" s="589">
        <v>46225</v>
      </c>
      <c r="H933" s="450"/>
      <c r="I933" s="450" t="s">
        <v>186</v>
      </c>
      <c r="J933" s="295">
        <v>0.31944444444444442</v>
      </c>
      <c r="K933" s="295">
        <v>0.70972222222222225</v>
      </c>
      <c r="L933" s="451" t="s">
        <v>169</v>
      </c>
      <c r="M933" s="452">
        <v>8</v>
      </c>
      <c r="N933" s="471"/>
      <c r="O933" s="470"/>
      <c r="P933" s="470"/>
      <c r="Q933" s="453"/>
      <c r="R933" s="452"/>
      <c r="S933" s="452"/>
      <c r="T933" s="453"/>
      <c r="U933" s="452"/>
      <c r="V933" s="453"/>
      <c r="W933" s="454"/>
      <c r="X933" s="455"/>
      <c r="Y933" s="456"/>
      <c r="Z933" s="457"/>
      <c r="AA933" s="458"/>
      <c r="AB933" s="443"/>
    </row>
    <row r="934" spans="1:28" s="444" customFormat="1">
      <c r="A934" s="702"/>
      <c r="B934" s="446" t="s">
        <v>187</v>
      </c>
      <c r="C934" s="446">
        <v>12985</v>
      </c>
      <c r="D934" s="448" t="s">
        <v>327</v>
      </c>
      <c r="E934" s="449" t="s">
        <v>326</v>
      </c>
      <c r="F934" s="448" t="s">
        <v>327</v>
      </c>
      <c r="G934" s="589">
        <v>46226</v>
      </c>
      <c r="H934" s="450"/>
      <c r="I934" s="450" t="s">
        <v>186</v>
      </c>
      <c r="J934" s="295">
        <v>0.31458333333333333</v>
      </c>
      <c r="K934" s="318">
        <v>0.70972222222222225</v>
      </c>
      <c r="L934" s="451" t="s">
        <v>169</v>
      </c>
      <c r="M934" s="452">
        <v>8</v>
      </c>
      <c r="N934" s="471"/>
      <c r="O934" s="471"/>
      <c r="P934" s="471"/>
      <c r="Q934" s="472"/>
      <c r="R934" s="471"/>
      <c r="S934" s="471"/>
      <c r="T934" s="453"/>
      <c r="U934" s="452"/>
      <c r="V934" s="453"/>
      <c r="W934" s="454"/>
      <c r="X934" s="455"/>
      <c r="Y934" s="456"/>
      <c r="Z934" s="457"/>
      <c r="AA934" s="458"/>
      <c r="AB934" s="443"/>
    </row>
    <row r="935" spans="1:28" s="444" customFormat="1">
      <c r="A935" s="702"/>
      <c r="B935" s="446" t="s">
        <v>187</v>
      </c>
      <c r="C935" s="446">
        <v>12985</v>
      </c>
      <c r="D935" s="448" t="s">
        <v>327</v>
      </c>
      <c r="E935" s="449" t="s">
        <v>326</v>
      </c>
      <c r="F935" s="448" t="s">
        <v>327</v>
      </c>
      <c r="G935" s="589">
        <v>46227</v>
      </c>
      <c r="H935" s="450"/>
      <c r="I935" s="450" t="s">
        <v>186</v>
      </c>
      <c r="J935" s="295"/>
      <c r="K935" s="295"/>
      <c r="L935" s="451"/>
      <c r="M935" s="452"/>
      <c r="N935" s="452"/>
      <c r="O935" s="452"/>
      <c r="P935" s="452"/>
      <c r="Q935" s="453"/>
      <c r="R935" s="452"/>
      <c r="S935" s="473"/>
      <c r="T935" s="453"/>
      <c r="U935" s="452"/>
      <c r="V935" s="453"/>
      <c r="W935" s="454"/>
      <c r="X935" s="455"/>
      <c r="Y935" s="456"/>
      <c r="Z935" s="457"/>
      <c r="AA935" s="458"/>
      <c r="AB935" s="443"/>
    </row>
    <row r="936" spans="1:28" s="444" customFormat="1">
      <c r="A936" s="702"/>
      <c r="B936" s="446"/>
      <c r="C936" s="446"/>
      <c r="D936" s="449"/>
      <c r="E936" s="449"/>
      <c r="F936" s="449"/>
      <c r="G936" s="589">
        <v>46228</v>
      </c>
      <c r="H936" s="450"/>
      <c r="I936" s="450"/>
      <c r="J936" s="474"/>
      <c r="K936" s="475"/>
      <c r="L936" s="476"/>
      <c r="M936" s="477"/>
      <c r="N936" s="477"/>
      <c r="O936" s="477"/>
      <c r="P936" s="477"/>
      <c r="Q936" s="478"/>
      <c r="R936" s="477"/>
      <c r="S936" s="479"/>
      <c r="T936" s="453"/>
      <c r="U936" s="452"/>
      <c r="V936" s="453"/>
      <c r="W936" s="454"/>
      <c r="X936" s="455"/>
      <c r="Y936" s="456"/>
      <c r="Z936" s="457"/>
      <c r="AA936" s="458"/>
      <c r="AB936" s="443"/>
    </row>
    <row r="937" spans="1:28" s="444" customFormat="1">
      <c r="A937" s="703"/>
      <c r="B937" s="481"/>
      <c r="C937" s="446"/>
      <c r="D937" s="481"/>
      <c r="E937" s="449"/>
      <c r="F937" s="481"/>
      <c r="G937" s="600"/>
      <c r="H937" s="482"/>
      <c r="I937" s="483"/>
      <c r="J937" s="484"/>
      <c r="K937" s="485" t="s">
        <v>39</v>
      </c>
      <c r="L937" s="483"/>
      <c r="M937" s="483">
        <f t="shared" ref="M937:AA937" si="52">SUM(M920:M936)</f>
        <v>96</v>
      </c>
      <c r="N937" s="483">
        <f t="shared" si="52"/>
        <v>0</v>
      </c>
      <c r="O937" s="483">
        <f t="shared" si="52"/>
        <v>6</v>
      </c>
      <c r="P937" s="483">
        <f t="shared" si="52"/>
        <v>0</v>
      </c>
      <c r="Q937" s="483">
        <f t="shared" si="52"/>
        <v>0</v>
      </c>
      <c r="R937" s="483">
        <f t="shared" si="52"/>
        <v>0</v>
      </c>
      <c r="S937" s="483">
        <f t="shared" si="52"/>
        <v>0</v>
      </c>
      <c r="T937" s="483">
        <f t="shared" si="52"/>
        <v>0</v>
      </c>
      <c r="U937" s="483">
        <f t="shared" si="52"/>
        <v>0</v>
      </c>
      <c r="V937" s="483">
        <f t="shared" si="52"/>
        <v>0</v>
      </c>
      <c r="W937" s="483">
        <f t="shared" si="52"/>
        <v>0</v>
      </c>
      <c r="X937" s="483">
        <f t="shared" si="52"/>
        <v>0</v>
      </c>
      <c r="Y937" s="483">
        <f t="shared" si="52"/>
        <v>0</v>
      </c>
      <c r="Z937" s="483">
        <f t="shared" si="52"/>
        <v>0</v>
      </c>
      <c r="AA937" s="491">
        <f t="shared" si="52"/>
        <v>0</v>
      </c>
      <c r="AB937" s="443"/>
    </row>
    <row r="938" spans="1:28" s="444" customFormat="1">
      <c r="A938" s="435" t="s">
        <v>170</v>
      </c>
      <c r="B938" s="435" t="s">
        <v>120</v>
      </c>
      <c r="C938" s="435" t="s">
        <v>152</v>
      </c>
      <c r="D938" s="435" t="s">
        <v>182</v>
      </c>
      <c r="E938" s="436" t="s">
        <v>153</v>
      </c>
      <c r="F938" s="435" t="s">
        <v>182</v>
      </c>
      <c r="G938" s="601"/>
      <c r="H938" s="437"/>
      <c r="I938" s="438" t="s">
        <v>181</v>
      </c>
      <c r="J938" s="439" t="s">
        <v>154</v>
      </c>
      <c r="K938" s="439" t="s">
        <v>155</v>
      </c>
      <c r="L938" s="440" t="s">
        <v>156</v>
      </c>
      <c r="M938" s="441" t="s">
        <v>157</v>
      </c>
      <c r="N938" s="440" t="s">
        <v>158</v>
      </c>
      <c r="O938" s="440" t="s">
        <v>159</v>
      </c>
      <c r="P938" s="440" t="s">
        <v>174</v>
      </c>
      <c r="Q938" s="440" t="s">
        <v>160</v>
      </c>
      <c r="R938" s="440" t="s">
        <v>161</v>
      </c>
      <c r="S938" s="440" t="s">
        <v>162</v>
      </c>
      <c r="T938" s="438" t="s">
        <v>163</v>
      </c>
      <c r="U938" s="438" t="s">
        <v>164</v>
      </c>
      <c r="V938" s="438" t="s">
        <v>165</v>
      </c>
      <c r="W938" s="440" t="s">
        <v>113</v>
      </c>
      <c r="X938" s="438" t="s">
        <v>121</v>
      </c>
      <c r="Y938" s="438" t="s">
        <v>166</v>
      </c>
      <c r="Z938" s="442" t="s">
        <v>175</v>
      </c>
      <c r="AA938" s="442" t="s">
        <v>167</v>
      </c>
      <c r="AB938" s="443"/>
    </row>
    <row r="939" spans="1:28" s="444" customFormat="1">
      <c r="A939" s="701"/>
      <c r="B939" s="446" t="s">
        <v>187</v>
      </c>
      <c r="C939" s="446">
        <v>13646</v>
      </c>
      <c r="D939" s="448" t="s">
        <v>325</v>
      </c>
      <c r="E939" s="449" t="s">
        <v>324</v>
      </c>
      <c r="F939" s="448" t="s">
        <v>325</v>
      </c>
      <c r="G939" s="599" t="s">
        <v>401</v>
      </c>
      <c r="H939" s="450"/>
      <c r="I939" s="450" t="s">
        <v>183</v>
      </c>
      <c r="J939" s="295">
        <v>0.78125</v>
      </c>
      <c r="K939" s="295">
        <v>0.16666666666666666</v>
      </c>
      <c r="L939" s="451" t="s">
        <v>168</v>
      </c>
      <c r="M939" s="452">
        <v>8</v>
      </c>
      <c r="N939" s="452"/>
      <c r="O939" s="452">
        <v>6</v>
      </c>
      <c r="P939" s="452"/>
      <c r="Q939" s="453"/>
      <c r="R939" s="452"/>
      <c r="S939" s="452"/>
      <c r="T939" s="453"/>
      <c r="U939" s="452"/>
      <c r="V939" s="453"/>
      <c r="W939" s="454"/>
      <c r="X939" s="455"/>
      <c r="Y939" s="456"/>
      <c r="Z939" s="457"/>
      <c r="AA939" s="458"/>
      <c r="AB939" s="443"/>
    </row>
    <row r="940" spans="1:28" s="444" customFormat="1">
      <c r="A940" s="702"/>
      <c r="B940" s="446" t="s">
        <v>187</v>
      </c>
      <c r="C940" s="446">
        <v>13646</v>
      </c>
      <c r="D940" s="448" t="s">
        <v>325</v>
      </c>
      <c r="E940" s="449" t="s">
        <v>324</v>
      </c>
      <c r="F940" s="448" t="s">
        <v>325</v>
      </c>
      <c r="G940" s="589">
        <v>46214</v>
      </c>
      <c r="H940" s="450"/>
      <c r="I940" s="450"/>
      <c r="L940" s="451"/>
      <c r="M940" s="452"/>
      <c r="N940" s="452"/>
      <c r="O940" s="452"/>
      <c r="P940" s="452"/>
      <c r="Q940" s="453"/>
      <c r="R940" s="452"/>
      <c r="S940" s="452"/>
      <c r="T940" s="453"/>
      <c r="U940" s="452"/>
      <c r="V940" s="453"/>
      <c r="W940" s="454"/>
      <c r="X940" s="455"/>
      <c r="Y940" s="456"/>
      <c r="Z940" s="457"/>
      <c r="AA940" s="458"/>
      <c r="AB940" s="443"/>
    </row>
    <row r="941" spans="1:28" s="444" customFormat="1">
      <c r="A941" s="702"/>
      <c r="B941" s="446" t="s">
        <v>187</v>
      </c>
      <c r="C941" s="446">
        <v>13646</v>
      </c>
      <c r="D941" s="448" t="s">
        <v>325</v>
      </c>
      <c r="E941" s="449" t="s">
        <v>324</v>
      </c>
      <c r="F941" s="448" t="s">
        <v>325</v>
      </c>
      <c r="G941" s="590">
        <v>46215</v>
      </c>
      <c r="H941" s="450"/>
      <c r="I941" s="450" t="s">
        <v>186</v>
      </c>
      <c r="J941" s="305">
        <v>0.31319444444444444</v>
      </c>
      <c r="K941" s="305">
        <v>0.70972222222222225</v>
      </c>
      <c r="L941" s="451" t="s">
        <v>169</v>
      </c>
      <c r="M941" s="452">
        <v>8</v>
      </c>
      <c r="N941" s="452"/>
      <c r="O941" s="452"/>
      <c r="P941" s="452"/>
      <c r="Q941" s="453"/>
      <c r="R941" s="452"/>
      <c r="S941" s="452"/>
      <c r="T941" s="453"/>
      <c r="U941" s="452"/>
      <c r="V941" s="453"/>
      <c r="W941" s="454"/>
      <c r="X941" s="455"/>
      <c r="Y941" s="456"/>
      <c r="Z941" s="457"/>
      <c r="AA941" s="458"/>
      <c r="AB941" s="443"/>
    </row>
    <row r="942" spans="1:28" s="444" customFormat="1">
      <c r="A942" s="702"/>
      <c r="B942" s="446" t="s">
        <v>187</v>
      </c>
      <c r="C942" s="446">
        <v>13646</v>
      </c>
      <c r="D942" s="448" t="s">
        <v>325</v>
      </c>
      <c r="E942" s="449" t="s">
        <v>324</v>
      </c>
      <c r="F942" s="448" t="s">
        <v>325</v>
      </c>
      <c r="G942" s="589">
        <v>46216</v>
      </c>
      <c r="H942" s="450"/>
      <c r="I942" s="450" t="s">
        <v>186</v>
      </c>
      <c r="J942" s="305">
        <v>0.31597222222222221</v>
      </c>
      <c r="K942" s="305">
        <v>0.71111111111111114</v>
      </c>
      <c r="L942" s="451" t="s">
        <v>169</v>
      </c>
      <c r="M942" s="452">
        <v>8</v>
      </c>
      <c r="N942" s="452"/>
      <c r="O942" s="452"/>
      <c r="P942" s="452"/>
      <c r="Q942" s="461"/>
      <c r="R942" s="462"/>
      <c r="S942" s="462"/>
      <c r="T942" s="461"/>
      <c r="U942" s="462"/>
      <c r="V942" s="461"/>
      <c r="W942" s="463"/>
      <c r="X942" s="464"/>
      <c r="Y942" s="465"/>
      <c r="Z942" s="466"/>
      <c r="AA942" s="467"/>
      <c r="AB942" s="443"/>
    </row>
    <row r="943" spans="1:28" s="444" customFormat="1">
      <c r="A943" s="702"/>
      <c r="B943" s="446" t="s">
        <v>187</v>
      </c>
      <c r="C943" s="446">
        <v>13646</v>
      </c>
      <c r="D943" s="448" t="s">
        <v>325</v>
      </c>
      <c r="E943" s="449" t="s">
        <v>324</v>
      </c>
      <c r="F943" s="448" t="s">
        <v>325</v>
      </c>
      <c r="G943" s="589">
        <v>46217</v>
      </c>
      <c r="H943" s="450"/>
      <c r="I943" s="450" t="s">
        <v>186</v>
      </c>
      <c r="J943" s="305">
        <v>0.31597222222222221</v>
      </c>
      <c r="K943" s="305">
        <v>0.7104166666666667</v>
      </c>
      <c r="L943" s="451" t="s">
        <v>169</v>
      </c>
      <c r="M943" s="452">
        <v>8</v>
      </c>
      <c r="N943" s="452"/>
      <c r="O943" s="452"/>
      <c r="P943" s="452"/>
      <c r="Q943" s="453"/>
      <c r="R943" s="452"/>
      <c r="S943" s="452"/>
      <c r="T943" s="453"/>
      <c r="U943" s="452"/>
      <c r="V943" s="453"/>
      <c r="W943" s="454"/>
      <c r="X943" s="455"/>
      <c r="Y943" s="456"/>
      <c r="Z943" s="457"/>
      <c r="AA943" s="458"/>
      <c r="AB943" s="443"/>
    </row>
    <row r="944" spans="1:28" s="444" customFormat="1">
      <c r="A944" s="702"/>
      <c r="B944" s="446" t="s">
        <v>187</v>
      </c>
      <c r="C944" s="446">
        <v>13646</v>
      </c>
      <c r="D944" s="448" t="s">
        <v>325</v>
      </c>
      <c r="E944" s="449" t="s">
        <v>324</v>
      </c>
      <c r="F944" s="448" t="s">
        <v>325</v>
      </c>
      <c r="G944" s="589">
        <v>46218</v>
      </c>
      <c r="H944" s="450"/>
      <c r="I944" s="450" t="s">
        <v>186</v>
      </c>
      <c r="J944" s="305">
        <v>0.31041666666666667</v>
      </c>
      <c r="K944" s="305">
        <v>0.7104166666666667</v>
      </c>
      <c r="L944" s="451" t="s">
        <v>169</v>
      </c>
      <c r="M944" s="452">
        <v>8</v>
      </c>
      <c r="N944" s="452"/>
      <c r="O944" s="452"/>
      <c r="P944" s="452"/>
      <c r="Q944" s="453"/>
      <c r="R944" s="452"/>
      <c r="S944" s="452"/>
      <c r="T944" s="453"/>
      <c r="U944" s="452"/>
      <c r="V944" s="453"/>
      <c r="W944" s="454"/>
      <c r="X944" s="455"/>
      <c r="Y944" s="456"/>
      <c r="Z944" s="457"/>
      <c r="AA944" s="458"/>
      <c r="AB944" s="443"/>
    </row>
    <row r="945" spans="1:28" s="444" customFormat="1">
      <c r="A945" s="702"/>
      <c r="B945" s="446" t="s">
        <v>187</v>
      </c>
      <c r="C945" s="446">
        <v>13646</v>
      </c>
      <c r="D945" s="448" t="s">
        <v>325</v>
      </c>
      <c r="E945" s="449" t="s">
        <v>324</v>
      </c>
      <c r="F945" s="448" t="s">
        <v>325</v>
      </c>
      <c r="G945" s="589">
        <v>46219</v>
      </c>
      <c r="H945" s="450"/>
      <c r="I945" s="450" t="s">
        <v>186</v>
      </c>
      <c r="J945" s="305">
        <v>0.30972222222222223</v>
      </c>
      <c r="K945" s="305">
        <v>0.7104166666666667</v>
      </c>
      <c r="L945" s="451" t="s">
        <v>169</v>
      </c>
      <c r="M945" s="452">
        <v>8</v>
      </c>
      <c r="N945" s="452"/>
      <c r="O945" s="452"/>
      <c r="P945" s="452"/>
      <c r="Q945" s="453"/>
      <c r="R945" s="452"/>
      <c r="S945" s="452"/>
      <c r="T945" s="453"/>
      <c r="U945" s="452"/>
      <c r="V945" s="453"/>
      <c r="W945" s="454"/>
      <c r="X945" s="455"/>
      <c r="Y945" s="456"/>
      <c r="Z945" s="457"/>
      <c r="AA945" s="458"/>
      <c r="AB945" s="443"/>
    </row>
    <row r="946" spans="1:28" s="444" customFormat="1">
      <c r="A946" s="702"/>
      <c r="B946" s="446" t="s">
        <v>187</v>
      </c>
      <c r="C946" s="446">
        <v>13646</v>
      </c>
      <c r="D946" s="448" t="s">
        <v>325</v>
      </c>
      <c r="E946" s="449" t="s">
        <v>324</v>
      </c>
      <c r="F946" s="448" t="s">
        <v>325</v>
      </c>
      <c r="G946" s="589">
        <v>46220</v>
      </c>
      <c r="H946" s="450"/>
      <c r="I946" s="450" t="s">
        <v>186</v>
      </c>
      <c r="J946" s="305">
        <v>0.31041666666666667</v>
      </c>
      <c r="K946" s="487">
        <v>0.5</v>
      </c>
      <c r="L946" s="451" t="s">
        <v>169</v>
      </c>
      <c r="M946" s="452">
        <v>4</v>
      </c>
      <c r="N946" s="452"/>
      <c r="O946" s="452"/>
      <c r="P946" s="452"/>
      <c r="Q946" s="453"/>
      <c r="R946" s="452"/>
      <c r="S946" s="452"/>
      <c r="T946" s="453"/>
      <c r="U946" s="452"/>
      <c r="V946" s="453"/>
      <c r="W946" s="454"/>
      <c r="X946" s="455"/>
      <c r="Y946" s="456"/>
      <c r="Z946" s="457"/>
      <c r="AA946" s="458"/>
      <c r="AB946" s="443"/>
    </row>
    <row r="947" spans="1:28" s="444" customFormat="1">
      <c r="A947" s="702"/>
      <c r="B947" s="446" t="s">
        <v>187</v>
      </c>
      <c r="C947" s="446">
        <v>13646</v>
      </c>
      <c r="D947" s="448" t="s">
        <v>325</v>
      </c>
      <c r="E947" s="449" t="s">
        <v>324</v>
      </c>
      <c r="F947" s="448" t="s">
        <v>325</v>
      </c>
      <c r="G947" s="589">
        <v>46221</v>
      </c>
      <c r="H947" s="450"/>
      <c r="I947" s="450"/>
      <c r="J947" s="699" t="s">
        <v>173</v>
      </c>
      <c r="K947" s="700"/>
      <c r="L947" s="451"/>
      <c r="M947" s="452"/>
      <c r="N947" s="452"/>
      <c r="O947" s="452"/>
      <c r="P947" s="452"/>
      <c r="Q947" s="453"/>
      <c r="R947" s="452"/>
      <c r="S947" s="452"/>
      <c r="T947" s="453"/>
      <c r="U947" s="452"/>
      <c r="V947" s="453"/>
      <c r="W947" s="454"/>
      <c r="X947" s="455"/>
      <c r="Y947" s="456"/>
      <c r="Z947" s="457"/>
      <c r="AA947" s="458"/>
      <c r="AB947" s="443"/>
    </row>
    <row r="948" spans="1:28" s="444" customFormat="1">
      <c r="A948" s="702"/>
      <c r="B948" s="446" t="s">
        <v>187</v>
      </c>
      <c r="C948" s="446">
        <v>13646</v>
      </c>
      <c r="D948" s="448" t="s">
        <v>325</v>
      </c>
      <c r="E948" s="449" t="s">
        <v>324</v>
      </c>
      <c r="F948" s="448" t="s">
        <v>325</v>
      </c>
      <c r="G948" s="590">
        <v>46222</v>
      </c>
      <c r="H948" s="450"/>
      <c r="I948" s="450" t="s">
        <v>186</v>
      </c>
      <c r="J948" s="295">
        <v>0.3125</v>
      </c>
      <c r="K948" s="295">
        <v>0.70972222222222225</v>
      </c>
      <c r="L948" s="451" t="s">
        <v>169</v>
      </c>
      <c r="M948" s="452">
        <v>8</v>
      </c>
      <c r="N948" s="462"/>
      <c r="O948" s="462"/>
      <c r="P948" s="462"/>
      <c r="Q948" s="461"/>
      <c r="R948" s="462"/>
      <c r="S948" s="462"/>
      <c r="T948" s="461"/>
      <c r="U948" s="462"/>
      <c r="V948" s="461"/>
      <c r="W948" s="454"/>
      <c r="X948" s="455"/>
      <c r="Y948" s="456"/>
      <c r="Z948" s="457"/>
      <c r="AA948" s="458"/>
      <c r="AB948" s="443"/>
    </row>
    <row r="949" spans="1:28" s="444" customFormat="1">
      <c r="A949" s="702"/>
      <c r="B949" s="446" t="s">
        <v>187</v>
      </c>
      <c r="C949" s="446">
        <v>13646</v>
      </c>
      <c r="D949" s="448" t="s">
        <v>325</v>
      </c>
      <c r="E949" s="449" t="s">
        <v>324</v>
      </c>
      <c r="F949" s="448" t="s">
        <v>325</v>
      </c>
      <c r="G949" s="589">
        <v>46223</v>
      </c>
      <c r="H949" s="450"/>
      <c r="I949" s="450" t="s">
        <v>186</v>
      </c>
      <c r="J949" s="295">
        <v>0.31527777777777777</v>
      </c>
      <c r="K949" s="295">
        <v>0.7104166666666667</v>
      </c>
      <c r="L949" s="451" t="s">
        <v>169</v>
      </c>
      <c r="M949" s="452">
        <v>8</v>
      </c>
      <c r="N949" s="477"/>
      <c r="O949" s="477"/>
      <c r="P949" s="477"/>
      <c r="Q949" s="468"/>
      <c r="R949" s="469"/>
      <c r="S949" s="469"/>
      <c r="T949" s="461"/>
      <c r="U949" s="462"/>
      <c r="V949" s="461"/>
      <c r="W949" s="463"/>
      <c r="X949" s="464"/>
      <c r="Y949" s="465"/>
      <c r="Z949" s="466"/>
      <c r="AA949" s="467"/>
      <c r="AB949" s="443"/>
    </row>
    <row r="950" spans="1:28" s="444" customFormat="1">
      <c r="A950" s="702"/>
      <c r="B950" s="446" t="s">
        <v>187</v>
      </c>
      <c r="C950" s="446">
        <v>13646</v>
      </c>
      <c r="D950" s="448" t="s">
        <v>325</v>
      </c>
      <c r="E950" s="449" t="s">
        <v>324</v>
      </c>
      <c r="F950" s="448" t="s">
        <v>325</v>
      </c>
      <c r="G950" s="589">
        <v>46224</v>
      </c>
      <c r="H950" s="450"/>
      <c r="I950" s="450" t="s">
        <v>186</v>
      </c>
      <c r="J950" s="295">
        <v>0.31111111111111112</v>
      </c>
      <c r="K950" s="295">
        <v>0.70833333333333337</v>
      </c>
      <c r="L950" s="451" t="s">
        <v>169</v>
      </c>
      <c r="M950" s="452">
        <v>8</v>
      </c>
      <c r="N950" s="471"/>
      <c r="O950" s="452"/>
      <c r="P950" s="452"/>
      <c r="Q950" s="453"/>
      <c r="R950" s="452"/>
      <c r="S950" s="452"/>
      <c r="T950" s="453"/>
      <c r="U950" s="452"/>
      <c r="V950" s="453"/>
      <c r="W950" s="454"/>
      <c r="X950" s="455"/>
      <c r="Y950" s="456"/>
      <c r="Z950" s="457"/>
      <c r="AA950" s="458"/>
      <c r="AB950" s="443"/>
    </row>
    <row r="951" spans="1:28" s="444" customFormat="1">
      <c r="A951" s="702"/>
      <c r="B951" s="446" t="s">
        <v>187</v>
      </c>
      <c r="C951" s="446">
        <v>13646</v>
      </c>
      <c r="D951" s="448" t="s">
        <v>325</v>
      </c>
      <c r="E951" s="449" t="s">
        <v>324</v>
      </c>
      <c r="F951" s="448" t="s">
        <v>325</v>
      </c>
      <c r="G951" s="589">
        <v>46225</v>
      </c>
      <c r="H951" s="450"/>
      <c r="I951" s="450" t="s">
        <v>186</v>
      </c>
      <c r="J951" s="295">
        <v>0.31111111111111112</v>
      </c>
      <c r="K951" s="295">
        <v>0.7104166666666667</v>
      </c>
      <c r="L951" s="451" t="s">
        <v>169</v>
      </c>
      <c r="M951" s="452">
        <v>8</v>
      </c>
      <c r="N951" s="471"/>
      <c r="O951" s="470"/>
      <c r="P951" s="470"/>
      <c r="Q951" s="453"/>
      <c r="R951" s="452"/>
      <c r="S951" s="452"/>
      <c r="T951" s="453"/>
      <c r="U951" s="452"/>
      <c r="V951" s="453"/>
      <c r="W951" s="454"/>
      <c r="X951" s="455"/>
      <c r="Y951" s="456"/>
      <c r="Z951" s="457"/>
      <c r="AA951" s="458"/>
      <c r="AB951" s="443"/>
    </row>
    <row r="952" spans="1:28" s="444" customFormat="1">
      <c r="A952" s="702"/>
      <c r="B952" s="446" t="s">
        <v>187</v>
      </c>
      <c r="C952" s="446">
        <v>13646</v>
      </c>
      <c r="D952" s="448" t="s">
        <v>325</v>
      </c>
      <c r="E952" s="449" t="s">
        <v>324</v>
      </c>
      <c r="F952" s="448" t="s">
        <v>325</v>
      </c>
      <c r="G952" s="589">
        <v>46226</v>
      </c>
      <c r="H952" s="450"/>
      <c r="I952" s="450" t="s">
        <v>186</v>
      </c>
      <c r="J952" s="295">
        <v>0.31180555555555556</v>
      </c>
      <c r="K952" s="318">
        <v>0.7104166666666667</v>
      </c>
      <c r="L952" s="451" t="s">
        <v>169</v>
      </c>
      <c r="M952" s="452">
        <v>8</v>
      </c>
      <c r="N952" s="471"/>
      <c r="O952" s="471"/>
      <c r="P952" s="471"/>
      <c r="Q952" s="472"/>
      <c r="R952" s="471"/>
      <c r="S952" s="471"/>
      <c r="T952" s="453"/>
      <c r="U952" s="452"/>
      <c r="V952" s="453"/>
      <c r="W952" s="454"/>
      <c r="X952" s="455"/>
      <c r="Y952" s="456"/>
      <c r="Z952" s="457"/>
      <c r="AA952" s="458"/>
      <c r="AB952" s="443"/>
    </row>
    <row r="953" spans="1:28" s="444" customFormat="1">
      <c r="A953" s="702"/>
      <c r="B953" s="446" t="s">
        <v>187</v>
      </c>
      <c r="C953" s="446">
        <v>13646</v>
      </c>
      <c r="D953" s="448" t="s">
        <v>325</v>
      </c>
      <c r="E953" s="449" t="s">
        <v>324</v>
      </c>
      <c r="F953" s="448" t="s">
        <v>325</v>
      </c>
      <c r="G953" s="589">
        <v>46227</v>
      </c>
      <c r="H953" s="450"/>
      <c r="I953" s="450" t="s">
        <v>186</v>
      </c>
      <c r="J953" s="295"/>
      <c r="K953" s="295"/>
      <c r="L953" s="451"/>
      <c r="M953" s="452"/>
      <c r="N953" s="452"/>
      <c r="O953" s="452"/>
      <c r="P953" s="452"/>
      <c r="Q953" s="453"/>
      <c r="R953" s="452"/>
      <c r="S953" s="473"/>
      <c r="T953" s="453"/>
      <c r="U953" s="452"/>
      <c r="V953" s="453"/>
      <c r="W953" s="454"/>
      <c r="X953" s="455"/>
      <c r="Y953" s="456"/>
      <c r="Z953" s="457"/>
      <c r="AA953" s="458"/>
      <c r="AB953" s="443"/>
    </row>
    <row r="954" spans="1:28" s="444" customFormat="1">
      <c r="A954" s="702"/>
      <c r="B954" s="446"/>
      <c r="C954" s="446"/>
      <c r="D954" s="449"/>
      <c r="E954" s="449"/>
      <c r="F954" s="449"/>
      <c r="G954" s="589">
        <v>46228</v>
      </c>
      <c r="H954" s="450"/>
      <c r="I954" s="450"/>
      <c r="J954" s="474"/>
      <c r="K954" s="475"/>
      <c r="L954" s="476"/>
      <c r="M954" s="477"/>
      <c r="N954" s="477"/>
      <c r="O954" s="477"/>
      <c r="P954" s="477"/>
      <c r="Q954" s="478"/>
      <c r="R954" s="477"/>
      <c r="S954" s="479"/>
      <c r="T954" s="453"/>
      <c r="U954" s="452"/>
      <c r="V954" s="453"/>
      <c r="W954" s="454"/>
      <c r="X954" s="455"/>
      <c r="Y954" s="456"/>
      <c r="Z954" s="457"/>
      <c r="AA954" s="458"/>
      <c r="AB954" s="443"/>
    </row>
    <row r="955" spans="1:28" s="444" customFormat="1">
      <c r="A955" s="702"/>
      <c r="B955" s="494"/>
      <c r="C955" s="494"/>
      <c r="D955" s="494"/>
      <c r="E955" s="494"/>
      <c r="F955" s="494"/>
      <c r="G955" s="600"/>
      <c r="H955" s="494"/>
      <c r="I955" s="494"/>
      <c r="J955" s="507"/>
      <c r="K955" s="475"/>
      <c r="L955" s="476"/>
      <c r="M955" s="477"/>
      <c r="N955" s="477"/>
      <c r="O955" s="477"/>
      <c r="P955" s="477"/>
      <c r="Q955" s="478"/>
      <c r="R955" s="477"/>
      <c r="S955" s="479"/>
      <c r="T955" s="453"/>
      <c r="U955" s="452"/>
      <c r="V955" s="453"/>
      <c r="W955" s="454"/>
      <c r="X955" s="455"/>
      <c r="Y955" s="455"/>
      <c r="Z955" s="508"/>
      <c r="AA955" s="458"/>
      <c r="AB955" s="443"/>
    </row>
    <row r="956" spans="1:28" s="444" customFormat="1">
      <c r="A956" s="703"/>
      <c r="B956" s="481"/>
      <c r="C956" s="446"/>
      <c r="D956" s="481"/>
      <c r="E956" s="449"/>
      <c r="F956" s="481"/>
      <c r="G956" s="601"/>
      <c r="H956" s="482"/>
      <c r="I956" s="483"/>
      <c r="J956" s="484"/>
      <c r="K956" s="485"/>
      <c r="L956" s="483"/>
      <c r="M956" s="483">
        <f t="shared" ref="M956:AA956" si="53">SUM(M938:M955)</f>
        <v>92</v>
      </c>
      <c r="N956" s="483">
        <f t="shared" si="53"/>
        <v>0</v>
      </c>
      <c r="O956" s="483">
        <f t="shared" si="53"/>
        <v>6</v>
      </c>
      <c r="P956" s="483">
        <f t="shared" si="53"/>
        <v>0</v>
      </c>
      <c r="Q956" s="483">
        <f t="shared" si="53"/>
        <v>0</v>
      </c>
      <c r="R956" s="483">
        <f t="shared" si="53"/>
        <v>0</v>
      </c>
      <c r="S956" s="483">
        <f t="shared" si="53"/>
        <v>0</v>
      </c>
      <c r="T956" s="483">
        <f t="shared" si="53"/>
        <v>0</v>
      </c>
      <c r="U956" s="483">
        <f t="shared" si="53"/>
        <v>0</v>
      </c>
      <c r="V956" s="483">
        <f t="shared" si="53"/>
        <v>0</v>
      </c>
      <c r="W956" s="483">
        <f t="shared" si="53"/>
        <v>0</v>
      </c>
      <c r="X956" s="483">
        <f t="shared" si="53"/>
        <v>0</v>
      </c>
      <c r="Y956" s="483">
        <f t="shared" si="53"/>
        <v>0</v>
      </c>
      <c r="Z956" s="483">
        <f t="shared" si="53"/>
        <v>0</v>
      </c>
      <c r="AA956" s="483">
        <f t="shared" si="53"/>
        <v>0</v>
      </c>
      <c r="AB956" s="443"/>
    </row>
    <row r="957" spans="1:28" s="444" customFormat="1">
      <c r="A957" s="435" t="s">
        <v>170</v>
      </c>
      <c r="B957" s="435" t="s">
        <v>120</v>
      </c>
      <c r="C957" s="435" t="s">
        <v>152</v>
      </c>
      <c r="D957" s="435" t="s">
        <v>182</v>
      </c>
      <c r="E957" s="436" t="s">
        <v>153</v>
      </c>
      <c r="F957" s="435" t="s">
        <v>182</v>
      </c>
      <c r="G957" s="599" t="s">
        <v>401</v>
      </c>
      <c r="H957" s="437"/>
      <c r="I957" s="438" t="s">
        <v>181</v>
      </c>
      <c r="J957" s="439" t="s">
        <v>154</v>
      </c>
      <c r="K957" s="439" t="s">
        <v>155</v>
      </c>
      <c r="L957" s="440" t="s">
        <v>156</v>
      </c>
      <c r="M957" s="441" t="s">
        <v>157</v>
      </c>
      <c r="N957" s="440" t="s">
        <v>158</v>
      </c>
      <c r="O957" s="440" t="s">
        <v>159</v>
      </c>
      <c r="P957" s="440" t="s">
        <v>174</v>
      </c>
      <c r="Q957" s="440" t="s">
        <v>160</v>
      </c>
      <c r="R957" s="440" t="s">
        <v>161</v>
      </c>
      <c r="S957" s="440" t="s">
        <v>162</v>
      </c>
      <c r="T957" s="438" t="s">
        <v>163</v>
      </c>
      <c r="U957" s="438" t="s">
        <v>164</v>
      </c>
      <c r="V957" s="438" t="s">
        <v>165</v>
      </c>
      <c r="W957" s="440" t="s">
        <v>113</v>
      </c>
      <c r="X957" s="438" t="s">
        <v>121</v>
      </c>
      <c r="Y957" s="438" t="s">
        <v>166</v>
      </c>
      <c r="Z957" s="442" t="s">
        <v>175</v>
      </c>
      <c r="AA957" s="442" t="s">
        <v>167</v>
      </c>
      <c r="AB957" s="443"/>
    </row>
    <row r="958" spans="1:28" s="444" customFormat="1">
      <c r="A958" s="701"/>
      <c r="B958" s="446" t="s">
        <v>187</v>
      </c>
      <c r="C958" s="447">
        <v>14233</v>
      </c>
      <c r="D958" s="448" t="s">
        <v>323</v>
      </c>
      <c r="E958" s="449" t="s">
        <v>322</v>
      </c>
      <c r="F958" s="448" t="s">
        <v>323</v>
      </c>
      <c r="G958" s="589">
        <v>46214</v>
      </c>
      <c r="H958" s="450"/>
      <c r="I958" s="450" t="s">
        <v>183</v>
      </c>
      <c r="J958" s="295">
        <v>0.77847222222222223</v>
      </c>
      <c r="K958" s="295">
        <v>0.16875000000000001</v>
      </c>
      <c r="L958" s="451" t="s">
        <v>168</v>
      </c>
      <c r="M958" s="452">
        <v>8</v>
      </c>
      <c r="N958" s="452"/>
      <c r="O958" s="452">
        <v>6</v>
      </c>
      <c r="P958" s="452"/>
      <c r="Q958" s="453"/>
      <c r="R958" s="452"/>
      <c r="S958" s="452"/>
      <c r="T958" s="453"/>
      <c r="U958" s="452"/>
      <c r="V958" s="453"/>
      <c r="W958" s="454"/>
      <c r="X958" s="455"/>
      <c r="Y958" s="456"/>
      <c r="Z958" s="457"/>
      <c r="AA958" s="458"/>
      <c r="AB958" s="443"/>
    </row>
    <row r="959" spans="1:28" s="444" customFormat="1">
      <c r="A959" s="702"/>
      <c r="B959" s="446" t="s">
        <v>187</v>
      </c>
      <c r="C959" s="447">
        <v>14233</v>
      </c>
      <c r="D959" s="448" t="s">
        <v>323</v>
      </c>
      <c r="E959" s="449" t="s">
        <v>322</v>
      </c>
      <c r="F959" s="448" t="s">
        <v>323</v>
      </c>
      <c r="G959" s="590">
        <v>46215</v>
      </c>
      <c r="H959" s="450"/>
      <c r="I959" s="450"/>
      <c r="J959" s="699" t="s">
        <v>173</v>
      </c>
      <c r="K959" s="700"/>
      <c r="L959" s="451"/>
      <c r="M959" s="452"/>
      <c r="N959" s="452"/>
      <c r="O959" s="452"/>
      <c r="P959" s="452"/>
      <c r="Q959" s="453"/>
      <c r="R959" s="452"/>
      <c r="S959" s="452"/>
      <c r="T959" s="453"/>
      <c r="U959" s="452"/>
      <c r="V959" s="453"/>
      <c r="W959" s="454"/>
      <c r="X959" s="455"/>
      <c r="Y959" s="456"/>
      <c r="Z959" s="457"/>
      <c r="AA959" s="458"/>
      <c r="AB959" s="443"/>
    </row>
    <row r="960" spans="1:28" s="444" customFormat="1">
      <c r="A960" s="702"/>
      <c r="B960" s="446" t="s">
        <v>187</v>
      </c>
      <c r="C960" s="447">
        <v>14233</v>
      </c>
      <c r="D960" s="448" t="s">
        <v>323</v>
      </c>
      <c r="E960" s="449" t="s">
        <v>322</v>
      </c>
      <c r="F960" s="448" t="s">
        <v>323</v>
      </c>
      <c r="G960" s="589">
        <v>46216</v>
      </c>
      <c r="H960" s="450"/>
      <c r="I960" s="450" t="s">
        <v>186</v>
      </c>
      <c r="J960" s="305">
        <v>0.31666666666666665</v>
      </c>
      <c r="K960" s="305">
        <v>0.71250000000000002</v>
      </c>
      <c r="L960" s="451" t="s">
        <v>169</v>
      </c>
      <c r="M960" s="452">
        <v>8</v>
      </c>
      <c r="N960" s="452"/>
      <c r="O960" s="452"/>
      <c r="P960" s="452"/>
      <c r="Q960" s="453"/>
      <c r="R960" s="452"/>
      <c r="S960" s="452"/>
      <c r="T960" s="453"/>
      <c r="U960" s="452"/>
      <c r="V960" s="453"/>
      <c r="W960" s="454"/>
      <c r="X960" s="455"/>
      <c r="Y960" s="456"/>
      <c r="Z960" s="457"/>
      <c r="AA960" s="458"/>
      <c r="AB960" s="443"/>
    </row>
    <row r="961" spans="1:28" s="444" customFormat="1">
      <c r="A961" s="702"/>
      <c r="B961" s="446" t="s">
        <v>187</v>
      </c>
      <c r="C961" s="447">
        <v>14233</v>
      </c>
      <c r="D961" s="448" t="s">
        <v>323</v>
      </c>
      <c r="E961" s="449" t="s">
        <v>322</v>
      </c>
      <c r="F961" s="448" t="s">
        <v>323</v>
      </c>
      <c r="G961" s="589">
        <v>46217</v>
      </c>
      <c r="H961" s="450"/>
      <c r="I961" s="450" t="s">
        <v>186</v>
      </c>
      <c r="J961" s="305">
        <v>0.31944444444444442</v>
      </c>
      <c r="K961" s="305">
        <v>0.71388888888888891</v>
      </c>
      <c r="L961" s="451" t="s">
        <v>169</v>
      </c>
      <c r="M961" s="452">
        <v>8</v>
      </c>
      <c r="N961" s="452"/>
      <c r="O961" s="452"/>
      <c r="P961" s="452"/>
      <c r="Q961" s="461"/>
      <c r="R961" s="462"/>
      <c r="S961" s="462"/>
      <c r="T961" s="461"/>
      <c r="U961" s="462"/>
      <c r="V961" s="461"/>
      <c r="W961" s="463"/>
      <c r="X961" s="464"/>
      <c r="Y961" s="465"/>
      <c r="Z961" s="466"/>
      <c r="AA961" s="467"/>
      <c r="AB961" s="443"/>
    </row>
    <row r="962" spans="1:28" s="444" customFormat="1">
      <c r="A962" s="702"/>
      <c r="B962" s="446" t="s">
        <v>187</v>
      </c>
      <c r="C962" s="447">
        <v>14233</v>
      </c>
      <c r="D962" s="448" t="s">
        <v>323</v>
      </c>
      <c r="E962" s="449" t="s">
        <v>322</v>
      </c>
      <c r="F962" s="448" t="s">
        <v>323</v>
      </c>
      <c r="G962" s="589">
        <v>46218</v>
      </c>
      <c r="H962" s="450"/>
      <c r="I962" s="450" t="s">
        <v>186</v>
      </c>
      <c r="J962" s="305">
        <v>0.31805555555555554</v>
      </c>
      <c r="K962" s="305">
        <v>0.71319444444444446</v>
      </c>
      <c r="L962" s="451" t="s">
        <v>169</v>
      </c>
      <c r="M962" s="452">
        <v>8</v>
      </c>
      <c r="N962" s="452"/>
      <c r="O962" s="452"/>
      <c r="P962" s="452"/>
      <c r="Q962" s="453"/>
      <c r="R962" s="452"/>
      <c r="S962" s="452"/>
      <c r="T962" s="453"/>
      <c r="U962" s="452"/>
      <c r="V962" s="453"/>
      <c r="W962" s="454"/>
      <c r="X962" s="455"/>
      <c r="Y962" s="456"/>
      <c r="Z962" s="457"/>
      <c r="AA962" s="458"/>
      <c r="AB962" s="443"/>
    </row>
    <row r="963" spans="1:28" s="444" customFormat="1">
      <c r="A963" s="702"/>
      <c r="B963" s="446" t="s">
        <v>187</v>
      </c>
      <c r="C963" s="447">
        <v>14233</v>
      </c>
      <c r="D963" s="448" t="s">
        <v>323</v>
      </c>
      <c r="E963" s="449" t="s">
        <v>322</v>
      </c>
      <c r="F963" s="448" t="s">
        <v>323</v>
      </c>
      <c r="G963" s="589">
        <v>46219</v>
      </c>
      <c r="H963" s="450"/>
      <c r="I963" s="450" t="s">
        <v>186</v>
      </c>
      <c r="J963" s="305">
        <v>0.32083333333333336</v>
      </c>
      <c r="K963" s="305">
        <v>0.71458333333333324</v>
      </c>
      <c r="L963" s="451" t="s">
        <v>169</v>
      </c>
      <c r="M963" s="452">
        <v>8</v>
      </c>
      <c r="N963" s="452"/>
      <c r="O963" s="452"/>
      <c r="P963" s="452"/>
      <c r="Q963" s="453"/>
      <c r="R963" s="452"/>
      <c r="S963" s="452"/>
      <c r="T963" s="453"/>
      <c r="U963" s="452"/>
      <c r="V963" s="453"/>
      <c r="W963" s="454"/>
      <c r="X963" s="455"/>
      <c r="Y963" s="456"/>
      <c r="Z963" s="457"/>
      <c r="AA963" s="458"/>
      <c r="AB963" s="443"/>
    </row>
    <row r="964" spans="1:28" s="444" customFormat="1">
      <c r="A964" s="702"/>
      <c r="B964" s="446" t="s">
        <v>187</v>
      </c>
      <c r="C964" s="447">
        <v>14233</v>
      </c>
      <c r="D964" s="448" t="s">
        <v>323</v>
      </c>
      <c r="E964" s="449" t="s">
        <v>322</v>
      </c>
      <c r="F964" s="448" t="s">
        <v>323</v>
      </c>
      <c r="G964" s="589">
        <v>46220</v>
      </c>
      <c r="H964" s="450"/>
      <c r="I964" s="450" t="s">
        <v>186</v>
      </c>
      <c r="J964" s="305">
        <v>0.31180555555555556</v>
      </c>
      <c r="K964" s="305">
        <v>0.71388888888888891</v>
      </c>
      <c r="L964" s="451" t="s">
        <v>169</v>
      </c>
      <c r="M964" s="452">
        <v>8</v>
      </c>
      <c r="N964" s="452"/>
      <c r="O964" s="452"/>
      <c r="P964" s="452"/>
      <c r="Q964" s="453"/>
      <c r="R964" s="452"/>
      <c r="S964" s="452"/>
      <c r="T964" s="453"/>
      <c r="U964" s="452"/>
      <c r="V964" s="453"/>
      <c r="W964" s="454"/>
      <c r="X964" s="455"/>
      <c r="Y964" s="456"/>
      <c r="Z964" s="457"/>
      <c r="AA964" s="458"/>
      <c r="AB964" s="443"/>
    </row>
    <row r="965" spans="1:28" s="444" customFormat="1">
      <c r="A965" s="702"/>
      <c r="B965" s="446" t="s">
        <v>187</v>
      </c>
      <c r="C965" s="447">
        <v>14233</v>
      </c>
      <c r="D965" s="448" t="s">
        <v>323</v>
      </c>
      <c r="E965" s="449" t="s">
        <v>322</v>
      </c>
      <c r="F965" s="448" t="s">
        <v>323</v>
      </c>
      <c r="G965" s="589">
        <v>46221</v>
      </c>
      <c r="H965" s="450"/>
      <c r="I965" s="450" t="s">
        <v>186</v>
      </c>
      <c r="J965" s="305">
        <v>0.30902777777777779</v>
      </c>
      <c r="K965" s="305">
        <v>0.71319444444444446</v>
      </c>
      <c r="L965" s="451" t="s">
        <v>169</v>
      </c>
      <c r="M965" s="452">
        <v>8</v>
      </c>
      <c r="N965" s="452"/>
      <c r="O965" s="452"/>
      <c r="P965" s="452"/>
      <c r="Q965" s="453"/>
      <c r="R965" s="452"/>
      <c r="S965" s="452"/>
      <c r="T965" s="453"/>
      <c r="U965" s="452"/>
      <c r="V965" s="453"/>
      <c r="W965" s="454"/>
      <c r="X965" s="455"/>
      <c r="Y965" s="456"/>
      <c r="Z965" s="457"/>
      <c r="AA965" s="458"/>
      <c r="AB965" s="443"/>
    </row>
    <row r="966" spans="1:28" s="444" customFormat="1">
      <c r="A966" s="702"/>
      <c r="B966" s="446" t="s">
        <v>187</v>
      </c>
      <c r="C966" s="447">
        <v>14233</v>
      </c>
      <c r="D966" s="448" t="s">
        <v>323</v>
      </c>
      <c r="E966" s="449" t="s">
        <v>322</v>
      </c>
      <c r="F966" s="448" t="s">
        <v>323</v>
      </c>
      <c r="G966" s="590">
        <v>46222</v>
      </c>
      <c r="H966" s="450"/>
      <c r="I966" s="450"/>
      <c r="J966" s="699" t="s">
        <v>173</v>
      </c>
      <c r="K966" s="700"/>
      <c r="L966" s="451"/>
      <c r="M966" s="452"/>
      <c r="N966" s="452"/>
      <c r="O966" s="452"/>
      <c r="P966" s="452"/>
      <c r="Q966" s="453"/>
      <c r="R966" s="452"/>
      <c r="S966" s="452"/>
      <c r="T966" s="453"/>
      <c r="U966" s="452"/>
      <c r="V966" s="453"/>
      <c r="W966" s="454"/>
      <c r="X966" s="455"/>
      <c r="Y966" s="456"/>
      <c r="Z966" s="457"/>
      <c r="AA966" s="458"/>
      <c r="AB966" s="443"/>
    </row>
    <row r="967" spans="1:28" s="444" customFormat="1">
      <c r="A967" s="702"/>
      <c r="B967" s="446" t="s">
        <v>187</v>
      </c>
      <c r="C967" s="447">
        <v>14233</v>
      </c>
      <c r="D967" s="448" t="s">
        <v>323</v>
      </c>
      <c r="E967" s="449" t="s">
        <v>322</v>
      </c>
      <c r="F967" s="448" t="s">
        <v>323</v>
      </c>
      <c r="G967" s="589">
        <v>46223</v>
      </c>
      <c r="H967" s="450"/>
      <c r="I967" s="450" t="s">
        <v>186</v>
      </c>
      <c r="J967" s="295">
        <v>0.31041666666666667</v>
      </c>
      <c r="K967" s="295">
        <v>0.71250000000000002</v>
      </c>
      <c r="L967" s="451" t="s">
        <v>169</v>
      </c>
      <c r="M967" s="452">
        <v>8</v>
      </c>
      <c r="N967" s="462"/>
      <c r="O967" s="462"/>
      <c r="P967" s="462"/>
      <c r="Q967" s="461"/>
      <c r="R967" s="462"/>
      <c r="S967" s="462"/>
      <c r="T967" s="461"/>
      <c r="U967" s="462"/>
      <c r="V967" s="461"/>
      <c r="W967" s="454"/>
      <c r="X967" s="455"/>
      <c r="Y967" s="456"/>
      <c r="Z967" s="457"/>
      <c r="AA967" s="458"/>
      <c r="AB967" s="443"/>
    </row>
    <row r="968" spans="1:28" s="444" customFormat="1">
      <c r="A968" s="702"/>
      <c r="B968" s="446" t="s">
        <v>187</v>
      </c>
      <c r="C968" s="447">
        <v>14233</v>
      </c>
      <c r="D968" s="448" t="s">
        <v>323</v>
      </c>
      <c r="E968" s="449" t="s">
        <v>322</v>
      </c>
      <c r="F968" s="448" t="s">
        <v>323</v>
      </c>
      <c r="G968" s="589">
        <v>46224</v>
      </c>
      <c r="H968" s="450"/>
      <c r="I968" s="450" t="s">
        <v>186</v>
      </c>
      <c r="J968" s="295">
        <v>0.3125</v>
      </c>
      <c r="K968" s="295">
        <v>0.71319444444444446</v>
      </c>
      <c r="L968" s="451" t="s">
        <v>169</v>
      </c>
      <c r="M968" s="452">
        <v>8</v>
      </c>
      <c r="N968" s="477"/>
      <c r="O968" s="477"/>
      <c r="P968" s="477"/>
      <c r="Q968" s="468"/>
      <c r="R968" s="469"/>
      <c r="S968" s="469"/>
      <c r="T968" s="461"/>
      <c r="U968" s="462"/>
      <c r="V968" s="461"/>
      <c r="W968" s="463"/>
      <c r="X968" s="464"/>
      <c r="Y968" s="465"/>
      <c r="Z968" s="466"/>
      <c r="AA968" s="467"/>
      <c r="AB968" s="443"/>
    </row>
    <row r="969" spans="1:28" s="444" customFormat="1">
      <c r="A969" s="702"/>
      <c r="B969" s="446" t="s">
        <v>187</v>
      </c>
      <c r="C969" s="447">
        <v>14233</v>
      </c>
      <c r="D969" s="448" t="s">
        <v>323</v>
      </c>
      <c r="E969" s="449" t="s">
        <v>322</v>
      </c>
      <c r="F969" s="448" t="s">
        <v>323</v>
      </c>
      <c r="G969" s="589">
        <v>46225</v>
      </c>
      <c r="H969" s="450"/>
      <c r="I969" s="450" t="s">
        <v>186</v>
      </c>
      <c r="J969" s="295">
        <v>0.31527777777777777</v>
      </c>
      <c r="K969" s="295">
        <v>0.71388888888888891</v>
      </c>
      <c r="L969" s="451" t="s">
        <v>169</v>
      </c>
      <c r="M969" s="452">
        <v>8</v>
      </c>
      <c r="N969" s="471"/>
      <c r="O969" s="452"/>
      <c r="P969" s="452"/>
      <c r="Q969" s="453"/>
      <c r="R969" s="452"/>
      <c r="S969" s="452"/>
      <c r="T969" s="453"/>
      <c r="U969" s="452"/>
      <c r="V969" s="453"/>
      <c r="W969" s="454"/>
      <c r="X969" s="455"/>
      <c r="Y969" s="456"/>
      <c r="Z969" s="457"/>
      <c r="AA969" s="458"/>
      <c r="AB969" s="443"/>
    </row>
    <row r="970" spans="1:28" s="444" customFormat="1">
      <c r="A970" s="702"/>
      <c r="B970" s="446" t="s">
        <v>187</v>
      </c>
      <c r="C970" s="447">
        <v>14233</v>
      </c>
      <c r="D970" s="448" t="s">
        <v>323</v>
      </c>
      <c r="E970" s="449" t="s">
        <v>322</v>
      </c>
      <c r="F970" s="448" t="s">
        <v>323</v>
      </c>
      <c r="G970" s="589">
        <v>46226</v>
      </c>
      <c r="H970" s="450"/>
      <c r="I970" s="450" t="s">
        <v>186</v>
      </c>
      <c r="J970" s="295">
        <v>0.31944444444444442</v>
      </c>
      <c r="K970" s="295">
        <v>0.71319444444444446</v>
      </c>
      <c r="L970" s="451" t="s">
        <v>169</v>
      </c>
      <c r="M970" s="452">
        <v>8</v>
      </c>
      <c r="N970" s="471"/>
      <c r="O970" s="452"/>
      <c r="P970" s="452"/>
      <c r="Q970" s="453"/>
      <c r="R970" s="452"/>
      <c r="S970" s="452"/>
      <c r="T970" s="453"/>
      <c r="U970" s="452"/>
      <c r="V970" s="453"/>
      <c r="W970" s="454"/>
      <c r="X970" s="455"/>
      <c r="Y970" s="456"/>
      <c r="Z970" s="457"/>
      <c r="AA970" s="458"/>
      <c r="AB970" s="443"/>
    </row>
    <row r="971" spans="1:28" s="444" customFormat="1">
      <c r="A971" s="702"/>
      <c r="B971" s="446" t="s">
        <v>187</v>
      </c>
      <c r="C971" s="447">
        <v>14233</v>
      </c>
      <c r="D971" s="448" t="s">
        <v>323</v>
      </c>
      <c r="E971" s="449" t="s">
        <v>322</v>
      </c>
      <c r="F971" s="448" t="s">
        <v>323</v>
      </c>
      <c r="G971" s="589">
        <v>46227</v>
      </c>
      <c r="H971" s="450"/>
      <c r="I971" s="450" t="s">
        <v>186</v>
      </c>
      <c r="J971" s="295">
        <v>0.32013888888888886</v>
      </c>
      <c r="K971" s="318">
        <v>0.71319444444444446</v>
      </c>
      <c r="L971" s="451" t="s">
        <v>169</v>
      </c>
      <c r="M971" s="452">
        <v>8</v>
      </c>
      <c r="N971" s="471"/>
      <c r="O971" s="471"/>
      <c r="P971" s="471"/>
      <c r="Q971" s="472"/>
      <c r="R971" s="471"/>
      <c r="S971" s="471"/>
      <c r="T971" s="453"/>
      <c r="U971" s="452"/>
      <c r="V971" s="453"/>
      <c r="W971" s="454"/>
      <c r="X971" s="455"/>
      <c r="Y971" s="456"/>
      <c r="Z971" s="457"/>
      <c r="AA971" s="458"/>
      <c r="AB971" s="443"/>
    </row>
    <row r="972" spans="1:28" s="444" customFormat="1">
      <c r="A972" s="702"/>
      <c r="B972" s="446" t="s">
        <v>187</v>
      </c>
      <c r="C972" s="447">
        <v>14233</v>
      </c>
      <c r="D972" s="448" t="s">
        <v>323</v>
      </c>
      <c r="E972" s="449" t="s">
        <v>322</v>
      </c>
      <c r="F972" s="448" t="s">
        <v>323</v>
      </c>
      <c r="G972" s="589">
        <v>46228</v>
      </c>
      <c r="H972" s="450"/>
      <c r="I972" s="450" t="s">
        <v>186</v>
      </c>
      <c r="J972" s="295"/>
      <c r="K972" s="295"/>
      <c r="L972" s="451"/>
      <c r="M972" s="452"/>
      <c r="N972" s="452"/>
      <c r="O972" s="452"/>
      <c r="P972" s="452"/>
      <c r="Q972" s="453"/>
      <c r="R972" s="452"/>
      <c r="S972" s="473"/>
      <c r="T972" s="453"/>
      <c r="U972" s="452"/>
      <c r="V972" s="453"/>
      <c r="W972" s="454"/>
      <c r="X972" s="455"/>
      <c r="Y972" s="456"/>
      <c r="Z972" s="457"/>
      <c r="AA972" s="458"/>
      <c r="AB972" s="443"/>
    </row>
    <row r="973" spans="1:28" s="444" customFormat="1">
      <c r="A973" s="702"/>
      <c r="B973" s="446"/>
      <c r="C973" s="447"/>
      <c r="D973" s="449"/>
      <c r="E973" s="449"/>
      <c r="F973" s="449"/>
      <c r="G973" s="600"/>
      <c r="H973" s="450"/>
      <c r="I973" s="450"/>
      <c r="J973" s="474"/>
      <c r="K973" s="475"/>
      <c r="L973" s="476"/>
      <c r="M973" s="477"/>
      <c r="N973" s="477"/>
      <c r="O973" s="477"/>
      <c r="P973" s="477"/>
      <c r="Q973" s="478"/>
      <c r="R973" s="477"/>
      <c r="S973" s="479"/>
      <c r="T973" s="453"/>
      <c r="U973" s="452"/>
      <c r="V973" s="453"/>
      <c r="W973" s="454"/>
      <c r="X973" s="455"/>
      <c r="Y973" s="456"/>
      <c r="Z973" s="457"/>
      <c r="AA973" s="458"/>
      <c r="AB973" s="443"/>
    </row>
    <row r="974" spans="1:28" s="444" customFormat="1">
      <c r="A974" s="703"/>
      <c r="B974" s="481"/>
      <c r="C974" s="446"/>
      <c r="D974" s="481"/>
      <c r="E974" s="449"/>
      <c r="F974" s="481"/>
      <c r="G974" s="601"/>
      <c r="H974" s="482"/>
      <c r="I974" s="483"/>
      <c r="J974" s="484"/>
      <c r="K974" s="485"/>
      <c r="L974" s="483"/>
      <c r="M974" s="483">
        <f t="shared" ref="M974:AA974" si="54">SUM(M957:M973)</f>
        <v>96</v>
      </c>
      <c r="N974" s="483">
        <f t="shared" si="54"/>
        <v>0</v>
      </c>
      <c r="O974" s="483">
        <f t="shared" si="54"/>
        <v>6</v>
      </c>
      <c r="P974" s="483">
        <f t="shared" si="54"/>
        <v>0</v>
      </c>
      <c r="Q974" s="483">
        <f t="shared" si="54"/>
        <v>0</v>
      </c>
      <c r="R974" s="483">
        <f t="shared" si="54"/>
        <v>0</v>
      </c>
      <c r="S974" s="483">
        <f t="shared" si="54"/>
        <v>0</v>
      </c>
      <c r="T974" s="483">
        <f t="shared" si="54"/>
        <v>0</v>
      </c>
      <c r="U974" s="483">
        <f t="shared" si="54"/>
        <v>0</v>
      </c>
      <c r="V974" s="483">
        <f t="shared" si="54"/>
        <v>0</v>
      </c>
      <c r="W974" s="483">
        <f t="shared" si="54"/>
        <v>0</v>
      </c>
      <c r="X974" s="483">
        <f t="shared" si="54"/>
        <v>0</v>
      </c>
      <c r="Y974" s="483">
        <f t="shared" si="54"/>
        <v>0</v>
      </c>
      <c r="Z974" s="483">
        <f t="shared" si="54"/>
        <v>0</v>
      </c>
      <c r="AA974" s="483">
        <f t="shared" si="54"/>
        <v>0</v>
      </c>
      <c r="AB974" s="443"/>
    </row>
    <row r="975" spans="1:28" s="444" customFormat="1">
      <c r="A975" s="435" t="s">
        <v>170</v>
      </c>
      <c r="B975" s="435" t="s">
        <v>120</v>
      </c>
      <c r="C975" s="435" t="s">
        <v>152</v>
      </c>
      <c r="D975" s="435" t="s">
        <v>182</v>
      </c>
      <c r="E975" s="436" t="s">
        <v>153</v>
      </c>
      <c r="F975" s="435" t="s">
        <v>182</v>
      </c>
      <c r="G975" s="599" t="s">
        <v>401</v>
      </c>
      <c r="H975" s="437"/>
      <c r="I975" s="438" t="s">
        <v>181</v>
      </c>
      <c r="J975" s="439" t="s">
        <v>154</v>
      </c>
      <c r="K975" s="439" t="s">
        <v>155</v>
      </c>
      <c r="L975" s="440" t="s">
        <v>156</v>
      </c>
      <c r="M975" s="441" t="s">
        <v>157</v>
      </c>
      <c r="N975" s="440" t="s">
        <v>158</v>
      </c>
      <c r="O975" s="440" t="s">
        <v>159</v>
      </c>
      <c r="P975" s="440" t="s">
        <v>174</v>
      </c>
      <c r="Q975" s="440" t="s">
        <v>160</v>
      </c>
      <c r="R975" s="440" t="s">
        <v>161</v>
      </c>
      <c r="S975" s="440" t="s">
        <v>162</v>
      </c>
      <c r="T975" s="438" t="s">
        <v>163</v>
      </c>
      <c r="U975" s="438" t="s">
        <v>164</v>
      </c>
      <c r="V975" s="438" t="s">
        <v>165</v>
      </c>
      <c r="W975" s="440" t="s">
        <v>113</v>
      </c>
      <c r="X975" s="438" t="s">
        <v>121</v>
      </c>
      <c r="Y975" s="438" t="s">
        <v>166</v>
      </c>
      <c r="Z975" s="442" t="s">
        <v>175</v>
      </c>
      <c r="AA975" s="442" t="s">
        <v>167</v>
      </c>
      <c r="AB975" s="443"/>
    </row>
    <row r="976" spans="1:28" s="444" customFormat="1">
      <c r="A976" s="701"/>
      <c r="B976" s="446" t="s">
        <v>187</v>
      </c>
      <c r="C976" s="449">
        <v>14291</v>
      </c>
      <c r="D976" s="448" t="s">
        <v>321</v>
      </c>
      <c r="E976" s="449" t="s">
        <v>320</v>
      </c>
      <c r="F976" s="448" t="s">
        <v>321</v>
      </c>
      <c r="G976" s="589">
        <v>46214</v>
      </c>
      <c r="H976" s="450"/>
      <c r="I976" s="450" t="s">
        <v>183</v>
      </c>
      <c r="J976" s="295">
        <v>0.78125</v>
      </c>
      <c r="K976" s="295">
        <v>0.16666666666666666</v>
      </c>
      <c r="L976" s="451" t="s">
        <v>168</v>
      </c>
      <c r="M976" s="452">
        <v>8</v>
      </c>
      <c r="N976" s="452"/>
      <c r="O976" s="452">
        <v>6</v>
      </c>
      <c r="P976" s="452"/>
      <c r="Q976" s="453"/>
      <c r="R976" s="452"/>
      <c r="S976" s="452"/>
      <c r="T976" s="453"/>
      <c r="U976" s="452"/>
      <c r="V976" s="453"/>
      <c r="W976" s="454"/>
      <c r="X976" s="455"/>
      <c r="Y976" s="456"/>
      <c r="Z976" s="457"/>
      <c r="AA976" s="458"/>
      <c r="AB976" s="443"/>
    </row>
    <row r="977" spans="1:28" s="444" customFormat="1">
      <c r="A977" s="702"/>
      <c r="B977" s="446" t="s">
        <v>187</v>
      </c>
      <c r="C977" s="449">
        <v>14291</v>
      </c>
      <c r="D977" s="448" t="s">
        <v>321</v>
      </c>
      <c r="E977" s="449" t="s">
        <v>320</v>
      </c>
      <c r="F977" s="448" t="s">
        <v>321</v>
      </c>
      <c r="G977" s="590">
        <v>46215</v>
      </c>
      <c r="H977" s="450"/>
      <c r="I977" s="450"/>
      <c r="J977" s="699" t="s">
        <v>173</v>
      </c>
      <c r="K977" s="700"/>
      <c r="L977" s="451"/>
      <c r="M977" s="452"/>
      <c r="N977" s="452"/>
      <c r="O977" s="452"/>
      <c r="P977" s="452"/>
      <c r="Q977" s="453"/>
      <c r="R977" s="452"/>
      <c r="S977" s="452"/>
      <c r="T977" s="453"/>
      <c r="U977" s="452"/>
      <c r="V977" s="453"/>
      <c r="W977" s="454"/>
      <c r="X977" s="455"/>
      <c r="Y977" s="456"/>
      <c r="Z977" s="457"/>
      <c r="AA977" s="458"/>
      <c r="AB977" s="443"/>
    </row>
    <row r="978" spans="1:28" s="444" customFormat="1">
      <c r="A978" s="702"/>
      <c r="B978" s="446" t="s">
        <v>187</v>
      </c>
      <c r="C978" s="486">
        <v>14291</v>
      </c>
      <c r="D978" s="448" t="s">
        <v>321</v>
      </c>
      <c r="E978" s="449" t="s">
        <v>320</v>
      </c>
      <c r="F978" s="448" t="s">
        <v>321</v>
      </c>
      <c r="G978" s="589">
        <v>46216</v>
      </c>
      <c r="H978" s="450"/>
      <c r="I978" s="450" t="s">
        <v>186</v>
      </c>
      <c r="J978" s="305">
        <v>0.31805555555555554</v>
      </c>
      <c r="K978" s="305">
        <v>0.7104166666666667</v>
      </c>
      <c r="L978" s="451" t="s">
        <v>169</v>
      </c>
      <c r="M978" s="452">
        <v>8</v>
      </c>
      <c r="N978" s="452"/>
      <c r="O978" s="452"/>
      <c r="P978" s="452"/>
      <c r="Q978" s="453"/>
      <c r="R978" s="452"/>
      <c r="S978" s="452"/>
      <c r="T978" s="453"/>
      <c r="U978" s="452"/>
      <c r="V978" s="453"/>
      <c r="W978" s="454"/>
      <c r="X978" s="455"/>
      <c r="Y978" s="456"/>
      <c r="Z978" s="457"/>
      <c r="AA978" s="458"/>
      <c r="AB978" s="443"/>
    </row>
    <row r="979" spans="1:28" s="444" customFormat="1">
      <c r="A979" s="702"/>
      <c r="B979" s="446" t="s">
        <v>187</v>
      </c>
      <c r="C979" s="486">
        <v>14291</v>
      </c>
      <c r="D979" s="448" t="s">
        <v>321</v>
      </c>
      <c r="E979" s="449" t="s">
        <v>320</v>
      </c>
      <c r="F979" s="448" t="s">
        <v>321</v>
      </c>
      <c r="G979" s="589">
        <v>46217</v>
      </c>
      <c r="H979" s="450"/>
      <c r="I979" s="450" t="s">
        <v>186</v>
      </c>
      <c r="J979" s="382">
        <v>0.31597222222222221</v>
      </c>
      <c r="K979" s="305">
        <v>0.79375000000000007</v>
      </c>
      <c r="L979" s="451" t="s">
        <v>169</v>
      </c>
      <c r="M979" s="452">
        <v>8</v>
      </c>
      <c r="N979" s="452">
        <v>2</v>
      </c>
      <c r="O979" s="452"/>
      <c r="P979" s="452"/>
      <c r="Q979" s="461"/>
      <c r="R979" s="462"/>
      <c r="S979" s="462"/>
      <c r="T979" s="461"/>
      <c r="U979" s="462"/>
      <c r="V979" s="461"/>
      <c r="W979" s="463"/>
      <c r="X979" s="464"/>
      <c r="Y979" s="465"/>
      <c r="Z979" s="466"/>
      <c r="AA979" s="467"/>
      <c r="AB979" s="443"/>
    </row>
    <row r="980" spans="1:28" s="444" customFormat="1">
      <c r="A980" s="702"/>
      <c r="B980" s="446" t="s">
        <v>187</v>
      </c>
      <c r="C980" s="486">
        <v>14291</v>
      </c>
      <c r="D980" s="448" t="s">
        <v>321</v>
      </c>
      <c r="E980" s="449" t="s">
        <v>320</v>
      </c>
      <c r="F980" s="448" t="s">
        <v>321</v>
      </c>
      <c r="G980" s="589">
        <v>46218</v>
      </c>
      <c r="H980" s="450"/>
      <c r="I980" s="450" t="s">
        <v>186</v>
      </c>
      <c r="J980" s="305">
        <v>0.32083333333333336</v>
      </c>
      <c r="K980" s="305">
        <v>0.7104166666666667</v>
      </c>
      <c r="L980" s="451" t="s">
        <v>169</v>
      </c>
      <c r="M980" s="452">
        <v>8</v>
      </c>
      <c r="N980" s="452"/>
      <c r="O980" s="452"/>
      <c r="P980" s="452"/>
      <c r="Q980" s="453"/>
      <c r="R980" s="452"/>
      <c r="S980" s="452"/>
      <c r="T980" s="453"/>
      <c r="U980" s="452"/>
      <c r="V980" s="453"/>
      <c r="W980" s="454"/>
      <c r="X980" s="455"/>
      <c r="Y980" s="456"/>
      <c r="Z980" s="457"/>
      <c r="AA980" s="458"/>
      <c r="AB980" s="443"/>
    </row>
    <row r="981" spans="1:28" s="444" customFormat="1">
      <c r="A981" s="702"/>
      <c r="B981" s="446" t="s">
        <v>187</v>
      </c>
      <c r="C981" s="486">
        <v>14291</v>
      </c>
      <c r="D981" s="448" t="s">
        <v>321</v>
      </c>
      <c r="E981" s="449" t="s">
        <v>320</v>
      </c>
      <c r="F981" s="448" t="s">
        <v>321</v>
      </c>
      <c r="G981" s="589">
        <v>46219</v>
      </c>
      <c r="H981" s="450"/>
      <c r="I981" s="450" t="s">
        <v>186</v>
      </c>
      <c r="J981" s="305">
        <v>0.31597222222222221</v>
      </c>
      <c r="K981" s="305">
        <v>0.7104166666666667</v>
      </c>
      <c r="L981" s="451" t="s">
        <v>169</v>
      </c>
      <c r="M981" s="452">
        <v>8</v>
      </c>
      <c r="N981" s="452"/>
      <c r="O981" s="452"/>
      <c r="P981" s="452"/>
      <c r="Q981" s="453"/>
      <c r="R981" s="452"/>
      <c r="S981" s="452"/>
      <c r="T981" s="453"/>
      <c r="U981" s="452"/>
      <c r="V981" s="453"/>
      <c r="W981" s="454"/>
      <c r="X981" s="455"/>
      <c r="Y981" s="456"/>
      <c r="Z981" s="457"/>
      <c r="AA981" s="458"/>
      <c r="AB981" s="443"/>
    </row>
    <row r="982" spans="1:28" s="444" customFormat="1">
      <c r="A982" s="702"/>
      <c r="B982" s="446" t="s">
        <v>187</v>
      </c>
      <c r="C982" s="486">
        <v>14291</v>
      </c>
      <c r="D982" s="448" t="s">
        <v>321</v>
      </c>
      <c r="E982" s="449" t="s">
        <v>320</v>
      </c>
      <c r="F982" s="448" t="s">
        <v>321</v>
      </c>
      <c r="G982" s="589">
        <v>46220</v>
      </c>
      <c r="H982" s="450"/>
      <c r="I982" s="450" t="s">
        <v>186</v>
      </c>
      <c r="J982" s="305">
        <v>0.32361111111111113</v>
      </c>
      <c r="K982" s="305">
        <v>0.7104166666666667</v>
      </c>
      <c r="L982" s="451" t="s">
        <v>169</v>
      </c>
      <c r="M982" s="452">
        <v>8</v>
      </c>
      <c r="N982" s="452"/>
      <c r="O982" s="452"/>
      <c r="P982" s="452"/>
      <c r="Q982" s="453"/>
      <c r="R982" s="452"/>
      <c r="S982" s="452"/>
      <c r="T982" s="453"/>
      <c r="U982" s="452"/>
      <c r="V982" s="453"/>
      <c r="W982" s="454"/>
      <c r="X982" s="455"/>
      <c r="Y982" s="456"/>
      <c r="Z982" s="457"/>
      <c r="AA982" s="458"/>
      <c r="AB982" s="443"/>
    </row>
    <row r="983" spans="1:28" s="444" customFormat="1">
      <c r="A983" s="702"/>
      <c r="B983" s="446" t="s">
        <v>187</v>
      </c>
      <c r="C983" s="486">
        <v>14291</v>
      </c>
      <c r="D983" s="448" t="s">
        <v>321</v>
      </c>
      <c r="E983" s="449" t="s">
        <v>320</v>
      </c>
      <c r="F983" s="448" t="s">
        <v>321</v>
      </c>
      <c r="G983" s="589">
        <v>46221</v>
      </c>
      <c r="H983" s="450"/>
      <c r="I983" s="450" t="s">
        <v>186</v>
      </c>
      <c r="J983" s="305">
        <v>0.31458333333333333</v>
      </c>
      <c r="K983" s="305">
        <v>0.7104166666666667</v>
      </c>
      <c r="L983" s="451" t="s">
        <v>169</v>
      </c>
      <c r="M983" s="452">
        <v>8</v>
      </c>
      <c r="N983" s="452"/>
      <c r="O983" s="452"/>
      <c r="P983" s="452"/>
      <c r="Q983" s="453"/>
      <c r="R983" s="452"/>
      <c r="S983" s="452"/>
      <c r="T983" s="453"/>
      <c r="U983" s="452"/>
      <c r="V983" s="453"/>
      <c r="W983" s="454"/>
      <c r="X983" s="455"/>
      <c r="Y983" s="456"/>
      <c r="Z983" s="457"/>
      <c r="AA983" s="458"/>
      <c r="AB983" s="443"/>
    </row>
    <row r="984" spans="1:28" s="444" customFormat="1">
      <c r="A984" s="702"/>
      <c r="B984" s="446" t="s">
        <v>187</v>
      </c>
      <c r="C984" s="486">
        <v>14291</v>
      </c>
      <c r="D984" s="448" t="s">
        <v>321</v>
      </c>
      <c r="E984" s="449" t="s">
        <v>320</v>
      </c>
      <c r="F984" s="448" t="s">
        <v>321</v>
      </c>
      <c r="G984" s="590">
        <v>46222</v>
      </c>
      <c r="H984" s="450"/>
      <c r="I984" s="450"/>
      <c r="J984" s="699" t="s">
        <v>173</v>
      </c>
      <c r="K984" s="700"/>
      <c r="L984" s="451"/>
      <c r="M984" s="452"/>
      <c r="N984" s="452"/>
      <c r="O984" s="452"/>
      <c r="P984" s="452"/>
      <c r="Q984" s="453"/>
      <c r="R984" s="452"/>
      <c r="S984" s="452"/>
      <c r="T984" s="453"/>
      <c r="U984" s="452"/>
      <c r="V984" s="453"/>
      <c r="W984" s="454"/>
      <c r="X984" s="455"/>
      <c r="Y984" s="456"/>
      <c r="Z984" s="457"/>
      <c r="AA984" s="458"/>
      <c r="AB984" s="443"/>
    </row>
    <row r="985" spans="1:28" s="444" customFormat="1">
      <c r="A985" s="702"/>
      <c r="B985" s="446" t="s">
        <v>187</v>
      </c>
      <c r="C985" s="486">
        <v>14291</v>
      </c>
      <c r="D985" s="448" t="s">
        <v>321</v>
      </c>
      <c r="E985" s="449" t="s">
        <v>320</v>
      </c>
      <c r="F985" s="448" t="s">
        <v>321</v>
      </c>
      <c r="G985" s="589">
        <v>46223</v>
      </c>
      <c r="H985" s="450"/>
      <c r="I985" s="450" t="s">
        <v>186</v>
      </c>
      <c r="J985" s="305">
        <v>0.31458333333333333</v>
      </c>
      <c r="K985" s="295">
        <v>0.70972222222222225</v>
      </c>
      <c r="L985" s="451" t="s">
        <v>169</v>
      </c>
      <c r="M985" s="452">
        <v>8</v>
      </c>
      <c r="N985" s="462"/>
      <c r="O985" s="462"/>
      <c r="P985" s="462"/>
      <c r="Q985" s="461"/>
      <c r="R985" s="462"/>
      <c r="S985" s="462"/>
      <c r="T985" s="461"/>
      <c r="U985" s="462"/>
      <c r="V985" s="461"/>
      <c r="W985" s="454"/>
      <c r="X985" s="455"/>
      <c r="Y985" s="456"/>
      <c r="Z985" s="457"/>
      <c r="AA985" s="458"/>
      <c r="AB985" s="443"/>
    </row>
    <row r="986" spans="1:28" s="444" customFormat="1">
      <c r="A986" s="702"/>
      <c r="B986" s="446" t="s">
        <v>187</v>
      </c>
      <c r="C986" s="486">
        <v>14291</v>
      </c>
      <c r="D986" s="448" t="s">
        <v>321</v>
      </c>
      <c r="E986" s="449" t="s">
        <v>320</v>
      </c>
      <c r="F986" s="448" t="s">
        <v>321</v>
      </c>
      <c r="G986" s="589">
        <v>46224</v>
      </c>
      <c r="H986" s="450"/>
      <c r="I986" s="450" t="s">
        <v>186</v>
      </c>
      <c r="J986" s="305">
        <v>0.31458333333333333</v>
      </c>
      <c r="K986" s="295">
        <v>0.71180555555555558</v>
      </c>
      <c r="L986" s="451" t="s">
        <v>169</v>
      </c>
      <c r="M986" s="452">
        <v>8</v>
      </c>
      <c r="N986" s="477"/>
      <c r="O986" s="477"/>
      <c r="P986" s="477"/>
      <c r="Q986" s="468"/>
      <c r="R986" s="469"/>
      <c r="S986" s="469"/>
      <c r="T986" s="461"/>
      <c r="U986" s="462"/>
      <c r="V986" s="461"/>
      <c r="W986" s="463"/>
      <c r="X986" s="464"/>
      <c r="Y986" s="465"/>
      <c r="Z986" s="466"/>
      <c r="AA986" s="467"/>
      <c r="AB986" s="443"/>
    </row>
    <row r="987" spans="1:28" s="444" customFormat="1">
      <c r="A987" s="702"/>
      <c r="B987" s="446" t="s">
        <v>187</v>
      </c>
      <c r="C987" s="486">
        <v>14291</v>
      </c>
      <c r="D987" s="448" t="s">
        <v>321</v>
      </c>
      <c r="E987" s="449" t="s">
        <v>320</v>
      </c>
      <c r="F987" s="448" t="s">
        <v>321</v>
      </c>
      <c r="G987" s="589">
        <v>46225</v>
      </c>
      <c r="H987" s="450"/>
      <c r="I987" s="450" t="s">
        <v>186</v>
      </c>
      <c r="J987" s="295">
        <v>0.32708333333333334</v>
      </c>
      <c r="K987" s="295">
        <v>0.7104166666666667</v>
      </c>
      <c r="L987" s="451" t="s">
        <v>169</v>
      </c>
      <c r="M987" s="452">
        <v>8</v>
      </c>
      <c r="N987" s="471"/>
      <c r="O987" s="452"/>
      <c r="P987" s="452"/>
      <c r="Q987" s="453"/>
      <c r="R987" s="452"/>
      <c r="S987" s="452"/>
      <c r="T987" s="453"/>
      <c r="U987" s="452"/>
      <c r="V987" s="453"/>
      <c r="W987" s="454"/>
      <c r="X987" s="455"/>
      <c r="Y987" s="456"/>
      <c r="Z987" s="457"/>
      <c r="AA987" s="458"/>
      <c r="AB987" s="443"/>
    </row>
    <row r="988" spans="1:28" s="444" customFormat="1">
      <c r="A988" s="702"/>
      <c r="B988" s="446" t="s">
        <v>187</v>
      </c>
      <c r="C988" s="486">
        <v>14291</v>
      </c>
      <c r="D988" s="448" t="s">
        <v>321</v>
      </c>
      <c r="E988" s="449" t="s">
        <v>320</v>
      </c>
      <c r="F988" s="448" t="s">
        <v>321</v>
      </c>
      <c r="G988" s="589">
        <v>46226</v>
      </c>
      <c r="H988" s="450"/>
      <c r="I988" s="450" t="s">
        <v>186</v>
      </c>
      <c r="J988" s="295">
        <v>0.31527777777777777</v>
      </c>
      <c r="K988" s="295">
        <v>0.7104166666666667</v>
      </c>
      <c r="L988" s="451" t="s">
        <v>169</v>
      </c>
      <c r="M988" s="452">
        <v>8</v>
      </c>
      <c r="N988" s="471"/>
      <c r="O988" s="470"/>
      <c r="P988" s="470"/>
      <c r="Q988" s="453"/>
      <c r="R988" s="452"/>
      <c r="S988" s="452"/>
      <c r="T988" s="453"/>
      <c r="U988" s="452"/>
      <c r="V988" s="453"/>
      <c r="W988" s="454"/>
      <c r="X988" s="455"/>
      <c r="Y988" s="456"/>
      <c r="Z988" s="457"/>
      <c r="AA988" s="458"/>
      <c r="AB988" s="443"/>
    </row>
    <row r="989" spans="1:28" s="444" customFormat="1">
      <c r="A989" s="702"/>
      <c r="B989" s="446" t="s">
        <v>187</v>
      </c>
      <c r="C989" s="486">
        <v>14291</v>
      </c>
      <c r="D989" s="448" t="s">
        <v>321</v>
      </c>
      <c r="E989" s="449" t="s">
        <v>320</v>
      </c>
      <c r="F989" s="448" t="s">
        <v>321</v>
      </c>
      <c r="G989" s="589">
        <v>46227</v>
      </c>
      <c r="H989" s="450"/>
      <c r="I989" s="450" t="s">
        <v>186</v>
      </c>
      <c r="J989" s="295">
        <v>0.32013888888888886</v>
      </c>
      <c r="K989" s="318">
        <v>0.71180555555555558</v>
      </c>
      <c r="L989" s="451" t="s">
        <v>169</v>
      </c>
      <c r="M989" s="452">
        <v>8</v>
      </c>
      <c r="N989" s="471"/>
      <c r="O989" s="471"/>
      <c r="P989" s="471"/>
      <c r="Q989" s="472"/>
      <c r="R989" s="471"/>
      <c r="S989" s="471"/>
      <c r="T989" s="453"/>
      <c r="U989" s="452"/>
      <c r="V989" s="453"/>
      <c r="W989" s="454"/>
      <c r="X989" s="455"/>
      <c r="Y989" s="456"/>
      <c r="Z989" s="457"/>
      <c r="AA989" s="458"/>
      <c r="AB989" s="443"/>
    </row>
    <row r="990" spans="1:28" s="444" customFormat="1">
      <c r="A990" s="702"/>
      <c r="B990" s="446" t="s">
        <v>187</v>
      </c>
      <c r="C990" s="486">
        <v>14291</v>
      </c>
      <c r="D990" s="448" t="s">
        <v>321</v>
      </c>
      <c r="E990" s="449" t="s">
        <v>320</v>
      </c>
      <c r="F990" s="448" t="s">
        <v>321</v>
      </c>
      <c r="G990" s="589">
        <v>46228</v>
      </c>
      <c r="H990" s="450"/>
      <c r="I990" s="450" t="s">
        <v>186</v>
      </c>
      <c r="J990" s="295"/>
      <c r="K990" s="295"/>
      <c r="L990" s="451"/>
      <c r="M990" s="452"/>
      <c r="N990" s="452"/>
      <c r="O990" s="452"/>
      <c r="P990" s="452"/>
      <c r="Q990" s="453"/>
      <c r="R990" s="452"/>
      <c r="S990" s="473"/>
      <c r="T990" s="453"/>
      <c r="U990" s="452"/>
      <c r="V990" s="453"/>
      <c r="W990" s="454"/>
      <c r="X990" s="455"/>
      <c r="Y990" s="456"/>
      <c r="Z990" s="457"/>
      <c r="AA990" s="458"/>
      <c r="AB990" s="443"/>
    </row>
    <row r="991" spans="1:28" s="444" customFormat="1">
      <c r="A991" s="702"/>
      <c r="B991" s="446"/>
      <c r="C991" s="486"/>
      <c r="D991" s="449"/>
      <c r="E991" s="449"/>
      <c r="F991" s="449"/>
      <c r="G991" s="600"/>
      <c r="H991" s="450"/>
      <c r="I991" s="450"/>
      <c r="J991" s="474"/>
      <c r="K991" s="475"/>
      <c r="L991" s="476"/>
      <c r="M991" s="477"/>
      <c r="N991" s="477"/>
      <c r="O991" s="477"/>
      <c r="P991" s="477"/>
      <c r="Q991" s="478"/>
      <c r="R991" s="477"/>
      <c r="S991" s="479"/>
      <c r="T991" s="453"/>
      <c r="U991" s="452"/>
      <c r="V991" s="453"/>
      <c r="W991" s="454"/>
      <c r="X991" s="455"/>
      <c r="Y991" s="456"/>
      <c r="Z991" s="457"/>
      <c r="AA991" s="458"/>
      <c r="AB991" s="443"/>
    </row>
    <row r="992" spans="1:28" s="444" customFormat="1">
      <c r="A992" s="703"/>
      <c r="B992" s="481"/>
      <c r="C992" s="446"/>
      <c r="D992" s="481"/>
      <c r="E992" s="449"/>
      <c r="F992" s="481"/>
      <c r="G992" s="601"/>
      <c r="H992" s="482"/>
      <c r="I992" s="483"/>
      <c r="J992" s="484"/>
      <c r="K992" s="485"/>
      <c r="L992" s="483"/>
      <c r="M992" s="483">
        <f t="shared" ref="M992:AA992" si="55">SUM(M975:M991)</f>
        <v>96</v>
      </c>
      <c r="N992" s="483">
        <f t="shared" si="55"/>
        <v>2</v>
      </c>
      <c r="O992" s="483">
        <f t="shared" si="55"/>
        <v>6</v>
      </c>
      <c r="P992" s="483">
        <f t="shared" si="55"/>
        <v>0</v>
      </c>
      <c r="Q992" s="483">
        <f t="shared" si="55"/>
        <v>0</v>
      </c>
      <c r="R992" s="483">
        <f t="shared" si="55"/>
        <v>0</v>
      </c>
      <c r="S992" s="483">
        <f t="shared" si="55"/>
        <v>0</v>
      </c>
      <c r="T992" s="483">
        <f t="shared" si="55"/>
        <v>0</v>
      </c>
      <c r="U992" s="483">
        <f t="shared" si="55"/>
        <v>0</v>
      </c>
      <c r="V992" s="483">
        <f t="shared" si="55"/>
        <v>0</v>
      </c>
      <c r="W992" s="483">
        <f t="shared" si="55"/>
        <v>0</v>
      </c>
      <c r="X992" s="483">
        <f t="shared" si="55"/>
        <v>0</v>
      </c>
      <c r="Y992" s="483">
        <f t="shared" si="55"/>
        <v>0</v>
      </c>
      <c r="Z992" s="483">
        <f t="shared" si="55"/>
        <v>0</v>
      </c>
      <c r="AA992" s="483">
        <f t="shared" si="55"/>
        <v>0</v>
      </c>
      <c r="AB992" s="443"/>
    </row>
    <row r="993" spans="1:28" s="444" customFormat="1">
      <c r="A993" s="435" t="s">
        <v>170</v>
      </c>
      <c r="B993" s="435" t="s">
        <v>120</v>
      </c>
      <c r="C993" s="435" t="s">
        <v>152</v>
      </c>
      <c r="D993" s="435" t="s">
        <v>182</v>
      </c>
      <c r="E993" s="436" t="s">
        <v>153</v>
      </c>
      <c r="F993" s="435" t="s">
        <v>182</v>
      </c>
      <c r="G993" s="599" t="s">
        <v>401</v>
      </c>
      <c r="H993" s="437"/>
      <c r="I993" s="438" t="s">
        <v>181</v>
      </c>
      <c r="J993" s="439" t="s">
        <v>154</v>
      </c>
      <c r="K993" s="439" t="s">
        <v>155</v>
      </c>
      <c r="L993" s="440" t="s">
        <v>156</v>
      </c>
      <c r="M993" s="441" t="s">
        <v>157</v>
      </c>
      <c r="N993" s="440" t="s">
        <v>158</v>
      </c>
      <c r="O993" s="440" t="s">
        <v>159</v>
      </c>
      <c r="P993" s="440" t="s">
        <v>174</v>
      </c>
      <c r="Q993" s="440" t="s">
        <v>160</v>
      </c>
      <c r="R993" s="440" t="s">
        <v>161</v>
      </c>
      <c r="S993" s="440" t="s">
        <v>162</v>
      </c>
      <c r="T993" s="438" t="s">
        <v>163</v>
      </c>
      <c r="U993" s="438" t="s">
        <v>164</v>
      </c>
      <c r="V993" s="438" t="s">
        <v>165</v>
      </c>
      <c r="W993" s="440" t="s">
        <v>113</v>
      </c>
      <c r="X993" s="438" t="s">
        <v>121</v>
      </c>
      <c r="Y993" s="438" t="s">
        <v>166</v>
      </c>
      <c r="Z993" s="442" t="s">
        <v>175</v>
      </c>
      <c r="AA993" s="442" t="s">
        <v>167</v>
      </c>
      <c r="AB993" s="443"/>
    </row>
    <row r="994" spans="1:28" s="444" customFormat="1">
      <c r="A994" s="701"/>
      <c r="B994" s="446" t="s">
        <v>187</v>
      </c>
      <c r="C994" s="447">
        <v>14326</v>
      </c>
      <c r="D994" s="433" t="s">
        <v>319</v>
      </c>
      <c r="E994" s="449" t="s">
        <v>318</v>
      </c>
      <c r="F994" s="433" t="s">
        <v>319</v>
      </c>
      <c r="G994" s="589">
        <v>46214</v>
      </c>
      <c r="H994" s="450"/>
      <c r="I994" s="450" t="s">
        <v>183</v>
      </c>
      <c r="J994" s="295">
        <v>0.77847222222222223</v>
      </c>
      <c r="K994" s="295">
        <v>0.16875000000000001</v>
      </c>
      <c r="L994" s="451" t="s">
        <v>168</v>
      </c>
      <c r="M994" s="452">
        <v>8</v>
      </c>
      <c r="N994" s="452"/>
      <c r="O994" s="452">
        <v>6</v>
      </c>
      <c r="P994" s="452"/>
      <c r="Q994" s="453"/>
      <c r="R994" s="452"/>
      <c r="S994" s="452"/>
      <c r="T994" s="453"/>
      <c r="U994" s="452"/>
      <c r="V994" s="453"/>
      <c r="W994" s="454"/>
      <c r="X994" s="455"/>
      <c r="Y994" s="456"/>
      <c r="Z994" s="457"/>
      <c r="AA994" s="458"/>
      <c r="AB994" s="443"/>
    </row>
    <row r="995" spans="1:28" s="444" customFormat="1">
      <c r="A995" s="702"/>
      <c r="B995" s="446" t="s">
        <v>187</v>
      </c>
      <c r="C995" s="447">
        <v>14326</v>
      </c>
      <c r="D995" s="433" t="s">
        <v>319</v>
      </c>
      <c r="E995" s="449" t="s">
        <v>318</v>
      </c>
      <c r="F995" s="433" t="s">
        <v>319</v>
      </c>
      <c r="G995" s="590">
        <v>46215</v>
      </c>
      <c r="H995" s="450"/>
      <c r="I995" s="450"/>
      <c r="J995" s="699" t="s">
        <v>173</v>
      </c>
      <c r="K995" s="700"/>
      <c r="L995" s="451"/>
      <c r="M995" s="452"/>
      <c r="N995" s="452"/>
      <c r="O995" s="452"/>
      <c r="P995" s="452"/>
      <c r="Q995" s="453"/>
      <c r="R995" s="452"/>
      <c r="S995" s="452"/>
      <c r="T995" s="453"/>
      <c r="U995" s="452"/>
      <c r="V995" s="453"/>
      <c r="W995" s="454"/>
      <c r="X995" s="455"/>
      <c r="Y995" s="456"/>
      <c r="Z995" s="457"/>
      <c r="AA995" s="458"/>
      <c r="AB995" s="443"/>
    </row>
    <row r="996" spans="1:28" s="444" customFormat="1">
      <c r="A996" s="702"/>
      <c r="B996" s="446" t="s">
        <v>187</v>
      </c>
      <c r="C996" s="446">
        <v>14326</v>
      </c>
      <c r="D996" s="433" t="s">
        <v>319</v>
      </c>
      <c r="E996" s="449" t="s">
        <v>318</v>
      </c>
      <c r="F996" s="433" t="s">
        <v>319</v>
      </c>
      <c r="G996" s="589">
        <v>46216</v>
      </c>
      <c r="H996" s="450"/>
      <c r="I996" s="450" t="s">
        <v>186</v>
      </c>
      <c r="J996" s="305">
        <v>0.31666666666666665</v>
      </c>
      <c r="K996" s="305">
        <v>0.71250000000000002</v>
      </c>
      <c r="L996" s="451" t="s">
        <v>169</v>
      </c>
      <c r="M996" s="452">
        <v>8</v>
      </c>
      <c r="N996" s="452"/>
      <c r="O996" s="452"/>
      <c r="P996" s="452"/>
      <c r="Q996" s="453"/>
      <c r="R996" s="452"/>
      <c r="S996" s="452"/>
      <c r="T996" s="453"/>
      <c r="U996" s="452"/>
      <c r="V996" s="453"/>
      <c r="W996" s="454"/>
      <c r="X996" s="455"/>
      <c r="Y996" s="456"/>
      <c r="Z996" s="457"/>
      <c r="AA996" s="458"/>
      <c r="AB996" s="443"/>
    </row>
    <row r="997" spans="1:28" s="444" customFormat="1">
      <c r="A997" s="702"/>
      <c r="B997" s="446" t="s">
        <v>187</v>
      </c>
      <c r="C997" s="446">
        <v>14326</v>
      </c>
      <c r="D997" s="433" t="s">
        <v>319</v>
      </c>
      <c r="E997" s="449" t="s">
        <v>318</v>
      </c>
      <c r="F997" s="433" t="s">
        <v>319</v>
      </c>
      <c r="G997" s="589">
        <v>46217</v>
      </c>
      <c r="H997" s="450"/>
      <c r="I997" s="450" t="s">
        <v>186</v>
      </c>
      <c r="J997" s="305">
        <v>0.31944444444444442</v>
      </c>
      <c r="K997" s="305">
        <v>0.71388888888888891</v>
      </c>
      <c r="L997" s="451" t="s">
        <v>169</v>
      </c>
      <c r="M997" s="452">
        <v>8</v>
      </c>
      <c r="N997" s="452"/>
      <c r="O997" s="452"/>
      <c r="P997" s="452"/>
      <c r="Q997" s="461"/>
      <c r="R997" s="462"/>
      <c r="S997" s="462"/>
      <c r="T997" s="461"/>
      <c r="U997" s="462"/>
      <c r="V997" s="461"/>
      <c r="W997" s="463"/>
      <c r="X997" s="464"/>
      <c r="Y997" s="465"/>
      <c r="Z997" s="466"/>
      <c r="AA997" s="467"/>
      <c r="AB997" s="443"/>
    </row>
    <row r="998" spans="1:28" s="444" customFormat="1">
      <c r="A998" s="702"/>
      <c r="B998" s="446" t="s">
        <v>187</v>
      </c>
      <c r="C998" s="446">
        <v>14326</v>
      </c>
      <c r="D998" s="433" t="s">
        <v>319</v>
      </c>
      <c r="E998" s="449" t="s">
        <v>318</v>
      </c>
      <c r="F998" s="433" t="s">
        <v>319</v>
      </c>
      <c r="G998" s="589">
        <v>46218</v>
      </c>
      <c r="H998" s="450"/>
      <c r="I998" s="450" t="s">
        <v>186</v>
      </c>
      <c r="J998" s="305">
        <v>0.31805555555555554</v>
      </c>
      <c r="K998" s="305">
        <v>0.71319444444444446</v>
      </c>
      <c r="L998" s="451" t="s">
        <v>169</v>
      </c>
      <c r="M998" s="452">
        <v>8</v>
      </c>
      <c r="N998" s="452"/>
      <c r="O998" s="452"/>
      <c r="P998" s="452"/>
      <c r="Q998" s="453"/>
      <c r="R998" s="452"/>
      <c r="S998" s="452"/>
      <c r="T998" s="453"/>
      <c r="U998" s="452"/>
      <c r="V998" s="453"/>
      <c r="W998" s="454"/>
      <c r="X998" s="455"/>
      <c r="Y998" s="456"/>
      <c r="Z998" s="457"/>
      <c r="AA998" s="458"/>
      <c r="AB998" s="443"/>
    </row>
    <row r="999" spans="1:28" s="444" customFormat="1">
      <c r="A999" s="702"/>
      <c r="B999" s="446" t="s">
        <v>187</v>
      </c>
      <c r="C999" s="446">
        <v>14326</v>
      </c>
      <c r="D999" s="433" t="s">
        <v>319</v>
      </c>
      <c r="E999" s="449" t="s">
        <v>318</v>
      </c>
      <c r="F999" s="433" t="s">
        <v>319</v>
      </c>
      <c r="G999" s="589">
        <v>46219</v>
      </c>
      <c r="H999" s="450"/>
      <c r="I999" s="450" t="s">
        <v>186</v>
      </c>
      <c r="J999" s="305">
        <v>0.32083333333333336</v>
      </c>
      <c r="K999" s="305">
        <v>0.71458333333333324</v>
      </c>
      <c r="L999" s="451" t="s">
        <v>169</v>
      </c>
      <c r="M999" s="452">
        <v>8</v>
      </c>
      <c r="N999" s="452"/>
      <c r="O999" s="452"/>
      <c r="P999" s="452"/>
      <c r="Q999" s="453"/>
      <c r="R999" s="452"/>
      <c r="S999" s="452"/>
      <c r="T999" s="453"/>
      <c r="U999" s="452"/>
      <c r="V999" s="453"/>
      <c r="W999" s="454"/>
      <c r="X999" s="455"/>
      <c r="Y999" s="456"/>
      <c r="Z999" s="457"/>
      <c r="AA999" s="458"/>
      <c r="AB999" s="443"/>
    </row>
    <row r="1000" spans="1:28" s="444" customFormat="1">
      <c r="A1000" s="702"/>
      <c r="B1000" s="446" t="s">
        <v>187</v>
      </c>
      <c r="C1000" s="446">
        <v>14326</v>
      </c>
      <c r="D1000" s="433" t="s">
        <v>319</v>
      </c>
      <c r="E1000" s="449" t="s">
        <v>318</v>
      </c>
      <c r="F1000" s="433" t="s">
        <v>319</v>
      </c>
      <c r="G1000" s="589">
        <v>46220</v>
      </c>
      <c r="H1000" s="450"/>
      <c r="I1000" s="450" t="s">
        <v>186</v>
      </c>
      <c r="J1000" s="305">
        <v>0.31111111111111112</v>
      </c>
      <c r="K1000" s="305">
        <v>0.71388888888888891</v>
      </c>
      <c r="L1000" s="451" t="s">
        <v>169</v>
      </c>
      <c r="M1000" s="452">
        <v>8</v>
      </c>
      <c r="N1000" s="452"/>
      <c r="O1000" s="452"/>
      <c r="P1000" s="452"/>
      <c r="Q1000" s="453"/>
      <c r="R1000" s="452"/>
      <c r="S1000" s="452"/>
      <c r="T1000" s="453"/>
      <c r="U1000" s="452"/>
      <c r="V1000" s="453"/>
      <c r="W1000" s="454"/>
      <c r="X1000" s="455"/>
      <c r="Y1000" s="456"/>
      <c r="Z1000" s="457"/>
      <c r="AA1000" s="458"/>
      <c r="AB1000" s="443"/>
    </row>
    <row r="1001" spans="1:28" s="444" customFormat="1">
      <c r="A1001" s="702"/>
      <c r="B1001" s="446" t="s">
        <v>187</v>
      </c>
      <c r="C1001" s="446">
        <v>14326</v>
      </c>
      <c r="D1001" s="433" t="s">
        <v>319</v>
      </c>
      <c r="E1001" s="449" t="s">
        <v>318</v>
      </c>
      <c r="F1001" s="433" t="s">
        <v>319</v>
      </c>
      <c r="G1001" s="589">
        <v>46221</v>
      </c>
      <c r="H1001" s="450"/>
      <c r="I1001" s="450" t="s">
        <v>186</v>
      </c>
      <c r="J1001" s="305">
        <v>0.30902777777777779</v>
      </c>
      <c r="K1001" s="305">
        <v>0.71319444444444446</v>
      </c>
      <c r="L1001" s="451" t="s">
        <v>169</v>
      </c>
      <c r="M1001" s="452">
        <v>8</v>
      </c>
      <c r="N1001" s="452"/>
      <c r="O1001" s="452"/>
      <c r="P1001" s="452"/>
      <c r="Q1001" s="453"/>
      <c r="R1001" s="452"/>
      <c r="S1001" s="452"/>
      <c r="T1001" s="453"/>
      <c r="U1001" s="452"/>
      <c r="V1001" s="453"/>
      <c r="W1001" s="454"/>
      <c r="X1001" s="455"/>
      <c r="Y1001" s="456"/>
      <c r="Z1001" s="457"/>
      <c r="AA1001" s="458"/>
      <c r="AB1001" s="443"/>
    </row>
    <row r="1002" spans="1:28" s="444" customFormat="1">
      <c r="A1002" s="702"/>
      <c r="B1002" s="446" t="s">
        <v>187</v>
      </c>
      <c r="C1002" s="446">
        <v>14326</v>
      </c>
      <c r="D1002" s="433" t="s">
        <v>319</v>
      </c>
      <c r="E1002" s="449" t="s">
        <v>318</v>
      </c>
      <c r="F1002" s="433" t="s">
        <v>319</v>
      </c>
      <c r="G1002" s="590">
        <v>46222</v>
      </c>
      <c r="H1002" s="450"/>
      <c r="I1002" s="450"/>
      <c r="J1002" s="699" t="s">
        <v>173</v>
      </c>
      <c r="K1002" s="700"/>
      <c r="L1002" s="451"/>
      <c r="M1002" s="452"/>
      <c r="N1002" s="452"/>
      <c r="O1002" s="452"/>
      <c r="P1002" s="452"/>
      <c r="Q1002" s="453"/>
      <c r="R1002" s="452"/>
      <c r="S1002" s="452"/>
      <c r="T1002" s="453"/>
      <c r="U1002" s="452"/>
      <c r="V1002" s="453"/>
      <c r="W1002" s="454"/>
      <c r="X1002" s="455"/>
      <c r="Y1002" s="456"/>
      <c r="Z1002" s="457"/>
      <c r="AA1002" s="458"/>
      <c r="AB1002" s="443"/>
    </row>
    <row r="1003" spans="1:28" s="444" customFormat="1">
      <c r="A1003" s="702"/>
      <c r="B1003" s="446" t="s">
        <v>187</v>
      </c>
      <c r="C1003" s="446">
        <v>14326</v>
      </c>
      <c r="D1003" s="433" t="s">
        <v>319</v>
      </c>
      <c r="E1003" s="449" t="s">
        <v>318</v>
      </c>
      <c r="F1003" s="433" t="s">
        <v>319</v>
      </c>
      <c r="G1003" s="589">
        <v>46223</v>
      </c>
      <c r="H1003" s="450"/>
      <c r="I1003" s="450" t="s">
        <v>186</v>
      </c>
      <c r="J1003" s="295">
        <v>0.31041666666666667</v>
      </c>
      <c r="K1003" s="295">
        <v>0.71250000000000002</v>
      </c>
      <c r="L1003" s="451" t="s">
        <v>169</v>
      </c>
      <c r="M1003" s="452">
        <v>8</v>
      </c>
      <c r="N1003" s="462"/>
      <c r="O1003" s="462"/>
      <c r="P1003" s="462"/>
      <c r="Q1003" s="461"/>
      <c r="R1003" s="462"/>
      <c r="S1003" s="462"/>
      <c r="T1003" s="461"/>
      <c r="U1003" s="462"/>
      <c r="V1003" s="461"/>
      <c r="W1003" s="454"/>
      <c r="X1003" s="455"/>
      <c r="Y1003" s="456"/>
      <c r="Z1003" s="457"/>
      <c r="AA1003" s="458"/>
      <c r="AB1003" s="443"/>
    </row>
    <row r="1004" spans="1:28" s="444" customFormat="1">
      <c r="A1004" s="702"/>
      <c r="B1004" s="446" t="s">
        <v>187</v>
      </c>
      <c r="C1004" s="446">
        <v>14326</v>
      </c>
      <c r="D1004" s="433" t="s">
        <v>319</v>
      </c>
      <c r="E1004" s="449" t="s">
        <v>318</v>
      </c>
      <c r="F1004" s="433" t="s">
        <v>319</v>
      </c>
      <c r="G1004" s="589">
        <v>46224</v>
      </c>
      <c r="H1004" s="450"/>
      <c r="I1004" s="450" t="s">
        <v>186</v>
      </c>
      <c r="J1004" s="295">
        <v>0.31319444444444444</v>
      </c>
      <c r="K1004" s="295">
        <v>0.71319444444444446</v>
      </c>
      <c r="L1004" s="451" t="s">
        <v>169</v>
      </c>
      <c r="M1004" s="452">
        <v>8</v>
      </c>
      <c r="N1004" s="477"/>
      <c r="O1004" s="477"/>
      <c r="P1004" s="477"/>
      <c r="Q1004" s="468"/>
      <c r="R1004" s="469"/>
      <c r="S1004" s="469"/>
      <c r="T1004" s="461"/>
      <c r="U1004" s="462"/>
      <c r="V1004" s="461"/>
      <c r="W1004" s="463"/>
      <c r="X1004" s="464"/>
      <c r="Y1004" s="465"/>
      <c r="Z1004" s="466"/>
      <c r="AA1004" s="467"/>
      <c r="AB1004" s="443"/>
    </row>
    <row r="1005" spans="1:28" s="444" customFormat="1">
      <c r="A1005" s="702"/>
      <c r="B1005" s="446" t="s">
        <v>187</v>
      </c>
      <c r="C1005" s="446">
        <v>14326</v>
      </c>
      <c r="D1005" s="433" t="s">
        <v>319</v>
      </c>
      <c r="E1005" s="449" t="s">
        <v>318</v>
      </c>
      <c r="F1005" s="433" t="s">
        <v>319</v>
      </c>
      <c r="G1005" s="589">
        <v>46225</v>
      </c>
      <c r="H1005" s="450"/>
      <c r="I1005" s="450" t="s">
        <v>186</v>
      </c>
      <c r="J1005" s="295">
        <v>0.31527777777777777</v>
      </c>
      <c r="K1005" s="295">
        <v>0.71388888888888891</v>
      </c>
      <c r="L1005" s="451" t="s">
        <v>169</v>
      </c>
      <c r="M1005" s="452">
        <v>8</v>
      </c>
      <c r="N1005" s="471"/>
      <c r="O1005" s="452"/>
      <c r="P1005" s="452"/>
      <c r="Q1005" s="453"/>
      <c r="R1005" s="452"/>
      <c r="S1005" s="452"/>
      <c r="T1005" s="453"/>
      <c r="U1005" s="452"/>
      <c r="V1005" s="453"/>
      <c r="W1005" s="454"/>
      <c r="X1005" s="455"/>
      <c r="Y1005" s="456"/>
      <c r="Z1005" s="457"/>
      <c r="AA1005" s="458"/>
      <c r="AB1005" s="443"/>
    </row>
    <row r="1006" spans="1:28" s="444" customFormat="1">
      <c r="A1006" s="702"/>
      <c r="B1006" s="446" t="s">
        <v>187</v>
      </c>
      <c r="C1006" s="446">
        <v>14326</v>
      </c>
      <c r="D1006" s="433" t="s">
        <v>319</v>
      </c>
      <c r="E1006" s="449" t="s">
        <v>318</v>
      </c>
      <c r="F1006" s="433" t="s">
        <v>319</v>
      </c>
      <c r="G1006" s="589">
        <v>46226</v>
      </c>
      <c r="H1006" s="450"/>
      <c r="I1006" s="450" t="s">
        <v>186</v>
      </c>
      <c r="J1006" s="295">
        <v>0.31944444444444442</v>
      </c>
      <c r="K1006" s="295">
        <v>0.71319444444444446</v>
      </c>
      <c r="L1006" s="451" t="s">
        <v>169</v>
      </c>
      <c r="M1006" s="452">
        <v>8</v>
      </c>
      <c r="N1006" s="471"/>
      <c r="O1006" s="470"/>
      <c r="P1006" s="470"/>
      <c r="Q1006" s="453"/>
      <c r="R1006" s="452"/>
      <c r="S1006" s="452"/>
      <c r="T1006" s="453"/>
      <c r="U1006" s="452"/>
      <c r="V1006" s="453"/>
      <c r="W1006" s="454"/>
      <c r="X1006" s="455"/>
      <c r="Y1006" s="456"/>
      <c r="Z1006" s="457"/>
      <c r="AA1006" s="458"/>
      <c r="AB1006" s="443"/>
    </row>
    <row r="1007" spans="1:28" s="444" customFormat="1">
      <c r="A1007" s="702"/>
      <c r="B1007" s="446" t="s">
        <v>187</v>
      </c>
      <c r="C1007" s="446">
        <v>14326</v>
      </c>
      <c r="D1007" s="433" t="s">
        <v>319</v>
      </c>
      <c r="E1007" s="449" t="s">
        <v>318</v>
      </c>
      <c r="F1007" s="433" t="s">
        <v>319</v>
      </c>
      <c r="G1007" s="589">
        <v>46227</v>
      </c>
      <c r="H1007" s="450"/>
      <c r="I1007" s="450" t="s">
        <v>186</v>
      </c>
      <c r="J1007" s="295">
        <v>0.31944444444444442</v>
      </c>
      <c r="K1007" s="318">
        <v>0.70902777777777781</v>
      </c>
      <c r="L1007" s="451" t="s">
        <v>169</v>
      </c>
      <c r="M1007" s="452">
        <v>8</v>
      </c>
      <c r="N1007" s="471"/>
      <c r="O1007" s="471"/>
      <c r="P1007" s="471"/>
      <c r="Q1007" s="472"/>
      <c r="R1007" s="471"/>
      <c r="S1007" s="471"/>
      <c r="T1007" s="453"/>
      <c r="U1007" s="452"/>
      <c r="V1007" s="453"/>
      <c r="W1007" s="454"/>
      <c r="X1007" s="455"/>
      <c r="Y1007" s="456"/>
      <c r="Z1007" s="457"/>
      <c r="AA1007" s="458"/>
      <c r="AB1007" s="443"/>
    </row>
    <row r="1008" spans="1:28" s="444" customFormat="1">
      <c r="A1008" s="702"/>
      <c r="B1008" s="446" t="s">
        <v>187</v>
      </c>
      <c r="C1008" s="446">
        <v>14326</v>
      </c>
      <c r="D1008" s="433" t="s">
        <v>319</v>
      </c>
      <c r="E1008" s="449" t="s">
        <v>318</v>
      </c>
      <c r="F1008" s="433" t="s">
        <v>319</v>
      </c>
      <c r="G1008" s="589">
        <v>46228</v>
      </c>
      <c r="H1008" s="450"/>
      <c r="I1008" s="450" t="s">
        <v>186</v>
      </c>
      <c r="J1008" s="295"/>
      <c r="K1008" s="295"/>
      <c r="L1008" s="451"/>
      <c r="M1008" s="452"/>
      <c r="N1008" s="452"/>
      <c r="O1008" s="452"/>
      <c r="P1008" s="452"/>
      <c r="Q1008" s="453"/>
      <c r="R1008" s="452"/>
      <c r="S1008" s="473"/>
      <c r="T1008" s="453"/>
      <c r="U1008" s="452"/>
      <c r="V1008" s="453"/>
      <c r="W1008" s="454"/>
      <c r="X1008" s="455"/>
      <c r="Y1008" s="456"/>
      <c r="Z1008" s="457"/>
      <c r="AA1008" s="458"/>
      <c r="AB1008" s="443"/>
    </row>
    <row r="1009" spans="1:28" s="444" customFormat="1">
      <c r="A1009" s="702"/>
      <c r="B1009" s="446"/>
      <c r="C1009" s="446"/>
      <c r="D1009" s="449"/>
      <c r="E1009" s="449"/>
      <c r="F1009" s="449"/>
      <c r="G1009" s="600"/>
      <c r="H1009" s="450"/>
      <c r="I1009" s="450"/>
      <c r="J1009" s="474"/>
      <c r="K1009" s="475"/>
      <c r="L1009" s="476"/>
      <c r="M1009" s="477"/>
      <c r="N1009" s="477"/>
      <c r="O1009" s="477"/>
      <c r="P1009" s="477"/>
      <c r="Q1009" s="478"/>
      <c r="R1009" s="477"/>
      <c r="S1009" s="479"/>
      <c r="T1009" s="453"/>
      <c r="U1009" s="452"/>
      <c r="V1009" s="453"/>
      <c r="W1009" s="454"/>
      <c r="X1009" s="455"/>
      <c r="Y1009" s="456"/>
      <c r="Z1009" s="457"/>
      <c r="AA1009" s="458"/>
      <c r="AB1009" s="443"/>
    </row>
    <row r="1010" spans="1:28" s="444" customFormat="1">
      <c r="A1010" s="703"/>
      <c r="B1010" s="481"/>
      <c r="C1010" s="446"/>
      <c r="D1010" s="481"/>
      <c r="E1010" s="449"/>
      <c r="F1010" s="481"/>
      <c r="G1010" s="601"/>
      <c r="H1010" s="482"/>
      <c r="I1010" s="483"/>
      <c r="J1010" s="484"/>
      <c r="K1010" s="485"/>
      <c r="L1010" s="483"/>
      <c r="M1010" s="483">
        <f t="shared" ref="M1010:AA1010" si="56">SUM(M993:M1009)</f>
        <v>96</v>
      </c>
      <c r="N1010" s="483">
        <f t="shared" si="56"/>
        <v>0</v>
      </c>
      <c r="O1010" s="483">
        <f t="shared" si="56"/>
        <v>6</v>
      </c>
      <c r="P1010" s="483">
        <f t="shared" si="56"/>
        <v>0</v>
      </c>
      <c r="Q1010" s="483">
        <f t="shared" si="56"/>
        <v>0</v>
      </c>
      <c r="R1010" s="483">
        <f t="shared" si="56"/>
        <v>0</v>
      </c>
      <c r="S1010" s="483">
        <f t="shared" si="56"/>
        <v>0</v>
      </c>
      <c r="T1010" s="483">
        <f t="shared" si="56"/>
        <v>0</v>
      </c>
      <c r="U1010" s="483">
        <f t="shared" si="56"/>
        <v>0</v>
      </c>
      <c r="V1010" s="483">
        <f t="shared" si="56"/>
        <v>0</v>
      </c>
      <c r="W1010" s="483">
        <f t="shared" si="56"/>
        <v>0</v>
      </c>
      <c r="X1010" s="483">
        <f t="shared" si="56"/>
        <v>0</v>
      </c>
      <c r="Y1010" s="483">
        <f t="shared" si="56"/>
        <v>0</v>
      </c>
      <c r="Z1010" s="483">
        <f t="shared" si="56"/>
        <v>0</v>
      </c>
      <c r="AA1010" s="491">
        <f t="shared" si="56"/>
        <v>0</v>
      </c>
      <c r="AB1010" s="443"/>
    </row>
    <row r="1011" spans="1:28" s="444" customFormat="1">
      <c r="A1011" s="435" t="s">
        <v>170</v>
      </c>
      <c r="B1011" s="435" t="s">
        <v>120</v>
      </c>
      <c r="C1011" s="435" t="s">
        <v>152</v>
      </c>
      <c r="D1011" s="435" t="s">
        <v>182</v>
      </c>
      <c r="E1011" s="436" t="s">
        <v>153</v>
      </c>
      <c r="F1011" s="435" t="s">
        <v>182</v>
      </c>
      <c r="G1011" s="599" t="s">
        <v>401</v>
      </c>
      <c r="H1011" s="437"/>
      <c r="I1011" s="438" t="s">
        <v>181</v>
      </c>
      <c r="J1011" s="439" t="s">
        <v>154</v>
      </c>
      <c r="K1011" s="439" t="s">
        <v>155</v>
      </c>
      <c r="L1011" s="440" t="s">
        <v>156</v>
      </c>
      <c r="M1011" s="441" t="s">
        <v>157</v>
      </c>
      <c r="N1011" s="440" t="s">
        <v>158</v>
      </c>
      <c r="O1011" s="440" t="s">
        <v>159</v>
      </c>
      <c r="P1011" s="440" t="s">
        <v>174</v>
      </c>
      <c r="Q1011" s="440" t="s">
        <v>160</v>
      </c>
      <c r="R1011" s="440" t="s">
        <v>161</v>
      </c>
      <c r="S1011" s="440" t="s">
        <v>162</v>
      </c>
      <c r="T1011" s="438" t="s">
        <v>163</v>
      </c>
      <c r="U1011" s="438" t="s">
        <v>164</v>
      </c>
      <c r="V1011" s="438" t="s">
        <v>165</v>
      </c>
      <c r="W1011" s="440" t="s">
        <v>113</v>
      </c>
      <c r="X1011" s="438" t="s">
        <v>121</v>
      </c>
      <c r="Y1011" s="438" t="s">
        <v>166</v>
      </c>
      <c r="Z1011" s="442" t="s">
        <v>175</v>
      </c>
      <c r="AA1011" s="442" t="s">
        <v>167</v>
      </c>
      <c r="AB1011" s="443"/>
    </row>
    <row r="1012" spans="1:28" s="444" customFormat="1">
      <c r="A1012" s="701"/>
      <c r="B1012" s="446" t="s">
        <v>187</v>
      </c>
      <c r="C1012" s="447">
        <v>14328</v>
      </c>
      <c r="D1012" s="448" t="s">
        <v>317</v>
      </c>
      <c r="E1012" s="509" t="s">
        <v>316</v>
      </c>
      <c r="F1012" s="448" t="s">
        <v>317</v>
      </c>
      <c r="G1012" s="589">
        <v>46214</v>
      </c>
      <c r="H1012" s="450"/>
      <c r="I1012" s="450"/>
      <c r="J1012" s="295"/>
      <c r="K1012" s="295"/>
      <c r="L1012" s="451"/>
      <c r="M1012" s="452"/>
      <c r="N1012" s="452"/>
      <c r="O1012" s="452"/>
      <c r="P1012" s="452"/>
      <c r="Q1012" s="453"/>
      <c r="R1012" s="452"/>
      <c r="S1012" s="452"/>
      <c r="T1012" s="453"/>
      <c r="U1012" s="452"/>
      <c r="V1012" s="453"/>
      <c r="W1012" s="454"/>
      <c r="X1012" s="455"/>
      <c r="Y1012" s="456"/>
      <c r="Z1012" s="457"/>
      <c r="AA1012" s="458"/>
      <c r="AB1012" s="443"/>
    </row>
    <row r="1013" spans="1:28" s="444" customFormat="1">
      <c r="A1013" s="702"/>
      <c r="B1013" s="446" t="s">
        <v>187</v>
      </c>
      <c r="C1013" s="447">
        <v>14328</v>
      </c>
      <c r="D1013" s="448" t="s">
        <v>317</v>
      </c>
      <c r="E1013" s="510" t="s">
        <v>316</v>
      </c>
      <c r="F1013" s="448" t="s">
        <v>317</v>
      </c>
      <c r="G1013" s="590">
        <v>46215</v>
      </c>
      <c r="H1013" s="450"/>
      <c r="I1013" s="450"/>
      <c r="J1013" s="699" t="s">
        <v>173</v>
      </c>
      <c r="K1013" s="700"/>
      <c r="L1013" s="451"/>
      <c r="M1013" s="452"/>
      <c r="N1013" s="452"/>
      <c r="O1013" s="452"/>
      <c r="P1013" s="452"/>
      <c r="Q1013" s="453"/>
      <c r="R1013" s="452"/>
      <c r="S1013" s="452"/>
      <c r="T1013" s="453"/>
      <c r="U1013" s="452"/>
      <c r="V1013" s="453"/>
      <c r="W1013" s="454"/>
      <c r="X1013" s="455"/>
      <c r="Y1013" s="456"/>
      <c r="Z1013" s="457"/>
      <c r="AA1013" s="458"/>
      <c r="AB1013" s="443"/>
    </row>
    <row r="1014" spans="1:28" s="444" customFormat="1">
      <c r="A1014" s="702"/>
      <c r="B1014" s="446" t="s">
        <v>187</v>
      </c>
      <c r="C1014" s="446">
        <v>14328</v>
      </c>
      <c r="D1014" s="448" t="s">
        <v>317</v>
      </c>
      <c r="E1014" s="510" t="s">
        <v>316</v>
      </c>
      <c r="F1014" s="448" t="s">
        <v>317</v>
      </c>
      <c r="G1014" s="589">
        <v>46216</v>
      </c>
      <c r="H1014" s="450"/>
      <c r="I1014" s="450" t="s">
        <v>183</v>
      </c>
      <c r="J1014" s="305">
        <v>0.77500000000000002</v>
      </c>
      <c r="K1014" s="305">
        <v>0.17083333333333334</v>
      </c>
      <c r="L1014" s="451" t="s">
        <v>168</v>
      </c>
      <c r="M1014" s="452">
        <v>8</v>
      </c>
      <c r="N1014" s="452"/>
      <c r="O1014" s="452">
        <v>6</v>
      </c>
      <c r="P1014" s="452"/>
      <c r="Q1014" s="453"/>
      <c r="R1014" s="452"/>
      <c r="S1014" s="452"/>
      <c r="T1014" s="453"/>
      <c r="U1014" s="452"/>
      <c r="V1014" s="453"/>
      <c r="W1014" s="454"/>
      <c r="X1014" s="455"/>
      <c r="Y1014" s="456"/>
      <c r="Z1014" s="457"/>
      <c r="AA1014" s="458"/>
      <c r="AB1014" s="443"/>
    </row>
    <row r="1015" spans="1:28" s="444" customFormat="1">
      <c r="A1015" s="702"/>
      <c r="B1015" s="446" t="s">
        <v>187</v>
      </c>
      <c r="C1015" s="446">
        <v>14328</v>
      </c>
      <c r="D1015" s="448" t="s">
        <v>317</v>
      </c>
      <c r="E1015" s="510" t="s">
        <v>316</v>
      </c>
      <c r="F1015" s="448" t="s">
        <v>317</v>
      </c>
      <c r="G1015" s="589">
        <v>46217</v>
      </c>
      <c r="H1015" s="450"/>
      <c r="I1015" s="450" t="s">
        <v>183</v>
      </c>
      <c r="J1015" s="305">
        <v>0.78680555555555554</v>
      </c>
      <c r="K1015" s="305">
        <v>0.25277777777777777</v>
      </c>
      <c r="L1015" s="451" t="s">
        <v>168</v>
      </c>
      <c r="M1015" s="452">
        <v>8</v>
      </c>
      <c r="N1015" s="452">
        <v>2</v>
      </c>
      <c r="O1015" s="452">
        <v>6</v>
      </c>
      <c r="P1015" s="452">
        <v>2</v>
      </c>
      <c r="Q1015" s="461"/>
      <c r="R1015" s="462"/>
      <c r="S1015" s="462"/>
      <c r="T1015" s="461"/>
      <c r="U1015" s="462"/>
      <c r="V1015" s="461"/>
      <c r="W1015" s="463"/>
      <c r="X1015" s="464"/>
      <c r="Y1015" s="465"/>
      <c r="Z1015" s="466"/>
      <c r="AA1015" s="467"/>
      <c r="AB1015" s="443"/>
    </row>
    <row r="1016" spans="1:28" s="444" customFormat="1">
      <c r="A1016" s="702"/>
      <c r="B1016" s="446" t="s">
        <v>187</v>
      </c>
      <c r="C1016" s="446">
        <v>14328</v>
      </c>
      <c r="D1016" s="448" t="s">
        <v>317</v>
      </c>
      <c r="E1016" s="449" t="s">
        <v>316</v>
      </c>
      <c r="F1016" s="448" t="s">
        <v>317</v>
      </c>
      <c r="G1016" s="589">
        <v>46218</v>
      </c>
      <c r="H1016" s="450"/>
      <c r="I1016" s="450" t="s">
        <v>183</v>
      </c>
      <c r="J1016" s="305">
        <v>0.77569444444444446</v>
      </c>
      <c r="K1016" s="305">
        <v>0.16944444444444443</v>
      </c>
      <c r="L1016" s="451" t="s">
        <v>168</v>
      </c>
      <c r="M1016" s="452">
        <v>8</v>
      </c>
      <c r="N1016" s="452"/>
      <c r="O1016" s="452">
        <v>6</v>
      </c>
      <c r="P1016" s="452"/>
      <c r="Q1016" s="453"/>
      <c r="R1016" s="452"/>
      <c r="S1016" s="452"/>
      <c r="T1016" s="453"/>
      <c r="U1016" s="452"/>
      <c r="V1016" s="453"/>
      <c r="W1016" s="454"/>
      <c r="X1016" s="455"/>
      <c r="Y1016" s="456"/>
      <c r="Z1016" s="457"/>
      <c r="AA1016" s="458"/>
      <c r="AB1016" s="443"/>
    </row>
    <row r="1017" spans="1:28" s="444" customFormat="1">
      <c r="A1017" s="702"/>
      <c r="B1017" s="446" t="s">
        <v>187</v>
      </c>
      <c r="C1017" s="446">
        <v>14328</v>
      </c>
      <c r="D1017" s="448" t="s">
        <v>317</v>
      </c>
      <c r="E1017" s="449" t="s">
        <v>316</v>
      </c>
      <c r="F1017" s="448" t="s">
        <v>317</v>
      </c>
      <c r="G1017" s="589">
        <v>46219</v>
      </c>
      <c r="H1017" s="450"/>
      <c r="I1017" s="450" t="s">
        <v>183</v>
      </c>
      <c r="J1017" s="305">
        <v>0.77847222222222223</v>
      </c>
      <c r="K1017" s="305">
        <v>0.16944444444444443</v>
      </c>
      <c r="L1017" s="451" t="s">
        <v>168</v>
      </c>
      <c r="M1017" s="452">
        <v>8</v>
      </c>
      <c r="N1017" s="452"/>
      <c r="O1017" s="452">
        <v>6</v>
      </c>
      <c r="P1017" s="452"/>
      <c r="Q1017" s="453"/>
      <c r="R1017" s="452"/>
      <c r="S1017" s="452"/>
      <c r="T1017" s="453"/>
      <c r="U1017" s="452"/>
      <c r="V1017" s="453"/>
      <c r="W1017" s="454"/>
      <c r="X1017" s="455"/>
      <c r="Y1017" s="456"/>
      <c r="Z1017" s="457"/>
      <c r="AA1017" s="458"/>
      <c r="AB1017" s="443"/>
    </row>
    <row r="1018" spans="1:28" s="444" customFormat="1">
      <c r="A1018" s="702"/>
      <c r="B1018" s="446" t="s">
        <v>187</v>
      </c>
      <c r="C1018" s="446">
        <v>14328</v>
      </c>
      <c r="D1018" s="448" t="s">
        <v>317</v>
      </c>
      <c r="E1018" s="449" t="s">
        <v>316</v>
      </c>
      <c r="F1018" s="448" t="s">
        <v>317</v>
      </c>
      <c r="G1018" s="589">
        <v>46220</v>
      </c>
      <c r="H1018" s="450"/>
      <c r="I1018" s="450" t="s">
        <v>183</v>
      </c>
      <c r="J1018" s="305">
        <v>0.77638888888888891</v>
      </c>
      <c r="K1018" s="305">
        <v>0.16875000000000001</v>
      </c>
      <c r="L1018" s="451" t="s">
        <v>168</v>
      </c>
      <c r="M1018" s="452">
        <v>8</v>
      </c>
      <c r="N1018" s="452"/>
      <c r="O1018" s="452">
        <v>6</v>
      </c>
      <c r="P1018" s="452"/>
      <c r="Q1018" s="453"/>
      <c r="R1018" s="452"/>
      <c r="S1018" s="452"/>
      <c r="T1018" s="453"/>
      <c r="U1018" s="452"/>
      <c r="V1018" s="453"/>
      <c r="W1018" s="454"/>
      <c r="X1018" s="455"/>
      <c r="Y1018" s="456"/>
      <c r="Z1018" s="457"/>
      <c r="AA1018" s="458"/>
      <c r="AB1018" s="443"/>
    </row>
    <row r="1019" spans="1:28" s="444" customFormat="1">
      <c r="A1019" s="702"/>
      <c r="B1019" s="446" t="s">
        <v>187</v>
      </c>
      <c r="C1019" s="446">
        <v>14328</v>
      </c>
      <c r="D1019" s="448" t="s">
        <v>317</v>
      </c>
      <c r="E1019" s="449" t="s">
        <v>316</v>
      </c>
      <c r="F1019" s="448" t="s">
        <v>317</v>
      </c>
      <c r="G1019" s="589">
        <v>46221</v>
      </c>
      <c r="H1019" s="450"/>
      <c r="I1019" s="450" t="s">
        <v>183</v>
      </c>
      <c r="J1019" s="305">
        <v>0.77986111111111112</v>
      </c>
      <c r="K1019" s="305">
        <v>0.16875000000000001</v>
      </c>
      <c r="L1019" s="451" t="s">
        <v>168</v>
      </c>
      <c r="M1019" s="452">
        <v>8</v>
      </c>
      <c r="N1019" s="452"/>
      <c r="O1019" s="452">
        <v>6</v>
      </c>
      <c r="P1019" s="452"/>
      <c r="Q1019" s="453"/>
      <c r="R1019" s="452"/>
      <c r="S1019" s="452"/>
      <c r="T1019" s="453"/>
      <c r="U1019" s="452"/>
      <c r="V1019" s="453"/>
      <c r="W1019" s="454"/>
      <c r="X1019" s="455"/>
      <c r="Y1019" s="456"/>
      <c r="Z1019" s="457"/>
      <c r="AA1019" s="458"/>
      <c r="AB1019" s="443"/>
    </row>
    <row r="1020" spans="1:28" s="444" customFormat="1">
      <c r="A1020" s="702"/>
      <c r="B1020" s="446" t="s">
        <v>187</v>
      </c>
      <c r="C1020" s="446">
        <v>14328</v>
      </c>
      <c r="D1020" s="448" t="s">
        <v>317</v>
      </c>
      <c r="E1020" s="449" t="s">
        <v>316</v>
      </c>
      <c r="F1020" s="448" t="s">
        <v>317</v>
      </c>
      <c r="G1020" s="590">
        <v>46222</v>
      </c>
      <c r="H1020" s="450"/>
      <c r="I1020" s="450"/>
      <c r="J1020" s="699" t="s">
        <v>173</v>
      </c>
      <c r="K1020" s="700"/>
      <c r="L1020" s="451"/>
      <c r="M1020" s="452"/>
      <c r="N1020" s="452"/>
      <c r="O1020" s="452"/>
      <c r="P1020" s="452"/>
      <c r="Q1020" s="453"/>
      <c r="R1020" s="452"/>
      <c r="S1020" s="452"/>
      <c r="T1020" s="453"/>
      <c r="U1020" s="452"/>
      <c r="V1020" s="453"/>
      <c r="W1020" s="454"/>
      <c r="X1020" s="455"/>
      <c r="Y1020" s="456"/>
      <c r="Z1020" s="457"/>
      <c r="AA1020" s="458"/>
      <c r="AB1020" s="443"/>
    </row>
    <row r="1021" spans="1:28" s="444" customFormat="1">
      <c r="A1021" s="702"/>
      <c r="B1021" s="446" t="s">
        <v>187</v>
      </c>
      <c r="C1021" s="446">
        <v>14328</v>
      </c>
      <c r="D1021" s="448" t="s">
        <v>317</v>
      </c>
      <c r="E1021" s="449" t="s">
        <v>316</v>
      </c>
      <c r="F1021" s="448" t="s">
        <v>317</v>
      </c>
      <c r="G1021" s="589">
        <v>46223</v>
      </c>
      <c r="H1021" s="450"/>
      <c r="I1021" s="450" t="s">
        <v>183</v>
      </c>
      <c r="J1021" s="295">
        <v>0.77083333333333337</v>
      </c>
      <c r="K1021" s="295">
        <v>0.16805555555555557</v>
      </c>
      <c r="L1021" s="451" t="s">
        <v>168</v>
      </c>
      <c r="M1021" s="452">
        <v>8</v>
      </c>
      <c r="N1021" s="452"/>
      <c r="O1021" s="452">
        <v>6</v>
      </c>
      <c r="P1021" s="462"/>
      <c r="Q1021" s="461"/>
      <c r="R1021" s="462"/>
      <c r="S1021" s="462"/>
      <c r="T1021" s="461"/>
      <c r="U1021" s="462"/>
      <c r="V1021" s="461"/>
      <c r="W1021" s="454"/>
      <c r="X1021" s="455"/>
      <c r="Y1021" s="456"/>
      <c r="Z1021" s="457"/>
      <c r="AA1021" s="458"/>
      <c r="AB1021" s="443"/>
    </row>
    <row r="1022" spans="1:28" s="444" customFormat="1">
      <c r="A1022" s="702"/>
      <c r="B1022" s="446" t="s">
        <v>187</v>
      </c>
      <c r="C1022" s="446">
        <v>14328</v>
      </c>
      <c r="D1022" s="448" t="s">
        <v>317</v>
      </c>
      <c r="E1022" s="449" t="s">
        <v>316</v>
      </c>
      <c r="F1022" s="448" t="s">
        <v>317</v>
      </c>
      <c r="G1022" s="589">
        <v>46224</v>
      </c>
      <c r="H1022" s="450"/>
      <c r="I1022" s="450" t="s">
        <v>183</v>
      </c>
      <c r="J1022" s="295">
        <v>0.77430555555555558</v>
      </c>
      <c r="K1022" s="295">
        <v>0.16805555555555557</v>
      </c>
      <c r="L1022" s="451" t="s">
        <v>168</v>
      </c>
      <c r="M1022" s="452">
        <v>8</v>
      </c>
      <c r="N1022" s="452"/>
      <c r="O1022" s="452">
        <v>6</v>
      </c>
      <c r="P1022" s="469"/>
      <c r="Q1022" s="468"/>
      <c r="R1022" s="469"/>
      <c r="S1022" s="469"/>
      <c r="T1022" s="461"/>
      <c r="U1022" s="462"/>
      <c r="V1022" s="461"/>
      <c r="W1022" s="463"/>
      <c r="X1022" s="464"/>
      <c r="Y1022" s="465"/>
      <c r="Z1022" s="466"/>
      <c r="AA1022" s="467"/>
      <c r="AB1022" s="443"/>
    </row>
    <row r="1023" spans="1:28" s="444" customFormat="1">
      <c r="A1023" s="702"/>
      <c r="B1023" s="446" t="s">
        <v>187</v>
      </c>
      <c r="C1023" s="446">
        <v>14328</v>
      </c>
      <c r="D1023" s="448" t="s">
        <v>317</v>
      </c>
      <c r="E1023" s="449" t="s">
        <v>316</v>
      </c>
      <c r="F1023" s="448" t="s">
        <v>317</v>
      </c>
      <c r="G1023" s="589">
        <v>46225</v>
      </c>
      <c r="H1023" s="450"/>
      <c r="I1023" s="450" t="s">
        <v>183</v>
      </c>
      <c r="J1023" s="295">
        <v>0.77916666666666667</v>
      </c>
      <c r="K1023" s="295">
        <v>0.25069444444444444</v>
      </c>
      <c r="L1023" s="451" t="s">
        <v>168</v>
      </c>
      <c r="M1023" s="452">
        <v>8</v>
      </c>
      <c r="N1023" s="447">
        <v>2</v>
      </c>
      <c r="O1023" s="447">
        <v>6</v>
      </c>
      <c r="P1023" s="447">
        <v>2</v>
      </c>
      <c r="Q1023" s="453"/>
      <c r="R1023" s="452"/>
      <c r="S1023" s="452"/>
      <c r="T1023" s="453"/>
      <c r="U1023" s="452"/>
      <c r="V1023" s="453"/>
      <c r="W1023" s="454"/>
      <c r="X1023" s="455"/>
      <c r="Y1023" s="456"/>
      <c r="Z1023" s="457"/>
      <c r="AA1023" s="458"/>
      <c r="AB1023" s="443"/>
    </row>
    <row r="1024" spans="1:28" s="444" customFormat="1">
      <c r="A1024" s="702"/>
      <c r="B1024" s="446" t="s">
        <v>187</v>
      </c>
      <c r="C1024" s="446">
        <v>14328</v>
      </c>
      <c r="D1024" s="448" t="s">
        <v>317</v>
      </c>
      <c r="E1024" s="449" t="s">
        <v>316</v>
      </c>
      <c r="F1024" s="448" t="s">
        <v>317</v>
      </c>
      <c r="G1024" s="589">
        <v>46226</v>
      </c>
      <c r="H1024" s="450"/>
      <c r="I1024" s="450" t="s">
        <v>183</v>
      </c>
      <c r="J1024" s="295">
        <v>0.77777777777777779</v>
      </c>
      <c r="K1024" s="295">
        <v>0.16875000000000001</v>
      </c>
      <c r="L1024" s="451" t="s">
        <v>168</v>
      </c>
      <c r="M1024" s="452">
        <v>8</v>
      </c>
      <c r="N1024" s="452"/>
      <c r="O1024" s="452">
        <v>6</v>
      </c>
      <c r="P1024" s="470"/>
      <c r="Q1024" s="453"/>
      <c r="R1024" s="452"/>
      <c r="S1024" s="452"/>
      <c r="T1024" s="453"/>
      <c r="U1024" s="452"/>
      <c r="V1024" s="453"/>
      <c r="W1024" s="454"/>
      <c r="X1024" s="455"/>
      <c r="Y1024" s="456"/>
      <c r="Z1024" s="457"/>
      <c r="AA1024" s="458"/>
      <c r="AB1024" s="443"/>
    </row>
    <row r="1025" spans="1:28" s="444" customFormat="1">
      <c r="A1025" s="702"/>
      <c r="B1025" s="446" t="s">
        <v>187</v>
      </c>
      <c r="C1025" s="446">
        <v>14328</v>
      </c>
      <c r="D1025" s="448" t="s">
        <v>317</v>
      </c>
      <c r="E1025" s="449" t="s">
        <v>316</v>
      </c>
      <c r="F1025" s="448" t="s">
        <v>317</v>
      </c>
      <c r="G1025" s="589">
        <v>46227</v>
      </c>
      <c r="H1025" s="450"/>
      <c r="I1025" s="450" t="s">
        <v>183</v>
      </c>
      <c r="J1025" s="295">
        <v>0.77500000000000002</v>
      </c>
      <c r="K1025" s="318">
        <v>0.1673611111111111</v>
      </c>
      <c r="L1025" s="451" t="s">
        <v>168</v>
      </c>
      <c r="M1025" s="452">
        <v>8</v>
      </c>
      <c r="N1025" s="452"/>
      <c r="O1025" s="452">
        <v>6</v>
      </c>
      <c r="P1025" s="471"/>
      <c r="Q1025" s="472"/>
      <c r="R1025" s="471"/>
      <c r="S1025" s="471"/>
      <c r="T1025" s="453"/>
      <c r="U1025" s="452"/>
      <c r="V1025" s="453"/>
      <c r="W1025" s="454"/>
      <c r="X1025" s="455"/>
      <c r="Y1025" s="456"/>
      <c r="Z1025" s="457"/>
      <c r="AA1025" s="458"/>
      <c r="AB1025" s="443"/>
    </row>
    <row r="1026" spans="1:28" s="444" customFormat="1">
      <c r="A1026" s="702"/>
      <c r="B1026" s="446" t="s">
        <v>187</v>
      </c>
      <c r="C1026" s="446">
        <v>14328</v>
      </c>
      <c r="D1026" s="448" t="s">
        <v>317</v>
      </c>
      <c r="E1026" s="449" t="s">
        <v>316</v>
      </c>
      <c r="F1026" s="448" t="s">
        <v>317</v>
      </c>
      <c r="G1026" s="589">
        <v>46228</v>
      </c>
      <c r="H1026" s="450"/>
      <c r="I1026" s="450" t="s">
        <v>183</v>
      </c>
      <c r="J1026" s="295"/>
      <c r="K1026" s="295"/>
      <c r="L1026" s="451"/>
      <c r="M1026" s="452"/>
      <c r="N1026" s="452"/>
      <c r="O1026" s="452"/>
      <c r="P1026" s="452"/>
      <c r="Q1026" s="453"/>
      <c r="R1026" s="452"/>
      <c r="S1026" s="473"/>
      <c r="T1026" s="453"/>
      <c r="U1026" s="452"/>
      <c r="V1026" s="453"/>
      <c r="W1026" s="454"/>
      <c r="X1026" s="455"/>
      <c r="Y1026" s="456"/>
      <c r="Z1026" s="457"/>
      <c r="AA1026" s="458"/>
      <c r="AB1026" s="443"/>
    </row>
    <row r="1027" spans="1:28" s="444" customFormat="1">
      <c r="A1027" s="702"/>
      <c r="B1027" s="446"/>
      <c r="C1027" s="446"/>
      <c r="D1027" s="449"/>
      <c r="E1027" s="449"/>
      <c r="F1027" s="449"/>
      <c r="G1027" s="600"/>
      <c r="H1027" s="450"/>
      <c r="I1027" s="450"/>
      <c r="J1027" s="474"/>
      <c r="K1027" s="475"/>
      <c r="L1027" s="476"/>
      <c r="M1027" s="477"/>
      <c r="N1027" s="477"/>
      <c r="O1027" s="477"/>
      <c r="P1027" s="477"/>
      <c r="Q1027" s="478"/>
      <c r="R1027" s="477"/>
      <c r="S1027" s="479"/>
      <c r="T1027" s="453"/>
      <c r="U1027" s="452"/>
      <c r="V1027" s="453"/>
      <c r="W1027" s="454"/>
      <c r="X1027" s="455"/>
      <c r="Y1027" s="456"/>
      <c r="Z1027" s="457"/>
      <c r="AA1027" s="458"/>
      <c r="AB1027" s="443"/>
    </row>
    <row r="1028" spans="1:28" s="444" customFormat="1">
      <c r="A1028" s="703"/>
      <c r="B1028" s="481"/>
      <c r="C1028" s="446"/>
      <c r="D1028" s="481"/>
      <c r="E1028" s="449"/>
      <c r="F1028" s="481"/>
      <c r="G1028" s="601"/>
      <c r="H1028" s="482"/>
      <c r="I1028" s="483"/>
      <c r="J1028" s="484"/>
      <c r="K1028" s="485"/>
      <c r="L1028" s="483"/>
      <c r="M1028" s="483">
        <f t="shared" ref="M1028:AA1028" si="57">SUM(M1011:M1027)</f>
        <v>88</v>
      </c>
      <c r="N1028" s="483">
        <f t="shared" si="57"/>
        <v>4</v>
      </c>
      <c r="O1028" s="483">
        <f t="shared" si="57"/>
        <v>66</v>
      </c>
      <c r="P1028" s="483">
        <f t="shared" si="57"/>
        <v>4</v>
      </c>
      <c r="Q1028" s="483">
        <f t="shared" si="57"/>
        <v>0</v>
      </c>
      <c r="R1028" s="483">
        <f t="shared" si="57"/>
        <v>0</v>
      </c>
      <c r="S1028" s="483">
        <f t="shared" si="57"/>
        <v>0</v>
      </c>
      <c r="T1028" s="483">
        <f t="shared" si="57"/>
        <v>0</v>
      </c>
      <c r="U1028" s="483">
        <f t="shared" si="57"/>
        <v>0</v>
      </c>
      <c r="V1028" s="483">
        <f t="shared" si="57"/>
        <v>0</v>
      </c>
      <c r="W1028" s="483">
        <f t="shared" si="57"/>
        <v>0</v>
      </c>
      <c r="X1028" s="483">
        <f t="shared" si="57"/>
        <v>0</v>
      </c>
      <c r="Y1028" s="483">
        <f t="shared" si="57"/>
        <v>0</v>
      </c>
      <c r="Z1028" s="483">
        <f t="shared" si="57"/>
        <v>0</v>
      </c>
      <c r="AA1028" s="483">
        <f t="shared" si="57"/>
        <v>0</v>
      </c>
      <c r="AB1028" s="443"/>
    </row>
    <row r="1029" spans="1:28" s="444" customFormat="1">
      <c r="A1029" s="435" t="s">
        <v>170</v>
      </c>
      <c r="B1029" s="435" t="s">
        <v>120</v>
      </c>
      <c r="C1029" s="435" t="s">
        <v>152</v>
      </c>
      <c r="D1029" s="435" t="s">
        <v>182</v>
      </c>
      <c r="E1029" s="436" t="s">
        <v>153</v>
      </c>
      <c r="F1029" s="435" t="s">
        <v>182</v>
      </c>
      <c r="G1029" s="599" t="s">
        <v>401</v>
      </c>
      <c r="H1029" s="437"/>
      <c r="I1029" s="438" t="s">
        <v>181</v>
      </c>
      <c r="J1029" s="439" t="s">
        <v>154</v>
      </c>
      <c r="K1029" s="439" t="s">
        <v>155</v>
      </c>
      <c r="L1029" s="440" t="s">
        <v>156</v>
      </c>
      <c r="M1029" s="441" t="s">
        <v>157</v>
      </c>
      <c r="N1029" s="440" t="s">
        <v>158</v>
      </c>
      <c r="O1029" s="440" t="s">
        <v>159</v>
      </c>
      <c r="P1029" s="440" t="s">
        <v>174</v>
      </c>
      <c r="Q1029" s="440" t="s">
        <v>160</v>
      </c>
      <c r="R1029" s="440" t="s">
        <v>161</v>
      </c>
      <c r="S1029" s="440" t="s">
        <v>162</v>
      </c>
      <c r="T1029" s="438" t="s">
        <v>163</v>
      </c>
      <c r="U1029" s="438" t="s">
        <v>164</v>
      </c>
      <c r="V1029" s="438" t="s">
        <v>165</v>
      </c>
      <c r="W1029" s="440" t="s">
        <v>113</v>
      </c>
      <c r="X1029" s="438" t="s">
        <v>121</v>
      </c>
      <c r="Y1029" s="438" t="s">
        <v>166</v>
      </c>
      <c r="Z1029" s="442" t="s">
        <v>175</v>
      </c>
      <c r="AA1029" s="442" t="s">
        <v>167</v>
      </c>
      <c r="AB1029" s="443"/>
    </row>
    <row r="1030" spans="1:28" s="444" customFormat="1">
      <c r="A1030" s="445"/>
      <c r="B1030" s="446" t="s">
        <v>187</v>
      </c>
      <c r="C1030" s="447">
        <v>10876</v>
      </c>
      <c r="D1030" s="448" t="s">
        <v>315</v>
      </c>
      <c r="E1030" s="449" t="s">
        <v>314</v>
      </c>
      <c r="F1030" s="448" t="s">
        <v>315</v>
      </c>
      <c r="G1030" s="589">
        <v>46214</v>
      </c>
      <c r="H1030" s="450"/>
      <c r="I1030" s="450" t="s">
        <v>183</v>
      </c>
      <c r="J1030" s="295">
        <v>0.77361111111111114</v>
      </c>
      <c r="K1030" s="295">
        <v>0.16666666666666666</v>
      </c>
      <c r="L1030" s="451" t="s">
        <v>168</v>
      </c>
      <c r="M1030" s="452">
        <v>8</v>
      </c>
      <c r="N1030" s="452"/>
      <c r="O1030" s="452">
        <v>6</v>
      </c>
      <c r="P1030" s="452"/>
      <c r="Q1030" s="453"/>
      <c r="R1030" s="452"/>
      <c r="S1030" s="452"/>
      <c r="T1030" s="453"/>
      <c r="U1030" s="452"/>
      <c r="V1030" s="453"/>
      <c r="W1030" s="454"/>
      <c r="X1030" s="455"/>
      <c r="Y1030" s="456"/>
      <c r="Z1030" s="457"/>
      <c r="AA1030" s="458"/>
      <c r="AB1030" s="443"/>
    </row>
    <row r="1031" spans="1:28" s="444" customFormat="1">
      <c r="A1031" s="459"/>
      <c r="B1031" s="446" t="s">
        <v>187</v>
      </c>
      <c r="C1031" s="447">
        <v>10876</v>
      </c>
      <c r="D1031" s="448" t="s">
        <v>315</v>
      </c>
      <c r="E1031" s="449" t="s">
        <v>314</v>
      </c>
      <c r="F1031" s="448" t="s">
        <v>315</v>
      </c>
      <c r="G1031" s="590">
        <v>46215</v>
      </c>
      <c r="H1031" s="450"/>
      <c r="I1031" s="450"/>
      <c r="J1031" s="699" t="s">
        <v>173</v>
      </c>
      <c r="K1031" s="700"/>
      <c r="L1031" s="451"/>
      <c r="M1031" s="452"/>
      <c r="N1031" s="452"/>
      <c r="O1031" s="452"/>
      <c r="P1031" s="452"/>
      <c r="Q1031" s="453"/>
      <c r="R1031" s="452"/>
      <c r="S1031" s="452"/>
      <c r="T1031" s="453"/>
      <c r="U1031" s="452"/>
      <c r="V1031" s="453"/>
      <c r="W1031" s="454"/>
      <c r="X1031" s="455"/>
      <c r="Y1031" s="456"/>
      <c r="Z1031" s="457"/>
      <c r="AA1031" s="458"/>
      <c r="AB1031" s="443"/>
    </row>
    <row r="1032" spans="1:28" s="444" customFormat="1">
      <c r="A1032" s="459"/>
      <c r="B1032" s="446" t="s">
        <v>187</v>
      </c>
      <c r="C1032" s="446">
        <v>10876</v>
      </c>
      <c r="D1032" s="448" t="s">
        <v>315</v>
      </c>
      <c r="E1032" s="449" t="s">
        <v>314</v>
      </c>
      <c r="F1032" s="448" t="s">
        <v>315</v>
      </c>
      <c r="G1032" s="589">
        <v>46216</v>
      </c>
      <c r="H1032" s="450"/>
      <c r="I1032" s="450" t="s">
        <v>186</v>
      </c>
      <c r="J1032" s="305">
        <v>0.31874999999999998</v>
      </c>
      <c r="K1032" s="305">
        <v>0.70972222222222225</v>
      </c>
      <c r="L1032" s="451" t="s">
        <v>169</v>
      </c>
      <c r="M1032" s="452">
        <v>8</v>
      </c>
      <c r="N1032" s="452"/>
      <c r="O1032" s="452"/>
      <c r="P1032" s="452"/>
      <c r="Q1032" s="453"/>
      <c r="R1032" s="452"/>
      <c r="S1032" s="452"/>
      <c r="T1032" s="453"/>
      <c r="U1032" s="452"/>
      <c r="V1032" s="453"/>
      <c r="W1032" s="454"/>
      <c r="X1032" s="455"/>
      <c r="Y1032" s="456"/>
      <c r="Z1032" s="457"/>
      <c r="AA1032" s="458"/>
      <c r="AB1032" s="443"/>
    </row>
    <row r="1033" spans="1:28" s="444" customFormat="1">
      <c r="A1033" s="459"/>
      <c r="B1033" s="446" t="s">
        <v>187</v>
      </c>
      <c r="C1033" s="446">
        <v>10876</v>
      </c>
      <c r="D1033" s="448" t="s">
        <v>315</v>
      </c>
      <c r="E1033" s="449" t="s">
        <v>314</v>
      </c>
      <c r="F1033" s="448" t="s">
        <v>315</v>
      </c>
      <c r="G1033" s="589">
        <v>46217</v>
      </c>
      <c r="H1033" s="450"/>
      <c r="I1033" s="450" t="s">
        <v>186</v>
      </c>
      <c r="J1033" s="305">
        <v>0.32847222222222222</v>
      </c>
      <c r="K1033" s="305">
        <v>0.70972222222222225</v>
      </c>
      <c r="L1033" s="451" t="s">
        <v>169</v>
      </c>
      <c r="M1033" s="452">
        <v>8</v>
      </c>
      <c r="N1033" s="452"/>
      <c r="O1033" s="452"/>
      <c r="P1033" s="452"/>
      <c r="Q1033" s="461"/>
      <c r="R1033" s="462"/>
      <c r="S1033" s="462"/>
      <c r="T1033" s="461"/>
      <c r="U1033" s="462"/>
      <c r="V1033" s="461"/>
      <c r="W1033" s="463"/>
      <c r="X1033" s="464"/>
      <c r="Y1033" s="465"/>
      <c r="Z1033" s="466"/>
      <c r="AA1033" s="467"/>
      <c r="AB1033" s="443"/>
    </row>
    <row r="1034" spans="1:28" s="444" customFormat="1">
      <c r="A1034" s="459"/>
      <c r="B1034" s="446" t="s">
        <v>187</v>
      </c>
      <c r="C1034" s="446">
        <v>10876</v>
      </c>
      <c r="D1034" s="448" t="s">
        <v>315</v>
      </c>
      <c r="E1034" s="449" t="s">
        <v>314</v>
      </c>
      <c r="F1034" s="448" t="s">
        <v>315</v>
      </c>
      <c r="G1034" s="589">
        <v>46218</v>
      </c>
      <c r="H1034" s="450"/>
      <c r="I1034" s="450" t="s">
        <v>186</v>
      </c>
      <c r="J1034" s="305">
        <v>0.32430555555555557</v>
      </c>
      <c r="K1034" s="305">
        <v>0.7104166666666667</v>
      </c>
      <c r="L1034" s="451" t="s">
        <v>169</v>
      </c>
      <c r="M1034" s="452">
        <v>8</v>
      </c>
      <c r="N1034" s="452"/>
      <c r="O1034" s="452"/>
      <c r="P1034" s="452"/>
      <c r="Q1034" s="453"/>
      <c r="R1034" s="452"/>
      <c r="S1034" s="452"/>
      <c r="T1034" s="453"/>
      <c r="U1034" s="452"/>
      <c r="V1034" s="453"/>
      <c r="W1034" s="454"/>
      <c r="X1034" s="455"/>
      <c r="Y1034" s="456"/>
      <c r="Z1034" s="457"/>
      <c r="AA1034" s="458"/>
      <c r="AB1034" s="443"/>
    </row>
    <row r="1035" spans="1:28" s="444" customFormat="1">
      <c r="A1035" s="459"/>
      <c r="B1035" s="446" t="s">
        <v>187</v>
      </c>
      <c r="C1035" s="446">
        <v>10876</v>
      </c>
      <c r="D1035" s="448" t="s">
        <v>315</v>
      </c>
      <c r="E1035" s="449" t="s">
        <v>314</v>
      </c>
      <c r="F1035" s="448" t="s">
        <v>315</v>
      </c>
      <c r="G1035" s="589">
        <v>46219</v>
      </c>
      <c r="H1035" s="450"/>
      <c r="I1035" s="450" t="s">
        <v>186</v>
      </c>
      <c r="J1035" s="305">
        <v>0.32222222222222224</v>
      </c>
      <c r="K1035" s="305">
        <v>0.70972222222222225</v>
      </c>
      <c r="L1035" s="451" t="s">
        <v>169</v>
      </c>
      <c r="M1035" s="452">
        <v>8</v>
      </c>
      <c r="N1035" s="452"/>
      <c r="O1035" s="452"/>
      <c r="P1035" s="452"/>
      <c r="Q1035" s="453"/>
      <c r="R1035" s="452"/>
      <c r="S1035" s="452"/>
      <c r="T1035" s="453"/>
      <c r="U1035" s="452"/>
      <c r="V1035" s="453"/>
      <c r="W1035" s="454"/>
      <c r="X1035" s="455"/>
      <c r="Y1035" s="456"/>
      <c r="Z1035" s="457"/>
      <c r="AA1035" s="458"/>
      <c r="AB1035" s="443"/>
    </row>
    <row r="1036" spans="1:28" s="444" customFormat="1">
      <c r="A1036" s="459"/>
      <c r="B1036" s="446" t="s">
        <v>187</v>
      </c>
      <c r="C1036" s="446">
        <v>10876</v>
      </c>
      <c r="D1036" s="448" t="s">
        <v>315</v>
      </c>
      <c r="E1036" s="449" t="s">
        <v>314</v>
      </c>
      <c r="F1036" s="448" t="s">
        <v>315</v>
      </c>
      <c r="G1036" s="589">
        <v>46220</v>
      </c>
      <c r="H1036" s="450"/>
      <c r="I1036" s="450" t="s">
        <v>186</v>
      </c>
      <c r="J1036" s="305">
        <v>0.31041666666666667</v>
      </c>
      <c r="K1036" s="305">
        <v>0.79166666666666663</v>
      </c>
      <c r="L1036" s="451" t="s">
        <v>169</v>
      </c>
      <c r="M1036" s="452">
        <v>8</v>
      </c>
      <c r="N1036" s="452">
        <v>2</v>
      </c>
      <c r="O1036" s="452"/>
      <c r="P1036" s="452"/>
      <c r="Q1036" s="453"/>
      <c r="R1036" s="452"/>
      <c r="S1036" s="452"/>
      <c r="T1036" s="453"/>
      <c r="U1036" s="452"/>
      <c r="V1036" s="453"/>
      <c r="W1036" s="454"/>
      <c r="X1036" s="455"/>
      <c r="Y1036" s="456"/>
      <c r="Z1036" s="457"/>
      <c r="AA1036" s="458"/>
      <c r="AB1036" s="443"/>
    </row>
    <row r="1037" spans="1:28" s="444" customFormat="1">
      <c r="A1037" s="459"/>
      <c r="B1037" s="446" t="s">
        <v>187</v>
      </c>
      <c r="C1037" s="446">
        <v>10876</v>
      </c>
      <c r="D1037" s="448" t="s">
        <v>315</v>
      </c>
      <c r="E1037" s="449" t="s">
        <v>314</v>
      </c>
      <c r="F1037" s="448" t="s">
        <v>315</v>
      </c>
      <c r="G1037" s="589">
        <v>46221</v>
      </c>
      <c r="H1037" s="450"/>
      <c r="I1037" s="450" t="s">
        <v>186</v>
      </c>
      <c r="J1037" s="305">
        <v>0.32500000000000001</v>
      </c>
      <c r="K1037" s="305">
        <v>0.7104166666666667</v>
      </c>
      <c r="L1037" s="451" t="s">
        <v>169</v>
      </c>
      <c r="M1037" s="452">
        <v>8</v>
      </c>
      <c r="N1037" s="452"/>
      <c r="O1037" s="452"/>
      <c r="P1037" s="452"/>
      <c r="Q1037" s="453"/>
      <c r="R1037" s="452"/>
      <c r="S1037" s="452"/>
      <c r="T1037" s="453"/>
      <c r="U1037" s="452"/>
      <c r="V1037" s="453"/>
      <c r="W1037" s="454"/>
      <c r="X1037" s="455"/>
      <c r="Y1037" s="456"/>
      <c r="Z1037" s="457"/>
      <c r="AA1037" s="458"/>
      <c r="AB1037" s="443"/>
    </row>
    <row r="1038" spans="1:28" s="444" customFormat="1">
      <c r="A1038" s="459"/>
      <c r="B1038" s="446" t="s">
        <v>187</v>
      </c>
      <c r="C1038" s="446">
        <v>10876</v>
      </c>
      <c r="D1038" s="448" t="s">
        <v>315</v>
      </c>
      <c r="E1038" s="449" t="s">
        <v>314</v>
      </c>
      <c r="F1038" s="448" t="s">
        <v>315</v>
      </c>
      <c r="G1038" s="590">
        <v>46222</v>
      </c>
      <c r="H1038" s="450"/>
      <c r="I1038" s="450"/>
      <c r="J1038" s="699" t="s">
        <v>173</v>
      </c>
      <c r="K1038" s="700"/>
      <c r="L1038" s="451"/>
      <c r="M1038" s="452"/>
      <c r="N1038" s="452"/>
      <c r="O1038" s="452"/>
      <c r="P1038" s="452"/>
      <c r="Q1038" s="453"/>
      <c r="R1038" s="452"/>
      <c r="S1038" s="452"/>
      <c r="T1038" s="453"/>
      <c r="U1038" s="452"/>
      <c r="V1038" s="453"/>
      <c r="W1038" s="454"/>
      <c r="X1038" s="455"/>
      <c r="Y1038" s="456"/>
      <c r="Z1038" s="457"/>
      <c r="AA1038" s="458"/>
      <c r="AB1038" s="443"/>
    </row>
    <row r="1039" spans="1:28" s="444" customFormat="1">
      <c r="A1039" s="459"/>
      <c r="B1039" s="446" t="s">
        <v>187</v>
      </c>
      <c r="C1039" s="446">
        <v>10876</v>
      </c>
      <c r="D1039" s="448" t="s">
        <v>315</v>
      </c>
      <c r="E1039" s="449" t="s">
        <v>314</v>
      </c>
      <c r="F1039" s="448" t="s">
        <v>315</v>
      </c>
      <c r="G1039" s="589">
        <v>46223</v>
      </c>
      <c r="H1039" s="450"/>
      <c r="I1039" s="450" t="s">
        <v>186</v>
      </c>
      <c r="J1039" s="295">
        <v>0.31180555555555556</v>
      </c>
      <c r="K1039" s="295">
        <v>0.71111111111111114</v>
      </c>
      <c r="L1039" s="451" t="s">
        <v>169</v>
      </c>
      <c r="M1039" s="452">
        <v>8</v>
      </c>
      <c r="N1039" s="462"/>
      <c r="O1039" s="462"/>
      <c r="P1039" s="462"/>
      <c r="Q1039" s="461"/>
      <c r="R1039" s="462"/>
      <c r="S1039" s="462"/>
      <c r="T1039" s="461"/>
      <c r="U1039" s="462"/>
      <c r="V1039" s="461"/>
      <c r="W1039" s="454"/>
      <c r="X1039" s="455"/>
      <c r="Y1039" s="456"/>
      <c r="Z1039" s="457"/>
      <c r="AA1039" s="458"/>
      <c r="AB1039" s="443"/>
    </row>
    <row r="1040" spans="1:28" s="444" customFormat="1">
      <c r="A1040" s="459"/>
      <c r="B1040" s="446" t="s">
        <v>187</v>
      </c>
      <c r="C1040" s="446">
        <v>10876</v>
      </c>
      <c r="D1040" s="448" t="s">
        <v>315</v>
      </c>
      <c r="E1040" s="449" t="s">
        <v>314</v>
      </c>
      <c r="F1040" s="448" t="s">
        <v>315</v>
      </c>
      <c r="G1040" s="589">
        <v>46224</v>
      </c>
      <c r="H1040" s="450"/>
      <c r="I1040" s="450" t="s">
        <v>186</v>
      </c>
      <c r="J1040" s="295">
        <v>0.31041666666666667</v>
      </c>
      <c r="K1040" s="295">
        <v>0.70902777777777781</v>
      </c>
      <c r="L1040" s="451" t="s">
        <v>169</v>
      </c>
      <c r="M1040" s="452">
        <v>8</v>
      </c>
      <c r="N1040" s="469"/>
      <c r="O1040" s="469"/>
      <c r="P1040" s="469"/>
      <c r="Q1040" s="468"/>
      <c r="R1040" s="469"/>
      <c r="S1040" s="469"/>
      <c r="T1040" s="461"/>
      <c r="U1040" s="462"/>
      <c r="V1040" s="461"/>
      <c r="W1040" s="463"/>
      <c r="X1040" s="464"/>
      <c r="Y1040" s="465"/>
      <c r="Z1040" s="466"/>
      <c r="AA1040" s="467"/>
      <c r="AB1040" s="443"/>
    </row>
    <row r="1041" spans="1:28" s="444" customFormat="1">
      <c r="A1041" s="459"/>
      <c r="B1041" s="446" t="s">
        <v>187</v>
      </c>
      <c r="C1041" s="446">
        <v>10876</v>
      </c>
      <c r="D1041" s="448" t="s">
        <v>315</v>
      </c>
      <c r="E1041" s="449" t="s">
        <v>314</v>
      </c>
      <c r="F1041" s="448" t="s">
        <v>315</v>
      </c>
      <c r="G1041" s="589">
        <v>46225</v>
      </c>
      <c r="H1041" s="450"/>
      <c r="I1041" s="450" t="s">
        <v>186</v>
      </c>
      <c r="J1041" s="295">
        <v>0.31527777777777777</v>
      </c>
      <c r="K1041" s="295">
        <v>0.70972222222222225</v>
      </c>
      <c r="L1041" s="451" t="s">
        <v>169</v>
      </c>
      <c r="M1041" s="452">
        <v>8</v>
      </c>
      <c r="N1041" s="471"/>
      <c r="O1041" s="452"/>
      <c r="P1041" s="452"/>
      <c r="Q1041" s="453"/>
      <c r="R1041" s="452"/>
      <c r="S1041" s="452"/>
      <c r="T1041" s="453"/>
      <c r="U1041" s="452"/>
      <c r="V1041" s="453"/>
      <c r="W1041" s="454"/>
      <c r="X1041" s="455"/>
      <c r="Y1041" s="456"/>
      <c r="Z1041" s="457"/>
      <c r="AA1041" s="458"/>
      <c r="AB1041" s="443"/>
    </row>
    <row r="1042" spans="1:28" s="444" customFormat="1">
      <c r="A1042" s="459"/>
      <c r="B1042" s="446" t="s">
        <v>187</v>
      </c>
      <c r="C1042" s="446">
        <v>10876</v>
      </c>
      <c r="D1042" s="448" t="s">
        <v>315</v>
      </c>
      <c r="E1042" s="449" t="s">
        <v>314</v>
      </c>
      <c r="F1042" s="448" t="s">
        <v>315</v>
      </c>
      <c r="G1042" s="589">
        <v>46226</v>
      </c>
      <c r="H1042" s="450"/>
      <c r="I1042" s="450" t="s">
        <v>186</v>
      </c>
      <c r="J1042" s="295">
        <v>0.31944444444444442</v>
      </c>
      <c r="K1042" s="295">
        <v>0.70972222222222225</v>
      </c>
      <c r="L1042" s="451" t="s">
        <v>169</v>
      </c>
      <c r="M1042" s="452">
        <v>8</v>
      </c>
      <c r="N1042" s="471"/>
      <c r="O1042" s="470"/>
      <c r="P1042" s="470"/>
      <c r="Q1042" s="453"/>
      <c r="R1042" s="452"/>
      <c r="S1042" s="452"/>
      <c r="T1042" s="453"/>
      <c r="U1042" s="452"/>
      <c r="V1042" s="453"/>
      <c r="W1042" s="454"/>
      <c r="X1042" s="455"/>
      <c r="Y1042" s="456"/>
      <c r="Z1042" s="457"/>
      <c r="AA1042" s="458"/>
      <c r="AB1042" s="443"/>
    </row>
    <row r="1043" spans="1:28" s="444" customFormat="1">
      <c r="A1043" s="459"/>
      <c r="B1043" s="446" t="s">
        <v>187</v>
      </c>
      <c r="C1043" s="446">
        <v>10876</v>
      </c>
      <c r="D1043" s="448" t="s">
        <v>315</v>
      </c>
      <c r="E1043" s="449" t="s">
        <v>314</v>
      </c>
      <c r="F1043" s="448" t="s">
        <v>315</v>
      </c>
      <c r="G1043" s="589">
        <v>46227</v>
      </c>
      <c r="H1043" s="450"/>
      <c r="I1043" s="450" t="s">
        <v>186</v>
      </c>
      <c r="J1043" s="295">
        <v>0.31180555555555556</v>
      </c>
      <c r="K1043" s="318">
        <v>0.7104166666666667</v>
      </c>
      <c r="L1043" s="451" t="s">
        <v>169</v>
      </c>
      <c r="M1043" s="452">
        <v>8</v>
      </c>
      <c r="N1043" s="471"/>
      <c r="O1043" s="471"/>
      <c r="P1043" s="471"/>
      <c r="Q1043" s="472"/>
      <c r="R1043" s="471"/>
      <c r="S1043" s="471"/>
      <c r="T1043" s="453"/>
      <c r="U1043" s="452"/>
      <c r="V1043" s="453"/>
      <c r="W1043" s="454"/>
      <c r="X1043" s="455"/>
      <c r="Y1043" s="456"/>
      <c r="Z1043" s="457"/>
      <c r="AA1043" s="458"/>
      <c r="AB1043" s="443"/>
    </row>
    <row r="1044" spans="1:28" s="444" customFormat="1">
      <c r="A1044" s="459"/>
      <c r="B1044" s="446" t="s">
        <v>187</v>
      </c>
      <c r="C1044" s="446">
        <v>10876</v>
      </c>
      <c r="D1044" s="448" t="s">
        <v>315</v>
      </c>
      <c r="E1044" s="449" t="s">
        <v>314</v>
      </c>
      <c r="F1044" s="448" t="s">
        <v>315</v>
      </c>
      <c r="G1044" s="589">
        <v>46228</v>
      </c>
      <c r="H1044" s="450"/>
      <c r="I1044" s="450" t="s">
        <v>186</v>
      </c>
      <c r="J1044" s="295"/>
      <c r="K1044" s="295"/>
      <c r="L1044" s="451"/>
      <c r="M1044" s="452"/>
      <c r="N1044" s="452"/>
      <c r="O1044" s="452"/>
      <c r="P1044" s="452"/>
      <c r="Q1044" s="453"/>
      <c r="R1044" s="452"/>
      <c r="S1044" s="473"/>
      <c r="T1044" s="453"/>
      <c r="U1044" s="452"/>
      <c r="V1044" s="453"/>
      <c r="W1044" s="454"/>
      <c r="X1044" s="455"/>
      <c r="Y1044" s="456"/>
      <c r="Z1044" s="457"/>
      <c r="AA1044" s="458"/>
      <c r="AB1044" s="443"/>
    </row>
    <row r="1045" spans="1:28" s="444" customFormat="1">
      <c r="A1045" s="459"/>
      <c r="B1045" s="446"/>
      <c r="C1045" s="446"/>
      <c r="D1045" s="449"/>
      <c r="E1045" s="449"/>
      <c r="F1045" s="449"/>
      <c r="G1045" s="600"/>
      <c r="H1045" s="450"/>
      <c r="I1045" s="450"/>
      <c r="J1045" s="474"/>
      <c r="K1045" s="475"/>
      <c r="L1045" s="476"/>
      <c r="M1045" s="477"/>
      <c r="N1045" s="477"/>
      <c r="O1045" s="477"/>
      <c r="P1045" s="477"/>
      <c r="Q1045" s="478"/>
      <c r="R1045" s="477"/>
      <c r="S1045" s="479"/>
      <c r="T1045" s="453"/>
      <c r="U1045" s="452"/>
      <c r="V1045" s="453"/>
      <c r="W1045" s="454"/>
      <c r="X1045" s="455"/>
      <c r="Y1045" s="456"/>
      <c r="Z1045" s="457"/>
      <c r="AA1045" s="458"/>
      <c r="AB1045" s="443"/>
    </row>
    <row r="1046" spans="1:28" s="444" customFormat="1">
      <c r="A1046" s="480"/>
      <c r="B1046" s="481"/>
      <c r="C1046" s="446"/>
      <c r="D1046" s="481"/>
      <c r="E1046" s="449"/>
      <c r="F1046" s="481"/>
      <c r="G1046" s="601"/>
      <c r="H1046" s="482"/>
      <c r="I1046" s="483"/>
      <c r="J1046" s="484"/>
      <c r="K1046" s="485"/>
      <c r="L1046" s="483"/>
      <c r="M1046" s="483">
        <f t="shared" ref="M1046:AA1046" si="58">SUM(M1029:M1045)</f>
        <v>96</v>
      </c>
      <c r="N1046" s="483">
        <f t="shared" si="58"/>
        <v>2</v>
      </c>
      <c r="O1046" s="483">
        <f t="shared" si="58"/>
        <v>6</v>
      </c>
      <c r="P1046" s="483">
        <f t="shared" si="58"/>
        <v>0</v>
      </c>
      <c r="Q1046" s="483">
        <f t="shared" si="58"/>
        <v>0</v>
      </c>
      <c r="R1046" s="483">
        <f t="shared" si="58"/>
        <v>0</v>
      </c>
      <c r="S1046" s="483">
        <f t="shared" si="58"/>
        <v>0</v>
      </c>
      <c r="T1046" s="483">
        <f t="shared" si="58"/>
        <v>0</v>
      </c>
      <c r="U1046" s="483">
        <f t="shared" si="58"/>
        <v>0</v>
      </c>
      <c r="V1046" s="483">
        <f t="shared" si="58"/>
        <v>0</v>
      </c>
      <c r="W1046" s="483">
        <f t="shared" si="58"/>
        <v>0</v>
      </c>
      <c r="X1046" s="483">
        <f t="shared" si="58"/>
        <v>0</v>
      </c>
      <c r="Y1046" s="483">
        <f t="shared" si="58"/>
        <v>0</v>
      </c>
      <c r="Z1046" s="483">
        <f t="shared" si="58"/>
        <v>0</v>
      </c>
      <c r="AA1046" s="483">
        <f t="shared" si="58"/>
        <v>0</v>
      </c>
      <c r="AB1046" s="443"/>
    </row>
    <row r="1047" spans="1:28" s="444" customFormat="1">
      <c r="A1047" s="435" t="s">
        <v>170</v>
      </c>
      <c r="B1047" s="435" t="s">
        <v>120</v>
      </c>
      <c r="C1047" s="435" t="s">
        <v>152</v>
      </c>
      <c r="D1047" s="435" t="s">
        <v>182</v>
      </c>
      <c r="E1047" s="436" t="s">
        <v>153</v>
      </c>
      <c r="F1047" s="435" t="s">
        <v>182</v>
      </c>
      <c r="G1047" s="604" t="s">
        <v>401</v>
      </c>
      <c r="H1047" s="437"/>
      <c r="I1047" s="438" t="s">
        <v>181</v>
      </c>
      <c r="J1047" s="439" t="s">
        <v>154</v>
      </c>
      <c r="K1047" s="439" t="s">
        <v>155</v>
      </c>
      <c r="L1047" s="440" t="s">
        <v>156</v>
      </c>
      <c r="M1047" s="441" t="s">
        <v>157</v>
      </c>
      <c r="N1047" s="440" t="s">
        <v>158</v>
      </c>
      <c r="O1047" s="440" t="s">
        <v>159</v>
      </c>
      <c r="P1047" s="440" t="s">
        <v>174</v>
      </c>
      <c r="Q1047" s="440" t="s">
        <v>160</v>
      </c>
      <c r="R1047" s="440" t="s">
        <v>161</v>
      </c>
      <c r="S1047" s="440" t="s">
        <v>162</v>
      </c>
      <c r="T1047" s="438" t="s">
        <v>163</v>
      </c>
      <c r="U1047" s="438" t="s">
        <v>164</v>
      </c>
      <c r="V1047" s="438" t="s">
        <v>165</v>
      </c>
      <c r="W1047" s="440" t="s">
        <v>113</v>
      </c>
      <c r="X1047" s="438" t="s">
        <v>121</v>
      </c>
      <c r="Y1047" s="438" t="s">
        <v>166</v>
      </c>
      <c r="Z1047" s="442" t="s">
        <v>175</v>
      </c>
      <c r="AA1047" s="442" t="s">
        <v>167</v>
      </c>
      <c r="AB1047" s="443"/>
    </row>
    <row r="1048" spans="1:28" s="444" customFormat="1">
      <c r="A1048" s="701"/>
      <c r="B1048" s="446" t="s">
        <v>187</v>
      </c>
      <c r="C1048" s="505">
        <v>30612</v>
      </c>
      <c r="D1048" s="448" t="s">
        <v>313</v>
      </c>
      <c r="E1048" s="511" t="s">
        <v>312</v>
      </c>
      <c r="F1048" s="448" t="s">
        <v>313</v>
      </c>
      <c r="G1048" s="589">
        <v>46214</v>
      </c>
      <c r="H1048" s="450"/>
      <c r="I1048" s="450" t="s">
        <v>183</v>
      </c>
      <c r="J1048" s="295">
        <v>0.78125</v>
      </c>
      <c r="K1048" s="295">
        <v>0.1673611111111111</v>
      </c>
      <c r="L1048" s="451" t="s">
        <v>168</v>
      </c>
      <c r="M1048" s="452">
        <v>8</v>
      </c>
      <c r="N1048" s="452"/>
      <c r="O1048" s="452">
        <v>6</v>
      </c>
      <c r="P1048" s="452"/>
      <c r="Q1048" s="453"/>
      <c r="R1048" s="452"/>
      <c r="S1048" s="452"/>
      <c r="T1048" s="453"/>
      <c r="U1048" s="452"/>
      <c r="V1048" s="453"/>
      <c r="W1048" s="454"/>
      <c r="X1048" s="455"/>
      <c r="Y1048" s="456"/>
      <c r="Z1048" s="457"/>
      <c r="AA1048" s="458"/>
      <c r="AB1048" s="443"/>
    </row>
    <row r="1049" spans="1:28" s="444" customFormat="1">
      <c r="A1049" s="702"/>
      <c r="B1049" s="446" t="s">
        <v>187</v>
      </c>
      <c r="C1049" s="505">
        <v>30612</v>
      </c>
      <c r="D1049" s="448" t="s">
        <v>313</v>
      </c>
      <c r="E1049" s="511" t="s">
        <v>312</v>
      </c>
      <c r="F1049" s="448" t="s">
        <v>313</v>
      </c>
      <c r="G1049" s="590">
        <v>46215</v>
      </c>
      <c r="H1049" s="450"/>
      <c r="I1049" s="450"/>
      <c r="J1049" s="699" t="s">
        <v>173</v>
      </c>
      <c r="K1049" s="700"/>
      <c r="L1049" s="451"/>
      <c r="M1049" s="452"/>
      <c r="N1049" s="452"/>
      <c r="O1049" s="452"/>
      <c r="P1049" s="452"/>
      <c r="Q1049" s="453"/>
      <c r="R1049" s="452"/>
      <c r="S1049" s="452"/>
      <c r="T1049" s="453"/>
      <c r="U1049" s="452"/>
      <c r="V1049" s="453"/>
      <c r="W1049" s="454"/>
      <c r="X1049" s="455"/>
      <c r="Y1049" s="456"/>
      <c r="Z1049" s="457"/>
      <c r="AA1049" s="458"/>
      <c r="AB1049" s="443"/>
    </row>
    <row r="1050" spans="1:28" s="444" customFormat="1">
      <c r="A1050" s="702"/>
      <c r="B1050" s="446" t="s">
        <v>187</v>
      </c>
      <c r="C1050" s="505">
        <v>30612</v>
      </c>
      <c r="D1050" s="448" t="s">
        <v>313</v>
      </c>
      <c r="E1050" s="511" t="s">
        <v>312</v>
      </c>
      <c r="F1050" s="448" t="s">
        <v>313</v>
      </c>
      <c r="G1050" s="589">
        <v>46216</v>
      </c>
      <c r="H1050" s="450"/>
      <c r="I1050" s="450" t="s">
        <v>186</v>
      </c>
      <c r="J1050" s="305">
        <v>0.3125</v>
      </c>
      <c r="K1050" s="305">
        <v>0.70972222222222225</v>
      </c>
      <c r="L1050" s="451" t="s">
        <v>169</v>
      </c>
      <c r="M1050" s="452">
        <v>8</v>
      </c>
      <c r="N1050" s="452"/>
      <c r="O1050" s="452"/>
      <c r="P1050" s="452"/>
      <c r="Q1050" s="453"/>
      <c r="R1050" s="452"/>
      <c r="S1050" s="452"/>
      <c r="T1050" s="453"/>
      <c r="U1050" s="452"/>
      <c r="V1050" s="453"/>
      <c r="W1050" s="454"/>
      <c r="X1050" s="455"/>
      <c r="Y1050" s="456"/>
      <c r="Z1050" s="457"/>
      <c r="AA1050" s="458"/>
      <c r="AB1050" s="443"/>
    </row>
    <row r="1051" spans="1:28" s="444" customFormat="1">
      <c r="A1051" s="702"/>
      <c r="B1051" s="446" t="s">
        <v>187</v>
      </c>
      <c r="C1051" s="505">
        <v>30612</v>
      </c>
      <c r="D1051" s="448" t="s">
        <v>313</v>
      </c>
      <c r="E1051" s="511" t="s">
        <v>312</v>
      </c>
      <c r="F1051" s="448" t="s">
        <v>313</v>
      </c>
      <c r="G1051" s="589">
        <v>46217</v>
      </c>
      <c r="H1051" s="450"/>
      <c r="I1051" s="450" t="s">
        <v>186</v>
      </c>
      <c r="J1051" s="305">
        <v>0.32013888888888886</v>
      </c>
      <c r="K1051" s="305">
        <v>0.71250000000000002</v>
      </c>
      <c r="L1051" s="451" t="s">
        <v>169</v>
      </c>
      <c r="M1051" s="452">
        <v>8</v>
      </c>
      <c r="N1051" s="452"/>
      <c r="O1051" s="452"/>
      <c r="P1051" s="452"/>
      <c r="Q1051" s="461"/>
      <c r="R1051" s="462"/>
      <c r="S1051" s="462"/>
      <c r="T1051" s="461"/>
      <c r="U1051" s="462"/>
      <c r="V1051" s="461"/>
      <c r="W1051" s="463"/>
      <c r="X1051" s="464"/>
      <c r="Y1051" s="465"/>
      <c r="Z1051" s="466"/>
      <c r="AA1051" s="467"/>
      <c r="AB1051" s="443"/>
    </row>
    <row r="1052" spans="1:28" s="444" customFormat="1">
      <c r="A1052" s="702"/>
      <c r="B1052" s="446" t="s">
        <v>187</v>
      </c>
      <c r="C1052" s="505">
        <v>30612</v>
      </c>
      <c r="D1052" s="448" t="s">
        <v>313</v>
      </c>
      <c r="E1052" s="511" t="s">
        <v>312</v>
      </c>
      <c r="F1052" s="448" t="s">
        <v>313</v>
      </c>
      <c r="G1052" s="589">
        <v>46218</v>
      </c>
      <c r="H1052" s="450"/>
      <c r="I1052" s="450" t="s">
        <v>186</v>
      </c>
      <c r="J1052" s="305">
        <v>0.31944444444444448</v>
      </c>
      <c r="K1052" s="305">
        <v>0.71319444444444446</v>
      </c>
      <c r="L1052" s="451" t="s">
        <v>169</v>
      </c>
      <c r="M1052" s="452">
        <v>8</v>
      </c>
      <c r="N1052" s="452"/>
      <c r="O1052" s="452"/>
      <c r="P1052" s="452"/>
      <c r="Q1052" s="453"/>
      <c r="R1052" s="452"/>
      <c r="S1052" s="452"/>
      <c r="T1052" s="453"/>
      <c r="U1052" s="452"/>
      <c r="V1052" s="453"/>
      <c r="W1052" s="454"/>
      <c r="X1052" s="455"/>
      <c r="Y1052" s="456"/>
      <c r="Z1052" s="457"/>
      <c r="AA1052" s="458"/>
      <c r="AB1052" s="443"/>
    </row>
    <row r="1053" spans="1:28" s="444" customFormat="1">
      <c r="A1053" s="702"/>
      <c r="B1053" s="446" t="s">
        <v>187</v>
      </c>
      <c r="C1053" s="505">
        <v>30612</v>
      </c>
      <c r="D1053" s="448" t="s">
        <v>313</v>
      </c>
      <c r="E1053" s="511" t="s">
        <v>312</v>
      </c>
      <c r="F1053" s="448" t="s">
        <v>313</v>
      </c>
      <c r="G1053" s="589">
        <v>46219</v>
      </c>
      <c r="H1053" s="450"/>
      <c r="I1053" s="450" t="s">
        <v>186</v>
      </c>
      <c r="J1053" s="434">
        <v>0.33680555555555558</v>
      </c>
      <c r="K1053" s="305">
        <v>0.71319444444444446</v>
      </c>
      <c r="L1053" s="451" t="s">
        <v>169</v>
      </c>
      <c r="M1053" s="452">
        <v>8</v>
      </c>
      <c r="N1053" s="452"/>
      <c r="O1053" s="452"/>
      <c r="P1053" s="452"/>
      <c r="Q1053" s="453"/>
      <c r="R1053" s="452"/>
      <c r="S1053" s="452"/>
      <c r="T1053" s="453"/>
      <c r="U1053" s="452"/>
      <c r="V1053" s="453"/>
      <c r="W1053" s="454"/>
      <c r="X1053" s="455"/>
      <c r="Y1053" s="456"/>
      <c r="Z1053" s="457"/>
      <c r="AA1053" s="467">
        <v>5</v>
      </c>
      <c r="AB1053" s="443"/>
    </row>
    <row r="1054" spans="1:28" s="444" customFormat="1">
      <c r="A1054" s="702"/>
      <c r="B1054" s="446" t="s">
        <v>187</v>
      </c>
      <c r="C1054" s="505">
        <v>30612</v>
      </c>
      <c r="D1054" s="448" t="s">
        <v>313</v>
      </c>
      <c r="E1054" s="511" t="s">
        <v>312</v>
      </c>
      <c r="F1054" s="448" t="s">
        <v>313</v>
      </c>
      <c r="G1054" s="589">
        <v>46220</v>
      </c>
      <c r="H1054" s="450"/>
      <c r="I1054" s="450" t="s">
        <v>186</v>
      </c>
      <c r="J1054" s="305">
        <v>0.31736111111111115</v>
      </c>
      <c r="K1054" s="305">
        <v>0.71250000000000002</v>
      </c>
      <c r="L1054" s="451" t="s">
        <v>169</v>
      </c>
      <c r="M1054" s="452">
        <v>8</v>
      </c>
      <c r="N1054" s="452"/>
      <c r="O1054" s="452"/>
      <c r="P1054" s="452"/>
      <c r="Q1054" s="453"/>
      <c r="R1054" s="452"/>
      <c r="S1054" s="452"/>
      <c r="T1054" s="453"/>
      <c r="U1054" s="452"/>
      <c r="V1054" s="453"/>
      <c r="W1054" s="454"/>
      <c r="X1054" s="455"/>
      <c r="Y1054" s="456"/>
      <c r="Z1054" s="457"/>
      <c r="AA1054" s="458"/>
      <c r="AB1054" s="443"/>
    </row>
    <row r="1055" spans="1:28" s="444" customFormat="1">
      <c r="A1055" s="702"/>
      <c r="B1055" s="446" t="s">
        <v>187</v>
      </c>
      <c r="C1055" s="505">
        <v>30612</v>
      </c>
      <c r="D1055" s="448" t="s">
        <v>313</v>
      </c>
      <c r="E1055" s="511" t="s">
        <v>312</v>
      </c>
      <c r="F1055" s="448" t="s">
        <v>313</v>
      </c>
      <c r="G1055" s="589">
        <v>46221</v>
      </c>
      <c r="H1055" s="450"/>
      <c r="I1055" s="450" t="s">
        <v>186</v>
      </c>
      <c r="J1055" s="305">
        <v>0.31111111111111112</v>
      </c>
      <c r="K1055" s="305">
        <v>0.71180555555555558</v>
      </c>
      <c r="L1055" s="451" t="s">
        <v>169</v>
      </c>
      <c r="M1055" s="452">
        <v>8</v>
      </c>
      <c r="N1055" s="452"/>
      <c r="O1055" s="452"/>
      <c r="P1055" s="452"/>
      <c r="Q1055" s="453"/>
      <c r="R1055" s="452"/>
      <c r="S1055" s="452"/>
      <c r="T1055" s="453"/>
      <c r="U1055" s="452"/>
      <c r="V1055" s="453"/>
      <c r="W1055" s="454"/>
      <c r="X1055" s="455"/>
      <c r="Y1055" s="456"/>
      <c r="Z1055" s="457"/>
      <c r="AA1055" s="458"/>
      <c r="AB1055" s="443"/>
    </row>
    <row r="1056" spans="1:28" s="444" customFormat="1">
      <c r="A1056" s="702"/>
      <c r="B1056" s="446" t="s">
        <v>187</v>
      </c>
      <c r="C1056" s="505">
        <v>30612</v>
      </c>
      <c r="D1056" s="448" t="s">
        <v>313</v>
      </c>
      <c r="E1056" s="511" t="s">
        <v>312</v>
      </c>
      <c r="F1056" s="448" t="s">
        <v>313</v>
      </c>
      <c r="G1056" s="590">
        <v>46222</v>
      </c>
      <c r="H1056" s="450"/>
      <c r="I1056" s="450"/>
      <c r="J1056" s="699" t="s">
        <v>173</v>
      </c>
      <c r="K1056" s="700"/>
      <c r="L1056" s="451"/>
      <c r="M1056" s="452"/>
      <c r="N1056" s="452"/>
      <c r="O1056" s="452"/>
      <c r="P1056" s="452"/>
      <c r="Q1056" s="453"/>
      <c r="R1056" s="452"/>
      <c r="S1056" s="452"/>
      <c r="T1056" s="453"/>
      <c r="U1056" s="452"/>
      <c r="V1056" s="453"/>
      <c r="W1056" s="454"/>
      <c r="X1056" s="455"/>
      <c r="Y1056" s="456"/>
      <c r="Z1056" s="457"/>
      <c r="AA1056" s="458"/>
      <c r="AB1056" s="443"/>
    </row>
    <row r="1057" spans="1:28" s="444" customFormat="1">
      <c r="A1057" s="702"/>
      <c r="B1057" s="446" t="s">
        <v>187</v>
      </c>
      <c r="C1057" s="505">
        <v>30612</v>
      </c>
      <c r="D1057" s="448" t="s">
        <v>313</v>
      </c>
      <c r="E1057" s="511" t="s">
        <v>312</v>
      </c>
      <c r="F1057" s="448" t="s">
        <v>313</v>
      </c>
      <c r="G1057" s="589">
        <v>46223</v>
      </c>
      <c r="H1057" s="450"/>
      <c r="I1057" s="450" t="s">
        <v>186</v>
      </c>
      <c r="J1057" s="295">
        <v>0.29652777777777778</v>
      </c>
      <c r="K1057" s="295">
        <v>0.71250000000000002</v>
      </c>
      <c r="L1057" s="451" t="s">
        <v>169</v>
      </c>
      <c r="M1057" s="452">
        <v>8</v>
      </c>
      <c r="N1057" s="462"/>
      <c r="O1057" s="462"/>
      <c r="P1057" s="462"/>
      <c r="Q1057" s="461"/>
      <c r="R1057" s="462"/>
      <c r="S1057" s="462"/>
      <c r="T1057" s="461"/>
      <c r="U1057" s="462"/>
      <c r="V1057" s="461"/>
      <c r="W1057" s="454"/>
      <c r="X1057" s="455"/>
      <c r="Y1057" s="456"/>
      <c r="Z1057" s="457"/>
      <c r="AA1057" s="458"/>
      <c r="AB1057" s="443"/>
    </row>
    <row r="1058" spans="1:28" s="444" customFormat="1">
      <c r="A1058" s="702"/>
      <c r="B1058" s="446" t="s">
        <v>187</v>
      </c>
      <c r="C1058" s="505">
        <v>30612</v>
      </c>
      <c r="D1058" s="448" t="s">
        <v>313</v>
      </c>
      <c r="E1058" s="511" t="s">
        <v>312</v>
      </c>
      <c r="F1058" s="448" t="s">
        <v>313</v>
      </c>
      <c r="G1058" s="589">
        <v>46224</v>
      </c>
      <c r="H1058" s="450"/>
      <c r="I1058" s="450" t="s">
        <v>186</v>
      </c>
      <c r="J1058" s="295">
        <v>0.31666666666666665</v>
      </c>
      <c r="K1058" s="295">
        <v>0.71319444444444446</v>
      </c>
      <c r="L1058" s="451" t="s">
        <v>169</v>
      </c>
      <c r="M1058" s="452">
        <v>8</v>
      </c>
      <c r="N1058" s="477"/>
      <c r="O1058" s="477"/>
      <c r="P1058" s="477"/>
      <c r="Q1058" s="468"/>
      <c r="R1058" s="469"/>
      <c r="S1058" s="469"/>
      <c r="T1058" s="461"/>
      <c r="U1058" s="462"/>
      <c r="V1058" s="461"/>
      <c r="W1058" s="463"/>
      <c r="X1058" s="464"/>
      <c r="Y1058" s="465"/>
      <c r="Z1058" s="466"/>
      <c r="AA1058" s="467"/>
      <c r="AB1058" s="443"/>
    </row>
    <row r="1059" spans="1:28" s="444" customFormat="1">
      <c r="A1059" s="702"/>
      <c r="B1059" s="446" t="s">
        <v>187</v>
      </c>
      <c r="C1059" s="505">
        <v>30612</v>
      </c>
      <c r="D1059" s="448" t="s">
        <v>313</v>
      </c>
      <c r="E1059" s="511" t="s">
        <v>312</v>
      </c>
      <c r="F1059" s="448" t="s">
        <v>313</v>
      </c>
      <c r="G1059" s="589">
        <v>46225</v>
      </c>
      <c r="H1059" s="450"/>
      <c r="I1059" s="450" t="s">
        <v>186</v>
      </c>
      <c r="J1059" s="295">
        <v>0.31736111111111109</v>
      </c>
      <c r="K1059" s="295">
        <v>0.71527777777777779</v>
      </c>
      <c r="L1059" s="451" t="s">
        <v>169</v>
      </c>
      <c r="M1059" s="452">
        <v>8</v>
      </c>
      <c r="N1059" s="471"/>
      <c r="O1059" s="452"/>
      <c r="P1059" s="452"/>
      <c r="Q1059" s="453"/>
      <c r="R1059" s="452"/>
      <c r="S1059" s="452"/>
      <c r="T1059" s="453"/>
      <c r="U1059" s="452"/>
      <c r="V1059" s="453"/>
      <c r="W1059" s="454"/>
      <c r="X1059" s="455"/>
      <c r="Y1059" s="456"/>
      <c r="Z1059" s="457"/>
      <c r="AA1059" s="458"/>
      <c r="AB1059" s="443"/>
    </row>
    <row r="1060" spans="1:28" s="444" customFormat="1">
      <c r="A1060" s="702"/>
      <c r="B1060" s="446" t="s">
        <v>187</v>
      </c>
      <c r="C1060" s="505">
        <v>30612</v>
      </c>
      <c r="D1060" s="448" t="s">
        <v>313</v>
      </c>
      <c r="E1060" s="511" t="s">
        <v>312</v>
      </c>
      <c r="F1060" s="448" t="s">
        <v>313</v>
      </c>
      <c r="G1060" s="589">
        <v>46226</v>
      </c>
      <c r="H1060" s="450"/>
      <c r="I1060" s="450" t="s">
        <v>186</v>
      </c>
      <c r="J1060" s="295">
        <v>0.30694444444444446</v>
      </c>
      <c r="K1060" s="295">
        <v>0.71388888888888891</v>
      </c>
      <c r="L1060" s="451" t="s">
        <v>169</v>
      </c>
      <c r="M1060" s="452">
        <v>8</v>
      </c>
      <c r="N1060" s="471"/>
      <c r="O1060" s="470"/>
      <c r="P1060" s="470"/>
      <c r="Q1060" s="453"/>
      <c r="R1060" s="452"/>
      <c r="S1060" s="452"/>
      <c r="T1060" s="453"/>
      <c r="U1060" s="452"/>
      <c r="V1060" s="453"/>
      <c r="W1060" s="454"/>
      <c r="X1060" s="455"/>
      <c r="Y1060" s="456"/>
      <c r="Z1060" s="457"/>
      <c r="AA1060" s="458"/>
      <c r="AB1060" s="443"/>
    </row>
    <row r="1061" spans="1:28" s="444" customFormat="1">
      <c r="A1061" s="702"/>
      <c r="B1061" s="446" t="s">
        <v>187</v>
      </c>
      <c r="C1061" s="505">
        <v>30612</v>
      </c>
      <c r="D1061" s="448" t="s">
        <v>313</v>
      </c>
      <c r="E1061" s="511" t="s">
        <v>312</v>
      </c>
      <c r="F1061" s="448" t="s">
        <v>313</v>
      </c>
      <c r="G1061" s="589">
        <v>46227</v>
      </c>
      <c r="H1061" s="450"/>
      <c r="I1061" s="450" t="s">
        <v>186</v>
      </c>
      <c r="J1061" s="295">
        <v>0.32013888888888886</v>
      </c>
      <c r="K1061" s="318">
        <v>0.71180555555555558</v>
      </c>
      <c r="L1061" s="451" t="s">
        <v>169</v>
      </c>
      <c r="M1061" s="452">
        <v>8</v>
      </c>
      <c r="N1061" s="471"/>
      <c r="O1061" s="471"/>
      <c r="P1061" s="471"/>
      <c r="Q1061" s="472"/>
      <c r="R1061" s="471"/>
      <c r="S1061" s="471"/>
      <c r="T1061" s="453"/>
      <c r="U1061" s="452"/>
      <c r="V1061" s="453"/>
      <c r="W1061" s="454"/>
      <c r="X1061" s="455"/>
      <c r="Y1061" s="456"/>
      <c r="Z1061" s="457"/>
      <c r="AA1061" s="458"/>
      <c r="AB1061" s="443"/>
    </row>
    <row r="1062" spans="1:28" s="444" customFormat="1">
      <c r="A1062" s="702"/>
      <c r="B1062" s="446" t="s">
        <v>187</v>
      </c>
      <c r="C1062" s="505">
        <v>30612</v>
      </c>
      <c r="D1062" s="448" t="s">
        <v>313</v>
      </c>
      <c r="E1062" s="511" t="s">
        <v>312</v>
      </c>
      <c r="F1062" s="448" t="s">
        <v>313</v>
      </c>
      <c r="G1062" s="589">
        <v>46228</v>
      </c>
      <c r="H1062" s="450"/>
      <c r="I1062" s="450" t="s">
        <v>186</v>
      </c>
      <c r="J1062" s="295"/>
      <c r="K1062" s="295"/>
      <c r="L1062" s="451"/>
      <c r="M1062" s="452"/>
      <c r="N1062" s="452"/>
      <c r="O1062" s="452"/>
      <c r="P1062" s="452"/>
      <c r="Q1062" s="453"/>
      <c r="R1062" s="452"/>
      <c r="S1062" s="473"/>
      <c r="T1062" s="453"/>
      <c r="U1062" s="452"/>
      <c r="V1062" s="453"/>
      <c r="W1062" s="454"/>
      <c r="X1062" s="455"/>
      <c r="Y1062" s="456"/>
      <c r="Z1062" s="457"/>
      <c r="AA1062" s="458"/>
      <c r="AB1062" s="443"/>
    </row>
    <row r="1063" spans="1:28" s="444" customFormat="1">
      <c r="A1063" s="702"/>
      <c r="B1063" s="446"/>
      <c r="C1063" s="505"/>
      <c r="D1063" s="449"/>
      <c r="E1063" s="511"/>
      <c r="F1063" s="449"/>
      <c r="G1063" s="600"/>
      <c r="H1063" s="450"/>
      <c r="I1063" s="450"/>
      <c r="J1063" s="474"/>
      <c r="K1063" s="475"/>
      <c r="L1063" s="476"/>
      <c r="M1063" s="477"/>
      <c r="N1063" s="477"/>
      <c r="O1063" s="477"/>
      <c r="P1063" s="477"/>
      <c r="Q1063" s="478"/>
      <c r="R1063" s="477"/>
      <c r="S1063" s="479"/>
      <c r="T1063" s="453"/>
      <c r="U1063" s="452"/>
      <c r="V1063" s="453"/>
      <c r="W1063" s="454"/>
      <c r="X1063" s="455"/>
      <c r="Y1063" s="456"/>
      <c r="Z1063" s="457"/>
      <c r="AA1063" s="458"/>
      <c r="AB1063" s="443"/>
    </row>
    <row r="1064" spans="1:28" s="444" customFormat="1">
      <c r="A1064" s="703"/>
      <c r="B1064" s="481"/>
      <c r="C1064" s="446"/>
      <c r="D1064" s="481"/>
      <c r="E1064" s="449"/>
      <c r="F1064" s="481"/>
      <c r="G1064" s="599" t="s">
        <v>401</v>
      </c>
      <c r="H1064" s="482"/>
      <c r="I1064" s="483"/>
      <c r="J1064" s="484"/>
      <c r="K1064" s="485"/>
      <c r="L1064" s="483"/>
      <c r="M1064" s="483">
        <f t="shared" ref="M1064:AA1064" si="59">SUM(M1047:M1063)</f>
        <v>96</v>
      </c>
      <c r="N1064" s="483">
        <f t="shared" si="59"/>
        <v>0</v>
      </c>
      <c r="O1064" s="483">
        <f t="shared" si="59"/>
        <v>6</v>
      </c>
      <c r="P1064" s="483">
        <f t="shared" si="59"/>
        <v>0</v>
      </c>
      <c r="Q1064" s="483">
        <f t="shared" si="59"/>
        <v>0</v>
      </c>
      <c r="R1064" s="483">
        <f t="shared" si="59"/>
        <v>0</v>
      </c>
      <c r="S1064" s="483">
        <f t="shared" si="59"/>
        <v>0</v>
      </c>
      <c r="T1064" s="483">
        <f t="shared" si="59"/>
        <v>0</v>
      </c>
      <c r="U1064" s="483">
        <f t="shared" si="59"/>
        <v>0</v>
      </c>
      <c r="V1064" s="483">
        <f t="shared" si="59"/>
        <v>0</v>
      </c>
      <c r="W1064" s="483">
        <f t="shared" si="59"/>
        <v>0</v>
      </c>
      <c r="X1064" s="483">
        <f t="shared" si="59"/>
        <v>0</v>
      </c>
      <c r="Y1064" s="483">
        <f t="shared" si="59"/>
        <v>0</v>
      </c>
      <c r="Z1064" s="483">
        <f t="shared" si="59"/>
        <v>0</v>
      </c>
      <c r="AA1064" s="483">
        <f t="shared" si="59"/>
        <v>5</v>
      </c>
      <c r="AB1064" s="443"/>
    </row>
    <row r="1065" spans="1:28" s="444" customFormat="1">
      <c r="A1065" s="435" t="s">
        <v>170</v>
      </c>
      <c r="B1065" s="435" t="s">
        <v>120</v>
      </c>
      <c r="C1065" s="435" t="s">
        <v>152</v>
      </c>
      <c r="D1065" s="435" t="s">
        <v>182</v>
      </c>
      <c r="E1065" s="436" t="s">
        <v>153</v>
      </c>
      <c r="F1065" s="435" t="s">
        <v>182</v>
      </c>
      <c r="G1065" s="589">
        <v>46214</v>
      </c>
      <c r="H1065" s="437"/>
      <c r="I1065" s="438" t="s">
        <v>181</v>
      </c>
      <c r="J1065" s="439" t="s">
        <v>154</v>
      </c>
      <c r="K1065" s="439" t="s">
        <v>155</v>
      </c>
      <c r="L1065" s="440" t="s">
        <v>156</v>
      </c>
      <c r="M1065" s="441" t="s">
        <v>157</v>
      </c>
      <c r="N1065" s="440" t="s">
        <v>158</v>
      </c>
      <c r="O1065" s="440" t="s">
        <v>159</v>
      </c>
      <c r="P1065" s="440" t="s">
        <v>174</v>
      </c>
      <c r="Q1065" s="440" t="s">
        <v>160</v>
      </c>
      <c r="R1065" s="440" t="s">
        <v>161</v>
      </c>
      <c r="S1065" s="440" t="s">
        <v>162</v>
      </c>
      <c r="T1065" s="438" t="s">
        <v>163</v>
      </c>
      <c r="U1065" s="438" t="s">
        <v>164</v>
      </c>
      <c r="V1065" s="438" t="s">
        <v>165</v>
      </c>
      <c r="W1065" s="440" t="s">
        <v>113</v>
      </c>
      <c r="X1065" s="438" t="s">
        <v>121</v>
      </c>
      <c r="Y1065" s="438" t="s">
        <v>166</v>
      </c>
      <c r="Z1065" s="442" t="s">
        <v>175</v>
      </c>
      <c r="AA1065" s="442" t="s">
        <v>167</v>
      </c>
      <c r="AB1065" s="443"/>
    </row>
    <row r="1066" spans="1:28" s="444" customFormat="1">
      <c r="A1066" s="445"/>
      <c r="B1066" s="446" t="s">
        <v>187</v>
      </c>
      <c r="C1066" s="488">
        <v>30611</v>
      </c>
      <c r="D1066" s="448" t="s">
        <v>311</v>
      </c>
      <c r="E1066" s="511" t="s">
        <v>310</v>
      </c>
      <c r="F1066" s="448" t="s">
        <v>311</v>
      </c>
      <c r="G1066" s="590">
        <v>46215</v>
      </c>
      <c r="H1066" s="450"/>
      <c r="I1066" s="450" t="s">
        <v>186</v>
      </c>
      <c r="J1066" s="391">
        <v>0.31666666666666665</v>
      </c>
      <c r="K1066" s="295">
        <v>0.7090277777777777</v>
      </c>
      <c r="L1066" s="451" t="s">
        <v>169</v>
      </c>
      <c r="M1066" s="447">
        <v>8</v>
      </c>
      <c r="N1066" s="452"/>
      <c r="O1066" s="452"/>
      <c r="P1066" s="452"/>
      <c r="Q1066" s="453"/>
      <c r="R1066" s="452"/>
      <c r="S1066" s="452"/>
      <c r="T1066" s="453"/>
      <c r="U1066" s="452"/>
      <c r="V1066" s="453"/>
      <c r="W1066" s="454"/>
      <c r="X1066" s="455"/>
      <c r="Y1066" s="456"/>
      <c r="Z1066" s="457"/>
      <c r="AA1066" s="458"/>
      <c r="AB1066" s="443"/>
    </row>
    <row r="1067" spans="1:28" s="444" customFormat="1">
      <c r="A1067" s="459"/>
      <c r="B1067" s="446" t="s">
        <v>187</v>
      </c>
      <c r="C1067" s="488">
        <v>30611</v>
      </c>
      <c r="D1067" s="448" t="s">
        <v>311</v>
      </c>
      <c r="E1067" s="511" t="s">
        <v>310</v>
      </c>
      <c r="F1067" s="448" t="s">
        <v>311</v>
      </c>
      <c r="G1067" s="589">
        <v>46216</v>
      </c>
      <c r="H1067" s="450"/>
      <c r="I1067" s="450"/>
      <c r="J1067" s="699" t="s">
        <v>173</v>
      </c>
      <c r="K1067" s="700"/>
      <c r="L1067" s="451"/>
      <c r="M1067" s="452"/>
      <c r="N1067" s="452"/>
      <c r="O1067" s="452"/>
      <c r="P1067" s="452"/>
      <c r="Q1067" s="453"/>
      <c r="R1067" s="452"/>
      <c r="S1067" s="452"/>
      <c r="T1067" s="453"/>
      <c r="U1067" s="452"/>
      <c r="V1067" s="453"/>
      <c r="W1067" s="454"/>
      <c r="X1067" s="455"/>
      <c r="Y1067" s="456"/>
      <c r="Z1067" s="457"/>
      <c r="AA1067" s="458"/>
      <c r="AB1067" s="443"/>
    </row>
    <row r="1068" spans="1:28" s="444" customFormat="1">
      <c r="A1068" s="459"/>
      <c r="B1068" s="446" t="s">
        <v>187</v>
      </c>
      <c r="C1068" s="505">
        <v>30611</v>
      </c>
      <c r="D1068" s="448" t="s">
        <v>311</v>
      </c>
      <c r="E1068" s="511" t="s">
        <v>310</v>
      </c>
      <c r="F1068" s="448" t="s">
        <v>311</v>
      </c>
      <c r="G1068" s="589">
        <v>46217</v>
      </c>
      <c r="H1068" s="450"/>
      <c r="I1068" s="450" t="s">
        <v>186</v>
      </c>
      <c r="J1068" s="305">
        <v>0.31805555555555554</v>
      </c>
      <c r="K1068" s="305">
        <v>0.7104166666666667</v>
      </c>
      <c r="L1068" s="451" t="s">
        <v>169</v>
      </c>
      <c r="M1068" s="452">
        <v>8</v>
      </c>
      <c r="N1068" s="452"/>
      <c r="O1068" s="452"/>
      <c r="P1068" s="452"/>
      <c r="Q1068" s="453"/>
      <c r="R1068" s="452"/>
      <c r="S1068" s="452"/>
      <c r="T1068" s="453"/>
      <c r="U1068" s="452"/>
      <c r="V1068" s="453"/>
      <c r="W1068" s="454"/>
      <c r="X1068" s="455"/>
      <c r="Y1068" s="456"/>
      <c r="Z1068" s="457"/>
      <c r="AA1068" s="458"/>
      <c r="AB1068" s="443"/>
    </row>
    <row r="1069" spans="1:28" s="444" customFormat="1">
      <c r="A1069" s="459"/>
      <c r="B1069" s="446" t="s">
        <v>187</v>
      </c>
      <c r="C1069" s="505">
        <v>30611</v>
      </c>
      <c r="D1069" s="448" t="s">
        <v>311</v>
      </c>
      <c r="E1069" s="511" t="s">
        <v>310</v>
      </c>
      <c r="F1069" s="448" t="s">
        <v>311</v>
      </c>
      <c r="G1069" s="589">
        <v>46218</v>
      </c>
      <c r="H1069" s="450"/>
      <c r="I1069" s="450" t="s">
        <v>186</v>
      </c>
      <c r="J1069" s="305">
        <v>0.31597222222222221</v>
      </c>
      <c r="K1069" s="305">
        <v>0.79305555555555562</v>
      </c>
      <c r="L1069" s="451" t="s">
        <v>169</v>
      </c>
      <c r="M1069" s="452">
        <v>8</v>
      </c>
      <c r="N1069" s="452">
        <v>2</v>
      </c>
      <c r="O1069" s="462"/>
      <c r="P1069" s="462"/>
      <c r="Q1069" s="461"/>
      <c r="R1069" s="462"/>
      <c r="S1069" s="462"/>
      <c r="T1069" s="461"/>
      <c r="U1069" s="462"/>
      <c r="V1069" s="461"/>
      <c r="W1069" s="463"/>
      <c r="X1069" s="464"/>
      <c r="Y1069" s="465"/>
      <c r="Z1069" s="466"/>
      <c r="AA1069" s="467"/>
      <c r="AB1069" s="443"/>
    </row>
    <row r="1070" spans="1:28" s="444" customFormat="1">
      <c r="A1070" s="459"/>
      <c r="B1070" s="446" t="s">
        <v>187</v>
      </c>
      <c r="C1070" s="505">
        <v>30611</v>
      </c>
      <c r="D1070" s="448" t="s">
        <v>311</v>
      </c>
      <c r="E1070" s="511" t="s">
        <v>310</v>
      </c>
      <c r="F1070" s="448" t="s">
        <v>311</v>
      </c>
      <c r="G1070" s="589">
        <v>46219</v>
      </c>
      <c r="H1070" s="450"/>
      <c r="I1070" s="450" t="s">
        <v>186</v>
      </c>
      <c r="J1070" s="305">
        <v>0.31597222222222221</v>
      </c>
      <c r="K1070" s="305">
        <v>0.70972222222222225</v>
      </c>
      <c r="L1070" s="451" t="s">
        <v>169</v>
      </c>
      <c r="M1070" s="452">
        <v>8</v>
      </c>
      <c r="N1070" s="452"/>
      <c r="O1070" s="452"/>
      <c r="P1070" s="452"/>
      <c r="Q1070" s="453"/>
      <c r="R1070" s="452"/>
      <c r="S1070" s="452"/>
      <c r="T1070" s="453"/>
      <c r="U1070" s="452"/>
      <c r="V1070" s="453"/>
      <c r="W1070" s="454"/>
      <c r="X1070" s="455"/>
      <c r="Y1070" s="456"/>
      <c r="Z1070" s="457"/>
      <c r="AA1070" s="458"/>
      <c r="AB1070" s="443"/>
    </row>
    <row r="1071" spans="1:28" s="444" customFormat="1">
      <c r="A1071" s="459"/>
      <c r="B1071" s="446" t="s">
        <v>187</v>
      </c>
      <c r="C1071" s="505">
        <v>30611</v>
      </c>
      <c r="D1071" s="448" t="s">
        <v>311</v>
      </c>
      <c r="E1071" s="511" t="s">
        <v>310</v>
      </c>
      <c r="F1071" s="448" t="s">
        <v>311</v>
      </c>
      <c r="G1071" s="589">
        <v>46220</v>
      </c>
      <c r="H1071" s="450"/>
      <c r="I1071" s="450" t="s">
        <v>186</v>
      </c>
      <c r="J1071" s="305">
        <v>0.31805555555555554</v>
      </c>
      <c r="K1071" s="305">
        <v>0.79305555555555562</v>
      </c>
      <c r="L1071" s="451" t="s">
        <v>169</v>
      </c>
      <c r="M1071" s="452">
        <v>8</v>
      </c>
      <c r="N1071" s="452">
        <v>2</v>
      </c>
      <c r="O1071" s="452"/>
      <c r="P1071" s="452"/>
      <c r="Q1071" s="453"/>
      <c r="R1071" s="452"/>
      <c r="S1071" s="452"/>
      <c r="T1071" s="453"/>
      <c r="U1071" s="452"/>
      <c r="V1071" s="453"/>
      <c r="W1071" s="454"/>
      <c r="X1071" s="455"/>
      <c r="Y1071" s="456"/>
      <c r="Z1071" s="457"/>
      <c r="AA1071" s="458"/>
      <c r="AB1071" s="443"/>
    </row>
    <row r="1072" spans="1:28" s="444" customFormat="1">
      <c r="A1072" s="459"/>
      <c r="B1072" s="446" t="s">
        <v>187</v>
      </c>
      <c r="C1072" s="505">
        <v>30611</v>
      </c>
      <c r="D1072" s="448" t="s">
        <v>311</v>
      </c>
      <c r="E1072" s="511" t="s">
        <v>310</v>
      </c>
      <c r="F1072" s="448" t="s">
        <v>311</v>
      </c>
      <c r="G1072" s="589">
        <v>46221</v>
      </c>
      <c r="H1072" s="450"/>
      <c r="I1072" s="450" t="s">
        <v>186</v>
      </c>
      <c r="J1072" s="305">
        <v>0.31041666666666667</v>
      </c>
      <c r="K1072" s="305">
        <v>0.79236111111111107</v>
      </c>
      <c r="L1072" s="451" t="s">
        <v>169</v>
      </c>
      <c r="M1072" s="452">
        <v>8</v>
      </c>
      <c r="N1072" s="452">
        <v>2</v>
      </c>
      <c r="O1072" s="452"/>
      <c r="P1072" s="452"/>
      <c r="Q1072" s="453"/>
      <c r="R1072" s="452"/>
      <c r="S1072" s="452"/>
      <c r="T1072" s="453"/>
      <c r="U1072" s="452"/>
      <c r="V1072" s="453"/>
      <c r="W1072" s="454"/>
      <c r="X1072" s="455"/>
      <c r="Y1072" s="456"/>
      <c r="Z1072" s="457"/>
      <c r="AA1072" s="458"/>
      <c r="AB1072" s="443"/>
    </row>
    <row r="1073" spans="1:28" s="444" customFormat="1">
      <c r="A1073" s="459"/>
      <c r="B1073" s="446" t="s">
        <v>187</v>
      </c>
      <c r="C1073" s="505">
        <v>30611</v>
      </c>
      <c r="D1073" s="448" t="s">
        <v>311</v>
      </c>
      <c r="E1073" s="511" t="s">
        <v>310</v>
      </c>
      <c r="F1073" s="448" t="s">
        <v>311</v>
      </c>
      <c r="G1073" s="590">
        <v>46222</v>
      </c>
      <c r="H1073" s="450"/>
      <c r="I1073" s="450" t="s">
        <v>186</v>
      </c>
      <c r="J1073" s="305">
        <v>0.30972222222222223</v>
      </c>
      <c r="K1073" s="305">
        <v>0.70972222222222225</v>
      </c>
      <c r="L1073" s="451" t="s">
        <v>169</v>
      </c>
      <c r="M1073" s="452">
        <v>8</v>
      </c>
      <c r="N1073" s="452"/>
      <c r="O1073" s="452"/>
      <c r="P1073" s="452"/>
      <c r="Q1073" s="453"/>
      <c r="R1073" s="452"/>
      <c r="S1073" s="452"/>
      <c r="T1073" s="453"/>
      <c r="U1073" s="452"/>
      <c r="V1073" s="453"/>
      <c r="W1073" s="454"/>
      <c r="X1073" s="455"/>
      <c r="Y1073" s="456"/>
      <c r="Z1073" s="457"/>
      <c r="AA1073" s="458"/>
      <c r="AB1073" s="443"/>
    </row>
    <row r="1074" spans="1:28" s="444" customFormat="1">
      <c r="A1074" s="459"/>
      <c r="B1074" s="446" t="s">
        <v>187</v>
      </c>
      <c r="C1074" s="505">
        <v>30611</v>
      </c>
      <c r="D1074" s="448" t="s">
        <v>311</v>
      </c>
      <c r="E1074" s="511" t="s">
        <v>310</v>
      </c>
      <c r="F1074" s="448" t="s">
        <v>311</v>
      </c>
      <c r="G1074" s="589">
        <v>46223</v>
      </c>
      <c r="H1074" s="450"/>
      <c r="I1074" s="450"/>
      <c r="J1074" s="699" t="s">
        <v>173</v>
      </c>
      <c r="K1074" s="700"/>
      <c r="L1074" s="451"/>
      <c r="M1074" s="452"/>
      <c r="N1074" s="452"/>
      <c r="O1074" s="452"/>
      <c r="P1074" s="452"/>
      <c r="Q1074" s="453"/>
      <c r="R1074" s="452"/>
      <c r="S1074" s="452"/>
      <c r="T1074" s="453"/>
      <c r="U1074" s="452"/>
      <c r="V1074" s="453"/>
      <c r="W1074" s="454"/>
      <c r="X1074" s="455"/>
      <c r="Y1074" s="456"/>
      <c r="Z1074" s="457"/>
      <c r="AA1074" s="458"/>
      <c r="AB1074" s="443"/>
    </row>
    <row r="1075" spans="1:28" s="444" customFormat="1">
      <c r="A1075" s="459"/>
      <c r="B1075" s="446" t="s">
        <v>187</v>
      </c>
      <c r="C1075" s="505">
        <v>30611</v>
      </c>
      <c r="D1075" s="448" t="s">
        <v>311</v>
      </c>
      <c r="E1075" s="511" t="s">
        <v>310</v>
      </c>
      <c r="F1075" s="448" t="s">
        <v>311</v>
      </c>
      <c r="G1075" s="589">
        <v>46224</v>
      </c>
      <c r="H1075" s="450"/>
      <c r="I1075" s="450" t="s">
        <v>186</v>
      </c>
      <c r="J1075" s="295">
        <v>0.3125</v>
      </c>
      <c r="K1075" s="295">
        <v>0.70902777777777781</v>
      </c>
      <c r="L1075" s="451" t="s">
        <v>169</v>
      </c>
      <c r="M1075" s="452">
        <v>8</v>
      </c>
      <c r="N1075" s="462"/>
      <c r="O1075" s="462"/>
      <c r="P1075" s="462"/>
      <c r="Q1075" s="461"/>
      <c r="R1075" s="462"/>
      <c r="S1075" s="462"/>
      <c r="T1075" s="461"/>
      <c r="U1075" s="462"/>
      <c r="V1075" s="461"/>
      <c r="W1075" s="454"/>
      <c r="X1075" s="455"/>
      <c r="Y1075" s="456"/>
      <c r="Z1075" s="457"/>
      <c r="AA1075" s="458"/>
      <c r="AB1075" s="443"/>
    </row>
    <row r="1076" spans="1:28" s="444" customFormat="1">
      <c r="A1076" s="459"/>
      <c r="B1076" s="446" t="s">
        <v>187</v>
      </c>
      <c r="C1076" s="505">
        <v>30611</v>
      </c>
      <c r="D1076" s="448" t="s">
        <v>311</v>
      </c>
      <c r="E1076" s="511" t="s">
        <v>310</v>
      </c>
      <c r="F1076" s="448" t="s">
        <v>311</v>
      </c>
      <c r="G1076" s="589">
        <v>46225</v>
      </c>
      <c r="H1076" s="450"/>
      <c r="I1076" s="450" t="s">
        <v>186</v>
      </c>
      <c r="J1076" s="295">
        <v>0.31458333333333333</v>
      </c>
      <c r="K1076" s="295">
        <v>0.70972222222222225</v>
      </c>
      <c r="L1076" s="451" t="s">
        <v>169</v>
      </c>
      <c r="M1076" s="452">
        <v>8</v>
      </c>
      <c r="N1076" s="477"/>
      <c r="O1076" s="469"/>
      <c r="P1076" s="469"/>
      <c r="Q1076" s="468"/>
      <c r="R1076" s="469"/>
      <c r="S1076" s="469"/>
      <c r="T1076" s="461"/>
      <c r="U1076" s="462"/>
      <c r="V1076" s="461"/>
      <c r="W1076" s="463"/>
      <c r="X1076" s="464"/>
      <c r="Y1076" s="465"/>
      <c r="Z1076" s="466"/>
      <c r="AA1076" s="467"/>
      <c r="AB1076" s="443"/>
    </row>
    <row r="1077" spans="1:28" s="444" customFormat="1">
      <c r="A1077" s="459"/>
      <c r="B1077" s="446" t="s">
        <v>187</v>
      </c>
      <c r="C1077" s="505">
        <v>30611</v>
      </c>
      <c r="D1077" s="448" t="s">
        <v>311</v>
      </c>
      <c r="E1077" s="511" t="s">
        <v>310</v>
      </c>
      <c r="F1077" s="448" t="s">
        <v>311</v>
      </c>
      <c r="G1077" s="589">
        <v>46226</v>
      </c>
      <c r="H1077" s="450"/>
      <c r="I1077" s="450" t="s">
        <v>186</v>
      </c>
      <c r="J1077" s="295">
        <v>0.31736111111111109</v>
      </c>
      <c r="K1077" s="295">
        <v>0.70972222222222225</v>
      </c>
      <c r="L1077" s="451" t="s">
        <v>169</v>
      </c>
      <c r="M1077" s="452">
        <v>8</v>
      </c>
      <c r="N1077" s="471"/>
      <c r="O1077" s="452"/>
      <c r="P1077" s="452"/>
      <c r="Q1077" s="453"/>
      <c r="R1077" s="452"/>
      <c r="S1077" s="452"/>
      <c r="T1077" s="453"/>
      <c r="U1077" s="452"/>
      <c r="V1077" s="453"/>
      <c r="W1077" s="454"/>
      <c r="X1077" s="455"/>
      <c r="Y1077" s="456"/>
      <c r="Z1077" s="457"/>
      <c r="AA1077" s="458"/>
      <c r="AB1077" s="443"/>
    </row>
    <row r="1078" spans="1:28" s="444" customFormat="1">
      <c r="A1078" s="459"/>
      <c r="B1078" s="446" t="s">
        <v>187</v>
      </c>
      <c r="C1078" s="505">
        <v>30611</v>
      </c>
      <c r="D1078" s="448" t="s">
        <v>311</v>
      </c>
      <c r="E1078" s="511" t="s">
        <v>310</v>
      </c>
      <c r="F1078" s="448" t="s">
        <v>311</v>
      </c>
      <c r="G1078" s="589">
        <v>46227</v>
      </c>
      <c r="H1078" s="450"/>
      <c r="I1078" s="450" t="s">
        <v>186</v>
      </c>
      <c r="J1078" s="295">
        <v>0.31041666666666667</v>
      </c>
      <c r="K1078" s="295">
        <v>0.70972222222222225</v>
      </c>
      <c r="L1078" s="451" t="s">
        <v>169</v>
      </c>
      <c r="M1078" s="452">
        <v>8</v>
      </c>
      <c r="N1078" s="471"/>
      <c r="O1078" s="470"/>
      <c r="P1078" s="470"/>
      <c r="Q1078" s="453"/>
      <c r="R1078" s="452"/>
      <c r="S1078" s="452"/>
      <c r="T1078" s="453"/>
      <c r="U1078" s="452"/>
      <c r="V1078" s="453"/>
      <c r="W1078" s="454"/>
      <c r="X1078" s="455"/>
      <c r="Y1078" s="456"/>
      <c r="Z1078" s="457"/>
      <c r="AA1078" s="458"/>
      <c r="AB1078" s="443"/>
    </row>
    <row r="1079" spans="1:28" s="444" customFormat="1">
      <c r="A1079" s="459"/>
      <c r="B1079" s="446" t="s">
        <v>187</v>
      </c>
      <c r="C1079" s="505">
        <v>30611</v>
      </c>
      <c r="D1079" s="448" t="s">
        <v>311</v>
      </c>
      <c r="E1079" s="511" t="s">
        <v>310</v>
      </c>
      <c r="F1079" s="448" t="s">
        <v>311</v>
      </c>
      <c r="G1079" s="589">
        <v>46228</v>
      </c>
      <c r="H1079" s="450"/>
      <c r="I1079" s="450" t="s">
        <v>186</v>
      </c>
      <c r="J1079" s="295">
        <v>0.31736111111111109</v>
      </c>
      <c r="K1079" s="318">
        <v>0.70972222222222225</v>
      </c>
      <c r="L1079" s="451" t="s">
        <v>169</v>
      </c>
      <c r="M1079" s="452">
        <v>8</v>
      </c>
      <c r="N1079" s="471"/>
      <c r="O1079" s="471"/>
      <c r="P1079" s="471"/>
      <c r="Q1079" s="472"/>
      <c r="R1079" s="471"/>
      <c r="S1079" s="471"/>
      <c r="T1079" s="453"/>
      <c r="U1079" s="452"/>
      <c r="V1079" s="453"/>
      <c r="W1079" s="454"/>
      <c r="X1079" s="455"/>
      <c r="Y1079" s="456"/>
      <c r="Z1079" s="457"/>
      <c r="AA1079" s="458"/>
      <c r="AB1079" s="443"/>
    </row>
    <row r="1080" spans="1:28" s="444" customFormat="1">
      <c r="A1080" s="459"/>
      <c r="B1080" s="446" t="s">
        <v>187</v>
      </c>
      <c r="C1080" s="505">
        <v>30611</v>
      </c>
      <c r="D1080" s="448" t="s">
        <v>311</v>
      </c>
      <c r="E1080" s="511" t="s">
        <v>310</v>
      </c>
      <c r="F1080" s="448" t="s">
        <v>311</v>
      </c>
      <c r="G1080" s="600"/>
      <c r="H1080" s="450"/>
      <c r="I1080" s="450" t="s">
        <v>186</v>
      </c>
      <c r="J1080" s="295"/>
      <c r="K1080" s="295"/>
      <c r="L1080" s="451"/>
      <c r="M1080" s="452"/>
      <c r="N1080" s="452"/>
      <c r="O1080" s="452"/>
      <c r="P1080" s="452"/>
      <c r="Q1080" s="453"/>
      <c r="R1080" s="452"/>
      <c r="S1080" s="473"/>
      <c r="T1080" s="453"/>
      <c r="U1080" s="452"/>
      <c r="V1080" s="453"/>
      <c r="W1080" s="454"/>
      <c r="X1080" s="455"/>
      <c r="Y1080" s="456"/>
      <c r="Z1080" s="457"/>
      <c r="AA1080" s="458"/>
      <c r="AB1080" s="443"/>
    </row>
    <row r="1081" spans="1:28" s="444" customFormat="1">
      <c r="A1081" s="459"/>
      <c r="B1081" s="446"/>
      <c r="C1081" s="505"/>
      <c r="D1081" s="449"/>
      <c r="E1081" s="511"/>
      <c r="F1081" s="449"/>
      <c r="G1081" s="601"/>
      <c r="H1081" s="450"/>
      <c r="I1081" s="450"/>
      <c r="J1081" s="474"/>
      <c r="K1081" s="475"/>
      <c r="L1081" s="476"/>
      <c r="M1081" s="477"/>
      <c r="N1081" s="477"/>
      <c r="O1081" s="477"/>
      <c r="P1081" s="477"/>
      <c r="Q1081" s="478"/>
      <c r="R1081" s="477"/>
      <c r="S1081" s="479"/>
      <c r="T1081" s="453"/>
      <c r="U1081" s="452"/>
      <c r="V1081" s="453"/>
      <c r="W1081" s="454"/>
      <c r="X1081" s="455"/>
      <c r="Y1081" s="456"/>
      <c r="Z1081" s="457"/>
      <c r="AA1081" s="458"/>
      <c r="AB1081" s="443"/>
    </row>
    <row r="1082" spans="1:28" s="444" customFormat="1">
      <c r="A1082" s="480"/>
      <c r="B1082" s="481"/>
      <c r="C1082" s="446"/>
      <c r="D1082" s="481"/>
      <c r="E1082" s="449"/>
      <c r="F1082" s="481"/>
      <c r="G1082" s="599" t="s">
        <v>401</v>
      </c>
      <c r="H1082" s="482"/>
      <c r="I1082" s="483"/>
      <c r="J1082" s="484"/>
      <c r="K1082" s="485"/>
      <c r="L1082" s="483"/>
      <c r="M1082" s="483">
        <f t="shared" ref="M1082:AA1082" si="60">SUM(M1065:M1081)</f>
        <v>96</v>
      </c>
      <c r="N1082" s="483">
        <f t="shared" si="60"/>
        <v>6</v>
      </c>
      <c r="O1082" s="483">
        <f t="shared" si="60"/>
        <v>0</v>
      </c>
      <c r="P1082" s="483">
        <f t="shared" si="60"/>
        <v>0</v>
      </c>
      <c r="Q1082" s="483">
        <f t="shared" si="60"/>
        <v>0</v>
      </c>
      <c r="R1082" s="483">
        <f t="shared" si="60"/>
        <v>0</v>
      </c>
      <c r="S1082" s="483">
        <f t="shared" si="60"/>
        <v>0</v>
      </c>
      <c r="T1082" s="483">
        <f t="shared" si="60"/>
        <v>0</v>
      </c>
      <c r="U1082" s="483">
        <f t="shared" si="60"/>
        <v>0</v>
      </c>
      <c r="V1082" s="483">
        <f t="shared" si="60"/>
        <v>0</v>
      </c>
      <c r="W1082" s="483">
        <f t="shared" si="60"/>
        <v>0</v>
      </c>
      <c r="X1082" s="483">
        <f t="shared" si="60"/>
        <v>0</v>
      </c>
      <c r="Y1082" s="483">
        <f t="shared" si="60"/>
        <v>0</v>
      </c>
      <c r="Z1082" s="483">
        <f t="shared" si="60"/>
        <v>0</v>
      </c>
      <c r="AA1082" s="483">
        <f t="shared" si="60"/>
        <v>0</v>
      </c>
      <c r="AB1082" s="443"/>
    </row>
    <row r="1083" spans="1:28" s="444" customFormat="1">
      <c r="A1083" s="512" t="s">
        <v>170</v>
      </c>
      <c r="B1083" s="512" t="s">
        <v>120</v>
      </c>
      <c r="C1083" s="512" t="s">
        <v>152</v>
      </c>
      <c r="D1083" s="512" t="s">
        <v>182</v>
      </c>
      <c r="E1083" s="513" t="s">
        <v>153</v>
      </c>
      <c r="F1083" s="512" t="s">
        <v>182</v>
      </c>
      <c r="G1083" s="589">
        <v>46214</v>
      </c>
      <c r="H1083" s="514"/>
      <c r="I1083" s="515" t="s">
        <v>181</v>
      </c>
      <c r="J1083" s="516" t="s">
        <v>154</v>
      </c>
      <c r="K1083" s="516" t="s">
        <v>155</v>
      </c>
      <c r="L1083" s="517" t="s">
        <v>156</v>
      </c>
      <c r="M1083" s="518" t="s">
        <v>157</v>
      </c>
      <c r="N1083" s="517" t="s">
        <v>158</v>
      </c>
      <c r="O1083" s="517" t="s">
        <v>159</v>
      </c>
      <c r="P1083" s="517" t="s">
        <v>174</v>
      </c>
      <c r="Q1083" s="517" t="s">
        <v>160</v>
      </c>
      <c r="R1083" s="517" t="s">
        <v>161</v>
      </c>
      <c r="S1083" s="517" t="s">
        <v>162</v>
      </c>
      <c r="T1083" s="515" t="s">
        <v>163</v>
      </c>
      <c r="U1083" s="515" t="s">
        <v>164</v>
      </c>
      <c r="V1083" s="515" t="s">
        <v>165</v>
      </c>
      <c r="W1083" s="517" t="s">
        <v>113</v>
      </c>
      <c r="X1083" s="515" t="s">
        <v>121</v>
      </c>
      <c r="Y1083" s="515" t="s">
        <v>166</v>
      </c>
      <c r="Z1083" s="519" t="s">
        <v>175</v>
      </c>
      <c r="AA1083" s="519" t="s">
        <v>167</v>
      </c>
      <c r="AB1083" s="520"/>
    </row>
    <row r="1084" spans="1:28" s="444" customFormat="1">
      <c r="A1084" s="521"/>
      <c r="B1084" s="522" t="s">
        <v>187</v>
      </c>
      <c r="C1084" s="523">
        <v>32240</v>
      </c>
      <c r="D1084" s="524" t="s">
        <v>379</v>
      </c>
      <c r="E1084" s="525" t="s">
        <v>309</v>
      </c>
      <c r="F1084" s="524" t="s">
        <v>379</v>
      </c>
      <c r="G1084" s="590">
        <v>46215</v>
      </c>
      <c r="H1084" s="526"/>
      <c r="I1084" s="496" t="s">
        <v>186</v>
      </c>
      <c r="J1084" s="295">
        <v>0.31041666666666667</v>
      </c>
      <c r="K1084" s="295">
        <v>0.70972222222222225</v>
      </c>
      <c r="L1084" s="451" t="s">
        <v>169</v>
      </c>
      <c r="M1084" s="452">
        <v>8</v>
      </c>
      <c r="N1084" s="452"/>
      <c r="O1084" s="452"/>
      <c r="P1084" s="452"/>
      <c r="Q1084" s="453"/>
      <c r="R1084" s="452"/>
      <c r="S1084" s="452"/>
      <c r="T1084" s="453"/>
      <c r="U1084" s="452"/>
      <c r="V1084" s="453"/>
      <c r="W1084" s="454"/>
      <c r="X1084" s="455"/>
      <c r="Y1084" s="456"/>
      <c r="Z1084" s="457"/>
      <c r="AA1084" s="458"/>
      <c r="AB1084" s="520"/>
    </row>
    <row r="1085" spans="1:28" s="444" customFormat="1">
      <c r="A1085" s="527"/>
      <c r="B1085" s="522" t="s">
        <v>187</v>
      </c>
      <c r="C1085" s="523">
        <v>32240</v>
      </c>
      <c r="D1085" s="524" t="s">
        <v>379</v>
      </c>
      <c r="E1085" s="525" t="s">
        <v>309</v>
      </c>
      <c r="F1085" s="524" t="s">
        <v>379</v>
      </c>
      <c r="G1085" s="589">
        <v>46216</v>
      </c>
      <c r="H1085" s="526"/>
      <c r="I1085" s="496"/>
      <c r="J1085" s="699" t="s">
        <v>173</v>
      </c>
      <c r="K1085" s="700"/>
      <c r="L1085" s="451"/>
      <c r="M1085" s="452"/>
      <c r="N1085" s="452"/>
      <c r="O1085" s="452"/>
      <c r="P1085" s="452"/>
      <c r="Q1085" s="453"/>
      <c r="R1085" s="452"/>
      <c r="S1085" s="452"/>
      <c r="T1085" s="453"/>
      <c r="U1085" s="452"/>
      <c r="V1085" s="453"/>
      <c r="W1085" s="454"/>
      <c r="X1085" s="455"/>
      <c r="Y1085" s="456"/>
      <c r="Z1085" s="457"/>
      <c r="AA1085" s="458"/>
      <c r="AB1085" s="520"/>
    </row>
    <row r="1086" spans="1:28" s="444" customFormat="1">
      <c r="A1086" s="527"/>
      <c r="B1086" s="522" t="s">
        <v>187</v>
      </c>
      <c r="C1086" s="523">
        <v>32240</v>
      </c>
      <c r="D1086" s="524" t="s">
        <v>379</v>
      </c>
      <c r="E1086" s="525" t="s">
        <v>309</v>
      </c>
      <c r="F1086" s="524" t="s">
        <v>379</v>
      </c>
      <c r="G1086" s="589">
        <v>46217</v>
      </c>
      <c r="H1086" s="526"/>
      <c r="I1086" s="496" t="s">
        <v>186</v>
      </c>
      <c r="J1086" s="305">
        <v>0.32013888888888886</v>
      </c>
      <c r="K1086" s="305">
        <v>0.70902777777777781</v>
      </c>
      <c r="L1086" s="451" t="s">
        <v>169</v>
      </c>
      <c r="M1086" s="452">
        <v>8</v>
      </c>
      <c r="N1086" s="452"/>
      <c r="O1086" s="452"/>
      <c r="P1086" s="452"/>
      <c r="Q1086" s="453"/>
      <c r="R1086" s="452"/>
      <c r="S1086" s="452"/>
      <c r="T1086" s="453"/>
      <c r="U1086" s="452"/>
      <c r="V1086" s="453"/>
      <c r="W1086" s="454"/>
      <c r="X1086" s="455"/>
      <c r="Y1086" s="456"/>
      <c r="Z1086" s="457"/>
      <c r="AA1086" s="458"/>
      <c r="AB1086" s="520"/>
    </row>
    <row r="1087" spans="1:28" s="444" customFormat="1">
      <c r="A1087" s="527"/>
      <c r="B1087" s="522" t="s">
        <v>187</v>
      </c>
      <c r="C1087" s="523">
        <v>32240</v>
      </c>
      <c r="D1087" s="524" t="s">
        <v>379</v>
      </c>
      <c r="E1087" s="525" t="s">
        <v>309</v>
      </c>
      <c r="F1087" s="524" t="s">
        <v>379</v>
      </c>
      <c r="G1087" s="589">
        <v>46218</v>
      </c>
      <c r="H1087" s="526"/>
      <c r="I1087" s="496" t="s">
        <v>186</v>
      </c>
      <c r="J1087" s="305">
        <v>0.32847222222222222</v>
      </c>
      <c r="K1087" s="305">
        <v>0.70833333333333337</v>
      </c>
      <c r="L1087" s="451" t="s">
        <v>169</v>
      </c>
      <c r="M1087" s="452">
        <v>8</v>
      </c>
      <c r="N1087" s="452"/>
      <c r="O1087" s="462"/>
      <c r="P1087" s="462"/>
      <c r="Q1087" s="461"/>
      <c r="R1087" s="462"/>
      <c r="S1087" s="462"/>
      <c r="T1087" s="461"/>
      <c r="U1087" s="462"/>
      <c r="V1087" s="461"/>
      <c r="W1087" s="463"/>
      <c r="X1087" s="464"/>
      <c r="Y1087" s="465"/>
      <c r="Z1087" s="466"/>
      <c r="AA1087" s="467"/>
      <c r="AB1087" s="520"/>
    </row>
    <row r="1088" spans="1:28" s="444" customFormat="1">
      <c r="A1088" s="527"/>
      <c r="B1088" s="522" t="s">
        <v>187</v>
      </c>
      <c r="C1088" s="523">
        <v>32240</v>
      </c>
      <c r="D1088" s="524" t="s">
        <v>379</v>
      </c>
      <c r="E1088" s="525" t="s">
        <v>309</v>
      </c>
      <c r="F1088" s="524" t="s">
        <v>379</v>
      </c>
      <c r="G1088" s="589">
        <v>46219</v>
      </c>
      <c r="H1088" s="526"/>
      <c r="I1088" s="496"/>
      <c r="J1088" s="305"/>
      <c r="K1088" s="305"/>
      <c r="L1088" s="451"/>
      <c r="M1088" s="452"/>
      <c r="N1088" s="452"/>
      <c r="O1088" s="452"/>
      <c r="P1088" s="452"/>
      <c r="Q1088" s="453"/>
      <c r="R1088" s="452"/>
      <c r="S1088" s="452"/>
      <c r="T1088" s="453"/>
      <c r="U1088" s="452"/>
      <c r="V1088" s="453"/>
      <c r="W1088" s="454"/>
      <c r="X1088" s="455"/>
      <c r="Y1088" s="456"/>
      <c r="Z1088" s="457"/>
      <c r="AA1088" s="458"/>
      <c r="AB1088" s="520"/>
    </row>
    <row r="1089" spans="1:28" s="444" customFormat="1">
      <c r="A1089" s="527"/>
      <c r="B1089" s="522" t="s">
        <v>187</v>
      </c>
      <c r="C1089" s="523">
        <v>32240</v>
      </c>
      <c r="D1089" s="524" t="s">
        <v>379</v>
      </c>
      <c r="E1089" s="525" t="s">
        <v>309</v>
      </c>
      <c r="F1089" s="524" t="s">
        <v>379</v>
      </c>
      <c r="G1089" s="589">
        <v>46220</v>
      </c>
      <c r="H1089" s="526"/>
      <c r="I1089" s="496" t="s">
        <v>186</v>
      </c>
      <c r="J1089" s="305">
        <v>0.32083333333333336</v>
      </c>
      <c r="K1089" s="305">
        <v>0.7090277777777777</v>
      </c>
      <c r="L1089" s="451" t="s">
        <v>169</v>
      </c>
      <c r="M1089" s="452">
        <v>8</v>
      </c>
      <c r="N1089" s="452"/>
      <c r="O1089" s="452"/>
      <c r="P1089" s="452"/>
      <c r="Q1089" s="453"/>
      <c r="R1089" s="452"/>
      <c r="S1089" s="452"/>
      <c r="T1089" s="453"/>
      <c r="U1089" s="452"/>
      <c r="V1089" s="453"/>
      <c r="W1089" s="454"/>
      <c r="X1089" s="455"/>
      <c r="Y1089" s="456"/>
      <c r="Z1089" s="457"/>
      <c r="AA1089" s="458"/>
      <c r="AB1089" s="520"/>
    </row>
    <row r="1090" spans="1:28" s="444" customFormat="1">
      <c r="A1090" s="527"/>
      <c r="B1090" s="522" t="s">
        <v>187</v>
      </c>
      <c r="C1090" s="523">
        <v>32240</v>
      </c>
      <c r="D1090" s="524" t="s">
        <v>379</v>
      </c>
      <c r="E1090" s="525" t="s">
        <v>309</v>
      </c>
      <c r="F1090" s="524" t="s">
        <v>379</v>
      </c>
      <c r="G1090" s="589">
        <v>46221</v>
      </c>
      <c r="H1090" s="526"/>
      <c r="I1090" s="496" t="s">
        <v>186</v>
      </c>
      <c r="J1090" s="305">
        <v>0.32430555555555557</v>
      </c>
      <c r="K1090" s="305">
        <v>0.70972222222222225</v>
      </c>
      <c r="L1090" s="451" t="s">
        <v>169</v>
      </c>
      <c r="M1090" s="452">
        <v>8</v>
      </c>
      <c r="N1090" s="452"/>
      <c r="O1090" s="452"/>
      <c r="P1090" s="452"/>
      <c r="Q1090" s="453"/>
      <c r="R1090" s="452"/>
      <c r="S1090" s="452"/>
      <c r="T1090" s="453"/>
      <c r="U1090" s="452"/>
      <c r="V1090" s="453"/>
      <c r="W1090" s="454"/>
      <c r="X1090" s="455"/>
      <c r="Y1090" s="456"/>
      <c r="Z1090" s="457"/>
      <c r="AA1090" s="458"/>
      <c r="AB1090" s="520"/>
    </row>
    <row r="1091" spans="1:28" s="444" customFormat="1">
      <c r="A1091" s="527"/>
      <c r="B1091" s="522" t="s">
        <v>187</v>
      </c>
      <c r="C1091" s="523">
        <v>32240</v>
      </c>
      <c r="D1091" s="524" t="s">
        <v>379</v>
      </c>
      <c r="E1091" s="525" t="s">
        <v>309</v>
      </c>
      <c r="F1091" s="524" t="s">
        <v>379</v>
      </c>
      <c r="G1091" s="590">
        <v>46222</v>
      </c>
      <c r="H1091" s="526"/>
      <c r="I1091" s="496" t="s">
        <v>186</v>
      </c>
      <c r="J1091" s="305">
        <v>0.32916666666666666</v>
      </c>
      <c r="K1091" s="305">
        <v>0.70972222222222225</v>
      </c>
      <c r="L1091" s="451" t="s">
        <v>169</v>
      </c>
      <c r="M1091" s="452">
        <v>8</v>
      </c>
      <c r="N1091" s="452"/>
      <c r="O1091" s="452"/>
      <c r="P1091" s="452"/>
      <c r="Q1091" s="453"/>
      <c r="R1091" s="452"/>
      <c r="S1091" s="452"/>
      <c r="T1091" s="453"/>
      <c r="U1091" s="452"/>
      <c r="V1091" s="453"/>
      <c r="W1091" s="454"/>
      <c r="X1091" s="455"/>
      <c r="Y1091" s="456"/>
      <c r="Z1091" s="457"/>
      <c r="AA1091" s="458"/>
      <c r="AB1091" s="520"/>
    </row>
    <row r="1092" spans="1:28" s="444" customFormat="1">
      <c r="A1092" s="527"/>
      <c r="B1092" s="522" t="s">
        <v>187</v>
      </c>
      <c r="C1092" s="523">
        <v>32240</v>
      </c>
      <c r="D1092" s="524" t="s">
        <v>379</v>
      </c>
      <c r="E1092" s="525" t="s">
        <v>309</v>
      </c>
      <c r="F1092" s="524" t="s">
        <v>379</v>
      </c>
      <c r="G1092" s="589">
        <v>46223</v>
      </c>
      <c r="H1092" s="526"/>
      <c r="I1092" s="496"/>
      <c r="J1092" s="305"/>
      <c r="K1092" s="305"/>
      <c r="L1092" s="451"/>
      <c r="M1092" s="452"/>
      <c r="N1092" s="452"/>
      <c r="O1092" s="452"/>
      <c r="P1092" s="452"/>
      <c r="Q1092" s="453"/>
      <c r="R1092" s="452"/>
      <c r="S1092" s="452"/>
      <c r="T1092" s="453"/>
      <c r="U1092" s="452"/>
      <c r="V1092" s="453"/>
      <c r="W1092" s="454"/>
      <c r="X1092" s="455"/>
      <c r="Y1092" s="456"/>
      <c r="Z1092" s="457"/>
      <c r="AA1092" s="458"/>
      <c r="AB1092" s="520"/>
    </row>
    <row r="1093" spans="1:28" s="444" customFormat="1">
      <c r="A1093" s="527"/>
      <c r="B1093" s="522" t="s">
        <v>187</v>
      </c>
      <c r="C1093" s="523">
        <v>32240</v>
      </c>
      <c r="D1093" s="524" t="s">
        <v>379</v>
      </c>
      <c r="E1093" s="525" t="s">
        <v>309</v>
      </c>
      <c r="F1093" s="524" t="s">
        <v>379</v>
      </c>
      <c r="G1093" s="589">
        <v>46224</v>
      </c>
      <c r="H1093" s="526"/>
      <c r="I1093" s="496"/>
      <c r="J1093" s="708"/>
      <c r="K1093" s="709"/>
      <c r="L1093" s="528"/>
      <c r="M1093" s="462"/>
      <c r="N1093" s="462"/>
      <c r="O1093" s="462"/>
      <c r="P1093" s="462"/>
      <c r="Q1093" s="461"/>
      <c r="R1093" s="462"/>
      <c r="S1093" s="462"/>
      <c r="T1093" s="461"/>
      <c r="U1093" s="462"/>
      <c r="V1093" s="461"/>
      <c r="W1093" s="454"/>
      <c r="X1093" s="455"/>
      <c r="Y1093" s="456"/>
      <c r="Z1093" s="457"/>
      <c r="AA1093" s="458"/>
      <c r="AB1093" s="520"/>
    </row>
    <row r="1094" spans="1:28" s="444" customFormat="1">
      <c r="A1094" s="527"/>
      <c r="B1094" s="522" t="s">
        <v>187</v>
      </c>
      <c r="C1094" s="523">
        <v>32240</v>
      </c>
      <c r="D1094" s="524" t="s">
        <v>379</v>
      </c>
      <c r="E1094" s="525" t="s">
        <v>309</v>
      </c>
      <c r="F1094" s="524" t="s">
        <v>379</v>
      </c>
      <c r="G1094" s="589">
        <v>46225</v>
      </c>
      <c r="H1094" s="526"/>
      <c r="I1094" s="496"/>
      <c r="J1094" s="295"/>
      <c r="K1094" s="295"/>
      <c r="L1094" s="451"/>
      <c r="M1094" s="452"/>
      <c r="N1094" s="477"/>
      <c r="O1094" s="469"/>
      <c r="P1094" s="469"/>
      <c r="Q1094" s="468"/>
      <c r="R1094" s="469"/>
      <c r="S1094" s="469"/>
      <c r="T1094" s="461"/>
      <c r="U1094" s="462"/>
      <c r="V1094" s="461"/>
      <c r="W1094" s="463"/>
      <c r="X1094" s="464"/>
      <c r="Y1094" s="465"/>
      <c r="Z1094" s="466"/>
      <c r="AA1094" s="467"/>
      <c r="AB1094" s="520"/>
    </row>
    <row r="1095" spans="1:28" s="444" customFormat="1">
      <c r="A1095" s="527"/>
      <c r="B1095" s="522" t="s">
        <v>187</v>
      </c>
      <c r="C1095" s="523">
        <v>32240</v>
      </c>
      <c r="D1095" s="524" t="s">
        <v>379</v>
      </c>
      <c r="E1095" s="525" t="s">
        <v>309</v>
      </c>
      <c r="F1095" s="524" t="s">
        <v>379</v>
      </c>
      <c r="G1095" s="589">
        <v>46226</v>
      </c>
      <c r="H1095" s="526"/>
      <c r="I1095" s="496"/>
      <c r="J1095" s="295"/>
      <c r="K1095" s="295"/>
      <c r="L1095" s="451"/>
      <c r="M1095" s="452"/>
      <c r="N1095" s="471"/>
      <c r="O1095" s="452"/>
      <c r="P1095" s="452"/>
      <c r="Q1095" s="453"/>
      <c r="R1095" s="452"/>
      <c r="S1095" s="452"/>
      <c r="T1095" s="453"/>
      <c r="U1095" s="452"/>
      <c r="V1095" s="453"/>
      <c r="W1095" s="454"/>
      <c r="X1095" s="455"/>
      <c r="Y1095" s="456"/>
      <c r="Z1095" s="457"/>
      <c r="AA1095" s="458"/>
      <c r="AB1095" s="520"/>
    </row>
    <row r="1096" spans="1:28" s="444" customFormat="1">
      <c r="A1096" s="527"/>
      <c r="B1096" s="522" t="s">
        <v>187</v>
      </c>
      <c r="C1096" s="523">
        <v>32240</v>
      </c>
      <c r="D1096" s="524" t="s">
        <v>379</v>
      </c>
      <c r="E1096" s="525" t="s">
        <v>309</v>
      </c>
      <c r="F1096" s="524" t="s">
        <v>379</v>
      </c>
      <c r="G1096" s="589">
        <v>46227</v>
      </c>
      <c r="H1096" s="526"/>
      <c r="I1096" s="496"/>
      <c r="J1096" s="295"/>
      <c r="K1096" s="295"/>
      <c r="L1096" s="451"/>
      <c r="M1096" s="501"/>
      <c r="N1096" s="471"/>
      <c r="O1096" s="470"/>
      <c r="P1096" s="470"/>
      <c r="Q1096" s="453"/>
      <c r="R1096" s="452"/>
      <c r="S1096" s="452"/>
      <c r="T1096" s="453"/>
      <c r="U1096" s="452"/>
      <c r="V1096" s="453"/>
      <c r="W1096" s="454"/>
      <c r="X1096" s="455"/>
      <c r="Y1096" s="456"/>
      <c r="Z1096" s="457"/>
      <c r="AA1096" s="458"/>
      <c r="AB1096" s="520"/>
    </row>
    <row r="1097" spans="1:28" s="444" customFormat="1">
      <c r="A1097" s="527"/>
      <c r="B1097" s="522" t="s">
        <v>187</v>
      </c>
      <c r="C1097" s="523">
        <v>32240</v>
      </c>
      <c r="D1097" s="524" t="s">
        <v>379</v>
      </c>
      <c r="E1097" s="525" t="s">
        <v>309</v>
      </c>
      <c r="F1097" s="524" t="s">
        <v>379</v>
      </c>
      <c r="G1097" s="589">
        <v>46228</v>
      </c>
      <c r="H1097" s="526"/>
      <c r="I1097" s="496"/>
      <c r="J1097" s="295"/>
      <c r="K1097" s="318"/>
      <c r="L1097" s="451"/>
      <c r="M1097" s="529"/>
      <c r="N1097" s="471"/>
      <c r="O1097" s="452"/>
      <c r="P1097" s="452"/>
      <c r="Q1097" s="472"/>
      <c r="R1097" s="471"/>
      <c r="S1097" s="471"/>
      <c r="T1097" s="453"/>
      <c r="U1097" s="452"/>
      <c r="V1097" s="453"/>
      <c r="W1097" s="454"/>
      <c r="X1097" s="455"/>
      <c r="Y1097" s="456"/>
      <c r="Z1097" s="457"/>
      <c r="AA1097" s="458"/>
      <c r="AB1097" s="520"/>
    </row>
    <row r="1098" spans="1:28" s="444" customFormat="1">
      <c r="A1098" s="527"/>
      <c r="B1098" s="522" t="s">
        <v>187</v>
      </c>
      <c r="C1098" s="523">
        <v>32240</v>
      </c>
      <c r="D1098" s="524" t="s">
        <v>379</v>
      </c>
      <c r="E1098" s="525" t="s">
        <v>309</v>
      </c>
      <c r="F1098" s="524" t="s">
        <v>379</v>
      </c>
      <c r="G1098" s="600"/>
      <c r="H1098" s="526"/>
      <c r="I1098" s="496"/>
      <c r="J1098" s="295"/>
      <c r="K1098" s="295"/>
      <c r="L1098" s="451"/>
      <c r="M1098" s="452"/>
      <c r="N1098" s="452"/>
      <c r="O1098" s="452"/>
      <c r="P1098" s="452"/>
      <c r="Q1098" s="453"/>
      <c r="R1098" s="452"/>
      <c r="S1098" s="473"/>
      <c r="T1098" s="453"/>
      <c r="U1098" s="452"/>
      <c r="V1098" s="453"/>
      <c r="W1098" s="454"/>
      <c r="X1098" s="455"/>
      <c r="Y1098" s="456"/>
      <c r="Z1098" s="457"/>
      <c r="AA1098" s="458"/>
      <c r="AB1098" s="520"/>
    </row>
    <row r="1099" spans="1:28" s="444" customFormat="1">
      <c r="A1099" s="530"/>
      <c r="B1099" s="531"/>
      <c r="C1099" s="532"/>
      <c r="D1099" s="531"/>
      <c r="E1099" s="533"/>
      <c r="F1099" s="531"/>
      <c r="G1099" s="601"/>
      <c r="H1099" s="534"/>
      <c r="I1099" s="496"/>
      <c r="J1099" s="474"/>
      <c r="K1099" s="485"/>
      <c r="L1099" s="483"/>
      <c r="M1099" s="483">
        <f t="shared" ref="M1099:AA1099" si="61">SUM(M1083:M1098)</f>
        <v>48</v>
      </c>
      <c r="N1099" s="483">
        <f t="shared" si="61"/>
        <v>0</v>
      </c>
      <c r="O1099" s="483">
        <f t="shared" si="61"/>
        <v>0</v>
      </c>
      <c r="P1099" s="483">
        <f t="shared" si="61"/>
        <v>0</v>
      </c>
      <c r="Q1099" s="483">
        <f t="shared" si="61"/>
        <v>0</v>
      </c>
      <c r="R1099" s="483">
        <f t="shared" si="61"/>
        <v>0</v>
      </c>
      <c r="S1099" s="483">
        <f t="shared" si="61"/>
        <v>0</v>
      </c>
      <c r="T1099" s="483">
        <f t="shared" si="61"/>
        <v>0</v>
      </c>
      <c r="U1099" s="483">
        <f t="shared" si="61"/>
        <v>0</v>
      </c>
      <c r="V1099" s="483">
        <f t="shared" si="61"/>
        <v>0</v>
      </c>
      <c r="W1099" s="483">
        <f t="shared" si="61"/>
        <v>0</v>
      </c>
      <c r="X1099" s="483">
        <f t="shared" si="61"/>
        <v>0</v>
      </c>
      <c r="Y1099" s="483">
        <f t="shared" si="61"/>
        <v>0</v>
      </c>
      <c r="Z1099" s="483">
        <f t="shared" si="61"/>
        <v>0</v>
      </c>
      <c r="AA1099" s="483">
        <f t="shared" si="61"/>
        <v>0</v>
      </c>
      <c r="AB1099" s="520"/>
    </row>
    <row r="1100" spans="1:28" s="444" customFormat="1">
      <c r="A1100" s="435" t="s">
        <v>170</v>
      </c>
      <c r="B1100" s="435" t="s">
        <v>120</v>
      </c>
      <c r="C1100" s="435" t="s">
        <v>152</v>
      </c>
      <c r="D1100" s="435" t="s">
        <v>182</v>
      </c>
      <c r="E1100" s="436" t="s">
        <v>153</v>
      </c>
      <c r="F1100" s="435" t="s">
        <v>182</v>
      </c>
      <c r="G1100" s="599" t="s">
        <v>401</v>
      </c>
      <c r="H1100" s="437"/>
      <c r="I1100" s="438" t="s">
        <v>181</v>
      </c>
      <c r="J1100" s="439" t="s">
        <v>154</v>
      </c>
      <c r="K1100" s="439" t="s">
        <v>155</v>
      </c>
      <c r="L1100" s="440" t="s">
        <v>156</v>
      </c>
      <c r="M1100" s="441" t="s">
        <v>157</v>
      </c>
      <c r="N1100" s="440" t="s">
        <v>158</v>
      </c>
      <c r="O1100" s="440" t="s">
        <v>159</v>
      </c>
      <c r="P1100" s="440" t="s">
        <v>174</v>
      </c>
      <c r="Q1100" s="440" t="s">
        <v>160</v>
      </c>
      <c r="R1100" s="440" t="s">
        <v>161</v>
      </c>
      <c r="S1100" s="440" t="s">
        <v>162</v>
      </c>
      <c r="T1100" s="438" t="s">
        <v>163</v>
      </c>
      <c r="U1100" s="438" t="s">
        <v>164</v>
      </c>
      <c r="V1100" s="438" t="s">
        <v>165</v>
      </c>
      <c r="W1100" s="440" t="s">
        <v>113</v>
      </c>
      <c r="X1100" s="438" t="s">
        <v>121</v>
      </c>
      <c r="Y1100" s="438" t="s">
        <v>166</v>
      </c>
      <c r="Z1100" s="442" t="s">
        <v>175</v>
      </c>
      <c r="AA1100" s="442" t="s">
        <v>167</v>
      </c>
      <c r="AB1100" s="443"/>
    </row>
    <row r="1101" spans="1:28" s="444" customFormat="1">
      <c r="A1101" s="701"/>
      <c r="B1101" s="446" t="s">
        <v>187</v>
      </c>
      <c r="C1101" s="447">
        <v>12816</v>
      </c>
      <c r="D1101" s="448" t="s">
        <v>308</v>
      </c>
      <c r="E1101" s="449" t="s">
        <v>307</v>
      </c>
      <c r="F1101" s="448" t="s">
        <v>308</v>
      </c>
      <c r="G1101" s="589">
        <v>46214</v>
      </c>
      <c r="H1101" s="450"/>
      <c r="I1101" s="450" t="s">
        <v>186</v>
      </c>
      <c r="J1101" s="295">
        <v>0.3215277777777778</v>
      </c>
      <c r="K1101" s="295">
        <v>0.71250000000000002</v>
      </c>
      <c r="L1101" s="451" t="s">
        <v>169</v>
      </c>
      <c r="M1101" s="452">
        <v>8</v>
      </c>
      <c r="N1101" s="452"/>
      <c r="O1101" s="452"/>
      <c r="P1101" s="452"/>
      <c r="Q1101" s="453"/>
      <c r="R1101" s="452"/>
      <c r="S1101" s="452"/>
      <c r="T1101" s="453"/>
      <c r="U1101" s="452"/>
      <c r="V1101" s="453"/>
      <c r="W1101" s="454"/>
      <c r="X1101" s="455"/>
      <c r="Y1101" s="456"/>
      <c r="Z1101" s="457"/>
      <c r="AA1101" s="458"/>
      <c r="AB1101" s="443"/>
    </row>
    <row r="1102" spans="1:28" s="444" customFormat="1">
      <c r="A1102" s="702"/>
      <c r="B1102" s="446" t="s">
        <v>187</v>
      </c>
      <c r="C1102" s="447">
        <v>12816</v>
      </c>
      <c r="D1102" s="448" t="s">
        <v>308</v>
      </c>
      <c r="E1102" s="449" t="s">
        <v>307</v>
      </c>
      <c r="F1102" s="448" t="s">
        <v>308</v>
      </c>
      <c r="G1102" s="590">
        <v>46215</v>
      </c>
      <c r="H1102" s="450"/>
      <c r="I1102" s="450"/>
      <c r="J1102" s="699" t="s">
        <v>173</v>
      </c>
      <c r="K1102" s="700"/>
      <c r="L1102" s="451"/>
      <c r="M1102" s="452"/>
      <c r="N1102" s="452"/>
      <c r="O1102" s="452"/>
      <c r="P1102" s="452"/>
      <c r="Q1102" s="453"/>
      <c r="R1102" s="452"/>
      <c r="S1102" s="452"/>
      <c r="T1102" s="453"/>
      <c r="U1102" s="452"/>
      <c r="V1102" s="453"/>
      <c r="W1102" s="454"/>
      <c r="X1102" s="455"/>
      <c r="Y1102" s="456"/>
      <c r="Z1102" s="457"/>
      <c r="AA1102" s="458"/>
      <c r="AB1102" s="443"/>
    </row>
    <row r="1103" spans="1:28" s="444" customFormat="1">
      <c r="A1103" s="702"/>
      <c r="B1103" s="446" t="s">
        <v>187</v>
      </c>
      <c r="C1103" s="447">
        <v>12816</v>
      </c>
      <c r="D1103" s="448" t="s">
        <v>308</v>
      </c>
      <c r="E1103" s="449" t="s">
        <v>307</v>
      </c>
      <c r="F1103" s="448" t="s">
        <v>308</v>
      </c>
      <c r="G1103" s="589">
        <v>46216</v>
      </c>
      <c r="H1103" s="450"/>
      <c r="I1103" s="450" t="s">
        <v>186</v>
      </c>
      <c r="J1103" s="305">
        <v>0.31458333333333333</v>
      </c>
      <c r="K1103" s="305">
        <v>0.79374999999999996</v>
      </c>
      <c r="L1103" s="451" t="s">
        <v>169</v>
      </c>
      <c r="M1103" s="452">
        <v>8</v>
      </c>
      <c r="N1103" s="452">
        <v>2</v>
      </c>
      <c r="O1103" s="452"/>
      <c r="P1103" s="452"/>
      <c r="Q1103" s="453"/>
      <c r="R1103" s="452"/>
      <c r="S1103" s="452"/>
      <c r="T1103" s="453"/>
      <c r="U1103" s="452"/>
      <c r="V1103" s="453"/>
      <c r="W1103" s="454"/>
      <c r="X1103" s="455"/>
      <c r="Y1103" s="456"/>
      <c r="Z1103" s="457"/>
      <c r="AA1103" s="458"/>
      <c r="AB1103" s="443"/>
    </row>
    <row r="1104" spans="1:28" s="444" customFormat="1">
      <c r="A1104" s="702"/>
      <c r="B1104" s="446" t="s">
        <v>187</v>
      </c>
      <c r="C1104" s="447">
        <v>12816</v>
      </c>
      <c r="D1104" s="448" t="s">
        <v>308</v>
      </c>
      <c r="E1104" s="449" t="s">
        <v>307</v>
      </c>
      <c r="F1104" s="448" t="s">
        <v>308</v>
      </c>
      <c r="G1104" s="589">
        <v>46217</v>
      </c>
      <c r="H1104" s="450"/>
      <c r="I1104" s="450" t="s">
        <v>186</v>
      </c>
      <c r="J1104" s="305">
        <v>0.3125</v>
      </c>
      <c r="K1104" s="305">
        <v>0.79375000000000007</v>
      </c>
      <c r="L1104" s="451" t="s">
        <v>169</v>
      </c>
      <c r="M1104" s="452">
        <v>8</v>
      </c>
      <c r="N1104" s="452">
        <v>2</v>
      </c>
      <c r="O1104" s="462"/>
      <c r="P1104" s="462"/>
      <c r="Q1104" s="461"/>
      <c r="R1104" s="462"/>
      <c r="S1104" s="462"/>
      <c r="T1104" s="461"/>
      <c r="U1104" s="462"/>
      <c r="V1104" s="461"/>
      <c r="W1104" s="463"/>
      <c r="X1104" s="464"/>
      <c r="Y1104" s="465"/>
      <c r="Z1104" s="466"/>
      <c r="AA1104" s="467"/>
      <c r="AB1104" s="443"/>
    </row>
    <row r="1105" spans="1:28" s="444" customFormat="1">
      <c r="A1105" s="702"/>
      <c r="B1105" s="446" t="s">
        <v>187</v>
      </c>
      <c r="C1105" s="447">
        <v>12816</v>
      </c>
      <c r="D1105" s="448" t="s">
        <v>308</v>
      </c>
      <c r="E1105" s="449" t="s">
        <v>307</v>
      </c>
      <c r="F1105" s="448" t="s">
        <v>308</v>
      </c>
      <c r="G1105" s="589">
        <v>46218</v>
      </c>
      <c r="H1105" s="450"/>
      <c r="I1105" s="450" t="s">
        <v>186</v>
      </c>
      <c r="J1105" s="382">
        <v>0.32361111111111113</v>
      </c>
      <c r="K1105" s="305">
        <v>0.79375000000000007</v>
      </c>
      <c r="L1105" s="451" t="s">
        <v>169</v>
      </c>
      <c r="M1105" s="452">
        <v>8</v>
      </c>
      <c r="N1105" s="452">
        <v>2</v>
      </c>
      <c r="O1105" s="452"/>
      <c r="P1105" s="452"/>
      <c r="Q1105" s="453"/>
      <c r="R1105" s="452"/>
      <c r="S1105" s="452"/>
      <c r="T1105" s="453"/>
      <c r="U1105" s="452"/>
      <c r="V1105" s="453"/>
      <c r="W1105" s="454"/>
      <c r="X1105" s="455"/>
      <c r="Y1105" s="456"/>
      <c r="Z1105" s="457"/>
      <c r="AA1105" s="467"/>
      <c r="AB1105" s="443"/>
    </row>
    <row r="1106" spans="1:28" s="444" customFormat="1">
      <c r="A1106" s="702"/>
      <c r="B1106" s="446" t="s">
        <v>187</v>
      </c>
      <c r="C1106" s="447">
        <v>12816</v>
      </c>
      <c r="D1106" s="448" t="s">
        <v>308</v>
      </c>
      <c r="E1106" s="449" t="s">
        <v>307</v>
      </c>
      <c r="F1106" s="448" t="s">
        <v>308</v>
      </c>
      <c r="G1106" s="589">
        <v>46219</v>
      </c>
      <c r="H1106" s="450"/>
      <c r="I1106" s="450" t="s">
        <v>186</v>
      </c>
      <c r="J1106" s="305">
        <v>0.32222222222222224</v>
      </c>
      <c r="K1106" s="305">
        <v>0.79375000000000007</v>
      </c>
      <c r="L1106" s="451" t="s">
        <v>169</v>
      </c>
      <c r="M1106" s="452">
        <v>8</v>
      </c>
      <c r="N1106" s="452">
        <v>2</v>
      </c>
      <c r="O1106" s="452"/>
      <c r="P1106" s="452"/>
      <c r="Q1106" s="453"/>
      <c r="R1106" s="452"/>
      <c r="S1106" s="452"/>
      <c r="T1106" s="453"/>
      <c r="U1106" s="452"/>
      <c r="V1106" s="453"/>
      <c r="W1106" s="454"/>
      <c r="X1106" s="455"/>
      <c r="Y1106" s="456"/>
      <c r="Z1106" s="457"/>
      <c r="AA1106" s="458"/>
      <c r="AB1106" s="443"/>
    </row>
    <row r="1107" spans="1:28" s="444" customFormat="1">
      <c r="A1107" s="702"/>
      <c r="B1107" s="446" t="s">
        <v>187</v>
      </c>
      <c r="C1107" s="447">
        <v>12816</v>
      </c>
      <c r="D1107" s="448" t="s">
        <v>308</v>
      </c>
      <c r="E1107" s="449" t="s">
        <v>307</v>
      </c>
      <c r="F1107" s="448" t="s">
        <v>308</v>
      </c>
      <c r="G1107" s="589">
        <v>46220</v>
      </c>
      <c r="H1107" s="450"/>
      <c r="I1107" s="450" t="s">
        <v>186</v>
      </c>
      <c r="J1107" s="305">
        <v>0.31527777777777777</v>
      </c>
      <c r="K1107" s="305">
        <v>0.79374999999999996</v>
      </c>
      <c r="L1107" s="451" t="s">
        <v>169</v>
      </c>
      <c r="M1107" s="452">
        <v>8</v>
      </c>
      <c r="N1107" s="452">
        <v>2</v>
      </c>
      <c r="O1107" s="452"/>
      <c r="P1107" s="452"/>
      <c r="Q1107" s="453"/>
      <c r="R1107" s="452"/>
      <c r="S1107" s="452"/>
      <c r="T1107" s="453"/>
      <c r="U1107" s="452"/>
      <c r="V1107" s="453"/>
      <c r="W1107" s="454"/>
      <c r="X1107" s="455"/>
      <c r="Y1107" s="456"/>
      <c r="Z1107" s="457"/>
      <c r="AA1107" s="458"/>
      <c r="AB1107" s="443"/>
    </row>
    <row r="1108" spans="1:28" s="444" customFormat="1">
      <c r="A1108" s="702"/>
      <c r="B1108" s="446" t="s">
        <v>187</v>
      </c>
      <c r="C1108" s="447">
        <v>12816</v>
      </c>
      <c r="D1108" s="448" t="s">
        <v>308</v>
      </c>
      <c r="E1108" s="449" t="s">
        <v>307</v>
      </c>
      <c r="F1108" s="448" t="s">
        <v>308</v>
      </c>
      <c r="G1108" s="589">
        <v>46221</v>
      </c>
      <c r="H1108" s="450"/>
      <c r="I1108" s="450" t="s">
        <v>186</v>
      </c>
      <c r="J1108" s="305">
        <v>0.30416666666666664</v>
      </c>
      <c r="K1108" s="305">
        <v>0.71180555555555558</v>
      </c>
      <c r="L1108" s="451" t="s">
        <v>169</v>
      </c>
      <c r="M1108" s="452">
        <v>8</v>
      </c>
      <c r="N1108" s="452"/>
      <c r="O1108" s="452"/>
      <c r="P1108" s="452"/>
      <c r="Q1108" s="453"/>
      <c r="R1108" s="452"/>
      <c r="S1108" s="452"/>
      <c r="T1108" s="453"/>
      <c r="U1108" s="452"/>
      <c r="V1108" s="453"/>
      <c r="W1108" s="454"/>
      <c r="X1108" s="455"/>
      <c r="Y1108" s="456"/>
      <c r="Z1108" s="457"/>
      <c r="AA1108" s="458"/>
      <c r="AB1108" s="443"/>
    </row>
    <row r="1109" spans="1:28" s="444" customFormat="1">
      <c r="A1109" s="702"/>
      <c r="B1109" s="446" t="s">
        <v>187</v>
      </c>
      <c r="C1109" s="447">
        <v>12816</v>
      </c>
      <c r="D1109" s="448" t="s">
        <v>308</v>
      </c>
      <c r="E1109" s="449" t="s">
        <v>307</v>
      </c>
      <c r="F1109" s="448" t="s">
        <v>308</v>
      </c>
      <c r="G1109" s="590">
        <v>46222</v>
      </c>
      <c r="H1109" s="450"/>
      <c r="I1109" s="450"/>
      <c r="J1109" s="699" t="s">
        <v>173</v>
      </c>
      <c r="K1109" s="700"/>
      <c r="L1109" s="451"/>
      <c r="M1109" s="452"/>
      <c r="N1109" s="452"/>
      <c r="O1109" s="452"/>
      <c r="P1109" s="452"/>
      <c r="Q1109" s="453"/>
      <c r="R1109" s="452"/>
      <c r="S1109" s="452"/>
      <c r="T1109" s="453"/>
      <c r="U1109" s="452"/>
      <c r="V1109" s="453"/>
      <c r="W1109" s="454"/>
      <c r="X1109" s="455"/>
      <c r="Y1109" s="456"/>
      <c r="Z1109" s="457"/>
      <c r="AA1109" s="458"/>
      <c r="AB1109" s="443"/>
    </row>
    <row r="1110" spans="1:28" s="444" customFormat="1">
      <c r="A1110" s="702"/>
      <c r="B1110" s="446" t="s">
        <v>187</v>
      </c>
      <c r="C1110" s="447">
        <v>12816</v>
      </c>
      <c r="D1110" s="448" t="s">
        <v>308</v>
      </c>
      <c r="E1110" s="449" t="s">
        <v>307</v>
      </c>
      <c r="F1110" s="448" t="s">
        <v>308</v>
      </c>
      <c r="G1110" s="589">
        <v>46223</v>
      </c>
      <c r="H1110" s="450"/>
      <c r="I1110" s="450" t="s">
        <v>186</v>
      </c>
      <c r="J1110" s="378">
        <v>0.31527777777777777</v>
      </c>
      <c r="K1110" s="378">
        <v>0.79513888888888884</v>
      </c>
      <c r="L1110" s="451" t="s">
        <v>169</v>
      </c>
      <c r="M1110" s="452">
        <v>8</v>
      </c>
      <c r="N1110" s="452">
        <v>2</v>
      </c>
      <c r="O1110" s="462"/>
      <c r="P1110" s="462"/>
      <c r="Q1110" s="461"/>
      <c r="R1110" s="462"/>
      <c r="S1110" s="462"/>
      <c r="T1110" s="461"/>
      <c r="U1110" s="462"/>
      <c r="V1110" s="461"/>
      <c r="W1110" s="454"/>
      <c r="X1110" s="455"/>
      <c r="Y1110" s="456"/>
      <c r="Z1110" s="457"/>
      <c r="AA1110" s="458"/>
      <c r="AB1110" s="443"/>
    </row>
    <row r="1111" spans="1:28" s="444" customFormat="1">
      <c r="A1111" s="702"/>
      <c r="B1111" s="446" t="s">
        <v>187</v>
      </c>
      <c r="C1111" s="447">
        <v>12816</v>
      </c>
      <c r="D1111" s="448" t="s">
        <v>308</v>
      </c>
      <c r="E1111" s="449" t="s">
        <v>307</v>
      </c>
      <c r="F1111" s="448" t="s">
        <v>308</v>
      </c>
      <c r="G1111" s="589">
        <v>46224</v>
      </c>
      <c r="H1111" s="450"/>
      <c r="I1111" s="450" t="s">
        <v>186</v>
      </c>
      <c r="J1111" s="295">
        <v>0.31041666666666667</v>
      </c>
      <c r="K1111" s="295">
        <v>0.79722222222222228</v>
      </c>
      <c r="L1111" s="451" t="s">
        <v>169</v>
      </c>
      <c r="M1111" s="452">
        <v>8</v>
      </c>
      <c r="N1111" s="452">
        <v>2</v>
      </c>
      <c r="O1111" s="469"/>
      <c r="P1111" s="469"/>
      <c r="Q1111" s="468"/>
      <c r="R1111" s="469"/>
      <c r="S1111" s="469"/>
      <c r="T1111" s="461"/>
      <c r="U1111" s="462"/>
      <c r="V1111" s="461"/>
      <c r="W1111" s="463"/>
      <c r="X1111" s="464"/>
      <c r="Y1111" s="465"/>
      <c r="Z1111" s="466"/>
      <c r="AA1111" s="467"/>
      <c r="AB1111" s="443"/>
    </row>
    <row r="1112" spans="1:28" s="444" customFormat="1">
      <c r="A1112" s="702"/>
      <c r="B1112" s="446" t="s">
        <v>187</v>
      </c>
      <c r="C1112" s="447">
        <v>12816</v>
      </c>
      <c r="D1112" s="448" t="s">
        <v>308</v>
      </c>
      <c r="E1112" s="449" t="s">
        <v>307</v>
      </c>
      <c r="F1112" s="448" t="s">
        <v>308</v>
      </c>
      <c r="G1112" s="589">
        <v>46225</v>
      </c>
      <c r="H1112" s="450"/>
      <c r="I1112" s="450" t="s">
        <v>186</v>
      </c>
      <c r="J1112" s="295">
        <v>0.31180555555555556</v>
      </c>
      <c r="K1112" s="295">
        <v>0.7944444444444444</v>
      </c>
      <c r="L1112" s="451" t="s">
        <v>169</v>
      </c>
      <c r="M1112" s="452">
        <v>8</v>
      </c>
      <c r="N1112" s="452">
        <v>2</v>
      </c>
      <c r="O1112" s="452"/>
      <c r="P1112" s="452"/>
      <c r="Q1112" s="453"/>
      <c r="R1112" s="452"/>
      <c r="S1112" s="452"/>
      <c r="T1112" s="453"/>
      <c r="U1112" s="452"/>
      <c r="V1112" s="453"/>
      <c r="W1112" s="454"/>
      <c r="X1112" s="455"/>
      <c r="Y1112" s="456"/>
      <c r="Z1112" s="457"/>
      <c r="AA1112" s="458"/>
      <c r="AB1112" s="443"/>
    </row>
    <row r="1113" spans="1:28" s="444" customFormat="1">
      <c r="A1113" s="702"/>
      <c r="B1113" s="446" t="s">
        <v>187</v>
      </c>
      <c r="C1113" s="447">
        <v>12816</v>
      </c>
      <c r="D1113" s="448" t="s">
        <v>308</v>
      </c>
      <c r="E1113" s="449" t="s">
        <v>307</v>
      </c>
      <c r="F1113" s="448" t="s">
        <v>308</v>
      </c>
      <c r="G1113" s="589">
        <v>46226</v>
      </c>
      <c r="H1113" s="450"/>
      <c r="I1113" s="450" t="s">
        <v>186</v>
      </c>
      <c r="J1113" s="295">
        <v>0.31458333333333333</v>
      </c>
      <c r="K1113" s="295">
        <v>0.79374999999999996</v>
      </c>
      <c r="L1113" s="451" t="s">
        <v>169</v>
      </c>
      <c r="M1113" s="452">
        <v>8</v>
      </c>
      <c r="N1113" s="452">
        <v>2</v>
      </c>
      <c r="O1113" s="470"/>
      <c r="P1113" s="470"/>
      <c r="Q1113" s="453"/>
      <c r="R1113" s="452"/>
      <c r="S1113" s="452"/>
      <c r="T1113" s="453"/>
      <c r="U1113" s="452"/>
      <c r="V1113" s="453"/>
      <c r="W1113" s="454"/>
      <c r="X1113" s="455"/>
      <c r="Y1113" s="456"/>
      <c r="Z1113" s="457"/>
      <c r="AA1113" s="458"/>
      <c r="AB1113" s="443"/>
    </row>
    <row r="1114" spans="1:28" s="444" customFormat="1">
      <c r="A1114" s="702"/>
      <c r="B1114" s="446" t="s">
        <v>187</v>
      </c>
      <c r="C1114" s="447">
        <v>12816</v>
      </c>
      <c r="D1114" s="448" t="s">
        <v>308</v>
      </c>
      <c r="E1114" s="449" t="s">
        <v>307</v>
      </c>
      <c r="F1114" s="448" t="s">
        <v>308</v>
      </c>
      <c r="G1114" s="589">
        <v>46227</v>
      </c>
      <c r="H1114" s="450"/>
      <c r="I1114" s="450" t="s">
        <v>186</v>
      </c>
      <c r="J1114" s="295">
        <v>0.31458333333333333</v>
      </c>
      <c r="K1114" s="318">
        <v>0.79513888888888884</v>
      </c>
      <c r="L1114" s="451" t="s">
        <v>169</v>
      </c>
      <c r="M1114" s="452">
        <v>8</v>
      </c>
      <c r="N1114" s="452">
        <v>2</v>
      </c>
      <c r="O1114" s="471"/>
      <c r="P1114" s="471"/>
      <c r="Q1114" s="472"/>
      <c r="R1114" s="471"/>
      <c r="S1114" s="471"/>
      <c r="T1114" s="453"/>
      <c r="U1114" s="452"/>
      <c r="V1114" s="453"/>
      <c r="W1114" s="454"/>
      <c r="X1114" s="455"/>
      <c r="Y1114" s="456"/>
      <c r="Z1114" s="457"/>
      <c r="AA1114" s="458"/>
      <c r="AB1114" s="443"/>
    </row>
    <row r="1115" spans="1:28" s="444" customFormat="1">
      <c r="A1115" s="702"/>
      <c r="B1115" s="446" t="s">
        <v>187</v>
      </c>
      <c r="C1115" s="447">
        <v>12816</v>
      </c>
      <c r="D1115" s="448" t="s">
        <v>308</v>
      </c>
      <c r="E1115" s="449" t="s">
        <v>307</v>
      </c>
      <c r="F1115" s="448" t="s">
        <v>308</v>
      </c>
      <c r="G1115" s="589">
        <v>46228</v>
      </c>
      <c r="H1115" s="450"/>
      <c r="I1115" s="450" t="s">
        <v>186</v>
      </c>
      <c r="J1115" s="295"/>
      <c r="K1115" s="295"/>
      <c r="L1115" s="451"/>
      <c r="M1115" s="452"/>
      <c r="N1115" s="452"/>
      <c r="O1115" s="452"/>
      <c r="P1115" s="452"/>
      <c r="Q1115" s="453"/>
      <c r="R1115" s="452"/>
      <c r="S1115" s="473"/>
      <c r="T1115" s="453"/>
      <c r="U1115" s="452"/>
      <c r="V1115" s="453"/>
      <c r="W1115" s="454"/>
      <c r="X1115" s="455"/>
      <c r="Y1115" s="456"/>
      <c r="Z1115" s="457"/>
      <c r="AA1115" s="458"/>
      <c r="AB1115" s="443"/>
    </row>
    <row r="1116" spans="1:28" s="444" customFormat="1">
      <c r="A1116" s="702"/>
      <c r="B1116" s="446"/>
      <c r="C1116" s="447"/>
      <c r="D1116" s="448"/>
      <c r="E1116" s="449"/>
      <c r="F1116" s="448"/>
      <c r="G1116" s="600"/>
      <c r="H1116" s="450"/>
      <c r="I1116" s="450"/>
      <c r="J1116" s="474"/>
      <c r="K1116" s="475"/>
      <c r="L1116" s="476"/>
      <c r="M1116" s="477"/>
      <c r="N1116" s="477"/>
      <c r="O1116" s="477"/>
      <c r="P1116" s="477"/>
      <c r="Q1116" s="478"/>
      <c r="R1116" s="477"/>
      <c r="S1116" s="479"/>
      <c r="T1116" s="453"/>
      <c r="U1116" s="452"/>
      <c r="V1116" s="453"/>
      <c r="W1116" s="454"/>
      <c r="X1116" s="455"/>
      <c r="Y1116" s="456"/>
      <c r="Z1116" s="457"/>
      <c r="AA1116" s="458"/>
      <c r="AB1116" s="443"/>
    </row>
    <row r="1117" spans="1:28" s="444" customFormat="1">
      <c r="A1117" s="703"/>
      <c r="B1117" s="481"/>
      <c r="C1117" s="481"/>
      <c r="D1117" s="481"/>
      <c r="E1117" s="449"/>
      <c r="F1117" s="481"/>
      <c r="G1117" s="601"/>
      <c r="H1117" s="482"/>
      <c r="I1117" s="483"/>
      <c r="J1117" s="484"/>
      <c r="K1117" s="485"/>
      <c r="L1117" s="483"/>
      <c r="M1117" s="483">
        <f t="shared" ref="M1117:AA1117" si="62">SUM(M1100:M1116)</f>
        <v>96</v>
      </c>
      <c r="N1117" s="483">
        <f t="shared" si="62"/>
        <v>20</v>
      </c>
      <c r="O1117" s="483">
        <f t="shared" si="62"/>
        <v>0</v>
      </c>
      <c r="P1117" s="483">
        <f t="shared" si="62"/>
        <v>0</v>
      </c>
      <c r="Q1117" s="483">
        <f t="shared" si="62"/>
        <v>0</v>
      </c>
      <c r="R1117" s="483">
        <f t="shared" si="62"/>
        <v>0</v>
      </c>
      <c r="S1117" s="483">
        <f t="shared" si="62"/>
        <v>0</v>
      </c>
      <c r="T1117" s="483">
        <f t="shared" si="62"/>
        <v>0</v>
      </c>
      <c r="U1117" s="483">
        <f t="shared" si="62"/>
        <v>0</v>
      </c>
      <c r="V1117" s="483">
        <f t="shared" si="62"/>
        <v>0</v>
      </c>
      <c r="W1117" s="483">
        <f t="shared" si="62"/>
        <v>0</v>
      </c>
      <c r="X1117" s="483">
        <f t="shared" si="62"/>
        <v>0</v>
      </c>
      <c r="Y1117" s="483">
        <f t="shared" si="62"/>
        <v>0</v>
      </c>
      <c r="Z1117" s="483">
        <f t="shared" si="62"/>
        <v>0</v>
      </c>
      <c r="AA1117" s="483">
        <f t="shared" si="62"/>
        <v>0</v>
      </c>
      <c r="AB1117" s="443"/>
    </row>
    <row r="1118" spans="1:28" s="444" customFormat="1">
      <c r="A1118" s="435" t="s">
        <v>170</v>
      </c>
      <c r="B1118" s="435" t="s">
        <v>120</v>
      </c>
      <c r="C1118" s="435" t="s">
        <v>152</v>
      </c>
      <c r="D1118" s="435" t="s">
        <v>182</v>
      </c>
      <c r="E1118" s="436" t="s">
        <v>153</v>
      </c>
      <c r="F1118" s="435" t="s">
        <v>182</v>
      </c>
      <c r="G1118" s="599" t="s">
        <v>401</v>
      </c>
      <c r="H1118" s="437"/>
      <c r="I1118" s="438" t="s">
        <v>181</v>
      </c>
      <c r="J1118" s="439" t="s">
        <v>154</v>
      </c>
      <c r="K1118" s="439" t="s">
        <v>155</v>
      </c>
      <c r="L1118" s="440" t="s">
        <v>156</v>
      </c>
      <c r="M1118" s="441" t="s">
        <v>157</v>
      </c>
      <c r="N1118" s="440" t="s">
        <v>158</v>
      </c>
      <c r="O1118" s="440" t="s">
        <v>159</v>
      </c>
      <c r="P1118" s="440" t="s">
        <v>174</v>
      </c>
      <c r="Q1118" s="440" t="s">
        <v>160</v>
      </c>
      <c r="R1118" s="440" t="s">
        <v>161</v>
      </c>
      <c r="S1118" s="440" t="s">
        <v>162</v>
      </c>
      <c r="T1118" s="438" t="s">
        <v>163</v>
      </c>
      <c r="U1118" s="438" t="s">
        <v>164</v>
      </c>
      <c r="V1118" s="438" t="s">
        <v>165</v>
      </c>
      <c r="W1118" s="440" t="s">
        <v>113</v>
      </c>
      <c r="X1118" s="438" t="s">
        <v>121</v>
      </c>
      <c r="Y1118" s="438" t="s">
        <v>166</v>
      </c>
      <c r="Z1118" s="442" t="s">
        <v>175</v>
      </c>
      <c r="AA1118" s="442" t="s">
        <v>167</v>
      </c>
      <c r="AB1118" s="443"/>
    </row>
    <row r="1119" spans="1:28" s="444" customFormat="1">
      <c r="A1119" s="701"/>
      <c r="B1119" s="446" t="s">
        <v>187</v>
      </c>
      <c r="C1119" s="505">
        <v>30296</v>
      </c>
      <c r="D1119" s="448" t="s">
        <v>306</v>
      </c>
      <c r="E1119" s="449" t="s">
        <v>305</v>
      </c>
      <c r="F1119" s="448" t="s">
        <v>306</v>
      </c>
      <c r="G1119" s="589">
        <v>46214</v>
      </c>
      <c r="H1119" s="450"/>
      <c r="I1119" s="450" t="s">
        <v>186</v>
      </c>
      <c r="J1119" s="295">
        <v>0.31805555555555554</v>
      </c>
      <c r="K1119" s="295">
        <v>0.7104166666666667</v>
      </c>
      <c r="L1119" s="451" t="s">
        <v>169</v>
      </c>
      <c r="M1119" s="452">
        <v>8</v>
      </c>
      <c r="N1119" s="452"/>
      <c r="O1119" s="452"/>
      <c r="P1119" s="452"/>
      <c r="Q1119" s="453"/>
      <c r="R1119" s="452"/>
      <c r="S1119" s="452"/>
      <c r="T1119" s="453"/>
      <c r="U1119" s="452"/>
      <c r="V1119" s="453"/>
      <c r="W1119" s="454"/>
      <c r="X1119" s="455"/>
      <c r="Y1119" s="456"/>
      <c r="Z1119" s="457"/>
      <c r="AA1119" s="458"/>
      <c r="AB1119" s="443"/>
    </row>
    <row r="1120" spans="1:28" s="444" customFormat="1">
      <c r="A1120" s="702"/>
      <c r="B1120" s="446" t="s">
        <v>187</v>
      </c>
      <c r="C1120" s="505">
        <v>30296</v>
      </c>
      <c r="D1120" s="448" t="s">
        <v>306</v>
      </c>
      <c r="E1120" s="449" t="s">
        <v>305</v>
      </c>
      <c r="F1120" s="448" t="s">
        <v>306</v>
      </c>
      <c r="G1120" s="590">
        <v>46215</v>
      </c>
      <c r="H1120" s="450"/>
      <c r="I1120" s="450"/>
      <c r="J1120" s="699" t="s">
        <v>173</v>
      </c>
      <c r="K1120" s="700"/>
      <c r="L1120" s="451"/>
      <c r="M1120" s="452"/>
      <c r="N1120" s="452"/>
      <c r="O1120" s="452"/>
      <c r="P1120" s="452"/>
      <c r="Q1120" s="453"/>
      <c r="R1120" s="452"/>
      <c r="S1120" s="452"/>
      <c r="T1120" s="453"/>
      <c r="U1120" s="452"/>
      <c r="V1120" s="453"/>
      <c r="W1120" s="454"/>
      <c r="X1120" s="455"/>
      <c r="Y1120" s="456"/>
      <c r="Z1120" s="457"/>
      <c r="AA1120" s="458"/>
      <c r="AB1120" s="443"/>
    </row>
    <row r="1121" spans="1:28" s="444" customFormat="1">
      <c r="A1121" s="702"/>
      <c r="B1121" s="446" t="s">
        <v>187</v>
      </c>
      <c r="C1121" s="505">
        <v>30296</v>
      </c>
      <c r="D1121" s="448" t="s">
        <v>306</v>
      </c>
      <c r="E1121" s="449" t="s">
        <v>305</v>
      </c>
      <c r="F1121" s="448" t="s">
        <v>306</v>
      </c>
      <c r="G1121" s="589">
        <v>46216</v>
      </c>
      <c r="H1121" s="450"/>
      <c r="I1121" s="450" t="s">
        <v>186</v>
      </c>
      <c r="J1121" s="382">
        <v>0.31874999999999998</v>
      </c>
      <c r="K1121" s="382">
        <v>0.79374999999999996</v>
      </c>
      <c r="L1121" s="451" t="s">
        <v>169</v>
      </c>
      <c r="M1121" s="452">
        <v>8</v>
      </c>
      <c r="N1121" s="452">
        <v>2</v>
      </c>
      <c r="O1121" s="452"/>
      <c r="P1121" s="452"/>
      <c r="Q1121" s="461"/>
      <c r="R1121" s="452"/>
      <c r="S1121" s="452"/>
      <c r="T1121" s="453"/>
      <c r="U1121" s="452"/>
      <c r="V1121" s="453"/>
      <c r="W1121" s="454"/>
      <c r="X1121" s="455"/>
      <c r="Y1121" s="456"/>
      <c r="Z1121" s="457"/>
      <c r="AA1121" s="458"/>
      <c r="AB1121" s="443"/>
    </row>
    <row r="1122" spans="1:28" s="444" customFormat="1">
      <c r="A1122" s="702"/>
      <c r="B1122" s="446" t="s">
        <v>187</v>
      </c>
      <c r="C1122" s="505">
        <v>30296</v>
      </c>
      <c r="D1122" s="448" t="s">
        <v>306</v>
      </c>
      <c r="E1122" s="449" t="s">
        <v>305</v>
      </c>
      <c r="F1122" s="448" t="s">
        <v>306</v>
      </c>
      <c r="G1122" s="589">
        <v>46217</v>
      </c>
      <c r="H1122" s="450"/>
      <c r="I1122" s="450" t="s">
        <v>186</v>
      </c>
      <c r="J1122" s="305">
        <v>0.32500000000000001</v>
      </c>
      <c r="K1122" s="305">
        <v>0.79305555555555562</v>
      </c>
      <c r="L1122" s="451" t="s">
        <v>169</v>
      </c>
      <c r="M1122" s="452">
        <v>8</v>
      </c>
      <c r="N1122" s="452">
        <v>2</v>
      </c>
      <c r="O1122" s="462"/>
      <c r="P1122" s="462"/>
      <c r="Q1122" s="461"/>
      <c r="R1122" s="462"/>
      <c r="S1122" s="462"/>
      <c r="T1122" s="461"/>
      <c r="U1122" s="462"/>
      <c r="V1122" s="461"/>
      <c r="W1122" s="463"/>
      <c r="X1122" s="464"/>
      <c r="Y1122" s="465"/>
      <c r="Z1122" s="466"/>
      <c r="AA1122" s="467"/>
      <c r="AB1122" s="443"/>
    </row>
    <row r="1123" spans="1:28" s="444" customFormat="1">
      <c r="A1123" s="702"/>
      <c r="B1123" s="446" t="s">
        <v>187</v>
      </c>
      <c r="C1123" s="505">
        <v>30296</v>
      </c>
      <c r="D1123" s="448" t="s">
        <v>306</v>
      </c>
      <c r="E1123" s="449" t="s">
        <v>305</v>
      </c>
      <c r="F1123" s="448" t="s">
        <v>306</v>
      </c>
      <c r="G1123" s="589">
        <v>46218</v>
      </c>
      <c r="H1123" s="450"/>
      <c r="I1123" s="450" t="s">
        <v>186</v>
      </c>
      <c r="J1123" s="305">
        <v>0.32361111111111113</v>
      </c>
      <c r="K1123" s="305">
        <v>0.79305555555555562</v>
      </c>
      <c r="L1123" s="451" t="s">
        <v>169</v>
      </c>
      <c r="M1123" s="452">
        <v>8</v>
      </c>
      <c r="N1123" s="452">
        <v>2</v>
      </c>
      <c r="O1123" s="452"/>
      <c r="P1123" s="452"/>
      <c r="Q1123" s="453"/>
      <c r="R1123" s="452"/>
      <c r="S1123" s="452"/>
      <c r="T1123" s="453"/>
      <c r="U1123" s="452"/>
      <c r="V1123" s="453"/>
      <c r="W1123" s="454"/>
      <c r="X1123" s="455"/>
      <c r="Y1123" s="456"/>
      <c r="Z1123" s="457"/>
      <c r="AA1123" s="458"/>
      <c r="AB1123" s="443"/>
    </row>
    <row r="1124" spans="1:28" s="444" customFormat="1">
      <c r="A1124" s="702"/>
      <c r="B1124" s="446" t="s">
        <v>187</v>
      </c>
      <c r="C1124" s="505">
        <v>30296</v>
      </c>
      <c r="D1124" s="448" t="s">
        <v>306</v>
      </c>
      <c r="E1124" s="449" t="s">
        <v>305</v>
      </c>
      <c r="F1124" s="448" t="s">
        <v>306</v>
      </c>
      <c r="G1124" s="589">
        <v>46219</v>
      </c>
      <c r="H1124" s="450"/>
      <c r="I1124" s="450" t="s">
        <v>186</v>
      </c>
      <c r="J1124" s="305">
        <v>0.32500000000000001</v>
      </c>
      <c r="K1124" s="305">
        <v>0.79375000000000007</v>
      </c>
      <c r="L1124" s="451" t="s">
        <v>169</v>
      </c>
      <c r="M1124" s="452">
        <v>8</v>
      </c>
      <c r="N1124" s="452">
        <v>2</v>
      </c>
      <c r="O1124" s="452"/>
      <c r="P1124" s="452"/>
      <c r="Q1124" s="453"/>
      <c r="R1124" s="452"/>
      <c r="S1124" s="452"/>
      <c r="T1124" s="453"/>
      <c r="U1124" s="452"/>
      <c r="V1124" s="453"/>
      <c r="W1124" s="454"/>
      <c r="X1124" s="455"/>
      <c r="Y1124" s="456"/>
      <c r="Z1124" s="457"/>
      <c r="AA1124" s="458"/>
      <c r="AB1124" s="443"/>
    </row>
    <row r="1125" spans="1:28" s="444" customFormat="1">
      <c r="A1125" s="702"/>
      <c r="B1125" s="446" t="s">
        <v>187</v>
      </c>
      <c r="C1125" s="505">
        <v>30296</v>
      </c>
      <c r="D1125" s="448" t="s">
        <v>306</v>
      </c>
      <c r="E1125" s="449" t="s">
        <v>305</v>
      </c>
      <c r="F1125" s="448" t="s">
        <v>306</v>
      </c>
      <c r="G1125" s="589">
        <v>46220</v>
      </c>
      <c r="H1125" s="450"/>
      <c r="I1125" s="450" t="s">
        <v>186</v>
      </c>
      <c r="J1125" s="305">
        <v>0.31527777777777777</v>
      </c>
      <c r="K1125" s="305">
        <v>0.79374999999999996</v>
      </c>
      <c r="L1125" s="451" t="s">
        <v>169</v>
      </c>
      <c r="M1125" s="452">
        <v>8</v>
      </c>
      <c r="N1125" s="452">
        <v>2</v>
      </c>
      <c r="O1125" s="452"/>
      <c r="P1125" s="452"/>
      <c r="Q1125" s="453"/>
      <c r="R1125" s="452"/>
      <c r="S1125" s="452"/>
      <c r="T1125" s="453"/>
      <c r="U1125" s="452"/>
      <c r="V1125" s="453"/>
      <c r="W1125" s="454"/>
      <c r="X1125" s="455"/>
      <c r="Y1125" s="456"/>
      <c r="Z1125" s="457"/>
      <c r="AA1125" s="458"/>
      <c r="AB1125" s="443"/>
    </row>
    <row r="1126" spans="1:28" s="444" customFormat="1">
      <c r="A1126" s="702"/>
      <c r="B1126" s="446" t="s">
        <v>187</v>
      </c>
      <c r="C1126" s="505">
        <v>30296</v>
      </c>
      <c r="D1126" s="448" t="s">
        <v>306</v>
      </c>
      <c r="E1126" s="449" t="s">
        <v>305</v>
      </c>
      <c r="F1126" s="448" t="s">
        <v>306</v>
      </c>
      <c r="G1126" s="589">
        <v>46221</v>
      </c>
      <c r="H1126" s="450"/>
      <c r="I1126" s="450" t="s">
        <v>186</v>
      </c>
      <c r="J1126" s="305">
        <v>0.31944444444444442</v>
      </c>
      <c r="K1126" s="305">
        <v>0.70972222222222225</v>
      </c>
      <c r="L1126" s="451" t="s">
        <v>169</v>
      </c>
      <c r="M1126" s="452">
        <v>8</v>
      </c>
      <c r="N1126" s="452"/>
      <c r="O1126" s="452"/>
      <c r="P1126" s="452"/>
      <c r="Q1126" s="453"/>
      <c r="R1126" s="452"/>
      <c r="S1126" s="452"/>
      <c r="T1126" s="453"/>
      <c r="U1126" s="452"/>
      <c r="V1126" s="453"/>
      <c r="W1126" s="454"/>
      <c r="X1126" s="455"/>
      <c r="Y1126" s="456"/>
      <c r="Z1126" s="457"/>
      <c r="AA1126" s="458"/>
      <c r="AB1126" s="443"/>
    </row>
    <row r="1127" spans="1:28" s="444" customFormat="1">
      <c r="A1127" s="702"/>
      <c r="B1127" s="446" t="s">
        <v>187</v>
      </c>
      <c r="C1127" s="505">
        <v>30296</v>
      </c>
      <c r="D1127" s="448" t="s">
        <v>306</v>
      </c>
      <c r="E1127" s="449" t="s">
        <v>305</v>
      </c>
      <c r="F1127" s="448" t="s">
        <v>306</v>
      </c>
      <c r="G1127" s="590">
        <v>46222</v>
      </c>
      <c r="H1127" s="450"/>
      <c r="I1127" s="450"/>
      <c r="J1127" s="699" t="s">
        <v>173</v>
      </c>
      <c r="K1127" s="700"/>
      <c r="L1127" s="451"/>
      <c r="M1127" s="452"/>
      <c r="N1127" s="452"/>
      <c r="O1127" s="452"/>
      <c r="P1127" s="452"/>
      <c r="Q1127" s="453"/>
      <c r="R1127" s="452"/>
      <c r="S1127" s="452"/>
      <c r="T1127" s="453"/>
      <c r="U1127" s="452"/>
      <c r="V1127" s="453"/>
      <c r="W1127" s="454"/>
      <c r="X1127" s="455"/>
      <c r="Y1127" s="456"/>
      <c r="Z1127" s="457"/>
      <c r="AA1127" s="458"/>
      <c r="AB1127" s="443"/>
    </row>
    <row r="1128" spans="1:28" s="444" customFormat="1">
      <c r="A1128" s="702"/>
      <c r="B1128" s="446" t="s">
        <v>187</v>
      </c>
      <c r="C1128" s="505">
        <v>30296</v>
      </c>
      <c r="D1128" s="448" t="s">
        <v>306</v>
      </c>
      <c r="E1128" s="449" t="s">
        <v>305</v>
      </c>
      <c r="F1128" s="448" t="s">
        <v>306</v>
      </c>
      <c r="G1128" s="589">
        <v>46223</v>
      </c>
      <c r="H1128" s="450"/>
      <c r="I1128" s="450" t="s">
        <v>186</v>
      </c>
      <c r="J1128" s="378">
        <v>0.31874999999999998</v>
      </c>
      <c r="K1128" s="378">
        <v>0.70972222222222225</v>
      </c>
      <c r="L1128" s="451" t="s">
        <v>169</v>
      </c>
      <c r="M1128" s="452">
        <v>8</v>
      </c>
      <c r="N1128" s="462"/>
      <c r="O1128" s="462"/>
      <c r="P1128" s="462"/>
      <c r="Q1128" s="461"/>
      <c r="R1128" s="462"/>
      <c r="S1128" s="462"/>
      <c r="T1128" s="461"/>
      <c r="U1128" s="462"/>
      <c r="V1128" s="461"/>
      <c r="W1128" s="454"/>
      <c r="X1128" s="455"/>
      <c r="Y1128" s="456"/>
      <c r="Z1128" s="457"/>
      <c r="AA1128" s="458"/>
      <c r="AB1128" s="443"/>
    </row>
    <row r="1129" spans="1:28" s="444" customFormat="1">
      <c r="A1129" s="702"/>
      <c r="B1129" s="446" t="s">
        <v>187</v>
      </c>
      <c r="C1129" s="505">
        <v>30296</v>
      </c>
      <c r="D1129" s="448" t="s">
        <v>306</v>
      </c>
      <c r="E1129" s="449" t="s">
        <v>305</v>
      </c>
      <c r="F1129" s="448" t="s">
        <v>306</v>
      </c>
      <c r="G1129" s="589">
        <v>46224</v>
      </c>
      <c r="H1129" s="450"/>
      <c r="I1129" s="450" t="s">
        <v>186</v>
      </c>
      <c r="J1129" s="295">
        <v>0.31805555555555554</v>
      </c>
      <c r="K1129" s="295">
        <v>0.79374999999999996</v>
      </c>
      <c r="L1129" s="451" t="s">
        <v>169</v>
      </c>
      <c r="M1129" s="452">
        <v>8</v>
      </c>
      <c r="N1129" s="452">
        <v>2</v>
      </c>
      <c r="O1129" s="469"/>
      <c r="P1129" s="469"/>
      <c r="Q1129" s="468"/>
      <c r="R1129" s="469"/>
      <c r="S1129" s="469"/>
      <c r="T1129" s="461"/>
      <c r="U1129" s="462"/>
      <c r="V1129" s="461"/>
      <c r="W1129" s="463"/>
      <c r="X1129" s="464"/>
      <c r="Y1129" s="465"/>
      <c r="Z1129" s="466"/>
      <c r="AA1129" s="467"/>
      <c r="AB1129" s="443"/>
    </row>
    <row r="1130" spans="1:28" s="444" customFormat="1">
      <c r="A1130" s="702"/>
      <c r="B1130" s="446" t="s">
        <v>187</v>
      </c>
      <c r="C1130" s="505">
        <v>30296</v>
      </c>
      <c r="D1130" s="448" t="s">
        <v>306</v>
      </c>
      <c r="E1130" s="449" t="s">
        <v>305</v>
      </c>
      <c r="F1130" s="448" t="s">
        <v>306</v>
      </c>
      <c r="G1130" s="589">
        <v>46225</v>
      </c>
      <c r="H1130" s="450"/>
      <c r="I1130" s="450" t="s">
        <v>186</v>
      </c>
      <c r="J1130" s="295">
        <v>0.32013888888888886</v>
      </c>
      <c r="K1130" s="295">
        <v>0.79305555555555551</v>
      </c>
      <c r="L1130" s="451" t="s">
        <v>169</v>
      </c>
      <c r="M1130" s="452">
        <v>8</v>
      </c>
      <c r="N1130" s="452">
        <v>2</v>
      </c>
      <c r="O1130" s="452"/>
      <c r="P1130" s="452"/>
      <c r="Q1130" s="453"/>
      <c r="R1130" s="452"/>
      <c r="S1130" s="452"/>
      <c r="T1130" s="453"/>
      <c r="U1130" s="452"/>
      <c r="V1130" s="453"/>
      <c r="W1130" s="454"/>
      <c r="X1130" s="455"/>
      <c r="Y1130" s="456"/>
      <c r="Z1130" s="457"/>
      <c r="AA1130" s="458"/>
      <c r="AB1130" s="443"/>
    </row>
    <row r="1131" spans="1:28" s="444" customFormat="1">
      <c r="A1131" s="702"/>
      <c r="B1131" s="446" t="s">
        <v>187</v>
      </c>
      <c r="C1131" s="505">
        <v>30296</v>
      </c>
      <c r="D1131" s="448" t="s">
        <v>306</v>
      </c>
      <c r="E1131" s="449" t="s">
        <v>305</v>
      </c>
      <c r="F1131" s="448" t="s">
        <v>306</v>
      </c>
      <c r="G1131" s="589">
        <v>46226</v>
      </c>
      <c r="H1131" s="450"/>
      <c r="I1131" s="450" t="s">
        <v>186</v>
      </c>
      <c r="J1131" s="295">
        <v>0.31944444444444442</v>
      </c>
      <c r="K1131" s="295">
        <v>0.79305555555555551</v>
      </c>
      <c r="L1131" s="451" t="s">
        <v>169</v>
      </c>
      <c r="M1131" s="452">
        <v>8</v>
      </c>
      <c r="N1131" s="452">
        <v>2</v>
      </c>
      <c r="O1131" s="470"/>
      <c r="P1131" s="470"/>
      <c r="Q1131" s="453"/>
      <c r="R1131" s="452"/>
      <c r="S1131" s="452"/>
      <c r="T1131" s="453"/>
      <c r="U1131" s="452"/>
      <c r="V1131" s="453"/>
      <c r="W1131" s="454"/>
      <c r="X1131" s="455"/>
      <c r="Y1131" s="456"/>
      <c r="Z1131" s="457"/>
      <c r="AA1131" s="458"/>
      <c r="AB1131" s="443"/>
    </row>
    <row r="1132" spans="1:28" s="444" customFormat="1">
      <c r="A1132" s="702"/>
      <c r="B1132" s="446" t="s">
        <v>187</v>
      </c>
      <c r="C1132" s="505">
        <v>30296</v>
      </c>
      <c r="D1132" s="448" t="s">
        <v>306</v>
      </c>
      <c r="E1132" s="449" t="s">
        <v>305</v>
      </c>
      <c r="F1132" s="448" t="s">
        <v>306</v>
      </c>
      <c r="G1132" s="589">
        <v>46227</v>
      </c>
      <c r="H1132" s="450"/>
      <c r="I1132" s="450" t="s">
        <v>186</v>
      </c>
      <c r="J1132" s="295">
        <v>0.32291666666666669</v>
      </c>
      <c r="K1132" s="318">
        <v>0.79305555555555551</v>
      </c>
      <c r="L1132" s="451" t="s">
        <v>169</v>
      </c>
      <c r="M1132" s="452">
        <v>8</v>
      </c>
      <c r="N1132" s="452">
        <v>2</v>
      </c>
      <c r="O1132" s="471"/>
      <c r="P1132" s="471"/>
      <c r="Q1132" s="472"/>
      <c r="R1132" s="471"/>
      <c r="S1132" s="471"/>
      <c r="T1132" s="453"/>
      <c r="U1132" s="452"/>
      <c r="V1132" s="453"/>
      <c r="W1132" s="454"/>
      <c r="X1132" s="455"/>
      <c r="Y1132" s="456"/>
      <c r="Z1132" s="457"/>
      <c r="AA1132" s="458"/>
      <c r="AB1132" s="443"/>
    </row>
    <row r="1133" spans="1:28" s="444" customFormat="1">
      <c r="A1133" s="702"/>
      <c r="B1133" s="446" t="s">
        <v>187</v>
      </c>
      <c r="C1133" s="505">
        <v>30296</v>
      </c>
      <c r="D1133" s="448" t="s">
        <v>306</v>
      </c>
      <c r="E1133" s="449" t="s">
        <v>305</v>
      </c>
      <c r="F1133" s="448" t="s">
        <v>306</v>
      </c>
      <c r="G1133" s="589">
        <v>46228</v>
      </c>
      <c r="H1133" s="450"/>
      <c r="I1133" s="450" t="s">
        <v>186</v>
      </c>
      <c r="J1133" s="295"/>
      <c r="K1133" s="295"/>
      <c r="L1133" s="451"/>
      <c r="M1133" s="452"/>
      <c r="N1133" s="452"/>
      <c r="O1133" s="452"/>
      <c r="P1133" s="452"/>
      <c r="Q1133" s="453"/>
      <c r="R1133" s="452"/>
      <c r="S1133" s="473"/>
      <c r="T1133" s="453"/>
      <c r="U1133" s="452"/>
      <c r="V1133" s="453"/>
      <c r="W1133" s="454"/>
      <c r="X1133" s="455"/>
      <c r="Y1133" s="456"/>
      <c r="Z1133" s="457"/>
      <c r="AA1133" s="458"/>
      <c r="AB1133" s="443"/>
    </row>
    <row r="1134" spans="1:28" s="444" customFormat="1">
      <c r="A1134" s="702"/>
      <c r="B1134" s="446"/>
      <c r="C1134" s="505"/>
      <c r="D1134" s="449"/>
      <c r="E1134" s="449"/>
      <c r="F1134" s="449"/>
      <c r="G1134" s="600"/>
      <c r="H1134" s="450"/>
      <c r="I1134" s="450"/>
      <c r="J1134" s="474"/>
      <c r="K1134" s="475"/>
      <c r="L1134" s="476"/>
      <c r="M1134" s="477"/>
      <c r="N1134" s="477"/>
      <c r="O1134" s="477"/>
      <c r="P1134" s="477"/>
      <c r="Q1134" s="478"/>
      <c r="R1134" s="477"/>
      <c r="S1134" s="479"/>
      <c r="T1134" s="453"/>
      <c r="U1134" s="452"/>
      <c r="V1134" s="453"/>
      <c r="W1134" s="454"/>
      <c r="X1134" s="455"/>
      <c r="Y1134" s="456"/>
      <c r="Z1134" s="457"/>
      <c r="AA1134" s="458"/>
      <c r="AB1134" s="443"/>
    </row>
    <row r="1135" spans="1:28" s="444" customFormat="1">
      <c r="A1135" s="703"/>
      <c r="B1135" s="481"/>
      <c r="C1135" s="446"/>
      <c r="D1135" s="481"/>
      <c r="E1135" s="449"/>
      <c r="F1135" s="481"/>
      <c r="G1135" s="601"/>
      <c r="H1135" s="482"/>
      <c r="I1135" s="483"/>
      <c r="J1135" s="484"/>
      <c r="K1135" s="485"/>
      <c r="L1135" s="483"/>
      <c r="M1135" s="483">
        <f t="shared" ref="M1135:AA1135" si="63">SUM(M1118:M1134)</f>
        <v>96</v>
      </c>
      <c r="N1135" s="483">
        <f t="shared" si="63"/>
        <v>18</v>
      </c>
      <c r="O1135" s="483">
        <f t="shared" si="63"/>
        <v>0</v>
      </c>
      <c r="P1135" s="483">
        <f t="shared" si="63"/>
        <v>0</v>
      </c>
      <c r="Q1135" s="483">
        <f t="shared" si="63"/>
        <v>0</v>
      </c>
      <c r="R1135" s="483">
        <f t="shared" si="63"/>
        <v>0</v>
      </c>
      <c r="S1135" s="483">
        <f t="shared" si="63"/>
        <v>0</v>
      </c>
      <c r="T1135" s="483">
        <f t="shared" si="63"/>
        <v>0</v>
      </c>
      <c r="U1135" s="483">
        <f t="shared" si="63"/>
        <v>0</v>
      </c>
      <c r="V1135" s="483">
        <f t="shared" si="63"/>
        <v>0</v>
      </c>
      <c r="W1135" s="483">
        <f t="shared" si="63"/>
        <v>0</v>
      </c>
      <c r="X1135" s="483">
        <f t="shared" si="63"/>
        <v>0</v>
      </c>
      <c r="Y1135" s="483">
        <f t="shared" si="63"/>
        <v>0</v>
      </c>
      <c r="Z1135" s="483">
        <f t="shared" si="63"/>
        <v>0</v>
      </c>
      <c r="AA1135" s="483">
        <f t="shared" si="63"/>
        <v>0</v>
      </c>
      <c r="AB1135" s="443"/>
    </row>
    <row r="1136" spans="1:28" s="444" customFormat="1">
      <c r="A1136" s="435" t="s">
        <v>170</v>
      </c>
      <c r="B1136" s="435" t="s">
        <v>120</v>
      </c>
      <c r="C1136" s="435" t="s">
        <v>152</v>
      </c>
      <c r="D1136" s="435" t="s">
        <v>182</v>
      </c>
      <c r="E1136" s="436" t="s">
        <v>153</v>
      </c>
      <c r="F1136" s="435" t="s">
        <v>182</v>
      </c>
      <c r="G1136" s="599" t="s">
        <v>401</v>
      </c>
      <c r="H1136" s="437"/>
      <c r="I1136" s="438" t="s">
        <v>181</v>
      </c>
      <c r="J1136" s="439" t="s">
        <v>154</v>
      </c>
      <c r="K1136" s="439" t="s">
        <v>155</v>
      </c>
      <c r="L1136" s="440" t="s">
        <v>156</v>
      </c>
      <c r="M1136" s="441" t="s">
        <v>157</v>
      </c>
      <c r="N1136" s="440" t="s">
        <v>158</v>
      </c>
      <c r="O1136" s="440" t="s">
        <v>159</v>
      </c>
      <c r="P1136" s="440" t="s">
        <v>174</v>
      </c>
      <c r="Q1136" s="440" t="s">
        <v>160</v>
      </c>
      <c r="R1136" s="440" t="s">
        <v>161</v>
      </c>
      <c r="S1136" s="440" t="s">
        <v>162</v>
      </c>
      <c r="T1136" s="438" t="s">
        <v>163</v>
      </c>
      <c r="U1136" s="438" t="s">
        <v>164</v>
      </c>
      <c r="V1136" s="438" t="s">
        <v>165</v>
      </c>
      <c r="W1136" s="440" t="s">
        <v>113</v>
      </c>
      <c r="X1136" s="438" t="s">
        <v>121</v>
      </c>
      <c r="Y1136" s="438" t="s">
        <v>166</v>
      </c>
      <c r="Z1136" s="442" t="s">
        <v>175</v>
      </c>
      <c r="AA1136" s="442" t="s">
        <v>167</v>
      </c>
      <c r="AB1136" s="443"/>
    </row>
    <row r="1137" spans="1:28" s="444" customFormat="1">
      <c r="A1137" s="701"/>
      <c r="B1137" s="446" t="s">
        <v>187</v>
      </c>
      <c r="C1137" s="505">
        <v>30293</v>
      </c>
      <c r="D1137" s="448" t="s">
        <v>304</v>
      </c>
      <c r="E1137" s="449" t="s">
        <v>303</v>
      </c>
      <c r="F1137" s="448" t="s">
        <v>304</v>
      </c>
      <c r="G1137" s="589">
        <v>46214</v>
      </c>
      <c r="H1137" s="450"/>
      <c r="I1137" s="450" t="s">
        <v>186</v>
      </c>
      <c r="J1137" s="295">
        <v>0.31805555555555554</v>
      </c>
      <c r="K1137" s="295">
        <v>0.71180555555555558</v>
      </c>
      <c r="L1137" s="451" t="s">
        <v>169</v>
      </c>
      <c r="M1137" s="452">
        <v>8</v>
      </c>
      <c r="N1137" s="452"/>
      <c r="O1137" s="452"/>
      <c r="P1137" s="452"/>
      <c r="Q1137" s="453"/>
      <c r="R1137" s="452"/>
      <c r="S1137" s="452"/>
      <c r="T1137" s="453"/>
      <c r="U1137" s="452"/>
      <c r="V1137" s="453"/>
      <c r="W1137" s="454"/>
      <c r="X1137" s="455"/>
      <c r="Y1137" s="456"/>
      <c r="Z1137" s="457"/>
      <c r="AA1137" s="458"/>
      <c r="AB1137" s="443"/>
    </row>
    <row r="1138" spans="1:28" s="444" customFormat="1">
      <c r="A1138" s="702"/>
      <c r="B1138" s="446" t="s">
        <v>187</v>
      </c>
      <c r="C1138" s="505">
        <v>30293</v>
      </c>
      <c r="D1138" s="448" t="s">
        <v>304</v>
      </c>
      <c r="E1138" s="449" t="s">
        <v>303</v>
      </c>
      <c r="F1138" s="448" t="s">
        <v>304</v>
      </c>
      <c r="G1138" s="590">
        <v>46215</v>
      </c>
      <c r="H1138" s="450"/>
      <c r="I1138" s="450"/>
      <c r="J1138" s="699" t="s">
        <v>173</v>
      </c>
      <c r="K1138" s="700"/>
      <c r="L1138" s="451"/>
      <c r="M1138" s="452"/>
      <c r="N1138" s="452"/>
      <c r="O1138" s="452"/>
      <c r="P1138" s="452"/>
      <c r="Q1138" s="453"/>
      <c r="R1138" s="452"/>
      <c r="S1138" s="452"/>
      <c r="T1138" s="453"/>
      <c r="U1138" s="452"/>
      <c r="V1138" s="453"/>
      <c r="W1138" s="454"/>
      <c r="X1138" s="455"/>
      <c r="Y1138" s="456"/>
      <c r="Z1138" s="457"/>
      <c r="AA1138" s="458"/>
      <c r="AB1138" s="443"/>
    </row>
    <row r="1139" spans="1:28" s="444" customFormat="1">
      <c r="A1139" s="702"/>
      <c r="B1139" s="446" t="s">
        <v>187</v>
      </c>
      <c r="C1139" s="505">
        <v>30293</v>
      </c>
      <c r="D1139" s="448" t="s">
        <v>304</v>
      </c>
      <c r="E1139" s="449" t="s">
        <v>303</v>
      </c>
      <c r="F1139" s="448" t="s">
        <v>304</v>
      </c>
      <c r="G1139" s="589">
        <v>46216</v>
      </c>
      <c r="H1139" s="450"/>
      <c r="I1139" s="450" t="s">
        <v>186</v>
      </c>
      <c r="J1139" s="382">
        <v>0.31874999999999998</v>
      </c>
      <c r="K1139" s="382">
        <v>0.79513888888888884</v>
      </c>
      <c r="L1139" s="451" t="s">
        <v>169</v>
      </c>
      <c r="M1139" s="452">
        <v>8</v>
      </c>
      <c r="N1139" s="452">
        <v>2</v>
      </c>
      <c r="O1139" s="452"/>
      <c r="P1139" s="452"/>
      <c r="Q1139" s="461"/>
      <c r="R1139" s="452"/>
      <c r="S1139" s="452"/>
      <c r="T1139" s="453"/>
      <c r="U1139" s="452"/>
      <c r="V1139" s="453"/>
      <c r="W1139" s="454"/>
      <c r="X1139" s="455"/>
      <c r="Y1139" s="456"/>
      <c r="Z1139" s="457"/>
      <c r="AA1139" s="458"/>
      <c r="AB1139" s="443"/>
    </row>
    <row r="1140" spans="1:28" s="444" customFormat="1">
      <c r="A1140" s="702"/>
      <c r="B1140" s="446" t="s">
        <v>187</v>
      </c>
      <c r="C1140" s="505">
        <v>30293</v>
      </c>
      <c r="D1140" s="448" t="s">
        <v>304</v>
      </c>
      <c r="E1140" s="449" t="s">
        <v>303</v>
      </c>
      <c r="F1140" s="448" t="s">
        <v>304</v>
      </c>
      <c r="G1140" s="589">
        <v>46217</v>
      </c>
      <c r="H1140" s="450"/>
      <c r="I1140" s="450" t="s">
        <v>186</v>
      </c>
      <c r="J1140" s="305">
        <v>0.32500000000000001</v>
      </c>
      <c r="K1140" s="305">
        <v>0.79305555555555562</v>
      </c>
      <c r="L1140" s="451" t="s">
        <v>169</v>
      </c>
      <c r="M1140" s="452">
        <v>8</v>
      </c>
      <c r="N1140" s="452">
        <v>2</v>
      </c>
      <c r="O1140" s="462"/>
      <c r="P1140" s="462"/>
      <c r="Q1140" s="461"/>
      <c r="R1140" s="462"/>
      <c r="S1140" s="462"/>
      <c r="T1140" s="461"/>
      <c r="U1140" s="462"/>
      <c r="V1140" s="461"/>
      <c r="W1140" s="463"/>
      <c r="X1140" s="464"/>
      <c r="Y1140" s="465"/>
      <c r="Z1140" s="466"/>
      <c r="AA1140" s="467"/>
      <c r="AB1140" s="443"/>
    </row>
    <row r="1141" spans="1:28" s="444" customFormat="1">
      <c r="A1141" s="702"/>
      <c r="B1141" s="446" t="s">
        <v>187</v>
      </c>
      <c r="C1141" s="505">
        <v>30293</v>
      </c>
      <c r="D1141" s="448" t="s">
        <v>304</v>
      </c>
      <c r="E1141" s="449" t="s">
        <v>303</v>
      </c>
      <c r="F1141" s="448" t="s">
        <v>304</v>
      </c>
      <c r="G1141" s="589">
        <v>46218</v>
      </c>
      <c r="H1141" s="450"/>
      <c r="I1141" s="450" t="s">
        <v>186</v>
      </c>
      <c r="J1141" s="305">
        <v>0.32361111111111113</v>
      </c>
      <c r="K1141" s="305">
        <v>0.79375000000000007</v>
      </c>
      <c r="L1141" s="451" t="s">
        <v>169</v>
      </c>
      <c r="M1141" s="452">
        <v>8</v>
      </c>
      <c r="N1141" s="452">
        <v>2</v>
      </c>
      <c r="O1141" s="452"/>
      <c r="P1141" s="452"/>
      <c r="Q1141" s="453"/>
      <c r="R1141" s="452"/>
      <c r="S1141" s="452"/>
      <c r="T1141" s="453"/>
      <c r="U1141" s="452"/>
      <c r="V1141" s="453"/>
      <c r="W1141" s="454"/>
      <c r="X1141" s="455"/>
      <c r="Y1141" s="456"/>
      <c r="Z1141" s="457"/>
      <c r="AA1141" s="458"/>
      <c r="AB1141" s="443"/>
    </row>
    <row r="1142" spans="1:28" s="444" customFormat="1">
      <c r="A1142" s="702"/>
      <c r="B1142" s="446" t="s">
        <v>187</v>
      </c>
      <c r="C1142" s="505">
        <v>30293</v>
      </c>
      <c r="D1142" s="448" t="s">
        <v>304</v>
      </c>
      <c r="E1142" s="449" t="s">
        <v>303</v>
      </c>
      <c r="F1142" s="448" t="s">
        <v>304</v>
      </c>
      <c r="G1142" s="589">
        <v>46219</v>
      </c>
      <c r="H1142" s="450"/>
      <c r="I1142" s="450" t="s">
        <v>186</v>
      </c>
      <c r="J1142" s="305">
        <v>0.32500000000000001</v>
      </c>
      <c r="K1142" s="305">
        <v>0.79375000000000007</v>
      </c>
      <c r="L1142" s="451" t="s">
        <v>169</v>
      </c>
      <c r="M1142" s="452">
        <v>8</v>
      </c>
      <c r="N1142" s="452">
        <v>2</v>
      </c>
      <c r="O1142" s="452"/>
      <c r="P1142" s="452"/>
      <c r="Q1142" s="453"/>
      <c r="R1142" s="452"/>
      <c r="S1142" s="452"/>
      <c r="T1142" s="453"/>
      <c r="U1142" s="452"/>
      <c r="V1142" s="453"/>
      <c r="W1142" s="454"/>
      <c r="X1142" s="455"/>
      <c r="Y1142" s="456"/>
      <c r="Z1142" s="457"/>
      <c r="AA1142" s="458"/>
      <c r="AB1142" s="443"/>
    </row>
    <row r="1143" spans="1:28" s="444" customFormat="1">
      <c r="A1143" s="702"/>
      <c r="B1143" s="446" t="s">
        <v>187</v>
      </c>
      <c r="C1143" s="505">
        <v>30293</v>
      </c>
      <c r="D1143" s="448" t="s">
        <v>304</v>
      </c>
      <c r="E1143" s="449" t="s">
        <v>303</v>
      </c>
      <c r="F1143" s="448" t="s">
        <v>304</v>
      </c>
      <c r="G1143" s="589">
        <v>46220</v>
      </c>
      <c r="H1143" s="450"/>
      <c r="I1143" s="450" t="s">
        <v>186</v>
      </c>
      <c r="J1143" s="305">
        <v>0.31527777777777777</v>
      </c>
      <c r="K1143" s="305">
        <v>0.79374999999999996</v>
      </c>
      <c r="L1143" s="451" t="s">
        <v>169</v>
      </c>
      <c r="M1143" s="452">
        <v>8</v>
      </c>
      <c r="N1143" s="452">
        <v>2</v>
      </c>
      <c r="O1143" s="452"/>
      <c r="P1143" s="452"/>
      <c r="Q1143" s="453"/>
      <c r="R1143" s="452"/>
      <c r="S1143" s="452"/>
      <c r="T1143" s="453"/>
      <c r="U1143" s="452"/>
      <c r="V1143" s="453"/>
      <c r="W1143" s="454"/>
      <c r="X1143" s="455"/>
      <c r="Y1143" s="456"/>
      <c r="Z1143" s="457"/>
      <c r="AA1143" s="458"/>
      <c r="AB1143" s="443"/>
    </row>
    <row r="1144" spans="1:28" s="444" customFormat="1">
      <c r="A1144" s="702"/>
      <c r="B1144" s="446" t="s">
        <v>187</v>
      </c>
      <c r="C1144" s="505">
        <v>30293</v>
      </c>
      <c r="D1144" s="448" t="s">
        <v>304</v>
      </c>
      <c r="E1144" s="449" t="s">
        <v>303</v>
      </c>
      <c r="F1144" s="448" t="s">
        <v>304</v>
      </c>
      <c r="G1144" s="589">
        <v>46221</v>
      </c>
      <c r="H1144" s="450"/>
      <c r="I1144" s="450" t="s">
        <v>186</v>
      </c>
      <c r="J1144" s="305">
        <v>0.32847222222222222</v>
      </c>
      <c r="K1144" s="305">
        <v>0.71319444444444446</v>
      </c>
      <c r="L1144" s="451" t="s">
        <v>169</v>
      </c>
      <c r="M1144" s="452">
        <v>8</v>
      </c>
      <c r="N1144" s="452"/>
      <c r="O1144" s="452"/>
      <c r="P1144" s="452"/>
      <c r="Q1144" s="453"/>
      <c r="R1144" s="452"/>
      <c r="S1144" s="452"/>
      <c r="T1144" s="453"/>
      <c r="U1144" s="452"/>
      <c r="V1144" s="453"/>
      <c r="W1144" s="454"/>
      <c r="X1144" s="455"/>
      <c r="Y1144" s="456"/>
      <c r="Z1144" s="457"/>
      <c r="AA1144" s="458"/>
      <c r="AB1144" s="443"/>
    </row>
    <row r="1145" spans="1:28" s="444" customFormat="1">
      <c r="A1145" s="702"/>
      <c r="B1145" s="446" t="s">
        <v>187</v>
      </c>
      <c r="C1145" s="505">
        <v>30293</v>
      </c>
      <c r="D1145" s="448" t="s">
        <v>304</v>
      </c>
      <c r="E1145" s="449" t="s">
        <v>303</v>
      </c>
      <c r="F1145" s="448" t="s">
        <v>304</v>
      </c>
      <c r="G1145" s="590">
        <v>46222</v>
      </c>
      <c r="H1145" s="450"/>
      <c r="I1145" s="535"/>
      <c r="J1145" s="699" t="s">
        <v>173</v>
      </c>
      <c r="K1145" s="700"/>
      <c r="L1145" s="451"/>
      <c r="M1145" s="452"/>
      <c r="N1145" s="452"/>
      <c r="O1145" s="452"/>
      <c r="P1145" s="452"/>
      <c r="Q1145" s="453"/>
      <c r="R1145" s="452"/>
      <c r="S1145" s="452"/>
      <c r="T1145" s="453"/>
      <c r="U1145" s="452"/>
      <c r="V1145" s="453"/>
      <c r="W1145" s="454"/>
      <c r="X1145" s="455"/>
      <c r="Y1145" s="456"/>
      <c r="Z1145" s="457"/>
      <c r="AA1145" s="458"/>
      <c r="AB1145" s="443"/>
    </row>
    <row r="1146" spans="1:28" s="444" customFormat="1">
      <c r="A1146" s="702"/>
      <c r="B1146" s="446" t="s">
        <v>187</v>
      </c>
      <c r="C1146" s="505">
        <v>30293</v>
      </c>
      <c r="D1146" s="448" t="s">
        <v>304</v>
      </c>
      <c r="E1146" s="449" t="s">
        <v>303</v>
      </c>
      <c r="F1146" s="448" t="s">
        <v>304</v>
      </c>
      <c r="G1146" s="589">
        <v>46223</v>
      </c>
      <c r="H1146" s="450"/>
      <c r="I1146" s="450" t="s">
        <v>186</v>
      </c>
      <c r="J1146" s="378">
        <v>0.32430555555555557</v>
      </c>
      <c r="K1146" s="378">
        <v>0.7944444444444444</v>
      </c>
      <c r="L1146" s="451" t="s">
        <v>169</v>
      </c>
      <c r="M1146" s="452">
        <v>8</v>
      </c>
      <c r="N1146" s="452">
        <v>2</v>
      </c>
      <c r="O1146" s="462"/>
      <c r="P1146" s="462"/>
      <c r="Q1146" s="461"/>
      <c r="R1146" s="462"/>
      <c r="S1146" s="462"/>
      <c r="T1146" s="461"/>
      <c r="U1146" s="462"/>
      <c r="V1146" s="461"/>
      <c r="W1146" s="454"/>
      <c r="X1146" s="455"/>
      <c r="Y1146" s="456"/>
      <c r="Z1146" s="457"/>
      <c r="AA1146" s="458"/>
      <c r="AB1146" s="443"/>
    </row>
    <row r="1147" spans="1:28" s="444" customFormat="1">
      <c r="A1147" s="702"/>
      <c r="B1147" s="446" t="s">
        <v>187</v>
      </c>
      <c r="C1147" s="505">
        <v>30293</v>
      </c>
      <c r="D1147" s="448" t="s">
        <v>304</v>
      </c>
      <c r="E1147" s="449" t="s">
        <v>303</v>
      </c>
      <c r="F1147" s="448" t="s">
        <v>304</v>
      </c>
      <c r="G1147" s="589">
        <v>46224</v>
      </c>
      <c r="H1147" s="450"/>
      <c r="I1147" s="450" t="s">
        <v>186</v>
      </c>
      <c r="J1147" s="295">
        <v>0.31805555555555554</v>
      </c>
      <c r="K1147" s="295">
        <v>0.79305555555555551</v>
      </c>
      <c r="L1147" s="451" t="s">
        <v>169</v>
      </c>
      <c r="M1147" s="452">
        <v>8</v>
      </c>
      <c r="N1147" s="452">
        <v>2</v>
      </c>
      <c r="O1147" s="469"/>
      <c r="P1147" s="469"/>
      <c r="Q1147" s="468"/>
      <c r="R1147" s="469"/>
      <c r="S1147" s="469"/>
      <c r="T1147" s="461"/>
      <c r="U1147" s="462"/>
      <c r="V1147" s="461"/>
      <c r="W1147" s="463"/>
      <c r="X1147" s="464"/>
      <c r="Y1147" s="465"/>
      <c r="Z1147" s="466"/>
      <c r="AA1147" s="467"/>
      <c r="AB1147" s="443"/>
    </row>
    <row r="1148" spans="1:28" s="444" customFormat="1">
      <c r="A1148" s="702"/>
      <c r="B1148" s="446" t="s">
        <v>187</v>
      </c>
      <c r="C1148" s="505">
        <v>30293</v>
      </c>
      <c r="D1148" s="448" t="s">
        <v>304</v>
      </c>
      <c r="E1148" s="449" t="s">
        <v>303</v>
      </c>
      <c r="F1148" s="448" t="s">
        <v>304</v>
      </c>
      <c r="G1148" s="589">
        <v>46225</v>
      </c>
      <c r="H1148" s="450"/>
      <c r="I1148" s="450" t="s">
        <v>186</v>
      </c>
      <c r="J1148" s="295">
        <v>0.32361111111111113</v>
      </c>
      <c r="K1148" s="295">
        <v>0.7944444444444444</v>
      </c>
      <c r="L1148" s="451" t="s">
        <v>169</v>
      </c>
      <c r="M1148" s="452">
        <v>8</v>
      </c>
      <c r="N1148" s="452">
        <v>2</v>
      </c>
      <c r="O1148" s="452"/>
      <c r="P1148" s="452"/>
      <c r="Q1148" s="453"/>
      <c r="R1148" s="452"/>
      <c r="S1148" s="452"/>
      <c r="T1148" s="453"/>
      <c r="U1148" s="452"/>
      <c r="V1148" s="453"/>
      <c r="W1148" s="454"/>
      <c r="X1148" s="455"/>
      <c r="Y1148" s="456"/>
      <c r="Z1148" s="457"/>
      <c r="AA1148" s="458"/>
      <c r="AB1148" s="443"/>
    </row>
    <row r="1149" spans="1:28" s="444" customFormat="1">
      <c r="A1149" s="702"/>
      <c r="B1149" s="446" t="s">
        <v>187</v>
      </c>
      <c r="C1149" s="505">
        <v>30293</v>
      </c>
      <c r="D1149" s="448" t="s">
        <v>304</v>
      </c>
      <c r="E1149" s="449" t="s">
        <v>303</v>
      </c>
      <c r="F1149" s="448" t="s">
        <v>304</v>
      </c>
      <c r="G1149" s="589">
        <v>46226</v>
      </c>
      <c r="H1149" s="450"/>
      <c r="I1149" s="450" t="s">
        <v>186</v>
      </c>
      <c r="J1149" s="295">
        <v>0.32291666666666669</v>
      </c>
      <c r="K1149" s="295">
        <v>0.79374999999999996</v>
      </c>
      <c r="L1149" s="451" t="s">
        <v>169</v>
      </c>
      <c r="M1149" s="452">
        <v>8</v>
      </c>
      <c r="N1149" s="452">
        <v>2</v>
      </c>
      <c r="O1149" s="470"/>
      <c r="P1149" s="470"/>
      <c r="Q1149" s="453"/>
      <c r="R1149" s="452"/>
      <c r="S1149" s="452"/>
      <c r="T1149" s="453"/>
      <c r="U1149" s="452"/>
      <c r="V1149" s="453"/>
      <c r="W1149" s="454"/>
      <c r="X1149" s="455"/>
      <c r="Y1149" s="456"/>
      <c r="Z1149" s="457"/>
      <c r="AA1149" s="458"/>
      <c r="AB1149" s="443"/>
    </row>
    <row r="1150" spans="1:28" s="444" customFormat="1">
      <c r="A1150" s="702"/>
      <c r="B1150" s="446" t="s">
        <v>187</v>
      </c>
      <c r="C1150" s="505">
        <v>30293</v>
      </c>
      <c r="D1150" s="448" t="s">
        <v>304</v>
      </c>
      <c r="E1150" s="449" t="s">
        <v>303</v>
      </c>
      <c r="F1150" s="448" t="s">
        <v>304</v>
      </c>
      <c r="G1150" s="589">
        <v>46227</v>
      </c>
      <c r="H1150" s="450"/>
      <c r="I1150" s="450" t="s">
        <v>186</v>
      </c>
      <c r="J1150" s="295">
        <v>0.32291666666666669</v>
      </c>
      <c r="K1150" s="318">
        <v>0.79305555555555551</v>
      </c>
      <c r="L1150" s="451" t="s">
        <v>169</v>
      </c>
      <c r="M1150" s="452">
        <v>8</v>
      </c>
      <c r="N1150" s="452">
        <v>2</v>
      </c>
      <c r="O1150" s="471"/>
      <c r="P1150" s="471"/>
      <c r="Q1150" s="472"/>
      <c r="R1150" s="471"/>
      <c r="S1150" s="471"/>
      <c r="T1150" s="453"/>
      <c r="U1150" s="452"/>
      <c r="V1150" s="453"/>
      <c r="W1150" s="454"/>
      <c r="X1150" s="455"/>
      <c r="Y1150" s="456"/>
      <c r="Z1150" s="457"/>
      <c r="AA1150" s="458"/>
      <c r="AB1150" s="443"/>
    </row>
    <row r="1151" spans="1:28" s="444" customFormat="1">
      <c r="A1151" s="702"/>
      <c r="B1151" s="446" t="s">
        <v>187</v>
      </c>
      <c r="C1151" s="505">
        <v>30293</v>
      </c>
      <c r="D1151" s="448" t="s">
        <v>304</v>
      </c>
      <c r="E1151" s="449" t="s">
        <v>303</v>
      </c>
      <c r="F1151" s="448" t="s">
        <v>304</v>
      </c>
      <c r="G1151" s="589">
        <v>46228</v>
      </c>
      <c r="H1151" s="450"/>
      <c r="I1151" s="450" t="s">
        <v>186</v>
      </c>
      <c r="J1151" s="295"/>
      <c r="K1151" s="295"/>
      <c r="L1151" s="451"/>
      <c r="M1151" s="452"/>
      <c r="N1151" s="452"/>
      <c r="O1151" s="452"/>
      <c r="P1151" s="452"/>
      <c r="Q1151" s="453"/>
      <c r="R1151" s="452"/>
      <c r="S1151" s="473"/>
      <c r="T1151" s="453"/>
      <c r="U1151" s="452"/>
      <c r="V1151" s="453"/>
      <c r="W1151" s="454"/>
      <c r="X1151" s="455"/>
      <c r="Y1151" s="456"/>
      <c r="Z1151" s="457"/>
      <c r="AA1151" s="458"/>
      <c r="AB1151" s="443"/>
    </row>
    <row r="1152" spans="1:28" s="444" customFormat="1">
      <c r="A1152" s="702"/>
      <c r="B1152" s="446"/>
      <c r="C1152" s="505"/>
      <c r="D1152" s="448"/>
      <c r="E1152" s="449"/>
      <c r="F1152" s="448"/>
      <c r="G1152" s="600"/>
      <c r="H1152" s="450"/>
      <c r="I1152" s="450"/>
      <c r="J1152" s="474"/>
      <c r="K1152" s="475"/>
      <c r="L1152" s="476"/>
      <c r="M1152" s="477"/>
      <c r="N1152" s="477"/>
      <c r="O1152" s="477"/>
      <c r="P1152" s="477"/>
      <c r="Q1152" s="478"/>
      <c r="R1152" s="477"/>
      <c r="S1152" s="479"/>
      <c r="T1152" s="453"/>
      <c r="U1152" s="452"/>
      <c r="V1152" s="453"/>
      <c r="W1152" s="454"/>
      <c r="X1152" s="455"/>
      <c r="Y1152" s="456"/>
      <c r="Z1152" s="457"/>
      <c r="AA1152" s="458"/>
      <c r="AB1152" s="443"/>
    </row>
    <row r="1153" spans="1:28" s="444" customFormat="1" ht="23.25" customHeight="1">
      <c r="A1153" s="703"/>
      <c r="B1153" s="481"/>
      <c r="C1153" s="446"/>
      <c r="D1153" s="481"/>
      <c r="E1153" s="449"/>
      <c r="F1153" s="481"/>
      <c r="G1153" s="601"/>
      <c r="H1153" s="482"/>
      <c r="I1153" s="483"/>
      <c r="J1153" s="484"/>
      <c r="K1153" s="485"/>
      <c r="L1153" s="483"/>
      <c r="M1153" s="483">
        <f t="shared" ref="M1153:AA1153" si="64">SUM(M1136:M1152)</f>
        <v>96</v>
      </c>
      <c r="N1153" s="483">
        <f t="shared" si="64"/>
        <v>20</v>
      </c>
      <c r="O1153" s="483">
        <f t="shared" si="64"/>
        <v>0</v>
      </c>
      <c r="P1153" s="483">
        <f t="shared" si="64"/>
        <v>0</v>
      </c>
      <c r="Q1153" s="483">
        <f t="shared" si="64"/>
        <v>0</v>
      </c>
      <c r="R1153" s="483">
        <f t="shared" si="64"/>
        <v>0</v>
      </c>
      <c r="S1153" s="483">
        <f t="shared" si="64"/>
        <v>0</v>
      </c>
      <c r="T1153" s="483">
        <f t="shared" si="64"/>
        <v>0</v>
      </c>
      <c r="U1153" s="483">
        <f t="shared" si="64"/>
        <v>0</v>
      </c>
      <c r="V1153" s="483">
        <f t="shared" si="64"/>
        <v>0</v>
      </c>
      <c r="W1153" s="483">
        <f t="shared" si="64"/>
        <v>0</v>
      </c>
      <c r="X1153" s="483">
        <f t="shared" si="64"/>
        <v>0</v>
      </c>
      <c r="Y1153" s="483">
        <f t="shared" si="64"/>
        <v>0</v>
      </c>
      <c r="Z1153" s="483">
        <f t="shared" si="64"/>
        <v>0</v>
      </c>
      <c r="AA1153" s="483">
        <f t="shared" si="64"/>
        <v>0</v>
      </c>
      <c r="AB1153" s="443"/>
    </row>
    <row r="1154" spans="1:28" s="444" customFormat="1">
      <c r="A1154" s="435" t="s">
        <v>170</v>
      </c>
      <c r="B1154" s="435" t="s">
        <v>120</v>
      </c>
      <c r="C1154" s="435" t="s">
        <v>152</v>
      </c>
      <c r="D1154" s="435" t="s">
        <v>182</v>
      </c>
      <c r="E1154" s="436" t="s">
        <v>153</v>
      </c>
      <c r="F1154" s="435" t="s">
        <v>182</v>
      </c>
      <c r="G1154" s="599" t="s">
        <v>401</v>
      </c>
      <c r="H1154" s="437"/>
      <c r="I1154" s="438" t="s">
        <v>181</v>
      </c>
      <c r="J1154" s="439" t="s">
        <v>154</v>
      </c>
      <c r="K1154" s="439" t="s">
        <v>155</v>
      </c>
      <c r="L1154" s="440" t="s">
        <v>156</v>
      </c>
      <c r="M1154" s="441" t="s">
        <v>157</v>
      </c>
      <c r="N1154" s="440" t="s">
        <v>158</v>
      </c>
      <c r="O1154" s="440" t="s">
        <v>159</v>
      </c>
      <c r="P1154" s="440" t="s">
        <v>174</v>
      </c>
      <c r="Q1154" s="440" t="s">
        <v>160</v>
      </c>
      <c r="R1154" s="440" t="s">
        <v>161</v>
      </c>
      <c r="S1154" s="440" t="s">
        <v>162</v>
      </c>
      <c r="T1154" s="438" t="s">
        <v>163</v>
      </c>
      <c r="U1154" s="438" t="s">
        <v>164</v>
      </c>
      <c r="V1154" s="438" t="s">
        <v>165</v>
      </c>
      <c r="W1154" s="440" t="s">
        <v>113</v>
      </c>
      <c r="X1154" s="438" t="s">
        <v>121</v>
      </c>
      <c r="Y1154" s="438" t="s">
        <v>166</v>
      </c>
      <c r="Z1154" s="442" t="s">
        <v>175</v>
      </c>
      <c r="AA1154" s="442" t="s">
        <v>167</v>
      </c>
      <c r="AB1154" s="443"/>
    </row>
    <row r="1155" spans="1:28" s="444" customFormat="1">
      <c r="A1155" s="701"/>
      <c r="B1155" s="446" t="s">
        <v>187</v>
      </c>
      <c r="C1155" s="446">
        <v>11872</v>
      </c>
      <c r="D1155" s="448" t="s">
        <v>302</v>
      </c>
      <c r="E1155" s="449" t="s">
        <v>301</v>
      </c>
      <c r="F1155" s="448" t="s">
        <v>302</v>
      </c>
      <c r="G1155" s="589">
        <v>46214</v>
      </c>
      <c r="H1155" s="450"/>
      <c r="I1155" s="450" t="s">
        <v>186</v>
      </c>
      <c r="J1155" s="295">
        <v>0.31597222222222221</v>
      </c>
      <c r="K1155" s="295">
        <v>0.71111111111111114</v>
      </c>
      <c r="L1155" s="451" t="s">
        <v>169</v>
      </c>
      <c r="M1155" s="452">
        <v>8</v>
      </c>
      <c r="N1155" s="452"/>
      <c r="O1155" s="452"/>
      <c r="P1155" s="452"/>
      <c r="Q1155" s="453"/>
      <c r="R1155" s="452"/>
      <c r="S1155" s="452"/>
      <c r="T1155" s="453"/>
      <c r="U1155" s="452"/>
      <c r="V1155" s="453"/>
      <c r="W1155" s="454"/>
      <c r="X1155" s="455"/>
      <c r="Y1155" s="456"/>
      <c r="Z1155" s="457"/>
      <c r="AA1155" s="458"/>
      <c r="AB1155" s="443"/>
    </row>
    <row r="1156" spans="1:28" s="444" customFormat="1">
      <c r="A1156" s="702"/>
      <c r="B1156" s="446" t="s">
        <v>187</v>
      </c>
      <c r="C1156" s="446">
        <v>11872</v>
      </c>
      <c r="D1156" s="448" t="s">
        <v>302</v>
      </c>
      <c r="E1156" s="449" t="s">
        <v>301</v>
      </c>
      <c r="F1156" s="448" t="s">
        <v>302</v>
      </c>
      <c r="G1156" s="590">
        <v>46215</v>
      </c>
      <c r="H1156" s="450"/>
      <c r="I1156" s="450"/>
      <c r="J1156" s="699" t="s">
        <v>173</v>
      </c>
      <c r="K1156" s="700"/>
      <c r="L1156" s="451"/>
      <c r="M1156" s="452"/>
      <c r="N1156" s="452"/>
      <c r="O1156" s="452"/>
      <c r="P1156" s="452"/>
      <c r="Q1156" s="453"/>
      <c r="R1156" s="452"/>
      <c r="S1156" s="452"/>
      <c r="T1156" s="453"/>
      <c r="U1156" s="452"/>
      <c r="V1156" s="453"/>
      <c r="W1156" s="454"/>
      <c r="X1156" s="455"/>
      <c r="Y1156" s="456"/>
      <c r="Z1156" s="457"/>
      <c r="AA1156" s="458"/>
      <c r="AB1156" s="443"/>
    </row>
    <row r="1157" spans="1:28" s="444" customFormat="1">
      <c r="A1157" s="702"/>
      <c r="B1157" s="446" t="s">
        <v>187</v>
      </c>
      <c r="C1157" s="446">
        <v>11872</v>
      </c>
      <c r="D1157" s="448" t="s">
        <v>302</v>
      </c>
      <c r="E1157" s="449" t="s">
        <v>301</v>
      </c>
      <c r="F1157" s="448" t="s">
        <v>302</v>
      </c>
      <c r="G1157" s="589">
        <v>46216</v>
      </c>
      <c r="H1157" s="450"/>
      <c r="I1157" s="450" t="s">
        <v>186</v>
      </c>
      <c r="J1157" s="382">
        <v>0.31319444444444444</v>
      </c>
      <c r="K1157" s="382">
        <v>0.7944444444444444</v>
      </c>
      <c r="L1157" s="451" t="s">
        <v>169</v>
      </c>
      <c r="M1157" s="452">
        <v>8</v>
      </c>
      <c r="N1157" s="452">
        <v>2</v>
      </c>
      <c r="O1157" s="452"/>
      <c r="P1157" s="452"/>
      <c r="Q1157" s="461"/>
      <c r="R1157" s="452"/>
      <c r="S1157" s="452"/>
      <c r="T1157" s="453"/>
      <c r="U1157" s="452"/>
      <c r="V1157" s="453"/>
      <c r="W1157" s="454"/>
      <c r="X1157" s="455"/>
      <c r="Y1157" s="456"/>
      <c r="Z1157" s="457"/>
      <c r="AA1157" s="458"/>
      <c r="AB1157" s="443"/>
    </row>
    <row r="1158" spans="1:28" s="444" customFormat="1">
      <c r="A1158" s="702"/>
      <c r="B1158" s="446" t="s">
        <v>187</v>
      </c>
      <c r="C1158" s="446">
        <v>11872</v>
      </c>
      <c r="D1158" s="448" t="s">
        <v>302</v>
      </c>
      <c r="E1158" s="449" t="s">
        <v>301</v>
      </c>
      <c r="F1158" s="448" t="s">
        <v>302</v>
      </c>
      <c r="G1158" s="589">
        <v>46217</v>
      </c>
      <c r="H1158" s="450"/>
      <c r="I1158" s="450" t="s">
        <v>186</v>
      </c>
      <c r="J1158" s="305">
        <v>0.31597222222222221</v>
      </c>
      <c r="K1158" s="305">
        <v>0.7944444444444444</v>
      </c>
      <c r="L1158" s="451" t="s">
        <v>169</v>
      </c>
      <c r="M1158" s="452">
        <v>8</v>
      </c>
      <c r="N1158" s="452">
        <v>2</v>
      </c>
      <c r="O1158" s="462"/>
      <c r="P1158" s="462"/>
      <c r="Q1158" s="461"/>
      <c r="R1158" s="462"/>
      <c r="S1158" s="462"/>
      <c r="T1158" s="461"/>
      <c r="U1158" s="462"/>
      <c r="V1158" s="461"/>
      <c r="W1158" s="463"/>
      <c r="X1158" s="464"/>
      <c r="Y1158" s="465"/>
      <c r="Z1158" s="466"/>
      <c r="AA1158" s="467"/>
      <c r="AB1158" s="443"/>
    </row>
    <row r="1159" spans="1:28" s="444" customFormat="1">
      <c r="A1159" s="702"/>
      <c r="B1159" s="446" t="s">
        <v>187</v>
      </c>
      <c r="C1159" s="446">
        <v>11872</v>
      </c>
      <c r="D1159" s="448" t="s">
        <v>302</v>
      </c>
      <c r="E1159" s="449" t="s">
        <v>301</v>
      </c>
      <c r="F1159" s="448" t="s">
        <v>302</v>
      </c>
      <c r="G1159" s="589">
        <v>46218</v>
      </c>
      <c r="H1159" s="450"/>
      <c r="I1159" s="450" t="s">
        <v>186</v>
      </c>
      <c r="J1159" s="305">
        <v>0.31597222222222221</v>
      </c>
      <c r="K1159" s="305">
        <v>0.79375000000000007</v>
      </c>
      <c r="L1159" s="451" t="s">
        <v>169</v>
      </c>
      <c r="M1159" s="452">
        <v>8</v>
      </c>
      <c r="N1159" s="452">
        <v>2</v>
      </c>
      <c r="O1159" s="452"/>
      <c r="P1159" s="452"/>
      <c r="Q1159" s="453"/>
      <c r="R1159" s="452"/>
      <c r="S1159" s="452"/>
      <c r="T1159" s="453"/>
      <c r="U1159" s="452"/>
      <c r="V1159" s="453"/>
      <c r="W1159" s="454"/>
      <c r="X1159" s="455"/>
      <c r="Y1159" s="456"/>
      <c r="Z1159" s="457"/>
      <c r="AA1159" s="458"/>
      <c r="AB1159" s="443"/>
    </row>
    <row r="1160" spans="1:28" s="444" customFormat="1">
      <c r="A1160" s="702"/>
      <c r="B1160" s="446" t="s">
        <v>187</v>
      </c>
      <c r="C1160" s="446">
        <v>11872</v>
      </c>
      <c r="D1160" s="448" t="s">
        <v>302</v>
      </c>
      <c r="E1160" s="449" t="s">
        <v>301</v>
      </c>
      <c r="F1160" s="448" t="s">
        <v>302</v>
      </c>
      <c r="G1160" s="589">
        <v>46219</v>
      </c>
      <c r="H1160" s="450"/>
      <c r="I1160" s="450" t="s">
        <v>186</v>
      </c>
      <c r="J1160" s="305">
        <v>0.31041666666666667</v>
      </c>
      <c r="K1160" s="305">
        <v>0.7944444444444444</v>
      </c>
      <c r="L1160" s="451" t="s">
        <v>169</v>
      </c>
      <c r="M1160" s="452">
        <v>8</v>
      </c>
      <c r="N1160" s="452">
        <v>2</v>
      </c>
      <c r="O1160" s="452"/>
      <c r="P1160" s="452"/>
      <c r="Q1160" s="453"/>
      <c r="R1160" s="452"/>
      <c r="S1160" s="452"/>
      <c r="T1160" s="453"/>
      <c r="U1160" s="452"/>
      <c r="V1160" s="453"/>
      <c r="W1160" s="454"/>
      <c r="X1160" s="455"/>
      <c r="Y1160" s="456"/>
      <c r="Z1160" s="457"/>
      <c r="AA1160" s="458"/>
      <c r="AB1160" s="443"/>
    </row>
    <row r="1161" spans="1:28" s="444" customFormat="1">
      <c r="A1161" s="702"/>
      <c r="B1161" s="446" t="s">
        <v>187</v>
      </c>
      <c r="C1161" s="446">
        <v>11872</v>
      </c>
      <c r="D1161" s="448" t="s">
        <v>302</v>
      </c>
      <c r="E1161" s="449" t="s">
        <v>301</v>
      </c>
      <c r="F1161" s="448" t="s">
        <v>302</v>
      </c>
      <c r="G1161" s="589">
        <v>46220</v>
      </c>
      <c r="H1161" s="450"/>
      <c r="I1161" s="450" t="s">
        <v>186</v>
      </c>
      <c r="J1161" s="305">
        <v>0.31041666666666667</v>
      </c>
      <c r="K1161" s="305">
        <v>0.79374999999999996</v>
      </c>
      <c r="L1161" s="451" t="s">
        <v>169</v>
      </c>
      <c r="M1161" s="452">
        <v>8</v>
      </c>
      <c r="N1161" s="452">
        <v>2</v>
      </c>
      <c r="O1161" s="452"/>
      <c r="P1161" s="452"/>
      <c r="Q1161" s="453"/>
      <c r="R1161" s="452"/>
      <c r="S1161" s="452"/>
      <c r="T1161" s="453"/>
      <c r="U1161" s="452"/>
      <c r="V1161" s="453"/>
      <c r="W1161" s="454"/>
      <c r="X1161" s="455"/>
      <c r="Y1161" s="456"/>
      <c r="Z1161" s="457"/>
      <c r="AA1161" s="458"/>
      <c r="AB1161" s="443"/>
    </row>
    <row r="1162" spans="1:28" s="444" customFormat="1">
      <c r="A1162" s="702"/>
      <c r="B1162" s="446" t="s">
        <v>187</v>
      </c>
      <c r="C1162" s="446">
        <v>11872</v>
      </c>
      <c r="D1162" s="448" t="s">
        <v>302</v>
      </c>
      <c r="E1162" s="449" t="s">
        <v>301</v>
      </c>
      <c r="F1162" s="448" t="s">
        <v>302</v>
      </c>
      <c r="G1162" s="589">
        <v>46221</v>
      </c>
      <c r="H1162" s="450"/>
      <c r="I1162" s="450" t="s">
        <v>186</v>
      </c>
      <c r="J1162" s="305">
        <v>0.29652777777777778</v>
      </c>
      <c r="K1162" s="305">
        <v>0.71111111111111114</v>
      </c>
      <c r="L1162" s="451" t="s">
        <v>169</v>
      </c>
      <c r="M1162" s="452">
        <v>8</v>
      </c>
      <c r="N1162" s="452"/>
      <c r="O1162" s="452"/>
      <c r="P1162" s="452"/>
      <c r="Q1162" s="453"/>
      <c r="R1162" s="452"/>
      <c r="S1162" s="452"/>
      <c r="T1162" s="453"/>
      <c r="U1162" s="452"/>
      <c r="V1162" s="453"/>
      <c r="W1162" s="454"/>
      <c r="X1162" s="455"/>
      <c r="Y1162" s="456"/>
      <c r="Z1162" s="457"/>
      <c r="AA1162" s="458"/>
      <c r="AB1162" s="443"/>
    </row>
    <row r="1163" spans="1:28" s="444" customFormat="1">
      <c r="A1163" s="702"/>
      <c r="B1163" s="446" t="s">
        <v>187</v>
      </c>
      <c r="C1163" s="446">
        <v>11872</v>
      </c>
      <c r="D1163" s="448" t="s">
        <v>302</v>
      </c>
      <c r="E1163" s="449" t="s">
        <v>301</v>
      </c>
      <c r="F1163" s="448" t="s">
        <v>302</v>
      </c>
      <c r="G1163" s="590">
        <v>46222</v>
      </c>
      <c r="H1163" s="450"/>
      <c r="I1163" s="450"/>
      <c r="J1163" s="699" t="s">
        <v>173</v>
      </c>
      <c r="K1163" s="700"/>
      <c r="L1163" s="451"/>
      <c r="M1163" s="452"/>
      <c r="N1163" s="452"/>
      <c r="O1163" s="452"/>
      <c r="P1163" s="452"/>
      <c r="Q1163" s="453"/>
      <c r="R1163" s="452"/>
      <c r="S1163" s="452"/>
      <c r="T1163" s="453"/>
      <c r="U1163" s="452"/>
      <c r="V1163" s="453"/>
      <c r="W1163" s="454"/>
      <c r="X1163" s="455"/>
      <c r="Y1163" s="456"/>
      <c r="Z1163" s="457"/>
      <c r="AA1163" s="458"/>
      <c r="AB1163" s="443"/>
    </row>
    <row r="1164" spans="1:28" s="444" customFormat="1">
      <c r="A1164" s="702"/>
      <c r="B1164" s="446" t="s">
        <v>187</v>
      </c>
      <c r="C1164" s="446">
        <v>11872</v>
      </c>
      <c r="D1164" s="448" t="s">
        <v>302</v>
      </c>
      <c r="E1164" s="449" t="s">
        <v>301</v>
      </c>
      <c r="F1164" s="448" t="s">
        <v>302</v>
      </c>
      <c r="G1164" s="589">
        <v>46223</v>
      </c>
      <c r="H1164" s="450"/>
      <c r="I1164" s="450" t="s">
        <v>186</v>
      </c>
      <c r="J1164" s="295">
        <v>0.3125</v>
      </c>
      <c r="K1164" s="295">
        <v>0.79374999999999996</v>
      </c>
      <c r="L1164" s="451" t="s">
        <v>169</v>
      </c>
      <c r="M1164" s="452">
        <v>8</v>
      </c>
      <c r="N1164" s="452">
        <v>2</v>
      </c>
      <c r="O1164" s="462"/>
      <c r="P1164" s="462"/>
      <c r="Q1164" s="461"/>
      <c r="R1164" s="462"/>
      <c r="S1164" s="462"/>
      <c r="T1164" s="461"/>
      <c r="U1164" s="462"/>
      <c r="V1164" s="461"/>
      <c r="W1164" s="454"/>
      <c r="X1164" s="455"/>
      <c r="Y1164" s="456"/>
      <c r="Z1164" s="457"/>
      <c r="AA1164" s="458"/>
      <c r="AB1164" s="443"/>
    </row>
    <row r="1165" spans="1:28" s="444" customFormat="1">
      <c r="A1165" s="702"/>
      <c r="B1165" s="446" t="s">
        <v>187</v>
      </c>
      <c r="C1165" s="446">
        <v>11872</v>
      </c>
      <c r="D1165" s="448" t="s">
        <v>302</v>
      </c>
      <c r="E1165" s="449" t="s">
        <v>301</v>
      </c>
      <c r="F1165" s="448" t="s">
        <v>302</v>
      </c>
      <c r="G1165" s="589">
        <v>46224</v>
      </c>
      <c r="H1165" s="450"/>
      <c r="I1165" s="450" t="s">
        <v>186</v>
      </c>
      <c r="J1165" s="295">
        <v>0.31527777777777777</v>
      </c>
      <c r="K1165" s="295">
        <v>0.79374999999999996</v>
      </c>
      <c r="L1165" s="451" t="s">
        <v>169</v>
      </c>
      <c r="M1165" s="452">
        <v>8</v>
      </c>
      <c r="N1165" s="452">
        <v>2</v>
      </c>
      <c r="O1165" s="469"/>
      <c r="P1165" s="469"/>
      <c r="Q1165" s="468"/>
      <c r="R1165" s="469"/>
      <c r="S1165" s="469"/>
      <c r="T1165" s="461"/>
      <c r="U1165" s="462"/>
      <c r="V1165" s="461"/>
      <c r="W1165" s="463"/>
      <c r="X1165" s="464"/>
      <c r="Y1165" s="465"/>
      <c r="Z1165" s="466"/>
      <c r="AA1165" s="467"/>
      <c r="AB1165" s="443"/>
    </row>
    <row r="1166" spans="1:28" s="444" customFormat="1">
      <c r="A1166" s="702"/>
      <c r="B1166" s="446" t="s">
        <v>187</v>
      </c>
      <c r="C1166" s="446">
        <v>11872</v>
      </c>
      <c r="D1166" s="448" t="s">
        <v>302</v>
      </c>
      <c r="E1166" s="449" t="s">
        <v>301</v>
      </c>
      <c r="F1166" s="448" t="s">
        <v>302</v>
      </c>
      <c r="G1166" s="589">
        <v>46225</v>
      </c>
      <c r="H1166" s="450"/>
      <c r="I1166" s="450" t="s">
        <v>186</v>
      </c>
      <c r="J1166" s="295">
        <v>0.31736111111111109</v>
      </c>
      <c r="K1166" s="295">
        <v>0.79236111111111107</v>
      </c>
      <c r="L1166" s="451" t="s">
        <v>169</v>
      </c>
      <c r="M1166" s="452">
        <v>8</v>
      </c>
      <c r="N1166" s="452">
        <v>2</v>
      </c>
      <c r="O1166" s="452"/>
      <c r="P1166" s="452"/>
      <c r="Q1166" s="453"/>
      <c r="R1166" s="452"/>
      <c r="S1166" s="452"/>
      <c r="T1166" s="453"/>
      <c r="U1166" s="452"/>
      <c r="V1166" s="453"/>
      <c r="W1166" s="454"/>
      <c r="X1166" s="455"/>
      <c r="Y1166" s="456"/>
      <c r="Z1166" s="457"/>
      <c r="AA1166" s="458"/>
      <c r="AB1166" s="443"/>
    </row>
    <row r="1167" spans="1:28" s="444" customFormat="1">
      <c r="A1167" s="702"/>
      <c r="B1167" s="446" t="s">
        <v>187</v>
      </c>
      <c r="C1167" s="446">
        <v>11872</v>
      </c>
      <c r="D1167" s="448" t="s">
        <v>302</v>
      </c>
      <c r="E1167" s="449" t="s">
        <v>301</v>
      </c>
      <c r="F1167" s="448" t="s">
        <v>302</v>
      </c>
      <c r="G1167" s="589">
        <v>46226</v>
      </c>
      <c r="H1167" s="450"/>
      <c r="I1167" s="450" t="s">
        <v>186</v>
      </c>
      <c r="J1167" s="295">
        <v>0.31527777777777777</v>
      </c>
      <c r="K1167" s="295">
        <v>0.7944444444444444</v>
      </c>
      <c r="L1167" s="451" t="s">
        <v>169</v>
      </c>
      <c r="M1167" s="452">
        <v>8</v>
      </c>
      <c r="N1167" s="452">
        <v>2</v>
      </c>
      <c r="O1167" s="470"/>
      <c r="P1167" s="470"/>
      <c r="Q1167" s="453"/>
      <c r="R1167" s="452"/>
      <c r="S1167" s="452"/>
      <c r="T1167" s="453"/>
      <c r="U1167" s="452"/>
      <c r="V1167" s="453"/>
      <c r="W1167" s="454"/>
      <c r="X1167" s="455"/>
      <c r="Y1167" s="456"/>
      <c r="Z1167" s="457"/>
      <c r="AA1167" s="458"/>
      <c r="AB1167" s="443"/>
    </row>
    <row r="1168" spans="1:28" s="444" customFormat="1">
      <c r="A1168" s="702"/>
      <c r="B1168" s="446" t="s">
        <v>187</v>
      </c>
      <c r="C1168" s="446">
        <v>11872</v>
      </c>
      <c r="D1168" s="448" t="s">
        <v>302</v>
      </c>
      <c r="E1168" s="449" t="s">
        <v>301</v>
      </c>
      <c r="F1168" s="448" t="s">
        <v>302</v>
      </c>
      <c r="G1168" s="589">
        <v>46227</v>
      </c>
      <c r="H1168" s="450"/>
      <c r="I1168" s="450" t="s">
        <v>186</v>
      </c>
      <c r="J1168" s="295">
        <v>0.31180555555555556</v>
      </c>
      <c r="K1168" s="318">
        <v>0.79305555555555551</v>
      </c>
      <c r="L1168" s="451" t="s">
        <v>169</v>
      </c>
      <c r="M1168" s="452">
        <v>8</v>
      </c>
      <c r="N1168" s="452">
        <v>2</v>
      </c>
      <c r="O1168" s="471"/>
      <c r="P1168" s="471"/>
      <c r="Q1168" s="472"/>
      <c r="R1168" s="471"/>
      <c r="S1168" s="471"/>
      <c r="T1168" s="453"/>
      <c r="U1168" s="452"/>
      <c r="V1168" s="453"/>
      <c r="W1168" s="454"/>
      <c r="X1168" s="455"/>
      <c r="Y1168" s="456"/>
      <c r="Z1168" s="457"/>
      <c r="AA1168" s="458"/>
      <c r="AB1168" s="443"/>
    </row>
    <row r="1169" spans="1:28" s="444" customFormat="1">
      <c r="A1169" s="702"/>
      <c r="B1169" s="446" t="s">
        <v>187</v>
      </c>
      <c r="C1169" s="446">
        <v>11872</v>
      </c>
      <c r="D1169" s="448" t="s">
        <v>302</v>
      </c>
      <c r="E1169" s="449" t="s">
        <v>301</v>
      </c>
      <c r="F1169" s="448" t="s">
        <v>302</v>
      </c>
      <c r="G1169" s="589">
        <v>46228</v>
      </c>
      <c r="H1169" s="450"/>
      <c r="I1169" s="450" t="s">
        <v>186</v>
      </c>
      <c r="J1169" s="295"/>
      <c r="K1169" s="295"/>
      <c r="L1169" s="451"/>
      <c r="M1169" s="452"/>
      <c r="N1169" s="452"/>
      <c r="O1169" s="452"/>
      <c r="P1169" s="452"/>
      <c r="Q1169" s="453"/>
      <c r="R1169" s="452"/>
      <c r="S1169" s="473"/>
      <c r="T1169" s="453"/>
      <c r="U1169" s="452"/>
      <c r="V1169" s="453"/>
      <c r="W1169" s="454"/>
      <c r="X1169" s="455"/>
      <c r="Y1169" s="456"/>
      <c r="Z1169" s="457"/>
      <c r="AA1169" s="458"/>
      <c r="AB1169" s="443"/>
    </row>
    <row r="1170" spans="1:28" s="444" customFormat="1">
      <c r="A1170" s="702"/>
      <c r="B1170" s="446"/>
      <c r="C1170" s="446"/>
      <c r="D1170" s="449"/>
      <c r="E1170" s="449"/>
      <c r="F1170" s="449"/>
      <c r="G1170" s="600"/>
      <c r="H1170" s="450"/>
      <c r="I1170" s="450"/>
      <c r="J1170" s="474"/>
      <c r="K1170" s="475"/>
      <c r="L1170" s="476"/>
      <c r="M1170" s="477"/>
      <c r="N1170" s="477"/>
      <c r="O1170" s="477"/>
      <c r="P1170" s="477"/>
      <c r="Q1170" s="478"/>
      <c r="R1170" s="477"/>
      <c r="S1170" s="479"/>
      <c r="T1170" s="453"/>
      <c r="U1170" s="452"/>
      <c r="V1170" s="453"/>
      <c r="W1170" s="454"/>
      <c r="X1170" s="455"/>
      <c r="Y1170" s="456"/>
      <c r="Z1170" s="457"/>
      <c r="AA1170" s="458"/>
      <c r="AB1170" s="443"/>
    </row>
    <row r="1171" spans="1:28" s="444" customFormat="1">
      <c r="A1171" s="703"/>
      <c r="B1171" s="481"/>
      <c r="C1171" s="446"/>
      <c r="D1171" s="481"/>
      <c r="E1171" s="449"/>
      <c r="F1171" s="481"/>
      <c r="G1171" s="601"/>
      <c r="H1171" s="482"/>
      <c r="I1171" s="483"/>
      <c r="J1171" s="484"/>
      <c r="K1171" s="485"/>
      <c r="L1171" s="483"/>
      <c r="M1171" s="483">
        <f t="shared" ref="M1171:AA1171" si="65">SUM(M1154:M1170)</f>
        <v>96</v>
      </c>
      <c r="N1171" s="483">
        <f t="shared" si="65"/>
        <v>20</v>
      </c>
      <c r="O1171" s="483">
        <f t="shared" si="65"/>
        <v>0</v>
      </c>
      <c r="P1171" s="483">
        <f t="shared" si="65"/>
        <v>0</v>
      </c>
      <c r="Q1171" s="483">
        <f t="shared" si="65"/>
        <v>0</v>
      </c>
      <c r="R1171" s="483">
        <f t="shared" si="65"/>
        <v>0</v>
      </c>
      <c r="S1171" s="483">
        <f t="shared" si="65"/>
        <v>0</v>
      </c>
      <c r="T1171" s="483">
        <f t="shared" si="65"/>
        <v>0</v>
      </c>
      <c r="U1171" s="483">
        <f t="shared" si="65"/>
        <v>0</v>
      </c>
      <c r="V1171" s="483">
        <f t="shared" si="65"/>
        <v>0</v>
      </c>
      <c r="W1171" s="483">
        <f t="shared" si="65"/>
        <v>0</v>
      </c>
      <c r="X1171" s="483">
        <f t="shared" si="65"/>
        <v>0</v>
      </c>
      <c r="Y1171" s="483">
        <f t="shared" si="65"/>
        <v>0</v>
      </c>
      <c r="Z1171" s="483">
        <f t="shared" si="65"/>
        <v>0</v>
      </c>
      <c r="AA1171" s="483">
        <f t="shared" si="65"/>
        <v>0</v>
      </c>
      <c r="AB1171" s="443"/>
    </row>
    <row r="1172" spans="1:28" s="444" customFormat="1">
      <c r="A1172" s="435" t="s">
        <v>170</v>
      </c>
      <c r="B1172" s="435" t="s">
        <v>120</v>
      </c>
      <c r="C1172" s="435" t="s">
        <v>152</v>
      </c>
      <c r="D1172" s="435" t="s">
        <v>182</v>
      </c>
      <c r="E1172" s="436" t="s">
        <v>153</v>
      </c>
      <c r="F1172" s="435" t="s">
        <v>182</v>
      </c>
      <c r="G1172" s="599" t="s">
        <v>401</v>
      </c>
      <c r="H1172" s="437"/>
      <c r="I1172" s="438" t="s">
        <v>181</v>
      </c>
      <c r="J1172" s="439" t="s">
        <v>154</v>
      </c>
      <c r="K1172" s="439" t="s">
        <v>155</v>
      </c>
      <c r="L1172" s="440" t="s">
        <v>156</v>
      </c>
      <c r="M1172" s="441" t="s">
        <v>157</v>
      </c>
      <c r="N1172" s="440" t="s">
        <v>158</v>
      </c>
      <c r="O1172" s="440" t="s">
        <v>159</v>
      </c>
      <c r="P1172" s="440" t="s">
        <v>174</v>
      </c>
      <c r="Q1172" s="440" t="s">
        <v>160</v>
      </c>
      <c r="R1172" s="440" t="s">
        <v>161</v>
      </c>
      <c r="S1172" s="440" t="s">
        <v>162</v>
      </c>
      <c r="T1172" s="438" t="s">
        <v>163</v>
      </c>
      <c r="U1172" s="438" t="s">
        <v>164</v>
      </c>
      <c r="V1172" s="438" t="s">
        <v>165</v>
      </c>
      <c r="W1172" s="440" t="s">
        <v>113</v>
      </c>
      <c r="X1172" s="438" t="s">
        <v>121</v>
      </c>
      <c r="Y1172" s="438" t="s">
        <v>166</v>
      </c>
      <c r="Z1172" s="442" t="s">
        <v>175</v>
      </c>
      <c r="AA1172" s="442" t="s">
        <v>167</v>
      </c>
      <c r="AB1172" s="443"/>
    </row>
    <row r="1173" spans="1:28" s="444" customFormat="1">
      <c r="A1173" s="701"/>
      <c r="B1173" s="446" t="s">
        <v>187</v>
      </c>
      <c r="C1173" s="449">
        <v>30246</v>
      </c>
      <c r="D1173" s="448" t="s">
        <v>300</v>
      </c>
      <c r="E1173" s="449" t="s">
        <v>299</v>
      </c>
      <c r="F1173" s="448" t="s">
        <v>300</v>
      </c>
      <c r="G1173" s="589">
        <v>46214</v>
      </c>
      <c r="H1173" s="450"/>
      <c r="I1173" s="450" t="s">
        <v>186</v>
      </c>
      <c r="J1173" s="295">
        <v>0.31388888888888888</v>
      </c>
      <c r="K1173" s="295">
        <v>0.70902777777777781</v>
      </c>
      <c r="L1173" s="451" t="s">
        <v>169</v>
      </c>
      <c r="M1173" s="452">
        <v>8</v>
      </c>
      <c r="N1173" s="452"/>
      <c r="O1173" s="452"/>
      <c r="P1173" s="452"/>
      <c r="Q1173" s="453"/>
      <c r="R1173" s="452"/>
      <c r="S1173" s="452"/>
      <c r="T1173" s="453"/>
      <c r="U1173" s="452"/>
      <c r="V1173" s="453"/>
      <c r="W1173" s="454"/>
      <c r="X1173" s="455"/>
      <c r="Y1173" s="456"/>
      <c r="Z1173" s="457"/>
      <c r="AA1173" s="458"/>
      <c r="AB1173" s="443"/>
    </row>
    <row r="1174" spans="1:28" s="444" customFormat="1">
      <c r="A1174" s="702"/>
      <c r="B1174" s="446" t="s">
        <v>187</v>
      </c>
      <c r="C1174" s="449">
        <v>30246</v>
      </c>
      <c r="D1174" s="448" t="s">
        <v>300</v>
      </c>
      <c r="E1174" s="449" t="s">
        <v>299</v>
      </c>
      <c r="F1174" s="448" t="s">
        <v>300</v>
      </c>
      <c r="G1174" s="590">
        <v>46215</v>
      </c>
      <c r="H1174" s="450"/>
      <c r="I1174" s="450"/>
      <c r="L1174" s="451"/>
      <c r="M1174" s="452"/>
      <c r="N1174" s="452"/>
      <c r="O1174" s="452"/>
      <c r="P1174" s="452"/>
      <c r="Q1174" s="453"/>
      <c r="R1174" s="452"/>
      <c r="S1174" s="452"/>
      <c r="T1174" s="453"/>
      <c r="U1174" s="452"/>
      <c r="V1174" s="453"/>
      <c r="W1174" s="454"/>
      <c r="X1174" s="455"/>
      <c r="Y1174" s="456"/>
      <c r="Z1174" s="457"/>
      <c r="AA1174" s="458"/>
      <c r="AB1174" s="443"/>
    </row>
    <row r="1175" spans="1:28" s="444" customFormat="1">
      <c r="A1175" s="702"/>
      <c r="B1175" s="446" t="s">
        <v>187</v>
      </c>
      <c r="C1175" s="486">
        <v>30246</v>
      </c>
      <c r="D1175" s="448" t="s">
        <v>300</v>
      </c>
      <c r="E1175" s="449" t="s">
        <v>299</v>
      </c>
      <c r="F1175" s="448" t="s">
        <v>300</v>
      </c>
      <c r="G1175" s="589">
        <v>46216</v>
      </c>
      <c r="H1175" s="450"/>
      <c r="I1175" s="450" t="s">
        <v>186</v>
      </c>
      <c r="J1175" s="382">
        <v>0.32777777777777778</v>
      </c>
      <c r="K1175" s="382">
        <v>0.70833333333333337</v>
      </c>
      <c r="L1175" s="451" t="s">
        <v>169</v>
      </c>
      <c r="M1175" s="452">
        <v>8</v>
      </c>
      <c r="N1175" s="452"/>
      <c r="O1175" s="452"/>
      <c r="P1175" s="452"/>
      <c r="Q1175" s="453"/>
      <c r="R1175" s="452"/>
      <c r="S1175" s="452"/>
      <c r="T1175" s="453"/>
      <c r="U1175" s="452"/>
      <c r="V1175" s="453"/>
      <c r="W1175" s="454"/>
      <c r="X1175" s="455"/>
      <c r="Y1175" s="456"/>
      <c r="Z1175" s="457"/>
      <c r="AA1175" s="458"/>
      <c r="AB1175" s="443"/>
    </row>
    <row r="1176" spans="1:28" s="444" customFormat="1">
      <c r="A1176" s="702"/>
      <c r="B1176" s="446" t="s">
        <v>187</v>
      </c>
      <c r="C1176" s="486">
        <v>30246</v>
      </c>
      <c r="D1176" s="448" t="s">
        <v>300</v>
      </c>
      <c r="E1176" s="449" t="s">
        <v>299</v>
      </c>
      <c r="F1176" s="448" t="s">
        <v>300</v>
      </c>
      <c r="G1176" s="589">
        <v>46217</v>
      </c>
      <c r="H1176" s="450"/>
      <c r="I1176" s="450" t="s">
        <v>186</v>
      </c>
      <c r="J1176" s="305">
        <v>0.32013888888888886</v>
      </c>
      <c r="K1176" s="305">
        <v>0.79166666666666663</v>
      </c>
      <c r="L1176" s="451" t="s">
        <v>169</v>
      </c>
      <c r="M1176" s="452">
        <v>8</v>
      </c>
      <c r="N1176" s="452">
        <v>2</v>
      </c>
      <c r="O1176" s="462"/>
      <c r="P1176" s="462"/>
      <c r="Q1176" s="461"/>
      <c r="R1176" s="462"/>
      <c r="S1176" s="462"/>
      <c r="T1176" s="461"/>
      <c r="U1176" s="462"/>
      <c r="V1176" s="461"/>
      <c r="W1176" s="463"/>
      <c r="X1176" s="464"/>
      <c r="Y1176" s="465"/>
      <c r="Z1176" s="466"/>
      <c r="AA1176" s="467"/>
      <c r="AB1176" s="443"/>
    </row>
    <row r="1177" spans="1:28" s="444" customFormat="1">
      <c r="A1177" s="702"/>
      <c r="B1177" s="446" t="s">
        <v>187</v>
      </c>
      <c r="C1177" s="486">
        <v>30246</v>
      </c>
      <c r="D1177" s="448" t="s">
        <v>300</v>
      </c>
      <c r="E1177" s="449" t="s">
        <v>299</v>
      </c>
      <c r="F1177" s="448" t="s">
        <v>300</v>
      </c>
      <c r="G1177" s="589">
        <v>46218</v>
      </c>
      <c r="H1177" s="450"/>
      <c r="I1177" s="450" t="s">
        <v>186</v>
      </c>
      <c r="J1177" s="305">
        <v>0.32361111111111113</v>
      </c>
      <c r="K1177" s="305">
        <v>0.79166666666666663</v>
      </c>
      <c r="L1177" s="451" t="s">
        <v>169</v>
      </c>
      <c r="M1177" s="452">
        <v>8</v>
      </c>
      <c r="N1177" s="452">
        <v>2</v>
      </c>
      <c r="O1177" s="452"/>
      <c r="P1177" s="452"/>
      <c r="Q1177" s="453"/>
      <c r="R1177" s="452"/>
      <c r="S1177" s="452"/>
      <c r="T1177" s="453"/>
      <c r="U1177" s="452"/>
      <c r="V1177" s="453"/>
      <c r="W1177" s="454"/>
      <c r="X1177" s="455"/>
      <c r="Y1177" s="456"/>
      <c r="Z1177" s="457"/>
      <c r="AA1177" s="458"/>
      <c r="AB1177" s="443"/>
    </row>
    <row r="1178" spans="1:28" s="444" customFormat="1">
      <c r="A1178" s="702"/>
      <c r="B1178" s="446" t="s">
        <v>187</v>
      </c>
      <c r="C1178" s="486">
        <v>30246</v>
      </c>
      <c r="D1178" s="448" t="s">
        <v>300</v>
      </c>
      <c r="E1178" s="449" t="s">
        <v>299</v>
      </c>
      <c r="F1178" s="448" t="s">
        <v>300</v>
      </c>
      <c r="G1178" s="589">
        <v>46219</v>
      </c>
      <c r="H1178" s="450"/>
      <c r="I1178" s="450" t="s">
        <v>186</v>
      </c>
      <c r="J1178" s="305">
        <v>0.32222222222222224</v>
      </c>
      <c r="K1178" s="305">
        <v>0.79166666666666663</v>
      </c>
      <c r="L1178" s="451" t="s">
        <v>169</v>
      </c>
      <c r="M1178" s="452">
        <v>8</v>
      </c>
      <c r="N1178" s="452">
        <v>2</v>
      </c>
      <c r="O1178" s="452"/>
      <c r="P1178" s="452"/>
      <c r="Q1178" s="453"/>
      <c r="R1178" s="452"/>
      <c r="S1178" s="452"/>
      <c r="T1178" s="453"/>
      <c r="U1178" s="452"/>
      <c r="V1178" s="453"/>
      <c r="W1178" s="454"/>
      <c r="X1178" s="455"/>
      <c r="Y1178" s="456"/>
      <c r="Z1178" s="457"/>
      <c r="AA1178" s="458"/>
      <c r="AB1178" s="443"/>
    </row>
    <row r="1179" spans="1:28" s="444" customFormat="1">
      <c r="A1179" s="702"/>
      <c r="B1179" s="446" t="s">
        <v>187</v>
      </c>
      <c r="C1179" s="486">
        <v>30246</v>
      </c>
      <c r="D1179" s="448" t="s">
        <v>300</v>
      </c>
      <c r="E1179" s="449" t="s">
        <v>299</v>
      </c>
      <c r="F1179" s="448" t="s">
        <v>300</v>
      </c>
      <c r="G1179" s="589">
        <v>46220</v>
      </c>
      <c r="H1179" s="450"/>
      <c r="I1179" s="450" t="s">
        <v>186</v>
      </c>
      <c r="J1179" s="305">
        <v>0.32500000000000001</v>
      </c>
      <c r="K1179" s="305">
        <v>0.79166666666666663</v>
      </c>
      <c r="L1179" s="451" t="s">
        <v>169</v>
      </c>
      <c r="M1179" s="452">
        <v>8</v>
      </c>
      <c r="N1179" s="452">
        <v>2</v>
      </c>
      <c r="O1179" s="452"/>
      <c r="P1179" s="452"/>
      <c r="Q1179" s="453"/>
      <c r="R1179" s="452"/>
      <c r="S1179" s="452"/>
      <c r="T1179" s="453"/>
      <c r="U1179" s="452"/>
      <c r="V1179" s="453"/>
      <c r="W1179" s="454"/>
      <c r="X1179" s="455"/>
      <c r="Y1179" s="456"/>
      <c r="Z1179" s="457"/>
      <c r="AA1179" s="458"/>
      <c r="AB1179" s="443"/>
    </row>
    <row r="1180" spans="1:28" s="444" customFormat="1">
      <c r="A1180" s="702"/>
      <c r="B1180" s="446" t="s">
        <v>187</v>
      </c>
      <c r="C1180" s="486">
        <v>30246</v>
      </c>
      <c r="D1180" s="448" t="s">
        <v>300</v>
      </c>
      <c r="E1180" s="449" t="s">
        <v>299</v>
      </c>
      <c r="F1180" s="448" t="s">
        <v>300</v>
      </c>
      <c r="G1180" s="589">
        <v>46221</v>
      </c>
      <c r="H1180" s="450"/>
      <c r="I1180" s="450" t="s">
        <v>186</v>
      </c>
      <c r="J1180" s="305">
        <v>0.31805555555555554</v>
      </c>
      <c r="K1180" s="305">
        <v>0.70833333333333337</v>
      </c>
      <c r="L1180" s="451" t="s">
        <v>169</v>
      </c>
      <c r="M1180" s="452">
        <v>8</v>
      </c>
      <c r="N1180" s="452"/>
      <c r="O1180" s="452"/>
      <c r="P1180" s="452"/>
      <c r="Q1180" s="453"/>
      <c r="R1180" s="452"/>
      <c r="S1180" s="452"/>
      <c r="T1180" s="453"/>
      <c r="U1180" s="452"/>
      <c r="V1180" s="453"/>
      <c r="W1180" s="454"/>
      <c r="X1180" s="455"/>
      <c r="Y1180" s="456"/>
      <c r="Z1180" s="457"/>
      <c r="AA1180" s="458"/>
      <c r="AB1180" s="443"/>
    </row>
    <row r="1181" spans="1:28" s="444" customFormat="1">
      <c r="A1181" s="702"/>
      <c r="B1181" s="446" t="s">
        <v>187</v>
      </c>
      <c r="C1181" s="486">
        <v>30246</v>
      </c>
      <c r="D1181" s="448" t="s">
        <v>300</v>
      </c>
      <c r="E1181" s="449" t="s">
        <v>299</v>
      </c>
      <c r="F1181" s="448" t="s">
        <v>300</v>
      </c>
      <c r="G1181" s="590">
        <v>46222</v>
      </c>
      <c r="H1181" s="450"/>
      <c r="I1181" s="450"/>
      <c r="J1181" s="699" t="s">
        <v>173</v>
      </c>
      <c r="K1181" s="700"/>
      <c r="L1181" s="451"/>
      <c r="M1181" s="452"/>
      <c r="N1181" s="452"/>
      <c r="O1181" s="452"/>
      <c r="P1181" s="452"/>
      <c r="Q1181" s="453"/>
      <c r="R1181" s="452"/>
      <c r="S1181" s="452"/>
      <c r="T1181" s="453"/>
      <c r="U1181" s="452"/>
      <c r="V1181" s="453"/>
      <c r="W1181" s="454"/>
      <c r="X1181" s="455"/>
      <c r="Y1181" s="456"/>
      <c r="Z1181" s="457"/>
      <c r="AA1181" s="458"/>
      <c r="AB1181" s="443"/>
    </row>
    <row r="1182" spans="1:28" s="444" customFormat="1">
      <c r="A1182" s="702"/>
      <c r="B1182" s="446" t="s">
        <v>187</v>
      </c>
      <c r="C1182" s="486">
        <v>30246</v>
      </c>
      <c r="D1182" s="448" t="s">
        <v>300</v>
      </c>
      <c r="E1182" s="449" t="s">
        <v>299</v>
      </c>
      <c r="F1182" s="448" t="s">
        <v>300</v>
      </c>
      <c r="G1182" s="589">
        <v>46223</v>
      </c>
      <c r="H1182" s="450"/>
      <c r="I1182" s="450" t="s">
        <v>186</v>
      </c>
      <c r="J1182" s="295">
        <v>0.32430555555555557</v>
      </c>
      <c r="K1182" s="295">
        <v>0.70833333333333337</v>
      </c>
      <c r="L1182" s="451" t="s">
        <v>169</v>
      </c>
      <c r="M1182" s="452">
        <v>8</v>
      </c>
      <c r="N1182" s="462"/>
      <c r="O1182" s="462"/>
      <c r="P1182" s="462"/>
      <c r="Q1182" s="461"/>
      <c r="R1182" s="462"/>
      <c r="S1182" s="462"/>
      <c r="T1182" s="461"/>
      <c r="U1182" s="462"/>
      <c r="V1182" s="461"/>
      <c r="W1182" s="454"/>
      <c r="X1182" s="455"/>
      <c r="Y1182" s="456"/>
      <c r="Z1182" s="457"/>
      <c r="AA1182" s="458"/>
      <c r="AB1182" s="443"/>
    </row>
    <row r="1183" spans="1:28" s="444" customFormat="1">
      <c r="A1183" s="702"/>
      <c r="B1183" s="446" t="s">
        <v>187</v>
      </c>
      <c r="C1183" s="486">
        <v>30246</v>
      </c>
      <c r="D1183" s="448" t="s">
        <v>300</v>
      </c>
      <c r="E1183" s="449" t="s">
        <v>299</v>
      </c>
      <c r="F1183" s="448" t="s">
        <v>300</v>
      </c>
      <c r="G1183" s="589">
        <v>46224</v>
      </c>
      <c r="H1183" s="450"/>
      <c r="I1183" s="450" t="s">
        <v>186</v>
      </c>
      <c r="J1183" s="295"/>
      <c r="K1183" s="295"/>
      <c r="L1183" s="451"/>
      <c r="M1183" s="452"/>
      <c r="N1183" s="477"/>
      <c r="O1183" s="469"/>
      <c r="P1183" s="469"/>
      <c r="Q1183" s="468"/>
      <c r="R1183" s="469"/>
      <c r="S1183" s="469"/>
      <c r="T1183" s="461"/>
      <c r="U1183" s="462"/>
      <c r="V1183" s="461"/>
      <c r="W1183" s="463"/>
      <c r="X1183" s="464"/>
      <c r="Y1183" s="465"/>
      <c r="Z1183" s="466"/>
      <c r="AA1183" s="467"/>
      <c r="AB1183" s="443"/>
    </row>
    <row r="1184" spans="1:28" s="444" customFormat="1">
      <c r="A1184" s="702"/>
      <c r="B1184" s="446" t="s">
        <v>187</v>
      </c>
      <c r="C1184" s="486">
        <v>30246</v>
      </c>
      <c r="D1184" s="448" t="s">
        <v>300</v>
      </c>
      <c r="E1184" s="449" t="s">
        <v>299</v>
      </c>
      <c r="F1184" s="448" t="s">
        <v>300</v>
      </c>
      <c r="G1184" s="589">
        <v>46225</v>
      </c>
      <c r="H1184" s="450"/>
      <c r="I1184" s="450" t="s">
        <v>186</v>
      </c>
      <c r="J1184" s="295"/>
      <c r="K1184" s="295"/>
      <c r="L1184" s="451"/>
      <c r="M1184" s="452"/>
      <c r="N1184" s="471"/>
      <c r="O1184" s="452"/>
      <c r="P1184" s="452"/>
      <c r="Q1184" s="453"/>
      <c r="R1184" s="452"/>
      <c r="S1184" s="452"/>
      <c r="T1184" s="453"/>
      <c r="U1184" s="452"/>
      <c r="V1184" s="453"/>
      <c r="W1184" s="454"/>
      <c r="X1184" s="455"/>
      <c r="Y1184" s="456"/>
      <c r="Z1184" s="457"/>
      <c r="AA1184" s="458"/>
      <c r="AB1184" s="443"/>
    </row>
    <row r="1185" spans="1:28" s="444" customFormat="1">
      <c r="A1185" s="702"/>
      <c r="B1185" s="446" t="s">
        <v>187</v>
      </c>
      <c r="C1185" s="486">
        <v>30246</v>
      </c>
      <c r="D1185" s="448" t="s">
        <v>300</v>
      </c>
      <c r="E1185" s="449" t="s">
        <v>299</v>
      </c>
      <c r="F1185" s="448" t="s">
        <v>300</v>
      </c>
      <c r="G1185" s="589">
        <v>46226</v>
      </c>
      <c r="H1185" s="450"/>
      <c r="I1185" s="450" t="s">
        <v>186</v>
      </c>
      <c r="J1185" s="295">
        <v>0.32291666666666669</v>
      </c>
      <c r="K1185" s="391">
        <v>0.79861111111111116</v>
      </c>
      <c r="L1185" s="451" t="s">
        <v>169</v>
      </c>
      <c r="M1185" s="501">
        <v>8</v>
      </c>
      <c r="N1185" s="471">
        <v>2</v>
      </c>
      <c r="O1185" s="470"/>
      <c r="P1185" s="470"/>
      <c r="Q1185" s="453"/>
      <c r="R1185" s="452"/>
      <c r="S1185" s="452"/>
      <c r="T1185" s="453"/>
      <c r="U1185" s="452"/>
      <c r="V1185" s="453"/>
      <c r="W1185" s="454"/>
      <c r="X1185" s="455"/>
      <c r="Y1185" s="456"/>
      <c r="Z1185" s="457"/>
      <c r="AA1185" s="458"/>
      <c r="AB1185" s="443"/>
    </row>
    <row r="1186" spans="1:28" s="444" customFormat="1">
      <c r="A1186" s="702"/>
      <c r="B1186" s="446" t="s">
        <v>187</v>
      </c>
      <c r="C1186" s="486">
        <v>30246</v>
      </c>
      <c r="D1186" s="448" t="s">
        <v>300</v>
      </c>
      <c r="E1186" s="449" t="s">
        <v>299</v>
      </c>
      <c r="F1186" s="448" t="s">
        <v>300</v>
      </c>
      <c r="G1186" s="589">
        <v>46227</v>
      </c>
      <c r="H1186" s="450"/>
      <c r="I1186" s="450" t="s">
        <v>186</v>
      </c>
      <c r="J1186" s="295">
        <v>0.32291666666666669</v>
      </c>
      <c r="K1186" s="318">
        <v>0.70833333333333337</v>
      </c>
      <c r="L1186" s="451" t="s">
        <v>169</v>
      </c>
      <c r="M1186" s="452">
        <v>8</v>
      </c>
      <c r="N1186" s="471"/>
      <c r="O1186" s="471"/>
      <c r="P1186" s="471"/>
      <c r="Q1186" s="472"/>
      <c r="R1186" s="471"/>
      <c r="S1186" s="471"/>
      <c r="T1186" s="453"/>
      <c r="U1186" s="452"/>
      <c r="V1186" s="453"/>
      <c r="W1186" s="454"/>
      <c r="X1186" s="455"/>
      <c r="Y1186" s="456"/>
      <c r="Z1186" s="457"/>
      <c r="AA1186" s="458"/>
      <c r="AB1186" s="443"/>
    </row>
    <row r="1187" spans="1:28" s="444" customFormat="1">
      <c r="A1187" s="702"/>
      <c r="B1187" s="446" t="s">
        <v>187</v>
      </c>
      <c r="C1187" s="486">
        <v>30246</v>
      </c>
      <c r="D1187" s="448" t="s">
        <v>300</v>
      </c>
      <c r="E1187" s="449" t="s">
        <v>299</v>
      </c>
      <c r="F1187" s="448" t="s">
        <v>300</v>
      </c>
      <c r="G1187" s="589">
        <v>46228</v>
      </c>
      <c r="H1187" s="450"/>
      <c r="I1187" s="450" t="s">
        <v>186</v>
      </c>
      <c r="J1187" s="295"/>
      <c r="K1187" s="295"/>
      <c r="L1187" s="451"/>
      <c r="M1187" s="452"/>
      <c r="N1187" s="452"/>
      <c r="O1187" s="452"/>
      <c r="P1187" s="452"/>
      <c r="Q1187" s="453"/>
      <c r="R1187" s="452"/>
      <c r="S1187" s="473"/>
      <c r="T1187" s="453"/>
      <c r="U1187" s="452"/>
      <c r="V1187" s="453"/>
      <c r="W1187" s="454"/>
      <c r="X1187" s="455"/>
      <c r="Y1187" s="456"/>
      <c r="Z1187" s="457"/>
      <c r="AA1187" s="458"/>
      <c r="AB1187" s="443"/>
    </row>
    <row r="1188" spans="1:28" s="444" customFormat="1">
      <c r="A1188" s="702"/>
      <c r="B1188" s="446"/>
      <c r="C1188" s="486"/>
      <c r="D1188" s="449"/>
      <c r="E1188" s="449"/>
      <c r="F1188" s="449"/>
      <c r="G1188" s="600"/>
      <c r="H1188" s="450"/>
      <c r="I1188" s="450"/>
      <c r="J1188" s="474"/>
      <c r="K1188" s="475"/>
      <c r="L1188" s="476"/>
      <c r="M1188" s="477"/>
      <c r="N1188" s="477"/>
      <c r="O1188" s="477"/>
      <c r="P1188" s="477"/>
      <c r="Q1188" s="478"/>
      <c r="R1188" s="477"/>
      <c r="S1188" s="479"/>
      <c r="T1188" s="453"/>
      <c r="U1188" s="452"/>
      <c r="V1188" s="453"/>
      <c r="W1188" s="454"/>
      <c r="X1188" s="455"/>
      <c r="Y1188" s="456"/>
      <c r="Z1188" s="457"/>
      <c r="AA1188" s="458"/>
      <c r="AB1188" s="443"/>
    </row>
    <row r="1189" spans="1:28" s="444" customFormat="1">
      <c r="A1189" s="703"/>
      <c r="B1189" s="481"/>
      <c r="C1189" s="446"/>
      <c r="D1189" s="481"/>
      <c r="E1189" s="449"/>
      <c r="F1189" s="481"/>
      <c r="G1189" s="601"/>
      <c r="H1189" s="482"/>
      <c r="I1189" s="483"/>
      <c r="J1189" s="484"/>
      <c r="K1189" s="485"/>
      <c r="L1189" s="483"/>
      <c r="M1189" s="483">
        <f t="shared" ref="M1189:AA1189" si="66">SUM(M1172:M1188)</f>
        <v>80</v>
      </c>
      <c r="N1189" s="483">
        <f t="shared" si="66"/>
        <v>10</v>
      </c>
      <c r="O1189" s="483">
        <f t="shared" si="66"/>
        <v>0</v>
      </c>
      <c r="P1189" s="483">
        <f t="shared" si="66"/>
        <v>0</v>
      </c>
      <c r="Q1189" s="483">
        <f t="shared" si="66"/>
        <v>0</v>
      </c>
      <c r="R1189" s="483">
        <f t="shared" si="66"/>
        <v>0</v>
      </c>
      <c r="S1189" s="483">
        <f t="shared" si="66"/>
        <v>0</v>
      </c>
      <c r="T1189" s="483">
        <f t="shared" si="66"/>
        <v>0</v>
      </c>
      <c r="U1189" s="483">
        <f t="shared" si="66"/>
        <v>0</v>
      </c>
      <c r="V1189" s="483">
        <f t="shared" si="66"/>
        <v>0</v>
      </c>
      <c r="W1189" s="483">
        <f t="shared" si="66"/>
        <v>0</v>
      </c>
      <c r="X1189" s="483">
        <f t="shared" si="66"/>
        <v>0</v>
      </c>
      <c r="Y1189" s="483">
        <f t="shared" si="66"/>
        <v>0</v>
      </c>
      <c r="Z1189" s="483">
        <f t="shared" si="66"/>
        <v>0</v>
      </c>
      <c r="AA1189" s="491">
        <f t="shared" si="66"/>
        <v>0</v>
      </c>
      <c r="AB1189" s="443"/>
    </row>
    <row r="1190" spans="1:28" s="444" customFormat="1">
      <c r="A1190" s="435" t="s">
        <v>170</v>
      </c>
      <c r="B1190" s="435" t="s">
        <v>120</v>
      </c>
      <c r="C1190" s="435" t="s">
        <v>152</v>
      </c>
      <c r="D1190" s="435" t="s">
        <v>182</v>
      </c>
      <c r="E1190" s="436" t="s">
        <v>153</v>
      </c>
      <c r="F1190" s="435" t="s">
        <v>182</v>
      </c>
      <c r="G1190" s="599" t="s">
        <v>401</v>
      </c>
      <c r="H1190" s="437"/>
      <c r="I1190" s="438" t="s">
        <v>181</v>
      </c>
      <c r="J1190" s="439" t="s">
        <v>154</v>
      </c>
      <c r="K1190" s="439" t="s">
        <v>155</v>
      </c>
      <c r="L1190" s="440" t="s">
        <v>156</v>
      </c>
      <c r="M1190" s="441" t="s">
        <v>157</v>
      </c>
      <c r="N1190" s="440" t="s">
        <v>158</v>
      </c>
      <c r="O1190" s="440" t="s">
        <v>159</v>
      </c>
      <c r="P1190" s="440" t="s">
        <v>174</v>
      </c>
      <c r="Q1190" s="440" t="s">
        <v>160</v>
      </c>
      <c r="R1190" s="440" t="s">
        <v>161</v>
      </c>
      <c r="S1190" s="440" t="s">
        <v>162</v>
      </c>
      <c r="T1190" s="438" t="s">
        <v>163</v>
      </c>
      <c r="U1190" s="438" t="s">
        <v>164</v>
      </c>
      <c r="V1190" s="438" t="s">
        <v>165</v>
      </c>
      <c r="W1190" s="440" t="s">
        <v>113</v>
      </c>
      <c r="X1190" s="438" t="s">
        <v>121</v>
      </c>
      <c r="Y1190" s="438" t="s">
        <v>166</v>
      </c>
      <c r="Z1190" s="442" t="s">
        <v>175</v>
      </c>
      <c r="AA1190" s="442" t="s">
        <v>167</v>
      </c>
      <c r="AB1190" s="443"/>
    </row>
    <row r="1191" spans="1:28" s="444" customFormat="1">
      <c r="A1191" s="701"/>
      <c r="B1191" s="446" t="s">
        <v>187</v>
      </c>
      <c r="C1191" s="449">
        <v>11829</v>
      </c>
      <c r="D1191" s="448" t="s">
        <v>298</v>
      </c>
      <c r="E1191" s="449" t="s">
        <v>297</v>
      </c>
      <c r="F1191" s="448" t="s">
        <v>298</v>
      </c>
      <c r="G1191" s="589">
        <v>46214</v>
      </c>
      <c r="H1191" s="450"/>
      <c r="I1191" s="450" t="s">
        <v>186</v>
      </c>
      <c r="J1191" s="295">
        <v>0.31944444444444442</v>
      </c>
      <c r="K1191" s="295">
        <v>0.71180555555555558</v>
      </c>
      <c r="L1191" s="451" t="s">
        <v>169</v>
      </c>
      <c r="M1191" s="452">
        <v>8</v>
      </c>
      <c r="N1191" s="452"/>
      <c r="O1191" s="452"/>
      <c r="P1191" s="452"/>
      <c r="Q1191" s="453"/>
      <c r="R1191" s="452"/>
      <c r="S1191" s="452"/>
      <c r="T1191" s="453"/>
      <c r="U1191" s="452"/>
      <c r="V1191" s="453"/>
      <c r="W1191" s="454"/>
      <c r="X1191" s="455"/>
      <c r="Y1191" s="456"/>
      <c r="Z1191" s="457"/>
      <c r="AA1191" s="458"/>
      <c r="AB1191" s="443"/>
    </row>
    <row r="1192" spans="1:28" s="444" customFormat="1">
      <c r="A1192" s="702"/>
      <c r="B1192" s="446" t="s">
        <v>187</v>
      </c>
      <c r="C1192" s="449">
        <v>11829</v>
      </c>
      <c r="D1192" s="448" t="s">
        <v>298</v>
      </c>
      <c r="E1192" s="449" t="s">
        <v>297</v>
      </c>
      <c r="F1192" s="448" t="s">
        <v>298</v>
      </c>
      <c r="G1192" s="590">
        <v>46215</v>
      </c>
      <c r="H1192" s="450"/>
      <c r="I1192" s="450"/>
      <c r="J1192" s="699" t="s">
        <v>173</v>
      </c>
      <c r="K1192" s="700"/>
      <c r="L1192" s="451"/>
      <c r="M1192" s="452"/>
      <c r="N1192" s="452"/>
      <c r="O1192" s="452"/>
      <c r="P1192" s="452"/>
      <c r="Q1192" s="453"/>
      <c r="R1192" s="452"/>
      <c r="S1192" s="452"/>
      <c r="T1192" s="453"/>
      <c r="U1192" s="452"/>
      <c r="V1192" s="453"/>
      <c r="W1192" s="454"/>
      <c r="X1192" s="455"/>
      <c r="Y1192" s="456"/>
      <c r="Z1192" s="457"/>
      <c r="AA1192" s="458"/>
      <c r="AB1192" s="443"/>
    </row>
    <row r="1193" spans="1:28" s="444" customFormat="1">
      <c r="A1193" s="702"/>
      <c r="B1193" s="446" t="s">
        <v>187</v>
      </c>
      <c r="C1193" s="486">
        <v>11829</v>
      </c>
      <c r="D1193" s="448" t="s">
        <v>298</v>
      </c>
      <c r="E1193" s="449" t="s">
        <v>297</v>
      </c>
      <c r="F1193" s="448" t="s">
        <v>298</v>
      </c>
      <c r="G1193" s="589">
        <v>46216</v>
      </c>
      <c r="H1193" s="450"/>
      <c r="I1193" s="450" t="s">
        <v>186</v>
      </c>
      <c r="J1193" s="382">
        <v>0.31597222222222221</v>
      </c>
      <c r="K1193" s="382">
        <v>0.79513888888888884</v>
      </c>
      <c r="L1193" s="451" t="s">
        <v>169</v>
      </c>
      <c r="M1193" s="452">
        <v>8</v>
      </c>
      <c r="N1193" s="452">
        <v>2</v>
      </c>
      <c r="O1193" s="452"/>
      <c r="P1193" s="452"/>
      <c r="Q1193" s="453"/>
      <c r="R1193" s="452"/>
      <c r="S1193" s="452"/>
      <c r="T1193" s="453"/>
      <c r="U1193" s="452"/>
      <c r="V1193" s="453"/>
      <c r="W1193" s="454"/>
      <c r="X1193" s="455"/>
      <c r="Y1193" s="456"/>
      <c r="Z1193" s="457"/>
      <c r="AA1193" s="458"/>
      <c r="AB1193" s="443"/>
    </row>
    <row r="1194" spans="1:28" s="444" customFormat="1">
      <c r="A1194" s="702"/>
      <c r="B1194" s="446" t="s">
        <v>187</v>
      </c>
      <c r="C1194" s="486">
        <v>11829</v>
      </c>
      <c r="D1194" s="448" t="s">
        <v>298</v>
      </c>
      <c r="E1194" s="449" t="s">
        <v>297</v>
      </c>
      <c r="F1194" s="448" t="s">
        <v>298</v>
      </c>
      <c r="G1194" s="589">
        <v>46217</v>
      </c>
      <c r="H1194" s="450"/>
      <c r="I1194" s="450" t="s">
        <v>186</v>
      </c>
      <c r="J1194" s="305">
        <v>0.31805555555555554</v>
      </c>
      <c r="K1194" s="305">
        <v>0.7944444444444444</v>
      </c>
      <c r="L1194" s="451" t="s">
        <v>169</v>
      </c>
      <c r="M1194" s="452">
        <v>8</v>
      </c>
      <c r="N1194" s="452">
        <v>2</v>
      </c>
      <c r="O1194" s="462"/>
      <c r="P1194" s="462"/>
      <c r="Q1194" s="461"/>
      <c r="R1194" s="462"/>
      <c r="S1194" s="462"/>
      <c r="T1194" s="461"/>
      <c r="U1194" s="462"/>
      <c r="V1194" s="461"/>
      <c r="W1194" s="463"/>
      <c r="X1194" s="464"/>
      <c r="Y1194" s="465"/>
      <c r="Z1194" s="466"/>
      <c r="AA1194" s="467"/>
      <c r="AB1194" s="443"/>
    </row>
    <row r="1195" spans="1:28" s="444" customFormat="1">
      <c r="A1195" s="702"/>
      <c r="B1195" s="446" t="s">
        <v>187</v>
      </c>
      <c r="C1195" s="536">
        <v>11829</v>
      </c>
      <c r="D1195" s="448" t="s">
        <v>298</v>
      </c>
      <c r="E1195" s="449" t="s">
        <v>297</v>
      </c>
      <c r="F1195" s="448" t="s">
        <v>298</v>
      </c>
      <c r="G1195" s="589">
        <v>46218</v>
      </c>
      <c r="H1195" s="450"/>
      <c r="I1195" s="450" t="s">
        <v>186</v>
      </c>
      <c r="J1195" s="305">
        <v>0.31736111111111115</v>
      </c>
      <c r="K1195" s="305">
        <v>0.7944444444444444</v>
      </c>
      <c r="L1195" s="451" t="s">
        <v>169</v>
      </c>
      <c r="M1195" s="452">
        <v>8</v>
      </c>
      <c r="N1195" s="452">
        <v>2</v>
      </c>
      <c r="O1195" s="452"/>
      <c r="P1195" s="452"/>
      <c r="Q1195" s="453"/>
      <c r="R1195" s="452"/>
      <c r="S1195" s="452"/>
      <c r="T1195" s="453"/>
      <c r="U1195" s="452"/>
      <c r="V1195" s="453"/>
      <c r="W1195" s="454"/>
      <c r="X1195" s="455"/>
      <c r="Y1195" s="456"/>
      <c r="Z1195" s="457"/>
      <c r="AA1195" s="458"/>
      <c r="AB1195" s="443"/>
    </row>
    <row r="1196" spans="1:28" s="444" customFormat="1">
      <c r="A1196" s="702"/>
      <c r="B1196" s="446" t="s">
        <v>187</v>
      </c>
      <c r="C1196" s="486">
        <v>11829</v>
      </c>
      <c r="D1196" s="448" t="s">
        <v>298</v>
      </c>
      <c r="E1196" s="449" t="s">
        <v>297</v>
      </c>
      <c r="F1196" s="448" t="s">
        <v>298</v>
      </c>
      <c r="G1196" s="589">
        <v>46219</v>
      </c>
      <c r="H1196" s="450"/>
      <c r="I1196" s="450" t="s">
        <v>186</v>
      </c>
      <c r="J1196" s="305">
        <v>0.31805555555555554</v>
      </c>
      <c r="K1196" s="305">
        <v>0.79375000000000007</v>
      </c>
      <c r="L1196" s="451" t="s">
        <v>169</v>
      </c>
      <c r="M1196" s="452">
        <v>8</v>
      </c>
      <c r="N1196" s="452">
        <v>2</v>
      </c>
      <c r="O1196" s="452"/>
      <c r="P1196" s="452"/>
      <c r="Q1196" s="453"/>
      <c r="R1196" s="452"/>
      <c r="S1196" s="452"/>
      <c r="T1196" s="453"/>
      <c r="U1196" s="452"/>
      <c r="V1196" s="453"/>
      <c r="W1196" s="454"/>
      <c r="X1196" s="455"/>
      <c r="Y1196" s="456"/>
      <c r="Z1196" s="457"/>
      <c r="AA1196" s="458"/>
      <c r="AB1196" s="443"/>
    </row>
    <row r="1197" spans="1:28" s="444" customFormat="1">
      <c r="A1197" s="702"/>
      <c r="B1197" s="446" t="s">
        <v>187</v>
      </c>
      <c r="C1197" s="486">
        <v>11829</v>
      </c>
      <c r="D1197" s="448" t="s">
        <v>298</v>
      </c>
      <c r="E1197" s="449" t="s">
        <v>297</v>
      </c>
      <c r="F1197" s="448" t="s">
        <v>298</v>
      </c>
      <c r="G1197" s="589">
        <v>46220</v>
      </c>
      <c r="H1197" s="450"/>
      <c r="I1197" s="450" t="s">
        <v>186</v>
      </c>
      <c r="J1197" s="305">
        <v>0.31805555555555554</v>
      </c>
      <c r="K1197" s="305">
        <v>0.79374999999999996</v>
      </c>
      <c r="L1197" s="451" t="s">
        <v>169</v>
      </c>
      <c r="M1197" s="452">
        <v>8</v>
      </c>
      <c r="N1197" s="452">
        <v>2</v>
      </c>
      <c r="O1197" s="452"/>
      <c r="P1197" s="452"/>
      <c r="Q1197" s="453"/>
      <c r="R1197" s="452"/>
      <c r="S1197" s="452"/>
      <c r="T1197" s="453"/>
      <c r="U1197" s="452"/>
      <c r="V1197" s="453"/>
      <c r="W1197" s="454"/>
      <c r="X1197" s="455"/>
      <c r="Y1197" s="456"/>
      <c r="Z1197" s="457"/>
      <c r="AA1197" s="458"/>
      <c r="AB1197" s="443"/>
    </row>
    <row r="1198" spans="1:28" s="444" customFormat="1">
      <c r="A1198" s="702"/>
      <c r="B1198" s="446" t="s">
        <v>187</v>
      </c>
      <c r="C1198" s="486">
        <v>11829</v>
      </c>
      <c r="D1198" s="448" t="s">
        <v>298</v>
      </c>
      <c r="E1198" s="449" t="s">
        <v>297</v>
      </c>
      <c r="F1198" s="448" t="s">
        <v>298</v>
      </c>
      <c r="G1198" s="589">
        <v>46221</v>
      </c>
      <c r="H1198" s="450"/>
      <c r="I1198" s="450" t="s">
        <v>186</v>
      </c>
      <c r="J1198" s="305">
        <v>0.31736111111111109</v>
      </c>
      <c r="K1198" s="305">
        <v>0.71111111111111114</v>
      </c>
      <c r="L1198" s="451" t="s">
        <v>169</v>
      </c>
      <c r="M1198" s="452">
        <v>8</v>
      </c>
      <c r="N1198" s="452"/>
      <c r="O1198" s="452"/>
      <c r="P1198" s="452"/>
      <c r="Q1198" s="453"/>
      <c r="R1198" s="452"/>
      <c r="S1198" s="452"/>
      <c r="T1198" s="453"/>
      <c r="U1198" s="452"/>
      <c r="V1198" s="453"/>
      <c r="W1198" s="454"/>
      <c r="X1198" s="455"/>
      <c r="Y1198" s="456"/>
      <c r="Z1198" s="457"/>
      <c r="AA1198" s="458"/>
      <c r="AB1198" s="443"/>
    </row>
    <row r="1199" spans="1:28" s="444" customFormat="1">
      <c r="A1199" s="702"/>
      <c r="B1199" s="446" t="s">
        <v>187</v>
      </c>
      <c r="C1199" s="486">
        <v>11829</v>
      </c>
      <c r="D1199" s="448" t="s">
        <v>298</v>
      </c>
      <c r="E1199" s="449" t="s">
        <v>297</v>
      </c>
      <c r="F1199" s="448" t="s">
        <v>298</v>
      </c>
      <c r="G1199" s="590">
        <v>46222</v>
      </c>
      <c r="H1199" s="450"/>
      <c r="I1199" s="450"/>
      <c r="J1199" s="706" t="s">
        <v>173</v>
      </c>
      <c r="K1199" s="707"/>
      <c r="L1199" s="451"/>
      <c r="M1199" s="452"/>
      <c r="N1199" s="452"/>
      <c r="O1199" s="452"/>
      <c r="P1199" s="452"/>
      <c r="Q1199" s="453"/>
      <c r="R1199" s="452"/>
      <c r="S1199" s="452"/>
      <c r="T1199" s="453"/>
      <c r="U1199" s="452"/>
      <c r="V1199" s="453"/>
      <c r="W1199" s="454"/>
      <c r="X1199" s="455"/>
      <c r="Y1199" s="456"/>
      <c r="Z1199" s="457"/>
      <c r="AA1199" s="458"/>
      <c r="AB1199" s="443"/>
    </row>
    <row r="1200" spans="1:28" s="444" customFormat="1">
      <c r="A1200" s="702"/>
      <c r="B1200" s="446" t="s">
        <v>187</v>
      </c>
      <c r="C1200" s="486">
        <v>11829</v>
      </c>
      <c r="D1200" s="448" t="s">
        <v>298</v>
      </c>
      <c r="E1200" s="449" t="s">
        <v>297</v>
      </c>
      <c r="F1200" s="448" t="s">
        <v>298</v>
      </c>
      <c r="G1200" s="589">
        <v>46223</v>
      </c>
      <c r="H1200" s="450"/>
      <c r="I1200" s="450" t="s">
        <v>186</v>
      </c>
      <c r="J1200" s="378">
        <v>0.31736111111111109</v>
      </c>
      <c r="K1200" s="378">
        <v>0.7944444444444444</v>
      </c>
      <c r="L1200" s="451" t="s">
        <v>169</v>
      </c>
      <c r="M1200" s="452">
        <v>8</v>
      </c>
      <c r="N1200" s="452">
        <v>2</v>
      </c>
      <c r="O1200" s="462"/>
      <c r="P1200" s="462"/>
      <c r="Q1200" s="461"/>
      <c r="R1200" s="462"/>
      <c r="S1200" s="462"/>
      <c r="T1200" s="461"/>
      <c r="U1200" s="462"/>
      <c r="V1200" s="453"/>
      <c r="W1200" s="454"/>
      <c r="X1200" s="455"/>
      <c r="Y1200" s="456"/>
      <c r="Z1200" s="457"/>
      <c r="AA1200" s="458"/>
      <c r="AB1200" s="443"/>
    </row>
    <row r="1201" spans="1:28" s="444" customFormat="1">
      <c r="A1201" s="702"/>
      <c r="B1201" s="446" t="s">
        <v>187</v>
      </c>
      <c r="C1201" s="486">
        <v>11829</v>
      </c>
      <c r="D1201" s="448" t="s">
        <v>298</v>
      </c>
      <c r="E1201" s="449" t="s">
        <v>297</v>
      </c>
      <c r="F1201" s="448" t="s">
        <v>298</v>
      </c>
      <c r="G1201" s="589">
        <v>46224</v>
      </c>
      <c r="H1201" s="450"/>
      <c r="I1201" s="450" t="s">
        <v>186</v>
      </c>
      <c r="J1201" s="295">
        <v>0.31805555555555554</v>
      </c>
      <c r="K1201" s="295">
        <v>0.7944444444444444</v>
      </c>
      <c r="L1201" s="451" t="s">
        <v>169</v>
      </c>
      <c r="M1201" s="452">
        <v>8</v>
      </c>
      <c r="N1201" s="452">
        <v>2</v>
      </c>
      <c r="O1201" s="469"/>
      <c r="P1201" s="469"/>
      <c r="Q1201" s="468"/>
      <c r="R1201" s="469"/>
      <c r="S1201" s="469"/>
      <c r="T1201" s="461"/>
      <c r="U1201" s="462"/>
      <c r="V1201" s="461"/>
      <c r="W1201" s="463"/>
      <c r="X1201" s="464"/>
      <c r="Y1201" s="465"/>
      <c r="Z1201" s="466"/>
      <c r="AA1201" s="467"/>
      <c r="AB1201" s="443"/>
    </row>
    <row r="1202" spans="1:28" s="444" customFormat="1">
      <c r="A1202" s="702"/>
      <c r="B1202" s="446" t="s">
        <v>187</v>
      </c>
      <c r="C1202" s="486">
        <v>11829</v>
      </c>
      <c r="D1202" s="448" t="s">
        <v>298</v>
      </c>
      <c r="E1202" s="449" t="s">
        <v>297</v>
      </c>
      <c r="F1202" s="448" t="s">
        <v>298</v>
      </c>
      <c r="G1202" s="589">
        <v>46225</v>
      </c>
      <c r="H1202" s="450"/>
      <c r="I1202" s="450" t="s">
        <v>186</v>
      </c>
      <c r="J1202" s="295">
        <v>0.31736111111111109</v>
      </c>
      <c r="K1202" s="295">
        <v>0.79305555555555551</v>
      </c>
      <c r="L1202" s="451" t="s">
        <v>169</v>
      </c>
      <c r="M1202" s="452">
        <v>8</v>
      </c>
      <c r="N1202" s="452">
        <v>2</v>
      </c>
      <c r="O1202" s="452"/>
      <c r="P1202" s="452"/>
      <c r="Q1202" s="453"/>
      <c r="R1202" s="452"/>
      <c r="S1202" s="452"/>
      <c r="T1202" s="453"/>
      <c r="U1202" s="452"/>
      <c r="V1202" s="453"/>
      <c r="W1202" s="454"/>
      <c r="X1202" s="455"/>
      <c r="Y1202" s="456"/>
      <c r="Z1202" s="457"/>
      <c r="AA1202" s="458"/>
      <c r="AB1202" s="443"/>
    </row>
    <row r="1203" spans="1:28" s="444" customFormat="1">
      <c r="A1203" s="702"/>
      <c r="B1203" s="446" t="s">
        <v>187</v>
      </c>
      <c r="C1203" s="486">
        <v>11829</v>
      </c>
      <c r="D1203" s="448" t="s">
        <v>298</v>
      </c>
      <c r="E1203" s="449" t="s">
        <v>297</v>
      </c>
      <c r="F1203" s="448" t="s">
        <v>298</v>
      </c>
      <c r="G1203" s="589">
        <v>46226</v>
      </c>
      <c r="H1203" s="450"/>
      <c r="I1203" s="450" t="s">
        <v>186</v>
      </c>
      <c r="J1203" s="295">
        <v>0.31805555555555554</v>
      </c>
      <c r="K1203" s="295">
        <v>0.79513888888888884</v>
      </c>
      <c r="L1203" s="451" t="s">
        <v>169</v>
      </c>
      <c r="M1203" s="452">
        <v>8</v>
      </c>
      <c r="N1203" s="452">
        <v>2</v>
      </c>
      <c r="O1203" s="470"/>
      <c r="P1203" s="470"/>
      <c r="Q1203" s="453"/>
      <c r="R1203" s="452"/>
      <c r="S1203" s="452"/>
      <c r="T1203" s="453"/>
      <c r="U1203" s="452"/>
      <c r="V1203" s="453"/>
      <c r="W1203" s="454"/>
      <c r="X1203" s="455"/>
      <c r="Y1203" s="456"/>
      <c r="Z1203" s="457"/>
      <c r="AA1203" s="458"/>
      <c r="AB1203" s="443"/>
    </row>
    <row r="1204" spans="1:28" s="444" customFormat="1">
      <c r="A1204" s="702"/>
      <c r="B1204" s="446" t="s">
        <v>187</v>
      </c>
      <c r="C1204" s="486">
        <v>11829</v>
      </c>
      <c r="D1204" s="448" t="s">
        <v>298</v>
      </c>
      <c r="E1204" s="449" t="s">
        <v>297</v>
      </c>
      <c r="F1204" s="448" t="s">
        <v>298</v>
      </c>
      <c r="G1204" s="589">
        <v>46227</v>
      </c>
      <c r="H1204" s="450"/>
      <c r="I1204" s="450" t="s">
        <v>186</v>
      </c>
      <c r="J1204" s="295">
        <v>0.3034722222222222</v>
      </c>
      <c r="K1204" s="318">
        <v>0.79305555555555551</v>
      </c>
      <c r="L1204" s="451" t="s">
        <v>169</v>
      </c>
      <c r="M1204" s="452">
        <v>8</v>
      </c>
      <c r="N1204" s="452">
        <v>2</v>
      </c>
      <c r="O1204" s="471"/>
      <c r="P1204" s="471"/>
      <c r="Q1204" s="472"/>
      <c r="R1204" s="471"/>
      <c r="S1204" s="471"/>
      <c r="T1204" s="453"/>
      <c r="U1204" s="452"/>
      <c r="V1204" s="453"/>
      <c r="W1204" s="454"/>
      <c r="X1204" s="455"/>
      <c r="Y1204" s="456"/>
      <c r="Z1204" s="457"/>
      <c r="AA1204" s="458"/>
      <c r="AB1204" s="443"/>
    </row>
    <row r="1205" spans="1:28" s="444" customFormat="1">
      <c r="A1205" s="702"/>
      <c r="B1205" s="446" t="s">
        <v>187</v>
      </c>
      <c r="C1205" s="486">
        <v>11829</v>
      </c>
      <c r="D1205" s="448" t="s">
        <v>298</v>
      </c>
      <c r="E1205" s="449" t="s">
        <v>297</v>
      </c>
      <c r="F1205" s="448" t="s">
        <v>298</v>
      </c>
      <c r="G1205" s="589">
        <v>46228</v>
      </c>
      <c r="H1205" s="450"/>
      <c r="I1205" s="450" t="s">
        <v>186</v>
      </c>
      <c r="J1205" s="295"/>
      <c r="K1205" s="295"/>
      <c r="L1205" s="451"/>
      <c r="M1205" s="452"/>
      <c r="N1205" s="452"/>
      <c r="O1205" s="452"/>
      <c r="P1205" s="452"/>
      <c r="Q1205" s="453"/>
      <c r="R1205" s="452"/>
      <c r="S1205" s="473"/>
      <c r="T1205" s="453"/>
      <c r="U1205" s="452"/>
      <c r="V1205" s="453"/>
      <c r="W1205" s="454"/>
      <c r="X1205" s="455"/>
      <c r="Y1205" s="456"/>
      <c r="Z1205" s="457"/>
      <c r="AA1205" s="458"/>
      <c r="AB1205" s="443"/>
    </row>
    <row r="1206" spans="1:28" s="444" customFormat="1">
      <c r="A1206" s="702"/>
      <c r="B1206" s="446"/>
      <c r="C1206" s="486"/>
      <c r="D1206" s="449"/>
      <c r="E1206" s="449"/>
      <c r="F1206" s="449"/>
      <c r="G1206" s="600"/>
      <c r="H1206" s="450"/>
      <c r="I1206" s="450"/>
      <c r="J1206" s="474"/>
      <c r="K1206" s="475"/>
      <c r="L1206" s="476"/>
      <c r="M1206" s="477"/>
      <c r="N1206" s="477"/>
      <c r="O1206" s="477"/>
      <c r="P1206" s="477"/>
      <c r="Q1206" s="478"/>
      <c r="R1206" s="477"/>
      <c r="S1206" s="479"/>
      <c r="T1206" s="453"/>
      <c r="U1206" s="452"/>
      <c r="V1206" s="453"/>
      <c r="W1206" s="454"/>
      <c r="X1206" s="455"/>
      <c r="Y1206" s="456"/>
      <c r="Z1206" s="457"/>
      <c r="AA1206" s="458"/>
      <c r="AB1206" s="443"/>
    </row>
    <row r="1207" spans="1:28" s="444" customFormat="1">
      <c r="A1207" s="703"/>
      <c r="B1207" s="481"/>
      <c r="C1207" s="446"/>
      <c r="D1207" s="481"/>
      <c r="E1207" s="449"/>
      <c r="F1207" s="481"/>
      <c r="G1207" s="601"/>
      <c r="H1207" s="482"/>
      <c r="I1207" s="483"/>
      <c r="J1207" s="484"/>
      <c r="K1207" s="485"/>
      <c r="L1207" s="483"/>
      <c r="M1207" s="483">
        <f t="shared" ref="M1207:AA1207" si="67">SUM(M1190:M1206)</f>
        <v>96</v>
      </c>
      <c r="N1207" s="483">
        <f t="shared" si="67"/>
        <v>20</v>
      </c>
      <c r="O1207" s="483">
        <f t="shared" si="67"/>
        <v>0</v>
      </c>
      <c r="P1207" s="483">
        <f t="shared" si="67"/>
        <v>0</v>
      </c>
      <c r="Q1207" s="483">
        <f t="shared" si="67"/>
        <v>0</v>
      </c>
      <c r="R1207" s="483">
        <f t="shared" si="67"/>
        <v>0</v>
      </c>
      <c r="S1207" s="483">
        <f t="shared" si="67"/>
        <v>0</v>
      </c>
      <c r="T1207" s="483">
        <f t="shared" si="67"/>
        <v>0</v>
      </c>
      <c r="U1207" s="483">
        <f t="shared" si="67"/>
        <v>0</v>
      </c>
      <c r="V1207" s="483">
        <f t="shared" si="67"/>
        <v>0</v>
      </c>
      <c r="W1207" s="483">
        <f t="shared" si="67"/>
        <v>0</v>
      </c>
      <c r="X1207" s="483">
        <f t="shared" si="67"/>
        <v>0</v>
      </c>
      <c r="Y1207" s="483">
        <f t="shared" si="67"/>
        <v>0</v>
      </c>
      <c r="Z1207" s="483">
        <f t="shared" si="67"/>
        <v>0</v>
      </c>
      <c r="AA1207" s="483">
        <f t="shared" si="67"/>
        <v>0</v>
      </c>
      <c r="AB1207" s="443"/>
    </row>
    <row r="1208" spans="1:28" s="444" customFormat="1">
      <c r="A1208" s="435" t="s">
        <v>170</v>
      </c>
      <c r="B1208" s="435" t="s">
        <v>120</v>
      </c>
      <c r="C1208" s="435" t="s">
        <v>152</v>
      </c>
      <c r="D1208" s="435" t="s">
        <v>182</v>
      </c>
      <c r="E1208" s="436" t="s">
        <v>153</v>
      </c>
      <c r="F1208" s="435" t="s">
        <v>182</v>
      </c>
      <c r="G1208" s="599" t="s">
        <v>401</v>
      </c>
      <c r="H1208" s="437"/>
      <c r="I1208" s="438" t="s">
        <v>181</v>
      </c>
      <c r="J1208" s="439" t="s">
        <v>154</v>
      </c>
      <c r="K1208" s="439" t="s">
        <v>155</v>
      </c>
      <c r="L1208" s="440" t="s">
        <v>156</v>
      </c>
      <c r="M1208" s="441" t="s">
        <v>157</v>
      </c>
      <c r="N1208" s="440" t="s">
        <v>158</v>
      </c>
      <c r="O1208" s="440" t="s">
        <v>159</v>
      </c>
      <c r="P1208" s="440" t="s">
        <v>174</v>
      </c>
      <c r="Q1208" s="440" t="s">
        <v>160</v>
      </c>
      <c r="R1208" s="440" t="s">
        <v>161</v>
      </c>
      <c r="S1208" s="440" t="s">
        <v>162</v>
      </c>
      <c r="T1208" s="438" t="s">
        <v>163</v>
      </c>
      <c r="U1208" s="438" t="s">
        <v>164</v>
      </c>
      <c r="V1208" s="438" t="s">
        <v>165</v>
      </c>
      <c r="W1208" s="440" t="s">
        <v>113</v>
      </c>
      <c r="X1208" s="438" t="s">
        <v>121</v>
      </c>
      <c r="Y1208" s="438" t="s">
        <v>166</v>
      </c>
      <c r="Z1208" s="442" t="s">
        <v>175</v>
      </c>
      <c r="AA1208" s="442" t="s">
        <v>167</v>
      </c>
      <c r="AB1208" s="443"/>
    </row>
    <row r="1209" spans="1:28" s="444" customFormat="1">
      <c r="A1209" s="445"/>
      <c r="B1209" s="446" t="s">
        <v>187</v>
      </c>
      <c r="C1209" s="449">
        <v>14357</v>
      </c>
      <c r="D1209" s="448" t="s">
        <v>296</v>
      </c>
      <c r="E1209" s="449" t="s">
        <v>295</v>
      </c>
      <c r="F1209" s="448" t="s">
        <v>296</v>
      </c>
      <c r="G1209" s="589">
        <v>46214</v>
      </c>
      <c r="H1209" s="450"/>
      <c r="I1209" s="450" t="s">
        <v>186</v>
      </c>
      <c r="J1209" s="295">
        <v>0.32916666666666666</v>
      </c>
      <c r="K1209" s="295">
        <v>0.50624999999999998</v>
      </c>
      <c r="L1209" s="451" t="s">
        <v>169</v>
      </c>
      <c r="M1209" s="452">
        <v>4</v>
      </c>
      <c r="N1209" s="452"/>
      <c r="O1209" s="452"/>
      <c r="P1209" s="452"/>
      <c r="Q1209" s="453"/>
      <c r="R1209" s="452"/>
      <c r="S1209" s="452"/>
      <c r="T1209" s="453"/>
      <c r="U1209" s="452"/>
      <c r="V1209" s="453"/>
      <c r="W1209" s="454"/>
      <c r="X1209" s="455"/>
      <c r="Y1209" s="456"/>
      <c r="Z1209" s="457"/>
      <c r="AA1209" s="458"/>
      <c r="AB1209" s="443"/>
    </row>
    <row r="1210" spans="1:28" s="444" customFormat="1">
      <c r="A1210" s="459"/>
      <c r="B1210" s="446" t="s">
        <v>187</v>
      </c>
      <c r="C1210" s="449">
        <v>14357</v>
      </c>
      <c r="D1210" s="448" t="s">
        <v>296</v>
      </c>
      <c r="E1210" s="449" t="s">
        <v>295</v>
      </c>
      <c r="F1210" s="448" t="s">
        <v>296</v>
      </c>
      <c r="G1210" s="590">
        <v>46215</v>
      </c>
      <c r="H1210" s="450"/>
      <c r="I1210" s="450"/>
      <c r="J1210" s="699" t="s">
        <v>173</v>
      </c>
      <c r="K1210" s="700"/>
      <c r="L1210" s="451"/>
      <c r="M1210" s="452"/>
      <c r="N1210" s="452"/>
      <c r="O1210" s="452"/>
      <c r="P1210" s="452"/>
      <c r="Q1210" s="453"/>
      <c r="R1210" s="452"/>
      <c r="S1210" s="452"/>
      <c r="T1210" s="453"/>
      <c r="U1210" s="452"/>
      <c r="V1210" s="453"/>
      <c r="W1210" s="454"/>
      <c r="X1210" s="455"/>
      <c r="Y1210" s="456"/>
      <c r="Z1210" s="457"/>
      <c r="AA1210" s="458"/>
      <c r="AB1210" s="443"/>
    </row>
    <row r="1211" spans="1:28" s="444" customFormat="1">
      <c r="A1211" s="459"/>
      <c r="B1211" s="446" t="s">
        <v>187</v>
      </c>
      <c r="C1211" s="486">
        <v>14357</v>
      </c>
      <c r="D1211" s="448" t="s">
        <v>296</v>
      </c>
      <c r="E1211" s="449" t="s">
        <v>295</v>
      </c>
      <c r="F1211" s="448" t="s">
        <v>296</v>
      </c>
      <c r="G1211" s="589">
        <v>46216</v>
      </c>
      <c r="H1211" s="450"/>
      <c r="I1211" s="450" t="s">
        <v>186</v>
      </c>
      <c r="J1211" s="382">
        <v>0.32291666666666669</v>
      </c>
      <c r="K1211" s="382">
        <v>0.79374999999999996</v>
      </c>
      <c r="L1211" s="451" t="s">
        <v>169</v>
      </c>
      <c r="M1211" s="452">
        <v>8</v>
      </c>
      <c r="N1211" s="452">
        <v>2</v>
      </c>
      <c r="O1211" s="452"/>
      <c r="P1211" s="452"/>
      <c r="Q1211" s="461"/>
      <c r="R1211" s="452"/>
      <c r="S1211" s="452"/>
      <c r="T1211" s="453"/>
      <c r="U1211" s="452"/>
      <c r="V1211" s="453"/>
      <c r="W1211" s="454"/>
      <c r="X1211" s="455"/>
      <c r="Y1211" s="456"/>
      <c r="Z1211" s="457"/>
      <c r="AA1211" s="458"/>
      <c r="AB1211" s="443"/>
    </row>
    <row r="1212" spans="1:28" s="444" customFormat="1">
      <c r="A1212" s="459"/>
      <c r="B1212" s="446" t="s">
        <v>187</v>
      </c>
      <c r="C1212" s="486">
        <v>14357</v>
      </c>
      <c r="D1212" s="448" t="s">
        <v>296</v>
      </c>
      <c r="E1212" s="449" t="s">
        <v>295</v>
      </c>
      <c r="F1212" s="448" t="s">
        <v>296</v>
      </c>
      <c r="G1212" s="589">
        <v>46217</v>
      </c>
      <c r="H1212" s="450"/>
      <c r="I1212" s="450" t="s">
        <v>186</v>
      </c>
      <c r="J1212" s="305">
        <v>0.31666666666666665</v>
      </c>
      <c r="K1212" s="305">
        <v>0.79305555555555562</v>
      </c>
      <c r="L1212" s="451" t="s">
        <v>169</v>
      </c>
      <c r="M1212" s="452">
        <v>8</v>
      </c>
      <c r="N1212" s="452">
        <v>2</v>
      </c>
      <c r="O1212" s="462"/>
      <c r="P1212" s="462"/>
      <c r="Q1212" s="461"/>
      <c r="R1212" s="462"/>
      <c r="S1212" s="462"/>
      <c r="T1212" s="461"/>
      <c r="U1212" s="462"/>
      <c r="V1212" s="461"/>
      <c r="W1212" s="463"/>
      <c r="X1212" s="464"/>
      <c r="Y1212" s="465"/>
      <c r="Z1212" s="466"/>
      <c r="AA1212" s="467"/>
      <c r="AB1212" s="443"/>
    </row>
    <row r="1213" spans="1:28" s="444" customFormat="1">
      <c r="A1213" s="459"/>
      <c r="B1213" s="446" t="s">
        <v>187</v>
      </c>
      <c r="C1213" s="486">
        <v>14357</v>
      </c>
      <c r="D1213" s="448" t="s">
        <v>296</v>
      </c>
      <c r="E1213" s="449" t="s">
        <v>295</v>
      </c>
      <c r="F1213" s="448" t="s">
        <v>296</v>
      </c>
      <c r="G1213" s="589">
        <v>46218</v>
      </c>
      <c r="H1213" s="450"/>
      <c r="I1213" s="450" t="s">
        <v>186</v>
      </c>
      <c r="J1213" s="305">
        <v>0.32361111111111113</v>
      </c>
      <c r="K1213" s="305">
        <v>0.79375000000000007</v>
      </c>
      <c r="L1213" s="451" t="s">
        <v>169</v>
      </c>
      <c r="M1213" s="452">
        <v>8</v>
      </c>
      <c r="N1213" s="452">
        <v>2</v>
      </c>
      <c r="O1213" s="452"/>
      <c r="P1213" s="452"/>
      <c r="Q1213" s="453"/>
      <c r="R1213" s="452"/>
      <c r="S1213" s="452"/>
      <c r="T1213" s="453"/>
      <c r="U1213" s="452"/>
      <c r="V1213" s="453"/>
      <c r="W1213" s="454"/>
      <c r="X1213" s="455"/>
      <c r="Y1213" s="456"/>
      <c r="Z1213" s="457"/>
      <c r="AA1213" s="458"/>
      <c r="AB1213" s="443"/>
    </row>
    <row r="1214" spans="1:28" s="444" customFormat="1">
      <c r="A1214" s="459"/>
      <c r="B1214" s="446" t="s">
        <v>187</v>
      </c>
      <c r="C1214" s="486">
        <v>14357</v>
      </c>
      <c r="D1214" s="448" t="s">
        <v>296</v>
      </c>
      <c r="E1214" s="449" t="s">
        <v>295</v>
      </c>
      <c r="F1214" s="448" t="s">
        <v>296</v>
      </c>
      <c r="G1214" s="589">
        <v>46219</v>
      </c>
      <c r="H1214" s="450"/>
      <c r="I1214" s="450" t="s">
        <v>186</v>
      </c>
      <c r="J1214" s="305">
        <v>0.32430555555555557</v>
      </c>
      <c r="K1214" s="305">
        <v>0.79375000000000007</v>
      </c>
      <c r="L1214" s="451" t="s">
        <v>169</v>
      </c>
      <c r="M1214" s="452">
        <v>8</v>
      </c>
      <c r="N1214" s="452">
        <v>2</v>
      </c>
      <c r="O1214" s="452"/>
      <c r="P1214" s="452"/>
      <c r="Q1214" s="453"/>
      <c r="R1214" s="452"/>
      <c r="S1214" s="452"/>
      <c r="T1214" s="453"/>
      <c r="U1214" s="452"/>
      <c r="V1214" s="453"/>
      <c r="W1214" s="454"/>
      <c r="X1214" s="455"/>
      <c r="Y1214" s="456"/>
      <c r="Z1214" s="457"/>
      <c r="AA1214" s="458"/>
      <c r="AB1214" s="443"/>
    </row>
    <row r="1215" spans="1:28" s="444" customFormat="1">
      <c r="A1215" s="459"/>
      <c r="B1215" s="446" t="s">
        <v>187</v>
      </c>
      <c r="C1215" s="486">
        <v>14357</v>
      </c>
      <c r="D1215" s="448" t="s">
        <v>296</v>
      </c>
      <c r="E1215" s="449" t="s">
        <v>295</v>
      </c>
      <c r="F1215" s="448" t="s">
        <v>296</v>
      </c>
      <c r="G1215" s="589">
        <v>46220</v>
      </c>
      <c r="H1215" s="450"/>
      <c r="I1215" s="450" t="s">
        <v>186</v>
      </c>
      <c r="J1215" s="305">
        <v>0.32500000000000001</v>
      </c>
      <c r="K1215" s="305">
        <v>0.7104166666666667</v>
      </c>
      <c r="L1215" s="451" t="s">
        <v>169</v>
      </c>
      <c r="M1215" s="452">
        <v>8</v>
      </c>
      <c r="N1215" s="452"/>
      <c r="O1215" s="452"/>
      <c r="P1215" s="452"/>
      <c r="Q1215" s="453"/>
      <c r="R1215" s="452"/>
      <c r="S1215" s="452"/>
      <c r="T1215" s="453"/>
      <c r="U1215" s="452"/>
      <c r="V1215" s="453"/>
      <c r="W1215" s="454"/>
      <c r="X1215" s="455"/>
      <c r="Y1215" s="456"/>
      <c r="Z1215" s="457"/>
      <c r="AA1215" s="458"/>
      <c r="AB1215" s="443"/>
    </row>
    <row r="1216" spans="1:28" s="444" customFormat="1">
      <c r="A1216" s="459"/>
      <c r="B1216" s="446" t="s">
        <v>187</v>
      </c>
      <c r="C1216" s="486">
        <v>14357</v>
      </c>
      <c r="D1216" s="448" t="s">
        <v>296</v>
      </c>
      <c r="E1216" s="449" t="s">
        <v>295</v>
      </c>
      <c r="F1216" s="448" t="s">
        <v>296</v>
      </c>
      <c r="G1216" s="589">
        <v>46221</v>
      </c>
      <c r="H1216" s="450"/>
      <c r="I1216" s="450" t="s">
        <v>186</v>
      </c>
      <c r="J1216" s="305">
        <v>0.3215277777777778</v>
      </c>
      <c r="K1216" s="305">
        <v>0.71111111111111114</v>
      </c>
      <c r="L1216" s="451" t="s">
        <v>169</v>
      </c>
      <c r="M1216" s="452">
        <v>8</v>
      </c>
      <c r="N1216" s="452"/>
      <c r="O1216" s="452"/>
      <c r="P1216" s="452"/>
      <c r="Q1216" s="453"/>
      <c r="R1216" s="452"/>
      <c r="S1216" s="452"/>
      <c r="T1216" s="453"/>
      <c r="U1216" s="452"/>
      <c r="V1216" s="453"/>
      <c r="W1216" s="454"/>
      <c r="X1216" s="455"/>
      <c r="Y1216" s="456"/>
      <c r="Z1216" s="457"/>
      <c r="AA1216" s="458"/>
      <c r="AB1216" s="443"/>
    </row>
    <row r="1217" spans="1:28" s="444" customFormat="1">
      <c r="A1217" s="459"/>
      <c r="B1217" s="446" t="s">
        <v>187</v>
      </c>
      <c r="C1217" s="486">
        <v>14357</v>
      </c>
      <c r="D1217" s="448" t="s">
        <v>296</v>
      </c>
      <c r="E1217" s="449" t="s">
        <v>295</v>
      </c>
      <c r="F1217" s="448" t="s">
        <v>296</v>
      </c>
      <c r="G1217" s="590">
        <v>46222</v>
      </c>
      <c r="H1217" s="450"/>
      <c r="I1217" s="450"/>
      <c r="J1217" s="699" t="s">
        <v>173</v>
      </c>
      <c r="K1217" s="700"/>
      <c r="L1217" s="451"/>
      <c r="M1217" s="452"/>
      <c r="N1217" s="452"/>
      <c r="O1217" s="452"/>
      <c r="P1217" s="452"/>
      <c r="Q1217" s="453"/>
      <c r="R1217" s="452"/>
      <c r="S1217" s="452"/>
      <c r="T1217" s="453"/>
      <c r="U1217" s="452"/>
      <c r="V1217" s="453"/>
      <c r="W1217" s="454"/>
      <c r="X1217" s="455"/>
      <c r="Y1217" s="456"/>
      <c r="Z1217" s="457"/>
      <c r="AA1217" s="458"/>
      <c r="AB1217" s="443"/>
    </row>
    <row r="1218" spans="1:28" s="444" customFormat="1">
      <c r="A1218" s="459"/>
      <c r="B1218" s="446" t="s">
        <v>187</v>
      </c>
      <c r="C1218" s="486">
        <v>14357</v>
      </c>
      <c r="D1218" s="448" t="s">
        <v>296</v>
      </c>
      <c r="E1218" s="449" t="s">
        <v>295</v>
      </c>
      <c r="F1218" s="448" t="s">
        <v>296</v>
      </c>
      <c r="G1218" s="589">
        <v>46223</v>
      </c>
      <c r="H1218" s="450"/>
      <c r="I1218" s="450" t="s">
        <v>186</v>
      </c>
      <c r="J1218" s="305">
        <v>0.32083333333333336</v>
      </c>
      <c r="K1218" s="305">
        <v>0.79374999999999996</v>
      </c>
      <c r="L1218" s="451" t="s">
        <v>169</v>
      </c>
      <c r="M1218" s="452">
        <v>8</v>
      </c>
      <c r="N1218" s="452">
        <v>2</v>
      </c>
      <c r="O1218" s="452"/>
      <c r="P1218" s="452"/>
      <c r="Q1218" s="461"/>
      <c r="R1218" s="462"/>
      <c r="S1218" s="462"/>
      <c r="T1218" s="461"/>
      <c r="U1218" s="462"/>
      <c r="V1218" s="461"/>
      <c r="W1218" s="454"/>
      <c r="X1218" s="455"/>
      <c r="Y1218" s="456"/>
      <c r="Z1218" s="457"/>
      <c r="AA1218" s="458"/>
      <c r="AB1218" s="443"/>
    </row>
    <row r="1219" spans="1:28" s="444" customFormat="1">
      <c r="A1219" s="459"/>
      <c r="B1219" s="446" t="s">
        <v>187</v>
      </c>
      <c r="C1219" s="486">
        <v>14357</v>
      </c>
      <c r="D1219" s="448" t="s">
        <v>296</v>
      </c>
      <c r="E1219" s="449" t="s">
        <v>295</v>
      </c>
      <c r="F1219" s="448" t="s">
        <v>296</v>
      </c>
      <c r="G1219" s="589">
        <v>46224</v>
      </c>
      <c r="H1219" s="450"/>
      <c r="I1219" s="450" t="s">
        <v>186</v>
      </c>
      <c r="J1219" s="295">
        <v>0.32291666666666669</v>
      </c>
      <c r="K1219" s="295">
        <v>0.79374999999999996</v>
      </c>
      <c r="L1219" s="451" t="s">
        <v>169</v>
      </c>
      <c r="M1219" s="452">
        <v>8</v>
      </c>
      <c r="N1219" s="452">
        <v>2</v>
      </c>
      <c r="O1219" s="469"/>
      <c r="P1219" s="469"/>
      <c r="Q1219" s="468"/>
      <c r="R1219" s="469"/>
      <c r="S1219" s="469"/>
      <c r="T1219" s="461"/>
      <c r="U1219" s="462"/>
      <c r="V1219" s="461"/>
      <c r="W1219" s="463"/>
      <c r="X1219" s="464"/>
      <c r="Y1219" s="465"/>
      <c r="Z1219" s="466"/>
      <c r="AA1219" s="467"/>
      <c r="AB1219" s="443"/>
    </row>
    <row r="1220" spans="1:28" s="444" customFormat="1">
      <c r="A1220" s="459"/>
      <c r="B1220" s="446" t="s">
        <v>187</v>
      </c>
      <c r="C1220" s="486">
        <v>14357</v>
      </c>
      <c r="D1220" s="448" t="s">
        <v>296</v>
      </c>
      <c r="E1220" s="449" t="s">
        <v>295</v>
      </c>
      <c r="F1220" s="448" t="s">
        <v>296</v>
      </c>
      <c r="G1220" s="589">
        <v>46225</v>
      </c>
      <c r="H1220" s="450"/>
      <c r="I1220" s="450" t="s">
        <v>186</v>
      </c>
      <c r="J1220" s="295">
        <v>0.32430555555555557</v>
      </c>
      <c r="K1220" s="295">
        <v>0.7944444444444444</v>
      </c>
      <c r="L1220" s="451" t="s">
        <v>169</v>
      </c>
      <c r="M1220" s="452">
        <v>8</v>
      </c>
      <c r="N1220" s="452">
        <v>2</v>
      </c>
      <c r="O1220" s="452"/>
      <c r="P1220" s="452"/>
      <c r="Q1220" s="453"/>
      <c r="R1220" s="452"/>
      <c r="S1220" s="452"/>
      <c r="T1220" s="453"/>
      <c r="U1220" s="452"/>
      <c r="V1220" s="453"/>
      <c r="W1220" s="454"/>
      <c r="X1220" s="455"/>
      <c r="Y1220" s="456"/>
      <c r="Z1220" s="457"/>
      <c r="AA1220" s="458"/>
      <c r="AB1220" s="443"/>
    </row>
    <row r="1221" spans="1:28" s="444" customFormat="1">
      <c r="A1221" s="459"/>
      <c r="B1221" s="446" t="s">
        <v>187</v>
      </c>
      <c r="C1221" s="486">
        <v>14357</v>
      </c>
      <c r="D1221" s="448" t="s">
        <v>296</v>
      </c>
      <c r="E1221" s="449" t="s">
        <v>295</v>
      </c>
      <c r="F1221" s="448" t="s">
        <v>296</v>
      </c>
      <c r="G1221" s="589">
        <v>46226</v>
      </c>
      <c r="H1221" s="450"/>
      <c r="I1221" s="450" t="s">
        <v>186</v>
      </c>
      <c r="J1221" s="295">
        <v>0.32291666666666669</v>
      </c>
      <c r="K1221" s="295">
        <v>0.79305555555555551</v>
      </c>
      <c r="L1221" s="451" t="s">
        <v>169</v>
      </c>
      <c r="M1221" s="452">
        <v>8</v>
      </c>
      <c r="N1221" s="452">
        <v>2</v>
      </c>
      <c r="O1221" s="470"/>
      <c r="P1221" s="470"/>
      <c r="Q1221" s="453"/>
      <c r="R1221" s="452"/>
      <c r="S1221" s="452"/>
      <c r="T1221" s="453"/>
      <c r="U1221" s="452"/>
      <c r="V1221" s="453"/>
      <c r="W1221" s="454"/>
      <c r="X1221" s="455"/>
      <c r="Y1221" s="456"/>
      <c r="Z1221" s="457"/>
      <c r="AA1221" s="458"/>
      <c r="AB1221" s="443"/>
    </row>
    <row r="1222" spans="1:28" s="444" customFormat="1">
      <c r="A1222" s="459"/>
      <c r="B1222" s="446" t="s">
        <v>187</v>
      </c>
      <c r="C1222" s="486">
        <v>14357</v>
      </c>
      <c r="D1222" s="448" t="s">
        <v>296</v>
      </c>
      <c r="E1222" s="449" t="s">
        <v>295</v>
      </c>
      <c r="F1222" s="448" t="s">
        <v>296</v>
      </c>
      <c r="G1222" s="589">
        <v>46227</v>
      </c>
      <c r="H1222" s="450"/>
      <c r="I1222" s="450" t="s">
        <v>186</v>
      </c>
      <c r="J1222" s="295">
        <v>0.32291666666666669</v>
      </c>
      <c r="K1222" s="318">
        <v>0.79374999999999996</v>
      </c>
      <c r="L1222" s="451" t="s">
        <v>169</v>
      </c>
      <c r="M1222" s="452">
        <v>8</v>
      </c>
      <c r="N1222" s="452">
        <v>2</v>
      </c>
      <c r="O1222" s="471"/>
      <c r="P1222" s="471"/>
      <c r="Q1222" s="472"/>
      <c r="R1222" s="471"/>
      <c r="S1222" s="471"/>
      <c r="T1222" s="453"/>
      <c r="U1222" s="452"/>
      <c r="V1222" s="453"/>
      <c r="W1222" s="454"/>
      <c r="X1222" s="455"/>
      <c r="Y1222" s="456"/>
      <c r="Z1222" s="457"/>
      <c r="AA1222" s="458"/>
      <c r="AB1222" s="443"/>
    </row>
    <row r="1223" spans="1:28" s="444" customFormat="1">
      <c r="A1223" s="459"/>
      <c r="B1223" s="446" t="s">
        <v>187</v>
      </c>
      <c r="C1223" s="486">
        <v>14357</v>
      </c>
      <c r="D1223" s="448" t="s">
        <v>296</v>
      </c>
      <c r="E1223" s="449" t="s">
        <v>295</v>
      </c>
      <c r="F1223" s="448" t="s">
        <v>296</v>
      </c>
      <c r="G1223" s="589">
        <v>46228</v>
      </c>
      <c r="H1223" s="450"/>
      <c r="I1223" s="450" t="s">
        <v>186</v>
      </c>
      <c r="J1223" s="295"/>
      <c r="K1223" s="295"/>
      <c r="L1223" s="451"/>
      <c r="M1223" s="452"/>
      <c r="N1223" s="452"/>
      <c r="O1223" s="452"/>
      <c r="P1223" s="452"/>
      <c r="Q1223" s="453"/>
      <c r="R1223" s="452"/>
      <c r="S1223" s="473"/>
      <c r="T1223" s="453"/>
      <c r="U1223" s="452"/>
      <c r="V1223" s="453"/>
      <c r="W1223" s="454"/>
      <c r="X1223" s="455"/>
      <c r="Y1223" s="456"/>
      <c r="Z1223" s="457"/>
      <c r="AA1223" s="458"/>
      <c r="AB1223" s="443"/>
    </row>
    <row r="1224" spans="1:28" s="444" customFormat="1">
      <c r="A1224" s="459"/>
      <c r="B1224" s="446"/>
      <c r="C1224" s="486"/>
      <c r="D1224" s="449"/>
      <c r="E1224" s="449"/>
      <c r="F1224" s="449"/>
      <c r="G1224" s="600"/>
      <c r="H1224" s="450"/>
      <c r="I1224" s="450"/>
      <c r="J1224" s="474"/>
      <c r="K1224" s="475"/>
      <c r="L1224" s="476"/>
      <c r="M1224" s="477"/>
      <c r="N1224" s="477"/>
      <c r="O1224" s="477"/>
      <c r="P1224" s="477"/>
      <c r="Q1224" s="478"/>
      <c r="R1224" s="477"/>
      <c r="S1224" s="479"/>
      <c r="T1224" s="453"/>
      <c r="U1224" s="452"/>
      <c r="V1224" s="453"/>
      <c r="W1224" s="454"/>
      <c r="X1224" s="455"/>
      <c r="Y1224" s="456"/>
      <c r="Z1224" s="457"/>
      <c r="AA1224" s="458"/>
      <c r="AB1224" s="443"/>
    </row>
    <row r="1225" spans="1:28" s="444" customFormat="1">
      <c r="A1225" s="480"/>
      <c r="B1225" s="481"/>
      <c r="C1225" s="446"/>
      <c r="D1225" s="481"/>
      <c r="E1225" s="449"/>
      <c r="F1225" s="481"/>
      <c r="G1225" s="601"/>
      <c r="H1225" s="482"/>
      <c r="I1225" s="483"/>
      <c r="J1225" s="484"/>
      <c r="K1225" s="485"/>
      <c r="L1225" s="483"/>
      <c r="M1225" s="483">
        <f t="shared" ref="M1225:AA1225" si="68">SUM(M1208:M1224)</f>
        <v>92</v>
      </c>
      <c r="N1225" s="483">
        <f t="shared" si="68"/>
        <v>18</v>
      </c>
      <c r="O1225" s="483">
        <f t="shared" si="68"/>
        <v>0</v>
      </c>
      <c r="P1225" s="483">
        <f t="shared" si="68"/>
        <v>0</v>
      </c>
      <c r="Q1225" s="483">
        <f t="shared" si="68"/>
        <v>0</v>
      </c>
      <c r="R1225" s="483">
        <f t="shared" si="68"/>
        <v>0</v>
      </c>
      <c r="S1225" s="483">
        <f t="shared" si="68"/>
        <v>0</v>
      </c>
      <c r="T1225" s="483">
        <f t="shared" si="68"/>
        <v>0</v>
      </c>
      <c r="U1225" s="483">
        <f t="shared" si="68"/>
        <v>0</v>
      </c>
      <c r="V1225" s="483">
        <f t="shared" si="68"/>
        <v>0</v>
      </c>
      <c r="W1225" s="483">
        <f t="shared" si="68"/>
        <v>0</v>
      </c>
      <c r="X1225" s="483">
        <f t="shared" si="68"/>
        <v>0</v>
      </c>
      <c r="Y1225" s="483">
        <f t="shared" si="68"/>
        <v>0</v>
      </c>
      <c r="Z1225" s="483">
        <f t="shared" si="68"/>
        <v>0</v>
      </c>
      <c r="AA1225" s="483">
        <f t="shared" si="68"/>
        <v>0</v>
      </c>
      <c r="AB1225" s="443"/>
    </row>
    <row r="1226" spans="1:28" s="444" customFormat="1">
      <c r="A1226" s="435" t="s">
        <v>170</v>
      </c>
      <c r="B1226" s="435" t="s">
        <v>120</v>
      </c>
      <c r="C1226" s="435" t="s">
        <v>152</v>
      </c>
      <c r="D1226" s="435" t="s">
        <v>182</v>
      </c>
      <c r="E1226" s="436" t="s">
        <v>153</v>
      </c>
      <c r="F1226" s="435" t="s">
        <v>182</v>
      </c>
      <c r="G1226" s="599" t="s">
        <v>401</v>
      </c>
      <c r="H1226" s="437"/>
      <c r="I1226" s="438" t="s">
        <v>181</v>
      </c>
      <c r="J1226" s="439" t="s">
        <v>154</v>
      </c>
      <c r="K1226" s="439" t="s">
        <v>155</v>
      </c>
      <c r="L1226" s="440" t="s">
        <v>156</v>
      </c>
      <c r="M1226" s="441" t="s">
        <v>157</v>
      </c>
      <c r="N1226" s="440" t="s">
        <v>158</v>
      </c>
      <c r="O1226" s="440" t="s">
        <v>159</v>
      </c>
      <c r="P1226" s="440" t="s">
        <v>174</v>
      </c>
      <c r="Q1226" s="440" t="s">
        <v>160</v>
      </c>
      <c r="R1226" s="440" t="s">
        <v>161</v>
      </c>
      <c r="S1226" s="440" t="s">
        <v>162</v>
      </c>
      <c r="T1226" s="438" t="s">
        <v>163</v>
      </c>
      <c r="U1226" s="438" t="s">
        <v>164</v>
      </c>
      <c r="V1226" s="438" t="s">
        <v>165</v>
      </c>
      <c r="W1226" s="440" t="s">
        <v>113</v>
      </c>
      <c r="X1226" s="438" t="s">
        <v>121</v>
      </c>
      <c r="Y1226" s="438" t="s">
        <v>166</v>
      </c>
      <c r="Z1226" s="442" t="s">
        <v>175</v>
      </c>
      <c r="AA1226" s="442" t="s">
        <v>167</v>
      </c>
      <c r="AB1226" s="443"/>
    </row>
    <row r="1227" spans="1:28" s="444" customFormat="1">
      <c r="A1227" s="445"/>
      <c r="B1227" s="446" t="s">
        <v>187</v>
      </c>
      <c r="C1227" s="447">
        <v>7244</v>
      </c>
      <c r="D1227" s="448" t="s">
        <v>294</v>
      </c>
      <c r="E1227" s="449" t="s">
        <v>293</v>
      </c>
      <c r="F1227" s="448" t="s">
        <v>294</v>
      </c>
      <c r="G1227" s="589">
        <v>46214</v>
      </c>
      <c r="H1227" s="450"/>
      <c r="I1227" s="450" t="s">
        <v>186</v>
      </c>
      <c r="J1227" s="295">
        <v>0.32847222222222222</v>
      </c>
      <c r="K1227" s="295">
        <v>0.71111111111111114</v>
      </c>
      <c r="L1227" s="451" t="s">
        <v>169</v>
      </c>
      <c r="M1227" s="452">
        <v>8</v>
      </c>
      <c r="N1227" s="452"/>
      <c r="O1227" s="452"/>
      <c r="P1227" s="452"/>
      <c r="Q1227" s="453"/>
      <c r="R1227" s="452"/>
      <c r="S1227" s="452"/>
      <c r="T1227" s="453"/>
      <c r="U1227" s="452"/>
      <c r="V1227" s="453"/>
      <c r="W1227" s="454"/>
      <c r="X1227" s="455"/>
      <c r="Y1227" s="456"/>
      <c r="Z1227" s="457"/>
      <c r="AA1227" s="458"/>
      <c r="AB1227" s="443"/>
    </row>
    <row r="1228" spans="1:28" s="444" customFormat="1">
      <c r="A1228" s="459"/>
      <c r="B1228" s="446" t="s">
        <v>187</v>
      </c>
      <c r="C1228" s="447">
        <v>7244</v>
      </c>
      <c r="D1228" s="448" t="s">
        <v>294</v>
      </c>
      <c r="E1228" s="449" t="s">
        <v>293</v>
      </c>
      <c r="F1228" s="448" t="s">
        <v>294</v>
      </c>
      <c r="G1228" s="590">
        <v>46215</v>
      </c>
      <c r="H1228" s="450"/>
      <c r="I1228" s="450"/>
      <c r="J1228" s="699" t="s">
        <v>173</v>
      </c>
      <c r="K1228" s="700"/>
      <c r="L1228" s="451"/>
      <c r="M1228" s="452"/>
      <c r="N1228" s="452"/>
      <c r="O1228" s="452"/>
      <c r="P1228" s="452"/>
      <c r="Q1228" s="453"/>
      <c r="R1228" s="452"/>
      <c r="S1228" s="452"/>
      <c r="T1228" s="453"/>
      <c r="U1228" s="452"/>
      <c r="V1228" s="453"/>
      <c r="W1228" s="454"/>
      <c r="X1228" s="455"/>
      <c r="Y1228" s="456"/>
      <c r="Z1228" s="457"/>
      <c r="AA1228" s="458"/>
      <c r="AB1228" s="443"/>
    </row>
    <row r="1229" spans="1:28" s="444" customFormat="1">
      <c r="A1229" s="459"/>
      <c r="B1229" s="446" t="s">
        <v>187</v>
      </c>
      <c r="C1229" s="446">
        <v>7244</v>
      </c>
      <c r="D1229" s="448" t="s">
        <v>294</v>
      </c>
      <c r="E1229" s="449" t="s">
        <v>293</v>
      </c>
      <c r="F1229" s="448" t="s">
        <v>294</v>
      </c>
      <c r="G1229" s="589">
        <v>46216</v>
      </c>
      <c r="H1229" s="450"/>
      <c r="I1229" s="450" t="s">
        <v>186</v>
      </c>
      <c r="J1229" s="382">
        <v>0.32569444444444445</v>
      </c>
      <c r="K1229" s="382">
        <v>0.79513888888888884</v>
      </c>
      <c r="L1229" s="451" t="s">
        <v>169</v>
      </c>
      <c r="M1229" s="452">
        <v>8</v>
      </c>
      <c r="N1229" s="452">
        <v>2</v>
      </c>
      <c r="O1229" s="452"/>
      <c r="P1229" s="452"/>
      <c r="Q1229" s="461"/>
      <c r="R1229" s="452"/>
      <c r="S1229" s="452"/>
      <c r="T1229" s="453"/>
      <c r="U1229" s="452"/>
      <c r="V1229" s="453"/>
      <c r="W1229" s="454"/>
      <c r="X1229" s="455"/>
      <c r="Y1229" s="456"/>
      <c r="Z1229" s="457"/>
      <c r="AA1229" s="458"/>
      <c r="AB1229" s="443"/>
    </row>
    <row r="1230" spans="1:28" s="444" customFormat="1">
      <c r="A1230" s="459"/>
      <c r="B1230" s="446" t="s">
        <v>187</v>
      </c>
      <c r="C1230" s="446">
        <v>7244</v>
      </c>
      <c r="D1230" s="448" t="s">
        <v>294</v>
      </c>
      <c r="E1230" s="449" t="s">
        <v>293</v>
      </c>
      <c r="F1230" s="448" t="s">
        <v>294</v>
      </c>
      <c r="G1230" s="589">
        <v>46217</v>
      </c>
      <c r="H1230" s="450"/>
      <c r="I1230" s="450" t="s">
        <v>186</v>
      </c>
      <c r="J1230" s="382">
        <v>0.3263888888888889</v>
      </c>
      <c r="K1230" s="382">
        <v>0.7944444444444444</v>
      </c>
      <c r="L1230" s="451" t="s">
        <v>169</v>
      </c>
      <c r="M1230" s="452">
        <v>8</v>
      </c>
      <c r="N1230" s="452">
        <v>2</v>
      </c>
      <c r="O1230" s="462"/>
      <c r="P1230" s="462"/>
      <c r="Q1230" s="461"/>
      <c r="R1230" s="462"/>
      <c r="S1230" s="462"/>
      <c r="T1230" s="461"/>
      <c r="U1230" s="462"/>
      <c r="V1230" s="461"/>
      <c r="W1230" s="463"/>
      <c r="X1230" s="464"/>
      <c r="Y1230" s="465"/>
      <c r="Z1230" s="466"/>
      <c r="AA1230" s="467"/>
      <c r="AB1230" s="443"/>
    </row>
    <row r="1231" spans="1:28" s="444" customFormat="1">
      <c r="A1231" s="459"/>
      <c r="B1231" s="446" t="s">
        <v>187</v>
      </c>
      <c r="C1231" s="446">
        <v>7244</v>
      </c>
      <c r="D1231" s="448" t="s">
        <v>294</v>
      </c>
      <c r="E1231" s="449" t="s">
        <v>293</v>
      </c>
      <c r="F1231" s="448" t="s">
        <v>294</v>
      </c>
      <c r="G1231" s="589">
        <v>46218</v>
      </c>
      <c r="H1231" s="450"/>
      <c r="I1231" s="450" t="s">
        <v>186</v>
      </c>
      <c r="J1231" s="305">
        <v>0.32916666666666666</v>
      </c>
      <c r="K1231" s="305">
        <v>0.7944444444444444</v>
      </c>
      <c r="L1231" s="451" t="s">
        <v>169</v>
      </c>
      <c r="M1231" s="452">
        <v>8</v>
      </c>
      <c r="N1231" s="452">
        <v>2</v>
      </c>
      <c r="O1231" s="452"/>
      <c r="P1231" s="452"/>
      <c r="Q1231" s="453"/>
      <c r="R1231" s="452"/>
      <c r="S1231" s="452"/>
      <c r="T1231" s="453"/>
      <c r="U1231" s="452"/>
      <c r="V1231" s="453"/>
      <c r="W1231" s="454"/>
      <c r="X1231" s="455"/>
      <c r="Y1231" s="456"/>
      <c r="Z1231" s="457"/>
      <c r="AA1231" s="458"/>
      <c r="AB1231" s="443"/>
    </row>
    <row r="1232" spans="1:28" s="444" customFormat="1">
      <c r="A1232" s="459"/>
      <c r="B1232" s="446" t="s">
        <v>187</v>
      </c>
      <c r="C1232" s="446">
        <v>7244</v>
      </c>
      <c r="D1232" s="448" t="s">
        <v>294</v>
      </c>
      <c r="E1232" s="449" t="s">
        <v>293</v>
      </c>
      <c r="F1232" s="448" t="s">
        <v>294</v>
      </c>
      <c r="G1232" s="589">
        <v>46219</v>
      </c>
      <c r="H1232" s="450"/>
      <c r="I1232" s="450" t="s">
        <v>186</v>
      </c>
      <c r="J1232" s="305">
        <v>0.46180555555555558</v>
      </c>
      <c r="K1232" s="305">
        <v>0.71111111111111114</v>
      </c>
      <c r="L1232" s="451" t="s">
        <v>169</v>
      </c>
      <c r="M1232" s="452">
        <v>4</v>
      </c>
      <c r="N1232" s="452"/>
      <c r="O1232" s="452"/>
      <c r="P1232" s="452"/>
      <c r="Q1232" s="453"/>
      <c r="R1232" s="452"/>
      <c r="S1232" s="452"/>
      <c r="T1232" s="453"/>
      <c r="U1232" s="452"/>
      <c r="V1232" s="453"/>
      <c r="W1232" s="454"/>
      <c r="X1232" s="455"/>
      <c r="Y1232" s="456"/>
      <c r="Z1232" s="457"/>
      <c r="AA1232" s="458"/>
      <c r="AB1232" s="443"/>
    </row>
    <row r="1233" spans="1:28" s="444" customFormat="1">
      <c r="A1233" s="459"/>
      <c r="B1233" s="446" t="s">
        <v>187</v>
      </c>
      <c r="C1233" s="446">
        <v>7244</v>
      </c>
      <c r="D1233" s="448" t="s">
        <v>294</v>
      </c>
      <c r="E1233" s="449" t="s">
        <v>293</v>
      </c>
      <c r="F1233" s="448" t="s">
        <v>294</v>
      </c>
      <c r="G1233" s="589">
        <v>46220</v>
      </c>
      <c r="H1233" s="450"/>
      <c r="I1233" s="450" t="s">
        <v>186</v>
      </c>
      <c r="J1233" s="305">
        <v>0.3215277777777778</v>
      </c>
      <c r="K1233" s="305">
        <v>0.7944444444444444</v>
      </c>
      <c r="L1233" s="451" t="s">
        <v>169</v>
      </c>
      <c r="M1233" s="452">
        <v>8</v>
      </c>
      <c r="N1233" s="452">
        <v>2</v>
      </c>
      <c r="O1233" s="452"/>
      <c r="P1233" s="452"/>
      <c r="Q1233" s="453"/>
      <c r="R1233" s="452"/>
      <c r="S1233" s="452"/>
      <c r="T1233" s="453"/>
      <c r="U1233" s="452"/>
      <c r="V1233" s="453"/>
      <c r="W1233" s="454"/>
      <c r="X1233" s="455"/>
      <c r="Y1233" s="456"/>
      <c r="Z1233" s="457"/>
      <c r="AA1233" s="458"/>
      <c r="AB1233" s="443"/>
    </row>
    <row r="1234" spans="1:28" s="444" customFormat="1">
      <c r="A1234" s="459"/>
      <c r="B1234" s="446" t="s">
        <v>187</v>
      </c>
      <c r="C1234" s="446">
        <v>7244</v>
      </c>
      <c r="D1234" s="448" t="s">
        <v>294</v>
      </c>
      <c r="E1234" s="449" t="s">
        <v>293</v>
      </c>
      <c r="F1234" s="448" t="s">
        <v>294</v>
      </c>
      <c r="G1234" s="589">
        <v>46221</v>
      </c>
      <c r="H1234" s="450"/>
      <c r="I1234" s="450" t="s">
        <v>186</v>
      </c>
      <c r="J1234" s="305">
        <v>0.31527777777777777</v>
      </c>
      <c r="K1234" s="305">
        <v>0.71111111111111114</v>
      </c>
      <c r="L1234" s="451" t="s">
        <v>169</v>
      </c>
      <c r="M1234" s="452">
        <v>8</v>
      </c>
      <c r="N1234" s="452"/>
      <c r="O1234" s="452"/>
      <c r="P1234" s="452"/>
      <c r="Q1234" s="453"/>
      <c r="R1234" s="452"/>
      <c r="S1234" s="452"/>
      <c r="T1234" s="453"/>
      <c r="U1234" s="452"/>
      <c r="V1234" s="453"/>
      <c r="W1234" s="454"/>
      <c r="X1234" s="455"/>
      <c r="Y1234" s="456"/>
      <c r="Z1234" s="457"/>
      <c r="AA1234" s="458"/>
      <c r="AB1234" s="443"/>
    </row>
    <row r="1235" spans="1:28" s="444" customFormat="1">
      <c r="A1235" s="459"/>
      <c r="B1235" s="446" t="s">
        <v>187</v>
      </c>
      <c r="C1235" s="446">
        <v>7244</v>
      </c>
      <c r="D1235" s="448" t="s">
        <v>294</v>
      </c>
      <c r="E1235" s="449" t="s">
        <v>293</v>
      </c>
      <c r="F1235" s="448" t="s">
        <v>294</v>
      </c>
      <c r="G1235" s="590">
        <v>46222</v>
      </c>
      <c r="H1235" s="450"/>
      <c r="I1235" s="450"/>
      <c r="J1235" s="699" t="s">
        <v>173</v>
      </c>
      <c r="K1235" s="700"/>
      <c r="L1235" s="451"/>
      <c r="M1235" s="452"/>
      <c r="N1235" s="452"/>
      <c r="O1235" s="452"/>
      <c r="P1235" s="452"/>
      <c r="Q1235" s="453"/>
      <c r="R1235" s="452"/>
      <c r="S1235" s="452"/>
      <c r="T1235" s="453"/>
      <c r="U1235" s="452"/>
      <c r="V1235" s="453"/>
      <c r="W1235" s="454"/>
      <c r="X1235" s="455"/>
      <c r="Y1235" s="456"/>
      <c r="Z1235" s="457"/>
      <c r="AA1235" s="458"/>
      <c r="AB1235" s="443"/>
    </row>
    <row r="1236" spans="1:28" s="444" customFormat="1">
      <c r="A1236" s="459"/>
      <c r="B1236" s="446" t="s">
        <v>187</v>
      </c>
      <c r="C1236" s="446">
        <v>7244</v>
      </c>
      <c r="D1236" s="448" t="s">
        <v>294</v>
      </c>
      <c r="E1236" s="449" t="s">
        <v>293</v>
      </c>
      <c r="F1236" s="448" t="s">
        <v>294</v>
      </c>
      <c r="G1236" s="589">
        <v>46223</v>
      </c>
      <c r="H1236" s="450"/>
      <c r="I1236" s="450" t="s">
        <v>186</v>
      </c>
      <c r="J1236" s="305">
        <v>0.32291666666666669</v>
      </c>
      <c r="K1236" s="305">
        <v>0.79513888888888884</v>
      </c>
      <c r="L1236" s="451" t="s">
        <v>169</v>
      </c>
      <c r="M1236" s="452">
        <v>8</v>
      </c>
      <c r="N1236" s="452">
        <v>2</v>
      </c>
      <c r="O1236" s="452"/>
      <c r="P1236" s="452"/>
      <c r="Q1236" s="461"/>
      <c r="R1236" s="462"/>
      <c r="S1236" s="462"/>
      <c r="T1236" s="461"/>
      <c r="U1236" s="462"/>
      <c r="V1236" s="461"/>
      <c r="W1236" s="454"/>
      <c r="X1236" s="455"/>
      <c r="Y1236" s="456"/>
      <c r="Z1236" s="457"/>
      <c r="AA1236" s="458"/>
      <c r="AB1236" s="443"/>
    </row>
    <row r="1237" spans="1:28" s="444" customFormat="1">
      <c r="A1237" s="459"/>
      <c r="B1237" s="446" t="s">
        <v>187</v>
      </c>
      <c r="C1237" s="446">
        <v>7244</v>
      </c>
      <c r="D1237" s="448" t="s">
        <v>294</v>
      </c>
      <c r="E1237" s="449" t="s">
        <v>293</v>
      </c>
      <c r="F1237" s="448" t="s">
        <v>294</v>
      </c>
      <c r="G1237" s="589">
        <v>46224</v>
      </c>
      <c r="H1237" s="450"/>
      <c r="I1237" s="450" t="s">
        <v>186</v>
      </c>
      <c r="J1237" s="295">
        <v>0.31736111111111109</v>
      </c>
      <c r="K1237" s="295">
        <v>0.7944444444444444</v>
      </c>
      <c r="L1237" s="451" t="s">
        <v>169</v>
      </c>
      <c r="M1237" s="452">
        <v>8</v>
      </c>
      <c r="N1237" s="452">
        <v>2</v>
      </c>
      <c r="O1237" s="469"/>
      <c r="P1237" s="469"/>
      <c r="Q1237" s="468"/>
      <c r="R1237" s="469"/>
      <c r="S1237" s="469"/>
      <c r="T1237" s="461"/>
      <c r="U1237" s="462"/>
      <c r="V1237" s="461"/>
      <c r="W1237" s="463"/>
      <c r="X1237" s="464"/>
      <c r="Y1237" s="465"/>
      <c r="Z1237" s="466"/>
      <c r="AA1237" s="467"/>
      <c r="AB1237" s="443"/>
    </row>
    <row r="1238" spans="1:28" s="444" customFormat="1">
      <c r="A1238" s="459"/>
      <c r="B1238" s="446" t="s">
        <v>187</v>
      </c>
      <c r="C1238" s="446">
        <v>7244</v>
      </c>
      <c r="D1238" s="448" t="s">
        <v>294</v>
      </c>
      <c r="E1238" s="449" t="s">
        <v>293</v>
      </c>
      <c r="F1238" s="448" t="s">
        <v>294</v>
      </c>
      <c r="G1238" s="589">
        <v>46225</v>
      </c>
      <c r="H1238" s="450"/>
      <c r="I1238" s="450" t="s">
        <v>186</v>
      </c>
      <c r="J1238" s="295">
        <v>0.32569444444444445</v>
      </c>
      <c r="K1238" s="295">
        <v>0.7944444444444444</v>
      </c>
      <c r="L1238" s="451" t="s">
        <v>169</v>
      </c>
      <c r="M1238" s="452">
        <v>8</v>
      </c>
      <c r="N1238" s="452">
        <v>2</v>
      </c>
      <c r="O1238" s="452"/>
      <c r="P1238" s="452"/>
      <c r="Q1238" s="453"/>
      <c r="R1238" s="452"/>
      <c r="S1238" s="452"/>
      <c r="T1238" s="453"/>
      <c r="U1238" s="452"/>
      <c r="V1238" s="453"/>
      <c r="W1238" s="454"/>
      <c r="X1238" s="455"/>
      <c r="Y1238" s="456"/>
      <c r="Z1238" s="457"/>
      <c r="AA1238" s="458"/>
      <c r="AB1238" s="443"/>
    </row>
    <row r="1239" spans="1:28" s="444" customFormat="1">
      <c r="A1239" s="459"/>
      <c r="B1239" s="446" t="s">
        <v>187</v>
      </c>
      <c r="C1239" s="446">
        <v>7244</v>
      </c>
      <c r="D1239" s="448" t="s">
        <v>294</v>
      </c>
      <c r="E1239" s="449" t="s">
        <v>293</v>
      </c>
      <c r="F1239" s="448" t="s">
        <v>294</v>
      </c>
      <c r="G1239" s="589">
        <v>46226</v>
      </c>
      <c r="H1239" s="450"/>
      <c r="I1239" s="450" t="s">
        <v>186</v>
      </c>
      <c r="J1239" s="295">
        <v>0.30902777777777779</v>
      </c>
      <c r="K1239" s="295">
        <v>0.71180555555555558</v>
      </c>
      <c r="L1239" s="451" t="s">
        <v>169</v>
      </c>
      <c r="M1239" s="452">
        <v>8</v>
      </c>
      <c r="N1239" s="471"/>
      <c r="O1239" s="470"/>
      <c r="P1239" s="470"/>
      <c r="Q1239" s="453"/>
      <c r="R1239" s="452"/>
      <c r="S1239" s="452"/>
      <c r="T1239" s="453"/>
      <c r="U1239" s="452"/>
      <c r="V1239" s="453"/>
      <c r="W1239" s="454"/>
      <c r="X1239" s="455"/>
      <c r="Y1239" s="456"/>
      <c r="Z1239" s="457"/>
      <c r="AA1239" s="458"/>
      <c r="AB1239" s="443"/>
    </row>
    <row r="1240" spans="1:28" s="444" customFormat="1">
      <c r="A1240" s="459"/>
      <c r="B1240" s="446" t="s">
        <v>187</v>
      </c>
      <c r="C1240" s="446">
        <v>7244</v>
      </c>
      <c r="D1240" s="448" t="s">
        <v>294</v>
      </c>
      <c r="E1240" s="449" t="s">
        <v>293</v>
      </c>
      <c r="F1240" s="448" t="s">
        <v>294</v>
      </c>
      <c r="G1240" s="589">
        <v>46227</v>
      </c>
      <c r="H1240" s="450"/>
      <c r="I1240" s="450" t="s">
        <v>186</v>
      </c>
      <c r="J1240" s="295"/>
      <c r="K1240" s="318"/>
      <c r="L1240" s="451"/>
      <c r="M1240" s="529"/>
      <c r="N1240" s="471"/>
      <c r="O1240" s="471"/>
      <c r="P1240" s="471"/>
      <c r="Q1240" s="472"/>
      <c r="R1240" s="471"/>
      <c r="S1240" s="471"/>
      <c r="T1240" s="453"/>
      <c r="U1240" s="452"/>
      <c r="V1240" s="453"/>
      <c r="W1240" s="454"/>
      <c r="X1240" s="455"/>
      <c r="Y1240" s="456"/>
      <c r="Z1240" s="457"/>
      <c r="AA1240" s="458"/>
      <c r="AB1240" s="443"/>
    </row>
    <row r="1241" spans="1:28" s="444" customFormat="1">
      <c r="A1241" s="459"/>
      <c r="B1241" s="446" t="s">
        <v>187</v>
      </c>
      <c r="C1241" s="446">
        <v>7244</v>
      </c>
      <c r="D1241" s="448" t="s">
        <v>294</v>
      </c>
      <c r="E1241" s="449" t="s">
        <v>293</v>
      </c>
      <c r="F1241" s="448" t="s">
        <v>294</v>
      </c>
      <c r="G1241" s="589">
        <v>46228</v>
      </c>
      <c r="H1241" s="450"/>
      <c r="I1241" s="450" t="s">
        <v>186</v>
      </c>
      <c r="J1241" s="295"/>
      <c r="K1241" s="295"/>
      <c r="L1241" s="451"/>
      <c r="M1241" s="452"/>
      <c r="N1241" s="452"/>
      <c r="O1241" s="452"/>
      <c r="P1241" s="452"/>
      <c r="Q1241" s="453"/>
      <c r="R1241" s="452"/>
      <c r="S1241" s="473"/>
      <c r="T1241" s="453"/>
      <c r="U1241" s="452"/>
      <c r="V1241" s="453"/>
      <c r="W1241" s="454"/>
      <c r="X1241" s="455"/>
      <c r="Y1241" s="456"/>
      <c r="Z1241" s="457"/>
      <c r="AA1241" s="458"/>
      <c r="AB1241" s="443"/>
    </row>
    <row r="1242" spans="1:28" s="444" customFormat="1">
      <c r="A1242" s="459"/>
      <c r="B1242" s="446"/>
      <c r="C1242" s="446"/>
      <c r="D1242" s="448"/>
      <c r="E1242" s="449"/>
      <c r="F1242" s="448"/>
      <c r="G1242" s="600"/>
      <c r="H1242" s="450"/>
      <c r="I1242" s="450"/>
      <c r="J1242" s="474"/>
      <c r="K1242" s="475"/>
      <c r="L1242" s="476"/>
      <c r="M1242" s="477"/>
      <c r="N1242" s="477"/>
      <c r="O1242" s="477"/>
      <c r="P1242" s="477"/>
      <c r="Q1242" s="478"/>
      <c r="R1242" s="477"/>
      <c r="S1242" s="479"/>
      <c r="T1242" s="453"/>
      <c r="U1242" s="452"/>
      <c r="V1242" s="453"/>
      <c r="W1242" s="454"/>
      <c r="X1242" s="455"/>
      <c r="Y1242" s="456"/>
      <c r="Z1242" s="457"/>
      <c r="AA1242" s="458"/>
      <c r="AB1242" s="443"/>
    </row>
    <row r="1243" spans="1:28" s="444" customFormat="1">
      <c r="A1243" s="480"/>
      <c r="B1243" s="481"/>
      <c r="C1243" s="446"/>
      <c r="D1243" s="481"/>
      <c r="E1243" s="449"/>
      <c r="F1243" s="481"/>
      <c r="G1243" s="601"/>
      <c r="H1243" s="482"/>
      <c r="I1243" s="483"/>
      <c r="J1243" s="484"/>
      <c r="K1243" s="485"/>
      <c r="L1243" s="483"/>
      <c r="M1243" s="483">
        <f t="shared" ref="M1243:AA1243" si="69">SUM(M1226:M1242)</f>
        <v>84</v>
      </c>
      <c r="N1243" s="483">
        <f t="shared" si="69"/>
        <v>14</v>
      </c>
      <c r="O1243" s="483">
        <f t="shared" si="69"/>
        <v>0</v>
      </c>
      <c r="P1243" s="483">
        <f t="shared" si="69"/>
        <v>0</v>
      </c>
      <c r="Q1243" s="483">
        <f t="shared" si="69"/>
        <v>0</v>
      </c>
      <c r="R1243" s="483">
        <f t="shared" si="69"/>
        <v>0</v>
      </c>
      <c r="S1243" s="483">
        <f t="shared" si="69"/>
        <v>0</v>
      </c>
      <c r="T1243" s="483">
        <f t="shared" si="69"/>
        <v>0</v>
      </c>
      <c r="U1243" s="483">
        <f t="shared" si="69"/>
        <v>0</v>
      </c>
      <c r="V1243" s="483">
        <f t="shared" si="69"/>
        <v>0</v>
      </c>
      <c r="W1243" s="483">
        <f t="shared" si="69"/>
        <v>0</v>
      </c>
      <c r="X1243" s="483">
        <f t="shared" si="69"/>
        <v>0</v>
      </c>
      <c r="Y1243" s="483">
        <f t="shared" si="69"/>
        <v>0</v>
      </c>
      <c r="Z1243" s="483">
        <f t="shared" si="69"/>
        <v>0</v>
      </c>
      <c r="AA1243" s="483">
        <f t="shared" si="69"/>
        <v>0</v>
      </c>
      <c r="AB1243" s="443"/>
    </row>
    <row r="1244" spans="1:28" s="444" customFormat="1">
      <c r="A1244" s="435" t="s">
        <v>170</v>
      </c>
      <c r="B1244" s="435" t="s">
        <v>120</v>
      </c>
      <c r="C1244" s="435" t="s">
        <v>152</v>
      </c>
      <c r="D1244" s="435" t="s">
        <v>182</v>
      </c>
      <c r="E1244" s="436" t="s">
        <v>153</v>
      </c>
      <c r="F1244" s="435" t="s">
        <v>182</v>
      </c>
      <c r="G1244" s="599" t="s">
        <v>401</v>
      </c>
      <c r="H1244" s="437"/>
      <c r="I1244" s="438" t="s">
        <v>181</v>
      </c>
      <c r="J1244" s="439" t="s">
        <v>154</v>
      </c>
      <c r="K1244" s="439" t="s">
        <v>155</v>
      </c>
      <c r="L1244" s="440" t="s">
        <v>156</v>
      </c>
      <c r="M1244" s="441" t="s">
        <v>157</v>
      </c>
      <c r="N1244" s="440" t="s">
        <v>158</v>
      </c>
      <c r="O1244" s="440" t="s">
        <v>159</v>
      </c>
      <c r="P1244" s="440" t="s">
        <v>174</v>
      </c>
      <c r="Q1244" s="440" t="s">
        <v>160</v>
      </c>
      <c r="R1244" s="440" t="s">
        <v>161</v>
      </c>
      <c r="S1244" s="440" t="s">
        <v>162</v>
      </c>
      <c r="T1244" s="438" t="s">
        <v>163</v>
      </c>
      <c r="U1244" s="438" t="s">
        <v>164</v>
      </c>
      <c r="V1244" s="438" t="s">
        <v>165</v>
      </c>
      <c r="W1244" s="440" t="s">
        <v>113</v>
      </c>
      <c r="X1244" s="438" t="s">
        <v>121</v>
      </c>
      <c r="Y1244" s="438" t="s">
        <v>166</v>
      </c>
      <c r="Z1244" s="442" t="s">
        <v>175</v>
      </c>
      <c r="AA1244" s="442" t="s">
        <v>167</v>
      </c>
      <c r="AB1244" s="443"/>
    </row>
    <row r="1245" spans="1:28" s="444" customFormat="1">
      <c r="A1245" s="445"/>
      <c r="B1245" s="446" t="s">
        <v>187</v>
      </c>
      <c r="C1245" s="447">
        <v>12110</v>
      </c>
      <c r="D1245" s="448" t="s">
        <v>292</v>
      </c>
      <c r="E1245" s="449" t="s">
        <v>291</v>
      </c>
      <c r="F1245" s="448" t="s">
        <v>292</v>
      </c>
      <c r="G1245" s="589">
        <v>46214</v>
      </c>
      <c r="H1245" s="450"/>
      <c r="I1245" s="450"/>
      <c r="J1245" s="295"/>
      <c r="K1245" s="295"/>
      <c r="L1245" s="451"/>
      <c r="M1245" s="452"/>
      <c r="N1245" s="452"/>
      <c r="O1245" s="452"/>
      <c r="P1245" s="452"/>
      <c r="Q1245" s="453"/>
      <c r="R1245" s="452"/>
      <c r="S1245" s="452"/>
      <c r="T1245" s="453"/>
      <c r="U1245" s="452"/>
      <c r="V1245" s="453"/>
      <c r="W1245" s="454"/>
      <c r="X1245" s="455"/>
      <c r="Y1245" s="456"/>
      <c r="Z1245" s="457"/>
      <c r="AA1245" s="458"/>
      <c r="AB1245" s="443"/>
    </row>
    <row r="1246" spans="1:28" s="444" customFormat="1">
      <c r="A1246" s="459"/>
      <c r="B1246" s="446" t="s">
        <v>187</v>
      </c>
      <c r="C1246" s="447">
        <v>12110</v>
      </c>
      <c r="D1246" s="448" t="s">
        <v>292</v>
      </c>
      <c r="E1246" s="449" t="s">
        <v>291</v>
      </c>
      <c r="F1246" s="448" t="s">
        <v>292</v>
      </c>
      <c r="G1246" s="590">
        <v>46215</v>
      </c>
      <c r="H1246" s="450"/>
      <c r="I1246" s="450"/>
      <c r="J1246" s="699" t="s">
        <v>173</v>
      </c>
      <c r="K1246" s="700"/>
      <c r="L1246" s="451"/>
      <c r="M1246" s="452"/>
      <c r="N1246" s="452"/>
      <c r="O1246" s="452"/>
      <c r="P1246" s="452"/>
      <c r="Q1246" s="453"/>
      <c r="R1246" s="452"/>
      <c r="S1246" s="452"/>
      <c r="T1246" s="453"/>
      <c r="U1246" s="452"/>
      <c r="V1246" s="453"/>
      <c r="W1246" s="454"/>
      <c r="X1246" s="455"/>
      <c r="Y1246" s="456"/>
      <c r="Z1246" s="457"/>
      <c r="AA1246" s="458"/>
      <c r="AB1246" s="443"/>
    </row>
    <row r="1247" spans="1:28" s="444" customFormat="1">
      <c r="A1247" s="459"/>
      <c r="B1247" s="446" t="s">
        <v>187</v>
      </c>
      <c r="C1247" s="446">
        <v>12110</v>
      </c>
      <c r="D1247" s="448" t="s">
        <v>292</v>
      </c>
      <c r="E1247" s="449" t="s">
        <v>291</v>
      </c>
      <c r="F1247" s="448" t="s">
        <v>292</v>
      </c>
      <c r="G1247" s="589">
        <v>46216</v>
      </c>
      <c r="H1247" s="450"/>
      <c r="I1247" s="450" t="s">
        <v>186</v>
      </c>
      <c r="J1247" s="382">
        <v>0.3125</v>
      </c>
      <c r="K1247" s="382">
        <v>0.79374999999999996</v>
      </c>
      <c r="L1247" s="451" t="s">
        <v>169</v>
      </c>
      <c r="M1247" s="452">
        <v>8</v>
      </c>
      <c r="N1247" s="452">
        <v>2</v>
      </c>
      <c r="O1247" s="452"/>
      <c r="P1247" s="452"/>
      <c r="Q1247" s="461"/>
      <c r="R1247" s="452"/>
      <c r="S1247" s="452"/>
      <c r="T1247" s="453"/>
      <c r="U1247" s="452"/>
      <c r="V1247" s="453"/>
      <c r="W1247" s="454"/>
      <c r="X1247" s="455"/>
      <c r="Y1247" s="456"/>
      <c r="Z1247" s="457"/>
      <c r="AA1247" s="458"/>
      <c r="AB1247" s="443"/>
    </row>
    <row r="1248" spans="1:28" s="444" customFormat="1">
      <c r="A1248" s="459"/>
      <c r="B1248" s="446" t="s">
        <v>187</v>
      </c>
      <c r="C1248" s="446">
        <v>12110</v>
      </c>
      <c r="D1248" s="448" t="s">
        <v>292</v>
      </c>
      <c r="E1248" s="449" t="s">
        <v>291</v>
      </c>
      <c r="F1248" s="448" t="s">
        <v>292</v>
      </c>
      <c r="G1248" s="589">
        <v>46217</v>
      </c>
      <c r="H1248" s="450"/>
      <c r="I1248" s="450" t="s">
        <v>186</v>
      </c>
      <c r="J1248" s="305">
        <v>0.31527777777777777</v>
      </c>
      <c r="K1248" s="305">
        <v>0.79305555555555562</v>
      </c>
      <c r="L1248" s="451" t="s">
        <v>169</v>
      </c>
      <c r="M1248" s="452">
        <v>8</v>
      </c>
      <c r="N1248" s="452">
        <v>2</v>
      </c>
      <c r="O1248" s="462"/>
      <c r="P1248" s="462"/>
      <c r="Q1248" s="461"/>
      <c r="R1248" s="462"/>
      <c r="S1248" s="462"/>
      <c r="T1248" s="461"/>
      <c r="U1248" s="462"/>
      <c r="V1248" s="461"/>
      <c r="W1248" s="463"/>
      <c r="X1248" s="464"/>
      <c r="Y1248" s="465"/>
      <c r="Z1248" s="466"/>
      <c r="AA1248" s="467"/>
      <c r="AB1248" s="443"/>
    </row>
    <row r="1249" spans="1:28" s="444" customFormat="1">
      <c r="A1249" s="459"/>
      <c r="B1249" s="446" t="s">
        <v>187</v>
      </c>
      <c r="C1249" s="446">
        <v>12110</v>
      </c>
      <c r="D1249" s="448" t="s">
        <v>292</v>
      </c>
      <c r="E1249" s="449" t="s">
        <v>291</v>
      </c>
      <c r="F1249" s="448" t="s">
        <v>292</v>
      </c>
      <c r="G1249" s="589">
        <v>46218</v>
      </c>
      <c r="H1249" s="450"/>
      <c r="I1249" s="450" t="s">
        <v>186</v>
      </c>
      <c r="J1249" s="305">
        <v>0.31527777777777777</v>
      </c>
      <c r="K1249" s="305">
        <v>0.79375000000000007</v>
      </c>
      <c r="L1249" s="451" t="s">
        <v>169</v>
      </c>
      <c r="M1249" s="452">
        <v>8</v>
      </c>
      <c r="N1249" s="452">
        <v>2</v>
      </c>
      <c r="O1249" s="452"/>
      <c r="P1249" s="452"/>
      <c r="Q1249" s="453"/>
      <c r="R1249" s="452"/>
      <c r="S1249" s="452"/>
      <c r="T1249" s="453"/>
      <c r="U1249" s="452"/>
      <c r="V1249" s="453"/>
      <c r="W1249" s="454"/>
      <c r="X1249" s="455"/>
      <c r="Y1249" s="456"/>
      <c r="Z1249" s="457"/>
      <c r="AA1249" s="458"/>
      <c r="AB1249" s="443"/>
    </row>
    <row r="1250" spans="1:28" s="444" customFormat="1">
      <c r="A1250" s="459"/>
      <c r="B1250" s="446" t="s">
        <v>187</v>
      </c>
      <c r="C1250" s="446">
        <v>12110</v>
      </c>
      <c r="D1250" s="448" t="s">
        <v>292</v>
      </c>
      <c r="E1250" s="449" t="s">
        <v>291</v>
      </c>
      <c r="F1250" s="448" t="s">
        <v>292</v>
      </c>
      <c r="G1250" s="589">
        <v>46219</v>
      </c>
      <c r="H1250" s="450"/>
      <c r="I1250" s="450" t="s">
        <v>186</v>
      </c>
      <c r="J1250" s="305">
        <v>0.30972222222222223</v>
      </c>
      <c r="K1250" s="305">
        <v>0.79375000000000007</v>
      </c>
      <c r="L1250" s="451" t="s">
        <v>169</v>
      </c>
      <c r="M1250" s="452">
        <v>8</v>
      </c>
      <c r="N1250" s="452">
        <v>2</v>
      </c>
      <c r="O1250" s="452"/>
      <c r="P1250" s="452"/>
      <c r="Q1250" s="453"/>
      <c r="R1250" s="452"/>
      <c r="S1250" s="452"/>
      <c r="T1250" s="453"/>
      <c r="U1250" s="452"/>
      <c r="V1250" s="453"/>
      <c r="W1250" s="454"/>
      <c r="X1250" s="455"/>
      <c r="Y1250" s="456"/>
      <c r="Z1250" s="457"/>
      <c r="AA1250" s="458"/>
      <c r="AB1250" s="443"/>
    </row>
    <row r="1251" spans="1:28" s="444" customFormat="1">
      <c r="A1251" s="459"/>
      <c r="B1251" s="446" t="s">
        <v>187</v>
      </c>
      <c r="C1251" s="446">
        <v>12110</v>
      </c>
      <c r="D1251" s="448" t="s">
        <v>292</v>
      </c>
      <c r="E1251" s="449" t="s">
        <v>291</v>
      </c>
      <c r="F1251" s="448" t="s">
        <v>292</v>
      </c>
      <c r="G1251" s="589">
        <v>46220</v>
      </c>
      <c r="H1251" s="450"/>
      <c r="I1251" s="450" t="s">
        <v>186</v>
      </c>
      <c r="J1251" s="305">
        <v>0.30972222222222223</v>
      </c>
      <c r="K1251" s="305">
        <v>0.7104166666666667</v>
      </c>
      <c r="L1251" s="451" t="s">
        <v>169</v>
      </c>
      <c r="M1251" s="452">
        <v>8</v>
      </c>
      <c r="N1251" s="452"/>
      <c r="O1251" s="452"/>
      <c r="P1251" s="452"/>
      <c r="Q1251" s="453"/>
      <c r="R1251" s="452"/>
      <c r="S1251" s="452"/>
      <c r="T1251" s="453"/>
      <c r="U1251" s="452"/>
      <c r="V1251" s="453"/>
      <c r="W1251" s="454"/>
      <c r="X1251" s="455"/>
      <c r="Y1251" s="456"/>
      <c r="Z1251" s="457"/>
      <c r="AA1251" s="458"/>
      <c r="AB1251" s="443"/>
    </row>
    <row r="1252" spans="1:28" s="444" customFormat="1">
      <c r="A1252" s="459"/>
      <c r="B1252" s="446" t="s">
        <v>187</v>
      </c>
      <c r="C1252" s="446">
        <v>12110</v>
      </c>
      <c r="D1252" s="448" t="s">
        <v>292</v>
      </c>
      <c r="E1252" s="449" t="s">
        <v>291</v>
      </c>
      <c r="F1252" s="448" t="s">
        <v>292</v>
      </c>
      <c r="G1252" s="589">
        <v>46221</v>
      </c>
      <c r="H1252" s="450"/>
      <c r="I1252" s="450" t="s">
        <v>186</v>
      </c>
      <c r="J1252" s="305">
        <v>0.30972222222222223</v>
      </c>
      <c r="K1252" s="305">
        <v>0.7104166666666667</v>
      </c>
      <c r="L1252" s="451" t="s">
        <v>169</v>
      </c>
      <c r="M1252" s="452">
        <v>8</v>
      </c>
      <c r="N1252" s="452"/>
      <c r="O1252" s="452"/>
      <c r="P1252" s="452"/>
      <c r="Q1252" s="453"/>
      <c r="R1252" s="452"/>
      <c r="S1252" s="452"/>
      <c r="T1252" s="453"/>
      <c r="U1252" s="452"/>
      <c r="V1252" s="453"/>
      <c r="W1252" s="454"/>
      <c r="X1252" s="455"/>
      <c r="Y1252" s="456"/>
      <c r="Z1252" s="457"/>
      <c r="AA1252" s="458"/>
      <c r="AB1252" s="443"/>
    </row>
    <row r="1253" spans="1:28" s="444" customFormat="1">
      <c r="A1253" s="459"/>
      <c r="B1253" s="446" t="s">
        <v>187</v>
      </c>
      <c r="C1253" s="446">
        <v>12110</v>
      </c>
      <c r="D1253" s="448" t="s">
        <v>292</v>
      </c>
      <c r="E1253" s="449" t="s">
        <v>291</v>
      </c>
      <c r="F1253" s="448" t="s">
        <v>292</v>
      </c>
      <c r="G1253" s="590">
        <v>46222</v>
      </c>
      <c r="H1253" s="450"/>
      <c r="I1253" s="450"/>
      <c r="J1253" s="699" t="s">
        <v>173</v>
      </c>
      <c r="K1253" s="700"/>
      <c r="L1253" s="451"/>
      <c r="M1253" s="452"/>
      <c r="N1253" s="452"/>
      <c r="O1253" s="452"/>
      <c r="P1253" s="452"/>
      <c r="Q1253" s="453"/>
      <c r="R1253" s="452"/>
      <c r="S1253" s="452"/>
      <c r="T1253" s="453"/>
      <c r="U1253" s="452"/>
      <c r="V1253" s="453"/>
      <c r="W1253" s="454"/>
      <c r="X1253" s="455"/>
      <c r="Y1253" s="456"/>
      <c r="Z1253" s="457"/>
      <c r="AA1253" s="458"/>
      <c r="AB1253" s="443"/>
    </row>
    <row r="1254" spans="1:28" s="444" customFormat="1">
      <c r="A1254" s="459"/>
      <c r="B1254" s="446" t="s">
        <v>187</v>
      </c>
      <c r="C1254" s="446">
        <v>12110</v>
      </c>
      <c r="D1254" s="448" t="s">
        <v>292</v>
      </c>
      <c r="E1254" s="449" t="s">
        <v>291</v>
      </c>
      <c r="F1254" s="448" t="s">
        <v>292</v>
      </c>
      <c r="G1254" s="589">
        <v>46223</v>
      </c>
      <c r="H1254" s="450"/>
      <c r="I1254" s="450" t="s">
        <v>186</v>
      </c>
      <c r="J1254" s="305">
        <v>0.29375000000000001</v>
      </c>
      <c r="K1254" s="305">
        <v>0.79305555555555551</v>
      </c>
      <c r="L1254" s="451" t="s">
        <v>169</v>
      </c>
      <c r="M1254" s="452">
        <v>8</v>
      </c>
      <c r="N1254" s="452">
        <v>2</v>
      </c>
      <c r="O1254" s="452"/>
      <c r="P1254" s="452"/>
      <c r="Q1254" s="461"/>
      <c r="R1254" s="462"/>
      <c r="S1254" s="462"/>
      <c r="T1254" s="461"/>
      <c r="U1254" s="462"/>
      <c r="V1254" s="461"/>
      <c r="W1254" s="454"/>
      <c r="X1254" s="455"/>
      <c r="Y1254" s="456"/>
      <c r="Z1254" s="457"/>
      <c r="AA1254" s="458"/>
      <c r="AB1254" s="443"/>
    </row>
    <row r="1255" spans="1:28" s="444" customFormat="1">
      <c r="A1255" s="459"/>
      <c r="B1255" s="446" t="s">
        <v>187</v>
      </c>
      <c r="C1255" s="446">
        <v>12110</v>
      </c>
      <c r="D1255" s="448" t="s">
        <v>292</v>
      </c>
      <c r="E1255" s="449" t="s">
        <v>291</v>
      </c>
      <c r="F1255" s="448" t="s">
        <v>292</v>
      </c>
      <c r="G1255" s="589">
        <v>46224</v>
      </c>
      <c r="H1255" s="450"/>
      <c r="I1255" s="450" t="s">
        <v>186</v>
      </c>
      <c r="J1255" s="295">
        <v>0.31458333333333333</v>
      </c>
      <c r="K1255" s="295">
        <v>0.79305555555555551</v>
      </c>
      <c r="L1255" s="451" t="s">
        <v>169</v>
      </c>
      <c r="M1255" s="452">
        <v>8</v>
      </c>
      <c r="N1255" s="452">
        <v>2</v>
      </c>
      <c r="O1255" s="469"/>
      <c r="P1255" s="469"/>
      <c r="Q1255" s="468"/>
      <c r="R1255" s="469"/>
      <c r="S1255" s="469"/>
      <c r="T1255" s="461"/>
      <c r="U1255" s="462"/>
      <c r="V1255" s="461"/>
      <c r="W1255" s="463"/>
      <c r="X1255" s="464"/>
      <c r="Y1255" s="465"/>
      <c r="Z1255" s="466"/>
      <c r="AA1255" s="467"/>
      <c r="AB1255" s="443"/>
    </row>
    <row r="1256" spans="1:28" s="444" customFormat="1">
      <c r="A1256" s="459"/>
      <c r="B1256" s="446" t="s">
        <v>187</v>
      </c>
      <c r="C1256" s="446">
        <v>12110</v>
      </c>
      <c r="D1256" s="448" t="s">
        <v>292</v>
      </c>
      <c r="E1256" s="449" t="s">
        <v>291</v>
      </c>
      <c r="F1256" s="448" t="s">
        <v>292</v>
      </c>
      <c r="G1256" s="589">
        <v>46225</v>
      </c>
      <c r="H1256" s="450"/>
      <c r="I1256" s="450" t="s">
        <v>186</v>
      </c>
      <c r="J1256" s="295">
        <v>0.31736111111111109</v>
      </c>
      <c r="K1256" s="295">
        <v>0.79513888888888884</v>
      </c>
      <c r="L1256" s="451" t="s">
        <v>169</v>
      </c>
      <c r="M1256" s="452">
        <v>8</v>
      </c>
      <c r="N1256" s="452">
        <v>2</v>
      </c>
      <c r="O1256" s="452"/>
      <c r="P1256" s="452"/>
      <c r="Q1256" s="453"/>
      <c r="R1256" s="452"/>
      <c r="S1256" s="452"/>
      <c r="T1256" s="453"/>
      <c r="U1256" s="452"/>
      <c r="V1256" s="453"/>
      <c r="W1256" s="454"/>
      <c r="X1256" s="455"/>
      <c r="Y1256" s="456"/>
      <c r="Z1256" s="457"/>
      <c r="AA1256" s="458"/>
      <c r="AB1256" s="443"/>
    </row>
    <row r="1257" spans="1:28" s="444" customFormat="1">
      <c r="A1257" s="459"/>
      <c r="B1257" s="446" t="s">
        <v>187</v>
      </c>
      <c r="C1257" s="446">
        <v>12110</v>
      </c>
      <c r="D1257" s="448" t="s">
        <v>292</v>
      </c>
      <c r="E1257" s="449" t="s">
        <v>291</v>
      </c>
      <c r="F1257" s="448" t="s">
        <v>292</v>
      </c>
      <c r="G1257" s="589">
        <v>46226</v>
      </c>
      <c r="H1257" s="450"/>
      <c r="I1257" s="450" t="s">
        <v>186</v>
      </c>
      <c r="J1257" s="295">
        <v>0.31041666666666667</v>
      </c>
      <c r="K1257" s="295">
        <v>0.79305555555555551</v>
      </c>
      <c r="L1257" s="451" t="s">
        <v>169</v>
      </c>
      <c r="M1257" s="452">
        <v>8</v>
      </c>
      <c r="N1257" s="452">
        <v>2</v>
      </c>
      <c r="O1257" s="470"/>
      <c r="P1257" s="470"/>
      <c r="Q1257" s="453"/>
      <c r="R1257" s="452"/>
      <c r="S1257" s="452"/>
      <c r="T1257" s="453"/>
      <c r="U1257" s="452"/>
      <c r="V1257" s="453"/>
      <c r="W1257" s="454"/>
      <c r="X1257" s="455"/>
      <c r="Y1257" s="456"/>
      <c r="Z1257" s="457"/>
      <c r="AA1257" s="458"/>
      <c r="AB1257" s="443"/>
    </row>
    <row r="1258" spans="1:28" s="444" customFormat="1">
      <c r="A1258" s="459"/>
      <c r="B1258" s="446" t="s">
        <v>187</v>
      </c>
      <c r="C1258" s="446">
        <v>12110</v>
      </c>
      <c r="D1258" s="448" t="s">
        <v>292</v>
      </c>
      <c r="E1258" s="449" t="s">
        <v>291</v>
      </c>
      <c r="F1258" s="448" t="s">
        <v>292</v>
      </c>
      <c r="G1258" s="589">
        <v>46227</v>
      </c>
      <c r="H1258" s="450"/>
      <c r="I1258" s="450" t="s">
        <v>186</v>
      </c>
      <c r="J1258" s="295">
        <v>0.31666666666666665</v>
      </c>
      <c r="K1258" s="318">
        <v>0.79305555555555551</v>
      </c>
      <c r="L1258" s="451" t="s">
        <v>169</v>
      </c>
      <c r="M1258" s="452">
        <v>8</v>
      </c>
      <c r="N1258" s="452">
        <v>2</v>
      </c>
      <c r="O1258" s="471"/>
      <c r="P1258" s="471"/>
      <c r="Q1258" s="472"/>
      <c r="R1258" s="471"/>
      <c r="S1258" s="471"/>
      <c r="T1258" s="453"/>
      <c r="U1258" s="452"/>
      <c r="V1258" s="453"/>
      <c r="W1258" s="454"/>
      <c r="X1258" s="455"/>
      <c r="Y1258" s="456"/>
      <c r="Z1258" s="457"/>
      <c r="AA1258" s="458"/>
      <c r="AB1258" s="443"/>
    </row>
    <row r="1259" spans="1:28" s="444" customFormat="1">
      <c r="A1259" s="459"/>
      <c r="B1259" s="446" t="s">
        <v>187</v>
      </c>
      <c r="C1259" s="446">
        <v>12110</v>
      </c>
      <c r="D1259" s="448" t="s">
        <v>292</v>
      </c>
      <c r="E1259" s="449" t="s">
        <v>291</v>
      </c>
      <c r="F1259" s="448" t="s">
        <v>292</v>
      </c>
      <c r="G1259" s="589">
        <v>46228</v>
      </c>
      <c r="H1259" s="450"/>
      <c r="I1259" s="450" t="s">
        <v>186</v>
      </c>
      <c r="J1259" s="295"/>
      <c r="K1259" s="295"/>
      <c r="L1259" s="451"/>
      <c r="M1259" s="452"/>
      <c r="N1259" s="452"/>
      <c r="O1259" s="452"/>
      <c r="P1259" s="452"/>
      <c r="Q1259" s="453"/>
      <c r="R1259" s="452"/>
      <c r="S1259" s="473"/>
      <c r="T1259" s="453"/>
      <c r="U1259" s="452"/>
      <c r="V1259" s="453"/>
      <c r="W1259" s="454"/>
      <c r="X1259" s="455"/>
      <c r="Y1259" s="456"/>
      <c r="Z1259" s="457"/>
      <c r="AA1259" s="458"/>
      <c r="AB1259" s="443"/>
    </row>
    <row r="1260" spans="1:28" s="444" customFormat="1">
      <c r="A1260" s="459"/>
      <c r="B1260" s="446"/>
      <c r="C1260" s="446"/>
      <c r="D1260" s="449"/>
      <c r="E1260" s="449"/>
      <c r="F1260" s="449"/>
      <c r="G1260" s="600"/>
      <c r="H1260" s="450"/>
      <c r="I1260" s="450"/>
      <c r="J1260" s="474"/>
      <c r="K1260" s="475"/>
      <c r="L1260" s="476"/>
      <c r="M1260" s="477"/>
      <c r="N1260" s="477"/>
      <c r="O1260" s="477"/>
      <c r="P1260" s="477"/>
      <c r="Q1260" s="478"/>
      <c r="R1260" s="477"/>
      <c r="S1260" s="479"/>
      <c r="T1260" s="453"/>
      <c r="U1260" s="452"/>
      <c r="V1260" s="453"/>
      <c r="W1260" s="454"/>
      <c r="X1260" s="455"/>
      <c r="Y1260" s="456"/>
      <c r="Z1260" s="457"/>
      <c r="AA1260" s="458"/>
      <c r="AB1260" s="443"/>
    </row>
    <row r="1261" spans="1:28" s="444" customFormat="1">
      <c r="A1261" s="480"/>
      <c r="B1261" s="481"/>
      <c r="C1261" s="446"/>
      <c r="D1261" s="481"/>
      <c r="E1261" s="449"/>
      <c r="F1261" s="481"/>
      <c r="G1261" s="601"/>
      <c r="H1261" s="482"/>
      <c r="I1261" s="483"/>
      <c r="J1261" s="484"/>
      <c r="K1261" s="485"/>
      <c r="L1261" s="483"/>
      <c r="M1261" s="483">
        <f t="shared" ref="M1261:AA1261" si="70">SUM(M1244:M1260)</f>
        <v>88</v>
      </c>
      <c r="N1261" s="483">
        <f t="shared" si="70"/>
        <v>18</v>
      </c>
      <c r="O1261" s="483">
        <f t="shared" si="70"/>
        <v>0</v>
      </c>
      <c r="P1261" s="483">
        <f t="shared" si="70"/>
        <v>0</v>
      </c>
      <c r="Q1261" s="483">
        <f t="shared" si="70"/>
        <v>0</v>
      </c>
      <c r="R1261" s="483">
        <f t="shared" si="70"/>
        <v>0</v>
      </c>
      <c r="S1261" s="483">
        <f t="shared" si="70"/>
        <v>0</v>
      </c>
      <c r="T1261" s="483">
        <f t="shared" si="70"/>
        <v>0</v>
      </c>
      <c r="U1261" s="483">
        <f t="shared" si="70"/>
        <v>0</v>
      </c>
      <c r="V1261" s="483">
        <f t="shared" si="70"/>
        <v>0</v>
      </c>
      <c r="W1261" s="483">
        <f t="shared" si="70"/>
        <v>0</v>
      </c>
      <c r="X1261" s="483">
        <f t="shared" si="70"/>
        <v>0</v>
      </c>
      <c r="Y1261" s="483">
        <f t="shared" si="70"/>
        <v>0</v>
      </c>
      <c r="Z1261" s="483">
        <f t="shared" si="70"/>
        <v>0</v>
      </c>
      <c r="AA1261" s="483">
        <f t="shared" si="70"/>
        <v>0</v>
      </c>
      <c r="AB1261" s="443"/>
    </row>
    <row r="1262" spans="1:28" s="444" customFormat="1" ht="24" customHeight="1">
      <c r="A1262" s="435" t="s">
        <v>170</v>
      </c>
      <c r="B1262" s="435" t="s">
        <v>120</v>
      </c>
      <c r="C1262" s="435" t="s">
        <v>152</v>
      </c>
      <c r="D1262" s="435" t="s">
        <v>182</v>
      </c>
      <c r="E1262" s="436" t="s">
        <v>153</v>
      </c>
      <c r="F1262" s="435" t="s">
        <v>182</v>
      </c>
      <c r="G1262" s="599" t="s">
        <v>401</v>
      </c>
      <c r="H1262" s="437"/>
      <c r="I1262" s="438" t="s">
        <v>181</v>
      </c>
      <c r="J1262" s="439" t="s">
        <v>154</v>
      </c>
      <c r="K1262" s="439" t="s">
        <v>155</v>
      </c>
      <c r="L1262" s="440" t="s">
        <v>156</v>
      </c>
      <c r="M1262" s="441" t="s">
        <v>157</v>
      </c>
      <c r="N1262" s="440" t="s">
        <v>158</v>
      </c>
      <c r="O1262" s="440" t="s">
        <v>159</v>
      </c>
      <c r="P1262" s="440" t="s">
        <v>174</v>
      </c>
      <c r="Q1262" s="440" t="s">
        <v>160</v>
      </c>
      <c r="R1262" s="440" t="s">
        <v>161</v>
      </c>
      <c r="S1262" s="440" t="s">
        <v>162</v>
      </c>
      <c r="T1262" s="438" t="s">
        <v>163</v>
      </c>
      <c r="U1262" s="438" t="s">
        <v>164</v>
      </c>
      <c r="V1262" s="438" t="s">
        <v>165</v>
      </c>
      <c r="W1262" s="440" t="s">
        <v>113</v>
      </c>
      <c r="X1262" s="438" t="s">
        <v>121</v>
      </c>
      <c r="Y1262" s="438" t="s">
        <v>166</v>
      </c>
      <c r="Z1262" s="442" t="s">
        <v>175</v>
      </c>
      <c r="AA1262" s="442" t="s">
        <v>167</v>
      </c>
      <c r="AB1262" s="443"/>
    </row>
    <row r="1263" spans="1:28" s="444" customFormat="1" ht="17.5" customHeight="1">
      <c r="A1263" s="445"/>
      <c r="B1263" s="446" t="s">
        <v>187</v>
      </c>
      <c r="C1263" s="449">
        <v>14370</v>
      </c>
      <c r="D1263" s="448" t="s">
        <v>290</v>
      </c>
      <c r="E1263" s="449" t="s">
        <v>289</v>
      </c>
      <c r="F1263" s="448" t="s">
        <v>290</v>
      </c>
      <c r="G1263" s="589">
        <v>46214</v>
      </c>
      <c r="H1263" s="450"/>
      <c r="I1263" s="450" t="s">
        <v>186</v>
      </c>
      <c r="J1263" s="295">
        <v>0.3263888888888889</v>
      </c>
      <c r="K1263" s="295">
        <v>0.71250000000000002</v>
      </c>
      <c r="L1263" s="451" t="s">
        <v>169</v>
      </c>
      <c r="M1263" s="452">
        <v>8</v>
      </c>
      <c r="N1263" s="452"/>
      <c r="O1263" s="452"/>
      <c r="P1263" s="452"/>
      <c r="Q1263" s="453"/>
      <c r="R1263" s="452"/>
      <c r="S1263" s="452"/>
      <c r="T1263" s="453"/>
      <c r="U1263" s="452"/>
      <c r="V1263" s="453"/>
      <c r="W1263" s="454"/>
      <c r="X1263" s="455"/>
      <c r="Y1263" s="456"/>
      <c r="Z1263" s="457"/>
      <c r="AA1263" s="458"/>
      <c r="AB1263" s="443"/>
    </row>
    <row r="1264" spans="1:28" s="444" customFormat="1" ht="17.5" customHeight="1">
      <c r="A1264" s="459"/>
      <c r="B1264" s="446" t="s">
        <v>187</v>
      </c>
      <c r="C1264" s="449">
        <v>14370</v>
      </c>
      <c r="D1264" s="448" t="s">
        <v>290</v>
      </c>
      <c r="E1264" s="449" t="s">
        <v>289</v>
      </c>
      <c r="F1264" s="448" t="s">
        <v>290</v>
      </c>
      <c r="G1264" s="590">
        <v>46215</v>
      </c>
      <c r="H1264" s="450"/>
      <c r="I1264" s="450"/>
      <c r="J1264" s="699" t="s">
        <v>173</v>
      </c>
      <c r="K1264" s="700"/>
      <c r="L1264" s="451"/>
      <c r="M1264" s="452"/>
      <c r="N1264" s="452"/>
      <c r="O1264" s="452"/>
      <c r="P1264" s="452"/>
      <c r="Q1264" s="453"/>
      <c r="R1264" s="452"/>
      <c r="S1264" s="452"/>
      <c r="T1264" s="453"/>
      <c r="U1264" s="452"/>
      <c r="V1264" s="453"/>
      <c r="W1264" s="454"/>
      <c r="X1264" s="455"/>
      <c r="Y1264" s="456"/>
      <c r="Z1264" s="457"/>
      <c r="AA1264" s="458"/>
      <c r="AB1264" s="443"/>
    </row>
    <row r="1265" spans="1:28" s="444" customFormat="1" ht="17.5" customHeight="1">
      <c r="A1265" s="459"/>
      <c r="B1265" s="446" t="s">
        <v>187</v>
      </c>
      <c r="C1265" s="486">
        <v>14370</v>
      </c>
      <c r="D1265" s="448" t="s">
        <v>290</v>
      </c>
      <c r="E1265" s="449" t="s">
        <v>289</v>
      </c>
      <c r="F1265" s="448" t="s">
        <v>290</v>
      </c>
      <c r="G1265" s="589">
        <v>46216</v>
      </c>
      <c r="H1265" s="450"/>
      <c r="I1265" s="450" t="s">
        <v>186</v>
      </c>
      <c r="J1265" s="382">
        <v>0.32777777777777778</v>
      </c>
      <c r="K1265" s="382">
        <v>0.7944444444444444</v>
      </c>
      <c r="L1265" s="451" t="s">
        <v>169</v>
      </c>
      <c r="M1265" s="452">
        <v>8</v>
      </c>
      <c r="N1265" s="452">
        <v>2</v>
      </c>
      <c r="O1265" s="452"/>
      <c r="P1265" s="452"/>
      <c r="Q1265" s="461"/>
      <c r="R1265" s="452"/>
      <c r="S1265" s="452"/>
      <c r="T1265" s="453"/>
      <c r="U1265" s="452"/>
      <c r="V1265" s="453"/>
      <c r="W1265" s="454"/>
      <c r="X1265" s="455"/>
      <c r="Y1265" s="456"/>
      <c r="Z1265" s="457"/>
      <c r="AA1265" s="458"/>
      <c r="AB1265" s="443"/>
    </row>
    <row r="1266" spans="1:28" s="444" customFormat="1" ht="17.5" customHeight="1">
      <c r="A1266" s="459"/>
      <c r="B1266" s="446" t="s">
        <v>187</v>
      </c>
      <c r="C1266" s="486">
        <v>14370</v>
      </c>
      <c r="D1266" s="448" t="s">
        <v>290</v>
      </c>
      <c r="E1266" s="449" t="s">
        <v>289</v>
      </c>
      <c r="F1266" s="448" t="s">
        <v>290</v>
      </c>
      <c r="G1266" s="589">
        <v>46217</v>
      </c>
      <c r="H1266" s="450"/>
      <c r="I1266" s="450" t="s">
        <v>186</v>
      </c>
      <c r="J1266" s="305">
        <v>0.32847222222222222</v>
      </c>
      <c r="K1266" s="305">
        <v>0.79583333333333339</v>
      </c>
      <c r="L1266" s="451" t="s">
        <v>169</v>
      </c>
      <c r="M1266" s="452">
        <v>8</v>
      </c>
      <c r="N1266" s="452">
        <v>2</v>
      </c>
      <c r="O1266" s="462"/>
      <c r="P1266" s="462"/>
      <c r="Q1266" s="461"/>
      <c r="R1266" s="462"/>
      <c r="S1266" s="462"/>
      <c r="T1266" s="461"/>
      <c r="U1266" s="462"/>
      <c r="V1266" s="461"/>
      <c r="W1266" s="463"/>
      <c r="X1266" s="464"/>
      <c r="Y1266" s="465"/>
      <c r="Z1266" s="466"/>
      <c r="AA1266" s="467"/>
      <c r="AB1266" s="443"/>
    </row>
    <row r="1267" spans="1:28" s="444" customFormat="1" ht="17.5" customHeight="1">
      <c r="A1267" s="459"/>
      <c r="B1267" s="446" t="s">
        <v>187</v>
      </c>
      <c r="C1267" s="486">
        <v>14370</v>
      </c>
      <c r="D1267" s="448" t="s">
        <v>290</v>
      </c>
      <c r="E1267" s="449" t="s">
        <v>289</v>
      </c>
      <c r="F1267" s="448" t="s">
        <v>290</v>
      </c>
      <c r="G1267" s="589">
        <v>46218</v>
      </c>
      <c r="H1267" s="450"/>
      <c r="I1267" s="450" t="s">
        <v>186</v>
      </c>
      <c r="J1267" s="305">
        <v>0.3263888888888889</v>
      </c>
      <c r="K1267" s="305">
        <v>0.79583333333333339</v>
      </c>
      <c r="L1267" s="451" t="s">
        <v>169</v>
      </c>
      <c r="M1267" s="452">
        <v>8</v>
      </c>
      <c r="N1267" s="452">
        <v>2</v>
      </c>
      <c r="O1267" s="452"/>
      <c r="P1267" s="452"/>
      <c r="Q1267" s="453"/>
      <c r="R1267" s="452"/>
      <c r="S1267" s="452"/>
      <c r="T1267" s="453"/>
      <c r="U1267" s="452"/>
      <c r="V1267" s="453"/>
      <c r="W1267" s="454"/>
      <c r="X1267" s="455"/>
      <c r="Y1267" s="456"/>
      <c r="Z1267" s="457"/>
      <c r="AA1267" s="458"/>
      <c r="AB1267" s="443"/>
    </row>
    <row r="1268" spans="1:28" s="444" customFormat="1" ht="17.5" customHeight="1">
      <c r="A1268" s="459"/>
      <c r="B1268" s="446" t="s">
        <v>187</v>
      </c>
      <c r="C1268" s="486">
        <v>14370</v>
      </c>
      <c r="D1268" s="448" t="s">
        <v>290</v>
      </c>
      <c r="E1268" s="449" t="s">
        <v>289</v>
      </c>
      <c r="F1268" s="448" t="s">
        <v>290</v>
      </c>
      <c r="G1268" s="589">
        <v>46219</v>
      </c>
      <c r="H1268" s="450"/>
      <c r="I1268" s="450" t="s">
        <v>186</v>
      </c>
      <c r="J1268" s="305">
        <v>0.32916666666666666</v>
      </c>
      <c r="K1268" s="305">
        <v>0.79513888888888884</v>
      </c>
      <c r="L1268" s="451" t="s">
        <v>169</v>
      </c>
      <c r="M1268" s="452">
        <v>8</v>
      </c>
      <c r="N1268" s="452">
        <v>2</v>
      </c>
      <c r="O1268" s="452"/>
      <c r="P1268" s="452"/>
      <c r="Q1268" s="453"/>
      <c r="R1268" s="452"/>
      <c r="S1268" s="452"/>
      <c r="T1268" s="453"/>
      <c r="U1268" s="452"/>
      <c r="V1268" s="453"/>
      <c r="W1268" s="454"/>
      <c r="X1268" s="455"/>
      <c r="Y1268" s="456"/>
      <c r="Z1268" s="457"/>
      <c r="AA1268" s="458"/>
      <c r="AB1268" s="443"/>
    </row>
    <row r="1269" spans="1:28" s="444" customFormat="1" ht="17.5" customHeight="1">
      <c r="A1269" s="459"/>
      <c r="B1269" s="446" t="s">
        <v>187</v>
      </c>
      <c r="C1269" s="486">
        <v>14370</v>
      </c>
      <c r="D1269" s="448" t="s">
        <v>290</v>
      </c>
      <c r="E1269" s="449" t="s">
        <v>289</v>
      </c>
      <c r="F1269" s="448" t="s">
        <v>290</v>
      </c>
      <c r="G1269" s="589">
        <v>46220</v>
      </c>
      <c r="H1269" s="450"/>
      <c r="I1269" s="450" t="s">
        <v>186</v>
      </c>
      <c r="J1269" s="305">
        <v>0.32916666666666666</v>
      </c>
      <c r="K1269" s="305">
        <v>0.79652777777777772</v>
      </c>
      <c r="L1269" s="451" t="s">
        <v>169</v>
      </c>
      <c r="M1269" s="452">
        <v>8</v>
      </c>
      <c r="N1269" s="452">
        <v>2</v>
      </c>
      <c r="O1269" s="452"/>
      <c r="P1269" s="452"/>
      <c r="Q1269" s="453"/>
      <c r="R1269" s="452"/>
      <c r="S1269" s="452"/>
      <c r="T1269" s="453"/>
      <c r="U1269" s="452"/>
      <c r="V1269" s="453"/>
      <c r="W1269" s="454"/>
      <c r="X1269" s="455"/>
      <c r="Y1269" s="456"/>
      <c r="Z1269" s="457"/>
      <c r="AA1269" s="458"/>
      <c r="AB1269" s="443"/>
    </row>
    <row r="1270" spans="1:28" s="444" customFormat="1" ht="17.5" customHeight="1">
      <c r="A1270" s="459"/>
      <c r="B1270" s="446" t="s">
        <v>187</v>
      </c>
      <c r="C1270" s="486">
        <v>14370</v>
      </c>
      <c r="D1270" s="448" t="s">
        <v>290</v>
      </c>
      <c r="E1270" s="449" t="s">
        <v>289</v>
      </c>
      <c r="F1270" s="448" t="s">
        <v>290</v>
      </c>
      <c r="G1270" s="589">
        <v>46221</v>
      </c>
      <c r="H1270" s="450"/>
      <c r="I1270" s="450" t="s">
        <v>186</v>
      </c>
      <c r="J1270" s="305">
        <v>0.32916666666666666</v>
      </c>
      <c r="K1270" s="305">
        <v>0.71319444444444446</v>
      </c>
      <c r="L1270" s="451" t="s">
        <v>169</v>
      </c>
      <c r="M1270" s="452">
        <v>8</v>
      </c>
      <c r="N1270" s="452"/>
      <c r="O1270" s="452"/>
      <c r="P1270" s="452"/>
      <c r="Q1270" s="453"/>
      <c r="R1270" s="452"/>
      <c r="S1270" s="452"/>
      <c r="T1270" s="453"/>
      <c r="U1270" s="452"/>
      <c r="V1270" s="453"/>
      <c r="W1270" s="454"/>
      <c r="X1270" s="455"/>
      <c r="Y1270" s="456"/>
      <c r="Z1270" s="457"/>
      <c r="AA1270" s="458"/>
      <c r="AB1270" s="443"/>
    </row>
    <row r="1271" spans="1:28" s="444" customFormat="1" ht="17.5" customHeight="1">
      <c r="A1271" s="459"/>
      <c r="B1271" s="446" t="s">
        <v>187</v>
      </c>
      <c r="C1271" s="486">
        <v>14370</v>
      </c>
      <c r="D1271" s="448" t="s">
        <v>290</v>
      </c>
      <c r="E1271" s="449" t="s">
        <v>289</v>
      </c>
      <c r="F1271" s="448" t="s">
        <v>290</v>
      </c>
      <c r="G1271" s="590">
        <v>46222</v>
      </c>
      <c r="H1271" s="450"/>
      <c r="I1271" s="450"/>
      <c r="J1271" s="699" t="s">
        <v>173</v>
      </c>
      <c r="K1271" s="700"/>
      <c r="L1271" s="451"/>
      <c r="M1271" s="452"/>
      <c r="N1271" s="452"/>
      <c r="O1271" s="452"/>
      <c r="P1271" s="452"/>
      <c r="Q1271" s="453"/>
      <c r="R1271" s="452"/>
      <c r="S1271" s="452"/>
      <c r="T1271" s="453"/>
      <c r="U1271" s="452"/>
      <c r="V1271" s="453"/>
      <c r="W1271" s="454"/>
      <c r="X1271" s="455"/>
      <c r="Y1271" s="456"/>
      <c r="Z1271" s="457"/>
      <c r="AA1271" s="458"/>
      <c r="AB1271" s="443"/>
    </row>
    <row r="1272" spans="1:28" s="444" customFormat="1" ht="17.5" customHeight="1">
      <c r="A1272" s="459"/>
      <c r="B1272" s="446" t="s">
        <v>187</v>
      </c>
      <c r="C1272" s="486">
        <v>14370</v>
      </c>
      <c r="D1272" s="448" t="s">
        <v>290</v>
      </c>
      <c r="E1272" s="449" t="s">
        <v>289</v>
      </c>
      <c r="F1272" s="448" t="s">
        <v>290</v>
      </c>
      <c r="G1272" s="589">
        <v>46223</v>
      </c>
      <c r="H1272" s="450"/>
      <c r="I1272" s="450" t="s">
        <v>186</v>
      </c>
      <c r="J1272" s="434"/>
      <c r="K1272" s="434"/>
      <c r="L1272" s="528"/>
      <c r="M1272" s="452"/>
      <c r="N1272" s="452"/>
      <c r="O1272" s="452"/>
      <c r="P1272" s="452"/>
      <c r="Q1272" s="461"/>
      <c r="R1272" s="462"/>
      <c r="S1272" s="462"/>
      <c r="T1272" s="461"/>
      <c r="U1272" s="462"/>
      <c r="V1272" s="461"/>
      <c r="W1272" s="454"/>
      <c r="X1272" s="455"/>
      <c r="Y1272" s="456"/>
      <c r="Z1272" s="457"/>
      <c r="AA1272" s="458"/>
      <c r="AB1272" s="443"/>
    </row>
    <row r="1273" spans="1:28" s="444" customFormat="1" ht="17.5" customHeight="1">
      <c r="A1273" s="459"/>
      <c r="B1273" s="446" t="s">
        <v>187</v>
      </c>
      <c r="C1273" s="486">
        <v>14370</v>
      </c>
      <c r="D1273" s="448" t="s">
        <v>290</v>
      </c>
      <c r="E1273" s="449" t="s">
        <v>289</v>
      </c>
      <c r="F1273" s="448" t="s">
        <v>290</v>
      </c>
      <c r="G1273" s="589">
        <v>46224</v>
      </c>
      <c r="H1273" s="450"/>
      <c r="I1273" s="450" t="s">
        <v>186</v>
      </c>
      <c r="J1273" s="295">
        <v>0.32430555555555557</v>
      </c>
      <c r="K1273" s="295">
        <v>0.79652777777777772</v>
      </c>
      <c r="L1273" s="451" t="s">
        <v>169</v>
      </c>
      <c r="M1273" s="452">
        <v>8</v>
      </c>
      <c r="N1273" s="452">
        <v>2</v>
      </c>
      <c r="O1273" s="469"/>
      <c r="P1273" s="469"/>
      <c r="Q1273" s="468"/>
      <c r="R1273" s="469"/>
      <c r="S1273" s="469"/>
      <c r="T1273" s="461"/>
      <c r="U1273" s="462"/>
      <c r="V1273" s="461"/>
      <c r="W1273" s="463"/>
      <c r="X1273" s="464"/>
      <c r="Y1273" s="465"/>
      <c r="Z1273" s="466"/>
      <c r="AA1273" s="467"/>
      <c r="AB1273" s="443"/>
    </row>
    <row r="1274" spans="1:28" s="444" customFormat="1" ht="17.5" customHeight="1">
      <c r="A1274" s="459"/>
      <c r="B1274" s="446" t="s">
        <v>187</v>
      </c>
      <c r="C1274" s="486">
        <v>14370</v>
      </c>
      <c r="D1274" s="448" t="s">
        <v>290</v>
      </c>
      <c r="E1274" s="449" t="s">
        <v>289</v>
      </c>
      <c r="F1274" s="448" t="s">
        <v>290</v>
      </c>
      <c r="G1274" s="589">
        <v>46225</v>
      </c>
      <c r="H1274" s="450"/>
      <c r="I1274" s="450" t="s">
        <v>186</v>
      </c>
      <c r="J1274" s="295">
        <v>0.32708333333333334</v>
      </c>
      <c r="K1274" s="295">
        <v>0.7944444444444444</v>
      </c>
      <c r="L1274" s="451" t="s">
        <v>169</v>
      </c>
      <c r="M1274" s="452">
        <v>8</v>
      </c>
      <c r="N1274" s="452">
        <v>2</v>
      </c>
      <c r="O1274" s="452"/>
      <c r="P1274" s="452"/>
      <c r="Q1274" s="453"/>
      <c r="R1274" s="452"/>
      <c r="S1274" s="452"/>
      <c r="T1274" s="453"/>
      <c r="U1274" s="452"/>
      <c r="V1274" s="453"/>
      <c r="W1274" s="454"/>
      <c r="X1274" s="455"/>
      <c r="Y1274" s="456"/>
      <c r="Z1274" s="457"/>
      <c r="AA1274" s="458"/>
      <c r="AB1274" s="443"/>
    </row>
    <row r="1275" spans="1:28" s="444" customFormat="1" ht="17.5" customHeight="1">
      <c r="A1275" s="459"/>
      <c r="B1275" s="446" t="s">
        <v>187</v>
      </c>
      <c r="C1275" s="486">
        <v>14370</v>
      </c>
      <c r="D1275" s="448" t="s">
        <v>290</v>
      </c>
      <c r="E1275" s="449" t="s">
        <v>289</v>
      </c>
      <c r="F1275" s="448" t="s">
        <v>290</v>
      </c>
      <c r="G1275" s="589">
        <v>46226</v>
      </c>
      <c r="H1275" s="450"/>
      <c r="I1275" s="450" t="s">
        <v>186</v>
      </c>
      <c r="J1275" s="295">
        <v>0.32569444444444445</v>
      </c>
      <c r="K1275" s="295">
        <v>0.79513888888888884</v>
      </c>
      <c r="L1275" s="451" t="s">
        <v>169</v>
      </c>
      <c r="M1275" s="452">
        <v>8</v>
      </c>
      <c r="N1275" s="452">
        <v>2</v>
      </c>
      <c r="O1275" s="470"/>
      <c r="P1275" s="470"/>
      <c r="Q1275" s="453"/>
      <c r="R1275" s="452"/>
      <c r="S1275" s="452"/>
      <c r="T1275" s="453"/>
      <c r="U1275" s="452"/>
      <c r="V1275" s="453"/>
      <c r="W1275" s="454"/>
      <c r="X1275" s="455"/>
      <c r="Y1275" s="456"/>
      <c r="Z1275" s="457"/>
      <c r="AA1275" s="458"/>
      <c r="AB1275" s="443"/>
    </row>
    <row r="1276" spans="1:28" s="444" customFormat="1" ht="17.5" customHeight="1">
      <c r="A1276" s="459"/>
      <c r="B1276" s="446" t="s">
        <v>187</v>
      </c>
      <c r="C1276" s="486">
        <v>14370</v>
      </c>
      <c r="D1276" s="448" t="s">
        <v>290</v>
      </c>
      <c r="E1276" s="449" t="s">
        <v>289</v>
      </c>
      <c r="F1276" s="448" t="s">
        <v>290</v>
      </c>
      <c r="G1276" s="589">
        <v>46227</v>
      </c>
      <c r="H1276" s="450"/>
      <c r="I1276" s="450" t="s">
        <v>186</v>
      </c>
      <c r="J1276" s="295">
        <v>0.32777777777777778</v>
      </c>
      <c r="K1276" s="318">
        <v>0.79583333333333328</v>
      </c>
      <c r="L1276" s="451" t="s">
        <v>169</v>
      </c>
      <c r="M1276" s="452">
        <v>8</v>
      </c>
      <c r="N1276" s="452">
        <v>2</v>
      </c>
      <c r="O1276" s="471"/>
      <c r="P1276" s="471"/>
      <c r="Q1276" s="472"/>
      <c r="R1276" s="471"/>
      <c r="S1276" s="471"/>
      <c r="T1276" s="453"/>
      <c r="U1276" s="452"/>
      <c r="V1276" s="453"/>
      <c r="W1276" s="454"/>
      <c r="X1276" s="455"/>
      <c r="Y1276" s="456"/>
      <c r="Z1276" s="457"/>
      <c r="AA1276" s="458"/>
      <c r="AB1276" s="443"/>
    </row>
    <row r="1277" spans="1:28" s="444" customFormat="1" ht="17.5" customHeight="1">
      <c r="A1277" s="459"/>
      <c r="B1277" s="446" t="s">
        <v>187</v>
      </c>
      <c r="C1277" s="486">
        <v>14370</v>
      </c>
      <c r="D1277" s="448" t="s">
        <v>290</v>
      </c>
      <c r="E1277" s="449" t="s">
        <v>289</v>
      </c>
      <c r="F1277" s="448" t="s">
        <v>290</v>
      </c>
      <c r="G1277" s="589">
        <v>46228</v>
      </c>
      <c r="H1277" s="450"/>
      <c r="I1277" s="450" t="s">
        <v>186</v>
      </c>
      <c r="J1277" s="295"/>
      <c r="K1277" s="295"/>
      <c r="L1277" s="451"/>
      <c r="M1277" s="452"/>
      <c r="N1277" s="452"/>
      <c r="O1277" s="452"/>
      <c r="P1277" s="452"/>
      <c r="Q1277" s="453"/>
      <c r="R1277" s="452"/>
      <c r="S1277" s="473"/>
      <c r="T1277" s="453"/>
      <c r="U1277" s="452"/>
      <c r="V1277" s="453"/>
      <c r="W1277" s="454"/>
      <c r="X1277" s="455"/>
      <c r="Y1277" s="456"/>
      <c r="Z1277" s="457"/>
      <c r="AA1277" s="458"/>
      <c r="AB1277" s="443"/>
    </row>
    <row r="1278" spans="1:28" s="444" customFormat="1" ht="17.5" customHeight="1">
      <c r="A1278" s="459"/>
      <c r="B1278" s="446"/>
      <c r="C1278" s="505"/>
      <c r="D1278" s="449"/>
      <c r="E1278" s="449"/>
      <c r="F1278" s="449"/>
      <c r="G1278" s="600"/>
      <c r="H1278" s="450"/>
      <c r="I1278" s="450"/>
      <c r="J1278" s="474"/>
      <c r="K1278" s="475"/>
      <c r="L1278" s="476"/>
      <c r="M1278" s="477"/>
      <c r="N1278" s="477"/>
      <c r="O1278" s="477"/>
      <c r="P1278" s="477"/>
      <c r="Q1278" s="478"/>
      <c r="R1278" s="477"/>
      <c r="S1278" s="479"/>
      <c r="T1278" s="453"/>
      <c r="U1278" s="452"/>
      <c r="V1278" s="453"/>
      <c r="W1278" s="454"/>
      <c r="X1278" s="455"/>
      <c r="Y1278" s="456"/>
      <c r="Z1278" s="457"/>
      <c r="AA1278" s="458"/>
      <c r="AB1278" s="443"/>
    </row>
    <row r="1279" spans="1:28" s="444" customFormat="1" ht="17.5" customHeight="1">
      <c r="A1279" s="480"/>
      <c r="B1279" s="481"/>
      <c r="C1279" s="446"/>
      <c r="D1279" s="481"/>
      <c r="E1279" s="449"/>
      <c r="F1279" s="481"/>
      <c r="G1279" s="601"/>
      <c r="H1279" s="482"/>
      <c r="I1279" s="483"/>
      <c r="J1279" s="484"/>
      <c r="K1279" s="485"/>
      <c r="L1279" s="483"/>
      <c r="M1279" s="483">
        <f t="shared" ref="M1279:AA1279" si="71">SUM(M1262:M1278)</f>
        <v>88</v>
      </c>
      <c r="N1279" s="483">
        <f t="shared" si="71"/>
        <v>18</v>
      </c>
      <c r="O1279" s="483">
        <f t="shared" si="71"/>
        <v>0</v>
      </c>
      <c r="P1279" s="483">
        <f t="shared" si="71"/>
        <v>0</v>
      </c>
      <c r="Q1279" s="483">
        <f t="shared" si="71"/>
        <v>0</v>
      </c>
      <c r="R1279" s="483">
        <f t="shared" si="71"/>
        <v>0</v>
      </c>
      <c r="S1279" s="483">
        <f t="shared" si="71"/>
        <v>0</v>
      </c>
      <c r="T1279" s="483">
        <f t="shared" si="71"/>
        <v>0</v>
      </c>
      <c r="U1279" s="483">
        <f t="shared" si="71"/>
        <v>0</v>
      </c>
      <c r="V1279" s="483">
        <f t="shared" si="71"/>
        <v>0</v>
      </c>
      <c r="W1279" s="483">
        <f t="shared" si="71"/>
        <v>0</v>
      </c>
      <c r="X1279" s="483">
        <f t="shared" si="71"/>
        <v>0</v>
      </c>
      <c r="Y1279" s="483">
        <f t="shared" si="71"/>
        <v>0</v>
      </c>
      <c r="Z1279" s="483">
        <f t="shared" si="71"/>
        <v>0</v>
      </c>
      <c r="AA1279" s="483">
        <f t="shared" si="71"/>
        <v>0</v>
      </c>
      <c r="AB1279" s="443"/>
    </row>
    <row r="1280" spans="1:28" s="444" customFormat="1">
      <c r="A1280" s="435" t="s">
        <v>170</v>
      </c>
      <c r="B1280" s="435" t="s">
        <v>120</v>
      </c>
      <c r="C1280" s="435" t="s">
        <v>152</v>
      </c>
      <c r="D1280" s="435" t="s">
        <v>182</v>
      </c>
      <c r="E1280" s="436" t="s">
        <v>153</v>
      </c>
      <c r="F1280" s="435" t="s">
        <v>182</v>
      </c>
      <c r="G1280" s="599" t="s">
        <v>401</v>
      </c>
      <c r="H1280" s="437"/>
      <c r="I1280" s="438" t="s">
        <v>181</v>
      </c>
      <c r="J1280" s="439" t="s">
        <v>154</v>
      </c>
      <c r="K1280" s="439" t="s">
        <v>155</v>
      </c>
      <c r="L1280" s="440" t="s">
        <v>156</v>
      </c>
      <c r="M1280" s="441" t="s">
        <v>157</v>
      </c>
      <c r="N1280" s="440" t="s">
        <v>158</v>
      </c>
      <c r="O1280" s="440" t="s">
        <v>159</v>
      </c>
      <c r="P1280" s="440" t="s">
        <v>174</v>
      </c>
      <c r="Q1280" s="440" t="s">
        <v>160</v>
      </c>
      <c r="R1280" s="440" t="s">
        <v>161</v>
      </c>
      <c r="S1280" s="440" t="s">
        <v>162</v>
      </c>
      <c r="T1280" s="438" t="s">
        <v>163</v>
      </c>
      <c r="U1280" s="438" t="s">
        <v>164</v>
      </c>
      <c r="V1280" s="438" t="s">
        <v>165</v>
      </c>
      <c r="W1280" s="440" t="s">
        <v>113</v>
      </c>
      <c r="X1280" s="438" t="s">
        <v>121</v>
      </c>
      <c r="Y1280" s="438" t="s">
        <v>166</v>
      </c>
      <c r="Z1280" s="442" t="s">
        <v>175</v>
      </c>
      <c r="AA1280" s="442" t="s">
        <v>167</v>
      </c>
      <c r="AB1280" s="443"/>
    </row>
    <row r="1281" spans="1:28" s="444" customFormat="1">
      <c r="A1281" s="445"/>
      <c r="B1281" s="446" t="s">
        <v>187</v>
      </c>
      <c r="C1281" s="504">
        <v>14396</v>
      </c>
      <c r="D1281" s="448" t="s">
        <v>288</v>
      </c>
      <c r="E1281" s="504" t="s">
        <v>287</v>
      </c>
      <c r="F1281" s="448" t="s">
        <v>288</v>
      </c>
      <c r="G1281" s="589">
        <v>46214</v>
      </c>
      <c r="H1281" s="450"/>
      <c r="I1281" s="450" t="s">
        <v>186</v>
      </c>
      <c r="J1281" s="295">
        <v>0.3215277777777778</v>
      </c>
      <c r="K1281" s="295">
        <v>0.70972222222222225</v>
      </c>
      <c r="L1281" s="451" t="s">
        <v>169</v>
      </c>
      <c r="M1281" s="452">
        <v>8</v>
      </c>
      <c r="N1281" s="452"/>
      <c r="O1281" s="452"/>
      <c r="P1281" s="452"/>
      <c r="Q1281" s="453"/>
      <c r="R1281" s="452"/>
      <c r="S1281" s="452"/>
      <c r="T1281" s="453"/>
      <c r="U1281" s="452"/>
      <c r="V1281" s="453"/>
      <c r="W1281" s="454"/>
      <c r="X1281" s="455"/>
      <c r="Y1281" s="456"/>
      <c r="Z1281" s="457"/>
      <c r="AA1281" s="458"/>
      <c r="AB1281" s="443"/>
    </row>
    <row r="1282" spans="1:28" s="444" customFormat="1">
      <c r="A1282" s="459"/>
      <c r="B1282" s="446" t="s">
        <v>187</v>
      </c>
      <c r="C1282" s="449">
        <v>14396</v>
      </c>
      <c r="D1282" s="448" t="s">
        <v>288</v>
      </c>
      <c r="E1282" s="449" t="s">
        <v>287</v>
      </c>
      <c r="F1282" s="448" t="s">
        <v>288</v>
      </c>
      <c r="G1282" s="590">
        <v>46215</v>
      </c>
      <c r="H1282" s="450"/>
      <c r="I1282" s="450"/>
      <c r="J1282" s="699" t="s">
        <v>173</v>
      </c>
      <c r="K1282" s="700"/>
      <c r="L1282" s="451"/>
      <c r="M1282" s="452"/>
      <c r="N1282" s="452"/>
      <c r="O1282" s="452"/>
      <c r="P1282" s="452"/>
      <c r="Q1282" s="453"/>
      <c r="R1282" s="452"/>
      <c r="S1282" s="452"/>
      <c r="T1282" s="453"/>
      <c r="U1282" s="452"/>
      <c r="V1282" s="453"/>
      <c r="W1282" s="454"/>
      <c r="X1282" s="455"/>
      <c r="Y1282" s="456"/>
      <c r="Z1282" s="457"/>
      <c r="AA1282" s="458"/>
      <c r="AB1282" s="443"/>
    </row>
    <row r="1283" spans="1:28" s="444" customFormat="1">
      <c r="A1283" s="459"/>
      <c r="B1283" s="446" t="s">
        <v>187</v>
      </c>
      <c r="C1283" s="536">
        <v>14396</v>
      </c>
      <c r="D1283" s="448" t="s">
        <v>288</v>
      </c>
      <c r="E1283" s="504" t="s">
        <v>287</v>
      </c>
      <c r="F1283" s="448" t="s">
        <v>288</v>
      </c>
      <c r="G1283" s="589">
        <v>46216</v>
      </c>
      <c r="H1283" s="450"/>
      <c r="I1283" s="450" t="s">
        <v>186</v>
      </c>
      <c r="J1283" s="382">
        <v>0.31944444444444442</v>
      </c>
      <c r="K1283" s="382">
        <v>0.79513888888888884</v>
      </c>
      <c r="L1283" s="451" t="s">
        <v>169</v>
      </c>
      <c r="M1283" s="452">
        <v>8</v>
      </c>
      <c r="N1283" s="452">
        <v>2</v>
      </c>
      <c r="O1283" s="452"/>
      <c r="P1283" s="452"/>
      <c r="Q1283" s="461"/>
      <c r="R1283" s="452"/>
      <c r="S1283" s="452"/>
      <c r="T1283" s="453"/>
      <c r="U1283" s="452"/>
      <c r="V1283" s="453"/>
      <c r="W1283" s="454"/>
      <c r="X1283" s="455"/>
      <c r="Y1283" s="456"/>
      <c r="Z1283" s="457"/>
      <c r="AA1283" s="458"/>
      <c r="AB1283" s="443"/>
    </row>
    <row r="1284" spans="1:28" s="444" customFormat="1">
      <c r="A1284" s="459"/>
      <c r="B1284" s="446" t="s">
        <v>187</v>
      </c>
      <c r="C1284" s="486">
        <v>14396</v>
      </c>
      <c r="D1284" s="448" t="s">
        <v>288</v>
      </c>
      <c r="E1284" s="449" t="s">
        <v>287</v>
      </c>
      <c r="F1284" s="448" t="s">
        <v>288</v>
      </c>
      <c r="G1284" s="589">
        <v>46217</v>
      </c>
      <c r="H1284" s="450"/>
      <c r="I1284" s="450"/>
      <c r="J1284" s="305"/>
      <c r="K1284" s="305"/>
      <c r="L1284" s="451"/>
      <c r="M1284" s="452"/>
      <c r="N1284" s="452"/>
      <c r="O1284" s="462"/>
      <c r="P1284" s="462"/>
      <c r="Q1284" s="461"/>
      <c r="R1284" s="462"/>
      <c r="S1284" s="462"/>
      <c r="T1284" s="461"/>
      <c r="U1284" s="462"/>
      <c r="V1284" s="461"/>
      <c r="W1284" s="463"/>
      <c r="X1284" s="464"/>
      <c r="Y1284" s="465"/>
      <c r="Z1284" s="466"/>
      <c r="AA1284" s="467"/>
      <c r="AB1284" s="443"/>
    </row>
    <row r="1285" spans="1:28" s="444" customFormat="1">
      <c r="A1285" s="459"/>
      <c r="B1285" s="446" t="s">
        <v>187</v>
      </c>
      <c r="C1285" s="486">
        <v>14396</v>
      </c>
      <c r="D1285" s="448" t="s">
        <v>288</v>
      </c>
      <c r="E1285" s="449" t="s">
        <v>287</v>
      </c>
      <c r="F1285" s="448" t="s">
        <v>288</v>
      </c>
      <c r="G1285" s="589">
        <v>46218</v>
      </c>
      <c r="H1285" s="450"/>
      <c r="I1285" s="450"/>
      <c r="J1285" s="305"/>
      <c r="K1285" s="305"/>
      <c r="L1285" s="451"/>
      <c r="M1285" s="452"/>
      <c r="N1285" s="452"/>
      <c r="O1285" s="452"/>
      <c r="P1285" s="452"/>
      <c r="Q1285" s="453"/>
      <c r="R1285" s="452"/>
      <c r="S1285" s="452"/>
      <c r="T1285" s="453"/>
      <c r="U1285" s="452"/>
      <c r="V1285" s="453"/>
      <c r="W1285" s="454"/>
      <c r="X1285" s="455"/>
      <c r="Y1285" s="456"/>
      <c r="Z1285" s="457"/>
      <c r="AA1285" s="458"/>
      <c r="AB1285" s="443"/>
    </row>
    <row r="1286" spans="1:28" s="444" customFormat="1">
      <c r="A1286" s="459"/>
      <c r="B1286" s="446" t="s">
        <v>187</v>
      </c>
      <c r="C1286" s="486">
        <v>14396</v>
      </c>
      <c r="D1286" s="448" t="s">
        <v>288</v>
      </c>
      <c r="E1286" s="449" t="s">
        <v>287</v>
      </c>
      <c r="F1286" s="448" t="s">
        <v>288</v>
      </c>
      <c r="G1286" s="589">
        <v>46219</v>
      </c>
      <c r="H1286" s="450"/>
      <c r="I1286" s="450"/>
      <c r="J1286" s="305"/>
      <c r="K1286" s="305"/>
      <c r="L1286" s="451"/>
      <c r="M1286" s="452"/>
      <c r="N1286" s="452"/>
      <c r="O1286" s="452"/>
      <c r="P1286" s="452"/>
      <c r="Q1286" s="453"/>
      <c r="R1286" s="452"/>
      <c r="S1286" s="452"/>
      <c r="T1286" s="453"/>
      <c r="U1286" s="452"/>
      <c r="V1286" s="453"/>
      <c r="W1286" s="454"/>
      <c r="X1286" s="455"/>
      <c r="Y1286" s="456"/>
      <c r="Z1286" s="457"/>
      <c r="AA1286" s="458"/>
      <c r="AB1286" s="443"/>
    </row>
    <row r="1287" spans="1:28" s="444" customFormat="1">
      <c r="A1287" s="459"/>
      <c r="B1287" s="446" t="s">
        <v>187</v>
      </c>
      <c r="C1287" s="486">
        <v>14396</v>
      </c>
      <c r="D1287" s="448" t="s">
        <v>288</v>
      </c>
      <c r="E1287" s="449" t="s">
        <v>287</v>
      </c>
      <c r="F1287" s="448" t="s">
        <v>288</v>
      </c>
      <c r="G1287" s="589">
        <v>46220</v>
      </c>
      <c r="H1287" s="450"/>
      <c r="I1287" s="450"/>
      <c r="J1287" s="305"/>
      <c r="K1287" s="305"/>
      <c r="L1287" s="451"/>
      <c r="M1287" s="452"/>
      <c r="N1287" s="452"/>
      <c r="O1287" s="452"/>
      <c r="P1287" s="452"/>
      <c r="Q1287" s="453"/>
      <c r="R1287" s="452"/>
      <c r="S1287" s="452"/>
      <c r="T1287" s="453"/>
      <c r="U1287" s="452"/>
      <c r="V1287" s="453"/>
      <c r="W1287" s="454"/>
      <c r="X1287" s="455"/>
      <c r="Y1287" s="456"/>
      <c r="Z1287" s="457"/>
      <c r="AA1287" s="458"/>
      <c r="AB1287" s="443"/>
    </row>
    <row r="1288" spans="1:28" s="444" customFormat="1">
      <c r="A1288" s="459"/>
      <c r="B1288" s="446" t="s">
        <v>187</v>
      </c>
      <c r="C1288" s="486">
        <v>14396</v>
      </c>
      <c r="D1288" s="448" t="s">
        <v>288</v>
      </c>
      <c r="E1288" s="449" t="s">
        <v>287</v>
      </c>
      <c r="F1288" s="448" t="s">
        <v>288</v>
      </c>
      <c r="G1288" s="589">
        <v>46221</v>
      </c>
      <c r="H1288" s="450"/>
      <c r="I1288" s="450"/>
      <c r="J1288" s="305"/>
      <c r="K1288" s="305"/>
      <c r="L1288" s="451"/>
      <c r="M1288" s="452"/>
      <c r="N1288" s="452"/>
      <c r="O1288" s="452"/>
      <c r="P1288" s="452"/>
      <c r="Q1288" s="453"/>
      <c r="R1288" s="452"/>
      <c r="S1288" s="452"/>
      <c r="T1288" s="453"/>
      <c r="U1288" s="452"/>
      <c r="V1288" s="453"/>
      <c r="W1288" s="454"/>
      <c r="X1288" s="455"/>
      <c r="Y1288" s="456"/>
      <c r="Z1288" s="457"/>
      <c r="AA1288" s="458"/>
      <c r="AB1288" s="443"/>
    </row>
    <row r="1289" spans="1:28" s="444" customFormat="1">
      <c r="A1289" s="459"/>
      <c r="B1289" s="446" t="s">
        <v>187</v>
      </c>
      <c r="C1289" s="486">
        <v>14396</v>
      </c>
      <c r="D1289" s="448" t="s">
        <v>288</v>
      </c>
      <c r="E1289" s="449" t="s">
        <v>287</v>
      </c>
      <c r="F1289" s="448" t="s">
        <v>288</v>
      </c>
      <c r="G1289" s="590">
        <v>46222</v>
      </c>
      <c r="H1289" s="450"/>
      <c r="I1289" s="450"/>
      <c r="J1289" s="699" t="s">
        <v>173</v>
      </c>
      <c r="K1289" s="700"/>
      <c r="L1289" s="451"/>
      <c r="M1289" s="452"/>
      <c r="N1289" s="452"/>
      <c r="O1289" s="452"/>
      <c r="P1289" s="452"/>
      <c r="Q1289" s="453"/>
      <c r="R1289" s="452"/>
      <c r="S1289" s="452"/>
      <c r="T1289" s="453"/>
      <c r="U1289" s="452"/>
      <c r="V1289" s="453"/>
      <c r="W1289" s="454"/>
      <c r="X1289" s="455"/>
      <c r="Y1289" s="456"/>
      <c r="Z1289" s="457"/>
      <c r="AA1289" s="458"/>
      <c r="AB1289" s="443"/>
    </row>
    <row r="1290" spans="1:28" s="444" customFormat="1">
      <c r="A1290" s="459"/>
      <c r="B1290" s="446" t="s">
        <v>187</v>
      </c>
      <c r="C1290" s="486">
        <v>14396</v>
      </c>
      <c r="D1290" s="448" t="s">
        <v>288</v>
      </c>
      <c r="E1290" s="449" t="s">
        <v>287</v>
      </c>
      <c r="F1290" s="448" t="s">
        <v>288</v>
      </c>
      <c r="G1290" s="589">
        <v>46223</v>
      </c>
      <c r="H1290" s="450"/>
      <c r="I1290" s="450" t="s">
        <v>186</v>
      </c>
      <c r="J1290" s="305">
        <v>0.31874999999999998</v>
      </c>
      <c r="K1290" s="305">
        <v>0.79513888888888884</v>
      </c>
      <c r="L1290" s="451" t="s">
        <v>169</v>
      </c>
      <c r="M1290" s="452">
        <v>8</v>
      </c>
      <c r="N1290" s="452">
        <v>2</v>
      </c>
      <c r="O1290" s="452"/>
      <c r="P1290" s="452"/>
      <c r="Q1290" s="461"/>
      <c r="R1290" s="462"/>
      <c r="S1290" s="462"/>
      <c r="T1290" s="461"/>
      <c r="U1290" s="462"/>
      <c r="V1290" s="461"/>
      <c r="W1290" s="454"/>
      <c r="X1290" s="455"/>
      <c r="Y1290" s="456"/>
      <c r="Z1290" s="457"/>
      <c r="AA1290" s="458"/>
      <c r="AB1290" s="443"/>
    </row>
    <row r="1291" spans="1:28" s="444" customFormat="1">
      <c r="A1291" s="459"/>
      <c r="B1291" s="446" t="s">
        <v>187</v>
      </c>
      <c r="C1291" s="486">
        <v>14396</v>
      </c>
      <c r="D1291" s="448" t="s">
        <v>288</v>
      </c>
      <c r="E1291" s="449" t="s">
        <v>287</v>
      </c>
      <c r="F1291" s="448" t="s">
        <v>288</v>
      </c>
      <c r="G1291" s="589">
        <v>46224</v>
      </c>
      <c r="H1291" s="450"/>
      <c r="I1291" s="450" t="s">
        <v>186</v>
      </c>
      <c r="J1291" s="295">
        <v>0.32430555555555557</v>
      </c>
      <c r="K1291" s="295">
        <v>0.7944444444444444</v>
      </c>
      <c r="L1291" s="451" t="s">
        <v>169</v>
      </c>
      <c r="M1291" s="452">
        <v>8</v>
      </c>
      <c r="N1291" s="452">
        <v>2</v>
      </c>
      <c r="O1291" s="469"/>
      <c r="P1291" s="469"/>
      <c r="Q1291" s="468"/>
      <c r="R1291" s="469"/>
      <c r="S1291" s="469"/>
      <c r="T1291" s="461"/>
      <c r="U1291" s="462"/>
      <c r="V1291" s="461"/>
      <c r="W1291" s="463"/>
      <c r="X1291" s="464"/>
      <c r="Y1291" s="465"/>
      <c r="Z1291" s="466"/>
      <c r="AA1291" s="467"/>
      <c r="AB1291" s="443"/>
    </row>
    <row r="1292" spans="1:28" s="444" customFormat="1">
      <c r="A1292" s="459"/>
      <c r="B1292" s="446" t="s">
        <v>187</v>
      </c>
      <c r="C1292" s="486">
        <v>14396</v>
      </c>
      <c r="D1292" s="448" t="s">
        <v>288</v>
      </c>
      <c r="E1292" s="449" t="s">
        <v>287</v>
      </c>
      <c r="F1292" s="448" t="s">
        <v>288</v>
      </c>
      <c r="G1292" s="589">
        <v>46225</v>
      </c>
      <c r="H1292" s="450"/>
      <c r="I1292" s="450" t="s">
        <v>186</v>
      </c>
      <c r="J1292" s="295">
        <v>0.32013888888888886</v>
      </c>
      <c r="K1292" s="295">
        <v>0.79305555555555551</v>
      </c>
      <c r="L1292" s="451" t="s">
        <v>169</v>
      </c>
      <c r="M1292" s="452">
        <v>8</v>
      </c>
      <c r="N1292" s="452">
        <v>2</v>
      </c>
      <c r="O1292" s="452"/>
      <c r="P1292" s="452"/>
      <c r="Q1292" s="453"/>
      <c r="R1292" s="452"/>
      <c r="S1292" s="452"/>
      <c r="T1292" s="453"/>
      <c r="U1292" s="452"/>
      <c r="V1292" s="453"/>
      <c r="W1292" s="454"/>
      <c r="X1292" s="455"/>
      <c r="Y1292" s="456"/>
      <c r="Z1292" s="457"/>
      <c r="AA1292" s="458"/>
      <c r="AB1292" s="443"/>
    </row>
    <row r="1293" spans="1:28" s="444" customFormat="1">
      <c r="A1293" s="459"/>
      <c r="B1293" s="446" t="s">
        <v>187</v>
      </c>
      <c r="C1293" s="486">
        <v>14396</v>
      </c>
      <c r="D1293" s="448" t="s">
        <v>288</v>
      </c>
      <c r="E1293" s="449" t="s">
        <v>287</v>
      </c>
      <c r="F1293" s="448" t="s">
        <v>288</v>
      </c>
      <c r="G1293" s="589">
        <v>46226</v>
      </c>
      <c r="H1293" s="450"/>
      <c r="I1293" s="450" t="s">
        <v>186</v>
      </c>
      <c r="J1293" s="295">
        <v>0.31944444444444442</v>
      </c>
      <c r="K1293" s="295">
        <v>0.79513888888888884</v>
      </c>
      <c r="L1293" s="451" t="s">
        <v>169</v>
      </c>
      <c r="M1293" s="452">
        <v>8</v>
      </c>
      <c r="N1293" s="452">
        <v>2</v>
      </c>
      <c r="O1293" s="470"/>
      <c r="P1293" s="470"/>
      <c r="Q1293" s="453"/>
      <c r="R1293" s="452"/>
      <c r="S1293" s="452"/>
      <c r="T1293" s="453"/>
      <c r="U1293" s="452"/>
      <c r="V1293" s="453"/>
      <c r="W1293" s="454"/>
      <c r="X1293" s="455"/>
      <c r="Y1293" s="456"/>
      <c r="Z1293" s="457"/>
      <c r="AA1293" s="458"/>
      <c r="AB1293" s="443"/>
    </row>
    <row r="1294" spans="1:28" s="444" customFormat="1">
      <c r="A1294" s="459"/>
      <c r="B1294" s="446" t="s">
        <v>187</v>
      </c>
      <c r="C1294" s="486">
        <v>14396</v>
      </c>
      <c r="D1294" s="448" t="s">
        <v>288</v>
      </c>
      <c r="E1294" s="449" t="s">
        <v>287</v>
      </c>
      <c r="F1294" s="448" t="s">
        <v>288</v>
      </c>
      <c r="G1294" s="589">
        <v>46227</v>
      </c>
      <c r="H1294" s="450"/>
      <c r="I1294" s="450" t="s">
        <v>186</v>
      </c>
      <c r="J1294" s="295">
        <v>0.32291666666666669</v>
      </c>
      <c r="K1294" s="318">
        <v>0.7944444444444444</v>
      </c>
      <c r="L1294" s="451" t="s">
        <v>169</v>
      </c>
      <c r="M1294" s="452">
        <v>8</v>
      </c>
      <c r="N1294" s="452">
        <v>2</v>
      </c>
      <c r="O1294" s="471"/>
      <c r="P1294" s="471"/>
      <c r="Q1294" s="472"/>
      <c r="R1294" s="471"/>
      <c r="S1294" s="471"/>
      <c r="T1294" s="453"/>
      <c r="U1294" s="452"/>
      <c r="V1294" s="453"/>
      <c r="W1294" s="454"/>
      <c r="X1294" s="455"/>
      <c r="Y1294" s="456"/>
      <c r="Z1294" s="457"/>
      <c r="AA1294" s="458"/>
      <c r="AB1294" s="443"/>
    </row>
    <row r="1295" spans="1:28" s="444" customFormat="1">
      <c r="A1295" s="459"/>
      <c r="B1295" s="446" t="s">
        <v>187</v>
      </c>
      <c r="C1295" s="486">
        <v>14396</v>
      </c>
      <c r="D1295" s="448" t="s">
        <v>288</v>
      </c>
      <c r="E1295" s="449" t="s">
        <v>287</v>
      </c>
      <c r="F1295" s="448" t="s">
        <v>288</v>
      </c>
      <c r="G1295" s="589">
        <v>46228</v>
      </c>
      <c r="H1295" s="450"/>
      <c r="I1295" s="450" t="s">
        <v>186</v>
      </c>
      <c r="J1295" s="295"/>
      <c r="K1295" s="295"/>
      <c r="L1295" s="451"/>
      <c r="M1295" s="452"/>
      <c r="N1295" s="452"/>
      <c r="O1295" s="452"/>
      <c r="P1295" s="452"/>
      <c r="Q1295" s="453"/>
      <c r="R1295" s="452"/>
      <c r="S1295" s="473"/>
      <c r="T1295" s="453"/>
      <c r="U1295" s="452"/>
      <c r="V1295" s="453"/>
      <c r="W1295" s="454"/>
      <c r="X1295" s="455"/>
      <c r="Y1295" s="456"/>
      <c r="Z1295" s="457"/>
      <c r="AA1295" s="458"/>
      <c r="AB1295" s="443"/>
    </row>
    <row r="1296" spans="1:28" s="444" customFormat="1">
      <c r="A1296" s="459"/>
      <c r="B1296" s="446"/>
      <c r="C1296" s="486"/>
      <c r="D1296" s="448"/>
      <c r="E1296" s="449"/>
      <c r="F1296" s="448"/>
      <c r="G1296" s="600"/>
      <c r="H1296" s="450"/>
      <c r="I1296" s="450"/>
      <c r="J1296" s="474"/>
      <c r="K1296" s="475"/>
      <c r="L1296" s="476"/>
      <c r="M1296" s="477"/>
      <c r="N1296" s="477"/>
      <c r="O1296" s="477"/>
      <c r="P1296" s="477"/>
      <c r="Q1296" s="478"/>
      <c r="R1296" s="477"/>
      <c r="S1296" s="479"/>
      <c r="T1296" s="453"/>
      <c r="U1296" s="452"/>
      <c r="V1296" s="453"/>
      <c r="W1296" s="454"/>
      <c r="X1296" s="455"/>
      <c r="Y1296" s="456"/>
      <c r="Z1296" s="457"/>
      <c r="AA1296" s="458"/>
      <c r="AB1296" s="443"/>
    </row>
    <row r="1297" spans="1:28" s="444" customFormat="1">
      <c r="A1297" s="480"/>
      <c r="B1297" s="481"/>
      <c r="C1297" s="446"/>
      <c r="D1297" s="481"/>
      <c r="E1297" s="449"/>
      <c r="F1297" s="481"/>
      <c r="G1297" s="601"/>
      <c r="H1297" s="482"/>
      <c r="I1297" s="483"/>
      <c r="J1297" s="484"/>
      <c r="K1297" s="485"/>
      <c r="L1297" s="483"/>
      <c r="M1297" s="483">
        <f t="shared" ref="M1297:AA1297" si="72">SUM(M1280:M1296)</f>
        <v>56</v>
      </c>
      <c r="N1297" s="483">
        <f t="shared" si="72"/>
        <v>12</v>
      </c>
      <c r="O1297" s="483">
        <f t="shared" si="72"/>
        <v>0</v>
      </c>
      <c r="P1297" s="483">
        <f t="shared" si="72"/>
        <v>0</v>
      </c>
      <c r="Q1297" s="483">
        <f t="shared" si="72"/>
        <v>0</v>
      </c>
      <c r="R1297" s="483">
        <f t="shared" si="72"/>
        <v>0</v>
      </c>
      <c r="S1297" s="483">
        <f t="shared" si="72"/>
        <v>0</v>
      </c>
      <c r="T1297" s="483">
        <f t="shared" si="72"/>
        <v>0</v>
      </c>
      <c r="U1297" s="483">
        <f t="shared" si="72"/>
        <v>0</v>
      </c>
      <c r="V1297" s="483">
        <f t="shared" si="72"/>
        <v>0</v>
      </c>
      <c r="W1297" s="483">
        <f t="shared" si="72"/>
        <v>0</v>
      </c>
      <c r="X1297" s="483">
        <f t="shared" si="72"/>
        <v>0</v>
      </c>
      <c r="Y1297" s="483">
        <f t="shared" si="72"/>
        <v>0</v>
      </c>
      <c r="Z1297" s="483">
        <f t="shared" si="72"/>
        <v>0</v>
      </c>
      <c r="AA1297" s="483">
        <f t="shared" si="72"/>
        <v>0</v>
      </c>
      <c r="AB1297" s="443"/>
    </row>
    <row r="1298" spans="1:28" s="444" customFormat="1">
      <c r="A1298" s="435" t="s">
        <v>170</v>
      </c>
      <c r="B1298" s="435" t="s">
        <v>120</v>
      </c>
      <c r="C1298" s="435" t="s">
        <v>152</v>
      </c>
      <c r="D1298" s="435" t="s">
        <v>182</v>
      </c>
      <c r="E1298" s="436" t="s">
        <v>153</v>
      </c>
      <c r="F1298" s="435" t="s">
        <v>182</v>
      </c>
      <c r="G1298" s="599" t="s">
        <v>401</v>
      </c>
      <c r="H1298" s="437"/>
      <c r="I1298" s="438" t="s">
        <v>181</v>
      </c>
      <c r="J1298" s="439" t="s">
        <v>154</v>
      </c>
      <c r="K1298" s="439" t="s">
        <v>155</v>
      </c>
      <c r="L1298" s="440" t="s">
        <v>156</v>
      </c>
      <c r="M1298" s="441" t="s">
        <v>157</v>
      </c>
      <c r="N1298" s="440" t="s">
        <v>158</v>
      </c>
      <c r="O1298" s="440" t="s">
        <v>159</v>
      </c>
      <c r="P1298" s="440" t="s">
        <v>174</v>
      </c>
      <c r="Q1298" s="440" t="s">
        <v>160</v>
      </c>
      <c r="R1298" s="440" t="s">
        <v>161</v>
      </c>
      <c r="S1298" s="440" t="s">
        <v>162</v>
      </c>
      <c r="T1298" s="438" t="s">
        <v>163</v>
      </c>
      <c r="U1298" s="438" t="s">
        <v>164</v>
      </c>
      <c r="V1298" s="438" t="s">
        <v>165</v>
      </c>
      <c r="W1298" s="440" t="s">
        <v>113</v>
      </c>
      <c r="X1298" s="438" t="s">
        <v>121</v>
      </c>
      <c r="Y1298" s="438" t="s">
        <v>166</v>
      </c>
      <c r="Z1298" s="442" t="s">
        <v>175</v>
      </c>
      <c r="AA1298" s="442" t="s">
        <v>167</v>
      </c>
      <c r="AB1298" s="443"/>
    </row>
    <row r="1299" spans="1:28" s="444" customFormat="1">
      <c r="A1299" s="701"/>
      <c r="B1299" s="446" t="s">
        <v>187</v>
      </c>
      <c r="C1299" s="486">
        <v>11775</v>
      </c>
      <c r="D1299" s="448" t="s">
        <v>286</v>
      </c>
      <c r="E1299" s="449" t="s">
        <v>285</v>
      </c>
      <c r="F1299" s="448" t="s">
        <v>286</v>
      </c>
      <c r="G1299" s="589">
        <v>46214</v>
      </c>
      <c r="H1299" s="450"/>
      <c r="I1299" s="450" t="s">
        <v>186</v>
      </c>
      <c r="J1299" s="295">
        <v>0.30486111111111114</v>
      </c>
      <c r="K1299" s="295">
        <v>0.71180555555555558</v>
      </c>
      <c r="L1299" s="451" t="s">
        <v>169</v>
      </c>
      <c r="M1299" s="452">
        <v>8</v>
      </c>
      <c r="N1299" s="452"/>
      <c r="O1299" s="452"/>
      <c r="P1299" s="452"/>
      <c r="Q1299" s="453"/>
      <c r="R1299" s="452"/>
      <c r="S1299" s="452"/>
      <c r="T1299" s="453"/>
      <c r="U1299" s="452"/>
      <c r="V1299" s="453"/>
      <c r="W1299" s="454"/>
      <c r="X1299" s="455"/>
      <c r="Y1299" s="456"/>
      <c r="Z1299" s="457"/>
      <c r="AA1299" s="458"/>
      <c r="AB1299" s="443"/>
    </row>
    <row r="1300" spans="1:28" s="444" customFormat="1">
      <c r="A1300" s="702"/>
      <c r="B1300" s="446" t="s">
        <v>187</v>
      </c>
      <c r="C1300" s="486">
        <v>11775</v>
      </c>
      <c r="D1300" s="448" t="s">
        <v>286</v>
      </c>
      <c r="E1300" s="449" t="s">
        <v>285</v>
      </c>
      <c r="F1300" s="448" t="s">
        <v>286</v>
      </c>
      <c r="G1300" s="590">
        <v>46215</v>
      </c>
      <c r="H1300" s="450"/>
      <c r="I1300" s="450"/>
      <c r="J1300" s="699" t="s">
        <v>173</v>
      </c>
      <c r="K1300" s="700"/>
      <c r="L1300" s="451"/>
      <c r="M1300" s="452"/>
      <c r="N1300" s="452"/>
      <c r="O1300" s="452"/>
      <c r="P1300" s="452"/>
      <c r="Q1300" s="453"/>
      <c r="R1300" s="452"/>
      <c r="S1300" s="452"/>
      <c r="T1300" s="453"/>
      <c r="U1300" s="452"/>
      <c r="V1300" s="453"/>
      <c r="W1300" s="454"/>
      <c r="X1300" s="455"/>
      <c r="Y1300" s="456"/>
      <c r="Z1300" s="457"/>
      <c r="AA1300" s="458"/>
      <c r="AB1300" s="443"/>
    </row>
    <row r="1301" spans="1:28" s="444" customFormat="1">
      <c r="A1301" s="702"/>
      <c r="B1301" s="446" t="s">
        <v>187</v>
      </c>
      <c r="C1301" s="486">
        <v>11775</v>
      </c>
      <c r="D1301" s="448" t="s">
        <v>286</v>
      </c>
      <c r="E1301" s="449" t="s">
        <v>285</v>
      </c>
      <c r="F1301" s="448" t="s">
        <v>286</v>
      </c>
      <c r="G1301" s="589">
        <v>46216</v>
      </c>
      <c r="H1301" s="450"/>
      <c r="I1301" s="490"/>
      <c r="J1301" s="434"/>
      <c r="K1301" s="434"/>
      <c r="L1301" s="528"/>
      <c r="M1301" s="452"/>
      <c r="N1301" s="452"/>
      <c r="O1301" s="452"/>
      <c r="P1301" s="452"/>
      <c r="Q1301" s="461"/>
      <c r="R1301" s="452"/>
      <c r="S1301" s="452"/>
      <c r="T1301" s="453"/>
      <c r="U1301" s="452"/>
      <c r="V1301" s="453"/>
      <c r="W1301" s="454"/>
      <c r="X1301" s="455"/>
      <c r="Y1301" s="456"/>
      <c r="Z1301" s="457"/>
      <c r="AA1301" s="458"/>
      <c r="AB1301" s="443"/>
    </row>
    <row r="1302" spans="1:28" s="444" customFormat="1">
      <c r="A1302" s="702"/>
      <c r="B1302" s="446" t="s">
        <v>187</v>
      </c>
      <c r="C1302" s="486">
        <v>11775</v>
      </c>
      <c r="D1302" s="448" t="s">
        <v>286</v>
      </c>
      <c r="E1302" s="449" t="s">
        <v>285</v>
      </c>
      <c r="F1302" s="448" t="s">
        <v>286</v>
      </c>
      <c r="G1302" s="589">
        <v>46217</v>
      </c>
      <c r="H1302" s="450"/>
      <c r="I1302" s="450" t="s">
        <v>186</v>
      </c>
      <c r="J1302" s="305">
        <v>0.3034722222222222</v>
      </c>
      <c r="K1302" s="305">
        <v>0.79375000000000007</v>
      </c>
      <c r="L1302" s="451" t="s">
        <v>169</v>
      </c>
      <c r="M1302" s="452">
        <v>8</v>
      </c>
      <c r="N1302" s="452">
        <v>2</v>
      </c>
      <c r="O1302" s="462"/>
      <c r="P1302" s="462"/>
      <c r="Q1302" s="461"/>
      <c r="R1302" s="462"/>
      <c r="S1302" s="462"/>
      <c r="T1302" s="461"/>
      <c r="U1302" s="462"/>
      <c r="V1302" s="461"/>
      <c r="W1302" s="463"/>
      <c r="X1302" s="464"/>
      <c r="Y1302" s="465"/>
      <c r="Z1302" s="466"/>
      <c r="AA1302" s="467"/>
      <c r="AB1302" s="443"/>
    </row>
    <row r="1303" spans="1:28" s="444" customFormat="1">
      <c r="A1303" s="702"/>
      <c r="B1303" s="446" t="s">
        <v>187</v>
      </c>
      <c r="C1303" s="486">
        <v>11775</v>
      </c>
      <c r="D1303" s="448" t="s">
        <v>286</v>
      </c>
      <c r="E1303" s="449" t="s">
        <v>285</v>
      </c>
      <c r="F1303" s="448" t="s">
        <v>286</v>
      </c>
      <c r="G1303" s="589">
        <v>46218</v>
      </c>
      <c r="H1303" s="450"/>
      <c r="I1303" s="450" t="s">
        <v>186</v>
      </c>
      <c r="J1303" s="305">
        <v>0.3125</v>
      </c>
      <c r="K1303" s="305">
        <v>0.79375000000000007</v>
      </c>
      <c r="L1303" s="451" t="s">
        <v>169</v>
      </c>
      <c r="M1303" s="452">
        <v>8</v>
      </c>
      <c r="N1303" s="452">
        <v>2</v>
      </c>
      <c r="O1303" s="452"/>
      <c r="P1303" s="452"/>
      <c r="Q1303" s="453"/>
      <c r="R1303" s="452"/>
      <c r="S1303" s="452"/>
      <c r="T1303" s="453"/>
      <c r="U1303" s="452"/>
      <c r="V1303" s="453"/>
      <c r="W1303" s="454"/>
      <c r="X1303" s="455"/>
      <c r="Y1303" s="456"/>
      <c r="Z1303" s="457"/>
      <c r="AA1303" s="458"/>
      <c r="AB1303" s="443"/>
    </row>
    <row r="1304" spans="1:28" s="444" customFormat="1">
      <c r="A1304" s="702"/>
      <c r="B1304" s="446" t="s">
        <v>187</v>
      </c>
      <c r="C1304" s="486">
        <v>11775</v>
      </c>
      <c r="D1304" s="448" t="s">
        <v>286</v>
      </c>
      <c r="E1304" s="449" t="s">
        <v>285</v>
      </c>
      <c r="F1304" s="448" t="s">
        <v>286</v>
      </c>
      <c r="G1304" s="589">
        <v>46219</v>
      </c>
      <c r="H1304" s="450"/>
      <c r="I1304" s="450" t="s">
        <v>186</v>
      </c>
      <c r="J1304" s="305">
        <v>0.30694444444444441</v>
      </c>
      <c r="K1304" s="305">
        <v>0.79305555555555562</v>
      </c>
      <c r="L1304" s="451" t="s">
        <v>169</v>
      </c>
      <c r="M1304" s="452">
        <v>8</v>
      </c>
      <c r="N1304" s="452">
        <v>2</v>
      </c>
      <c r="O1304" s="452"/>
      <c r="P1304" s="452"/>
      <c r="Q1304" s="453"/>
      <c r="R1304" s="452"/>
      <c r="S1304" s="452"/>
      <c r="T1304" s="453"/>
      <c r="U1304" s="452"/>
      <c r="V1304" s="453"/>
      <c r="W1304" s="454"/>
      <c r="X1304" s="455"/>
      <c r="Y1304" s="456"/>
      <c r="Z1304" s="457"/>
      <c r="AA1304" s="458"/>
      <c r="AB1304" s="443"/>
    </row>
    <row r="1305" spans="1:28" s="444" customFormat="1">
      <c r="A1305" s="702"/>
      <c r="B1305" s="446" t="s">
        <v>187</v>
      </c>
      <c r="C1305" s="486">
        <v>11775</v>
      </c>
      <c r="D1305" s="448" t="s">
        <v>286</v>
      </c>
      <c r="E1305" s="449" t="s">
        <v>285</v>
      </c>
      <c r="F1305" s="448" t="s">
        <v>286</v>
      </c>
      <c r="G1305" s="589">
        <v>46220</v>
      </c>
      <c r="H1305" s="450"/>
      <c r="I1305" s="450" t="s">
        <v>186</v>
      </c>
      <c r="J1305" s="305">
        <v>0.30624999999999997</v>
      </c>
      <c r="K1305" s="305">
        <v>0.7104166666666667</v>
      </c>
      <c r="L1305" s="451" t="s">
        <v>169</v>
      </c>
      <c r="M1305" s="452">
        <v>8</v>
      </c>
      <c r="N1305" s="452"/>
      <c r="O1305" s="452"/>
      <c r="P1305" s="452"/>
      <c r="Q1305" s="453"/>
      <c r="R1305" s="452"/>
      <c r="S1305" s="452"/>
      <c r="T1305" s="453"/>
      <c r="U1305" s="452"/>
      <c r="V1305" s="453"/>
      <c r="W1305" s="454"/>
      <c r="X1305" s="455"/>
      <c r="Y1305" s="456"/>
      <c r="Z1305" s="457"/>
      <c r="AA1305" s="458"/>
      <c r="AB1305" s="443"/>
    </row>
    <row r="1306" spans="1:28" s="444" customFormat="1">
      <c r="A1306" s="702"/>
      <c r="B1306" s="446" t="s">
        <v>187</v>
      </c>
      <c r="C1306" s="486">
        <v>11775</v>
      </c>
      <c r="D1306" s="448" t="s">
        <v>286</v>
      </c>
      <c r="E1306" s="449" t="s">
        <v>285</v>
      </c>
      <c r="F1306" s="448" t="s">
        <v>286</v>
      </c>
      <c r="G1306" s="589">
        <v>46221</v>
      </c>
      <c r="H1306" s="450"/>
      <c r="I1306" s="450" t="s">
        <v>186</v>
      </c>
      <c r="J1306" s="305">
        <v>0.30486111111111114</v>
      </c>
      <c r="K1306" s="305">
        <v>0.71111111111111114</v>
      </c>
      <c r="L1306" s="451" t="s">
        <v>169</v>
      </c>
      <c r="M1306" s="452">
        <v>8</v>
      </c>
      <c r="N1306" s="452"/>
      <c r="O1306" s="452"/>
      <c r="P1306" s="452"/>
      <c r="Q1306" s="453"/>
      <c r="R1306" s="452"/>
      <c r="S1306" s="452"/>
      <c r="T1306" s="453"/>
      <c r="U1306" s="452"/>
      <c r="V1306" s="453"/>
      <c r="W1306" s="454"/>
      <c r="X1306" s="455"/>
      <c r="Y1306" s="456"/>
      <c r="Z1306" s="457"/>
      <c r="AA1306" s="458"/>
      <c r="AB1306" s="443"/>
    </row>
    <row r="1307" spans="1:28" s="444" customFormat="1">
      <c r="A1307" s="702"/>
      <c r="B1307" s="446" t="s">
        <v>187</v>
      </c>
      <c r="C1307" s="486">
        <v>11775</v>
      </c>
      <c r="D1307" s="448" t="s">
        <v>286</v>
      </c>
      <c r="E1307" s="449" t="s">
        <v>285</v>
      </c>
      <c r="F1307" s="448" t="s">
        <v>286</v>
      </c>
      <c r="G1307" s="590">
        <v>46222</v>
      </c>
      <c r="H1307" s="450"/>
      <c r="I1307" s="450"/>
      <c r="J1307" s="699" t="s">
        <v>173</v>
      </c>
      <c r="K1307" s="700"/>
      <c r="L1307" s="451"/>
      <c r="M1307" s="452"/>
      <c r="N1307" s="452"/>
      <c r="O1307" s="452"/>
      <c r="P1307" s="452"/>
      <c r="Q1307" s="453"/>
      <c r="R1307" s="452"/>
      <c r="S1307" s="452"/>
      <c r="T1307" s="453"/>
      <c r="U1307" s="452"/>
      <c r="V1307" s="453"/>
      <c r="W1307" s="454"/>
      <c r="X1307" s="455"/>
      <c r="Y1307" s="456"/>
      <c r="Z1307" s="457"/>
      <c r="AA1307" s="458"/>
      <c r="AB1307" s="443"/>
    </row>
    <row r="1308" spans="1:28" s="444" customFormat="1">
      <c r="A1308" s="702"/>
      <c r="B1308" s="446" t="s">
        <v>187</v>
      </c>
      <c r="C1308" s="486">
        <v>11775</v>
      </c>
      <c r="D1308" s="448" t="s">
        <v>286</v>
      </c>
      <c r="E1308" s="449" t="s">
        <v>285</v>
      </c>
      <c r="F1308" s="448" t="s">
        <v>286</v>
      </c>
      <c r="G1308" s="589">
        <v>46223</v>
      </c>
      <c r="H1308" s="450"/>
      <c r="I1308" s="450" t="s">
        <v>186</v>
      </c>
      <c r="J1308" s="305">
        <v>0.30416666666666664</v>
      </c>
      <c r="K1308" s="305">
        <v>0.50486111111111109</v>
      </c>
      <c r="L1308" s="537" t="s">
        <v>169</v>
      </c>
      <c r="M1308" s="447">
        <v>4</v>
      </c>
      <c r="N1308" s="452"/>
      <c r="O1308" s="452"/>
      <c r="P1308" s="452"/>
      <c r="Q1308" s="461"/>
      <c r="R1308" s="462"/>
      <c r="S1308" s="462"/>
      <c r="T1308" s="461"/>
      <c r="U1308" s="462"/>
      <c r="V1308" s="461"/>
      <c r="W1308" s="454"/>
      <c r="X1308" s="455"/>
      <c r="Y1308" s="456"/>
      <c r="Z1308" s="457"/>
      <c r="AA1308" s="458"/>
      <c r="AB1308" s="443"/>
    </row>
    <row r="1309" spans="1:28" s="444" customFormat="1">
      <c r="A1309" s="702"/>
      <c r="B1309" s="446" t="s">
        <v>187</v>
      </c>
      <c r="C1309" s="486">
        <v>11775</v>
      </c>
      <c r="D1309" s="448" t="s">
        <v>286</v>
      </c>
      <c r="E1309" s="449" t="s">
        <v>285</v>
      </c>
      <c r="F1309" s="448" t="s">
        <v>286</v>
      </c>
      <c r="G1309" s="589">
        <v>46224</v>
      </c>
      <c r="H1309" s="450"/>
      <c r="I1309" s="450" t="s">
        <v>186</v>
      </c>
      <c r="J1309" s="295">
        <v>0.31041666666666667</v>
      </c>
      <c r="K1309" s="295">
        <v>0.79374999999999996</v>
      </c>
      <c r="L1309" s="451" t="s">
        <v>169</v>
      </c>
      <c r="M1309" s="452">
        <v>8</v>
      </c>
      <c r="N1309" s="452">
        <v>2</v>
      </c>
      <c r="O1309" s="469"/>
      <c r="P1309" s="469"/>
      <c r="Q1309" s="468"/>
      <c r="R1309" s="469"/>
      <c r="S1309" s="469"/>
      <c r="T1309" s="461"/>
      <c r="U1309" s="462"/>
      <c r="V1309" s="461"/>
      <c r="W1309" s="463"/>
      <c r="X1309" s="464"/>
      <c r="Y1309" s="465"/>
      <c r="Z1309" s="466"/>
      <c r="AA1309" s="467"/>
      <c r="AB1309" s="443"/>
    </row>
    <row r="1310" spans="1:28" s="444" customFormat="1">
      <c r="A1310" s="702"/>
      <c r="B1310" s="446" t="s">
        <v>187</v>
      </c>
      <c r="C1310" s="486">
        <v>11775</v>
      </c>
      <c r="D1310" s="448" t="s">
        <v>286</v>
      </c>
      <c r="E1310" s="449" t="s">
        <v>285</v>
      </c>
      <c r="F1310" s="448" t="s">
        <v>286</v>
      </c>
      <c r="G1310" s="589">
        <v>46225</v>
      </c>
      <c r="H1310" s="450"/>
      <c r="I1310" s="450" t="s">
        <v>186</v>
      </c>
      <c r="J1310" s="295">
        <v>0.30694444444444446</v>
      </c>
      <c r="K1310" s="295">
        <v>0.71180555555555558</v>
      </c>
      <c r="L1310" s="451" t="s">
        <v>169</v>
      </c>
      <c r="M1310" s="452">
        <v>8</v>
      </c>
      <c r="N1310" s="471"/>
      <c r="O1310" s="452"/>
      <c r="P1310" s="452"/>
      <c r="Q1310" s="453"/>
      <c r="R1310" s="452"/>
      <c r="S1310" s="452"/>
      <c r="T1310" s="453"/>
      <c r="U1310" s="452"/>
      <c r="V1310" s="453"/>
      <c r="W1310" s="454"/>
      <c r="X1310" s="455"/>
      <c r="Y1310" s="456"/>
      <c r="Z1310" s="457"/>
      <c r="AA1310" s="458"/>
      <c r="AB1310" s="443"/>
    </row>
    <row r="1311" spans="1:28" s="444" customFormat="1">
      <c r="A1311" s="702"/>
      <c r="B1311" s="446" t="s">
        <v>187</v>
      </c>
      <c r="C1311" s="486">
        <v>11775</v>
      </c>
      <c r="D1311" s="448" t="s">
        <v>286</v>
      </c>
      <c r="E1311" s="449" t="s">
        <v>285</v>
      </c>
      <c r="F1311" s="448" t="s">
        <v>286</v>
      </c>
      <c r="G1311" s="589">
        <v>46226</v>
      </c>
      <c r="H1311" s="450"/>
      <c r="I1311" s="450" t="s">
        <v>186</v>
      </c>
      <c r="J1311" s="295">
        <v>0.30555555555555558</v>
      </c>
      <c r="K1311" s="295">
        <v>0.79305555555555551</v>
      </c>
      <c r="L1311" s="451" t="s">
        <v>169</v>
      </c>
      <c r="M1311" s="452">
        <v>8</v>
      </c>
      <c r="N1311" s="452">
        <v>2</v>
      </c>
      <c r="O1311" s="470"/>
      <c r="P1311" s="470"/>
      <c r="Q1311" s="453"/>
      <c r="R1311" s="452"/>
      <c r="S1311" s="452"/>
      <c r="T1311" s="453"/>
      <c r="U1311" s="452"/>
      <c r="V1311" s="453"/>
      <c r="W1311" s="454"/>
      <c r="X1311" s="455"/>
      <c r="Y1311" s="456"/>
      <c r="Z1311" s="457"/>
      <c r="AA1311" s="458"/>
      <c r="AB1311" s="443"/>
    </row>
    <row r="1312" spans="1:28" s="444" customFormat="1">
      <c r="A1312" s="702"/>
      <c r="B1312" s="446" t="s">
        <v>187</v>
      </c>
      <c r="C1312" s="486">
        <v>11775</v>
      </c>
      <c r="D1312" s="448" t="s">
        <v>286</v>
      </c>
      <c r="E1312" s="449" t="s">
        <v>285</v>
      </c>
      <c r="F1312" s="448" t="s">
        <v>286</v>
      </c>
      <c r="G1312" s="589">
        <v>46227</v>
      </c>
      <c r="H1312" s="450"/>
      <c r="I1312" s="450" t="s">
        <v>186</v>
      </c>
      <c r="J1312" s="295">
        <v>0.3034722222222222</v>
      </c>
      <c r="K1312" s="318">
        <v>0.79305555555555551</v>
      </c>
      <c r="L1312" s="451" t="s">
        <v>169</v>
      </c>
      <c r="M1312" s="452">
        <v>8</v>
      </c>
      <c r="N1312" s="452">
        <v>2</v>
      </c>
      <c r="O1312" s="471"/>
      <c r="P1312" s="471"/>
      <c r="Q1312" s="472"/>
      <c r="R1312" s="471"/>
      <c r="S1312" s="471"/>
      <c r="T1312" s="453"/>
      <c r="U1312" s="452"/>
      <c r="V1312" s="453"/>
      <c r="W1312" s="454"/>
      <c r="X1312" s="455"/>
      <c r="Y1312" s="456"/>
      <c r="Z1312" s="457"/>
      <c r="AA1312" s="458"/>
      <c r="AB1312" s="443"/>
    </row>
    <row r="1313" spans="1:28" s="444" customFormat="1">
      <c r="A1313" s="702"/>
      <c r="B1313" s="446" t="s">
        <v>187</v>
      </c>
      <c r="C1313" s="486">
        <v>11775</v>
      </c>
      <c r="D1313" s="448" t="s">
        <v>286</v>
      </c>
      <c r="E1313" s="449" t="s">
        <v>285</v>
      </c>
      <c r="F1313" s="448" t="s">
        <v>286</v>
      </c>
      <c r="G1313" s="589">
        <v>46228</v>
      </c>
      <c r="H1313" s="450"/>
      <c r="I1313" s="450" t="s">
        <v>186</v>
      </c>
      <c r="J1313" s="295"/>
      <c r="K1313" s="295"/>
      <c r="L1313" s="451"/>
      <c r="M1313" s="452"/>
      <c r="N1313" s="452"/>
      <c r="O1313" s="452"/>
      <c r="P1313" s="452"/>
      <c r="Q1313" s="453"/>
      <c r="R1313" s="452"/>
      <c r="S1313" s="473"/>
      <c r="T1313" s="453"/>
      <c r="U1313" s="452"/>
      <c r="V1313" s="453"/>
      <c r="W1313" s="454"/>
      <c r="X1313" s="455"/>
      <c r="Y1313" s="456"/>
      <c r="Z1313" s="457"/>
      <c r="AA1313" s="458"/>
      <c r="AB1313" s="443"/>
    </row>
    <row r="1314" spans="1:28" s="444" customFormat="1">
      <c r="A1314" s="702"/>
      <c r="B1314" s="446"/>
      <c r="C1314" s="486"/>
      <c r="D1314" s="449"/>
      <c r="E1314" s="449"/>
      <c r="F1314" s="449"/>
      <c r="G1314" s="600"/>
      <c r="H1314" s="450"/>
      <c r="I1314" s="450"/>
      <c r="J1314" s="474"/>
      <c r="K1314" s="475"/>
      <c r="L1314" s="476"/>
      <c r="M1314" s="477"/>
      <c r="N1314" s="477"/>
      <c r="O1314" s="477"/>
      <c r="P1314" s="477"/>
      <c r="Q1314" s="478"/>
      <c r="R1314" s="477"/>
      <c r="S1314" s="479"/>
      <c r="T1314" s="453"/>
      <c r="U1314" s="452"/>
      <c r="V1314" s="453"/>
      <c r="W1314" s="454"/>
      <c r="X1314" s="455"/>
      <c r="Y1314" s="456"/>
      <c r="Z1314" s="457"/>
      <c r="AA1314" s="458"/>
      <c r="AB1314" s="443"/>
    </row>
    <row r="1315" spans="1:28" s="444" customFormat="1">
      <c r="A1315" s="703"/>
      <c r="B1315" s="481"/>
      <c r="C1315" s="446"/>
      <c r="D1315" s="481"/>
      <c r="E1315" s="449"/>
      <c r="F1315" s="481"/>
      <c r="G1315" s="601"/>
      <c r="H1315" s="482"/>
      <c r="I1315" s="483"/>
      <c r="J1315" s="484"/>
      <c r="K1315" s="485"/>
      <c r="L1315" s="483"/>
      <c r="M1315" s="483">
        <f t="shared" ref="M1315:AA1315" si="73">SUM(M1298:M1314)</f>
        <v>84</v>
      </c>
      <c r="N1315" s="483">
        <f t="shared" si="73"/>
        <v>12</v>
      </c>
      <c r="O1315" s="483">
        <f t="shared" si="73"/>
        <v>0</v>
      </c>
      <c r="P1315" s="483">
        <f t="shared" si="73"/>
        <v>0</v>
      </c>
      <c r="Q1315" s="483">
        <f t="shared" si="73"/>
        <v>0</v>
      </c>
      <c r="R1315" s="483">
        <f t="shared" si="73"/>
        <v>0</v>
      </c>
      <c r="S1315" s="483">
        <f t="shared" si="73"/>
        <v>0</v>
      </c>
      <c r="T1315" s="483">
        <f t="shared" si="73"/>
        <v>0</v>
      </c>
      <c r="U1315" s="483">
        <f t="shared" si="73"/>
        <v>0</v>
      </c>
      <c r="V1315" s="483">
        <f t="shared" si="73"/>
        <v>0</v>
      </c>
      <c r="W1315" s="483">
        <f t="shared" si="73"/>
        <v>0</v>
      </c>
      <c r="X1315" s="483">
        <f t="shared" si="73"/>
        <v>0</v>
      </c>
      <c r="Y1315" s="483">
        <f t="shared" si="73"/>
        <v>0</v>
      </c>
      <c r="Z1315" s="483">
        <f t="shared" si="73"/>
        <v>0</v>
      </c>
      <c r="AA1315" s="483">
        <f t="shared" si="73"/>
        <v>0</v>
      </c>
      <c r="AB1315" s="443"/>
    </row>
    <row r="1316" spans="1:28" s="444" customFormat="1">
      <c r="A1316" s="435" t="s">
        <v>170</v>
      </c>
      <c r="B1316" s="435" t="s">
        <v>120</v>
      </c>
      <c r="C1316" s="435" t="s">
        <v>152</v>
      </c>
      <c r="D1316" s="435" t="s">
        <v>182</v>
      </c>
      <c r="E1316" s="436" t="s">
        <v>153</v>
      </c>
      <c r="F1316" s="435" t="s">
        <v>182</v>
      </c>
      <c r="G1316" s="599"/>
      <c r="H1316" s="437"/>
      <c r="I1316" s="438" t="s">
        <v>181</v>
      </c>
      <c r="J1316" s="439" t="s">
        <v>154</v>
      </c>
      <c r="K1316" s="439" t="s">
        <v>155</v>
      </c>
      <c r="L1316" s="440" t="s">
        <v>156</v>
      </c>
      <c r="M1316" s="441" t="s">
        <v>157</v>
      </c>
      <c r="N1316" s="440" t="s">
        <v>158</v>
      </c>
      <c r="O1316" s="440" t="s">
        <v>159</v>
      </c>
      <c r="P1316" s="440" t="s">
        <v>174</v>
      </c>
      <c r="Q1316" s="440" t="s">
        <v>160</v>
      </c>
      <c r="R1316" s="440" t="s">
        <v>161</v>
      </c>
      <c r="S1316" s="440" t="s">
        <v>162</v>
      </c>
      <c r="T1316" s="438" t="s">
        <v>163</v>
      </c>
      <c r="U1316" s="438" t="s">
        <v>164</v>
      </c>
      <c r="V1316" s="438" t="s">
        <v>165</v>
      </c>
      <c r="W1316" s="440" t="s">
        <v>113</v>
      </c>
      <c r="X1316" s="438" t="s">
        <v>121</v>
      </c>
      <c r="Y1316" s="438" t="s">
        <v>166</v>
      </c>
      <c r="Z1316" s="442" t="s">
        <v>175</v>
      </c>
      <c r="AA1316" s="442" t="s">
        <v>167</v>
      </c>
      <c r="AB1316" s="443"/>
    </row>
    <row r="1317" spans="1:28" s="444" customFormat="1">
      <c r="A1317" s="701"/>
      <c r="B1317" s="446" t="s">
        <v>187</v>
      </c>
      <c r="C1317" s="449">
        <v>11842</v>
      </c>
      <c r="D1317" s="448" t="s">
        <v>284</v>
      </c>
      <c r="E1317" s="449" t="s">
        <v>283</v>
      </c>
      <c r="F1317" s="448" t="s">
        <v>284</v>
      </c>
      <c r="G1317" s="589">
        <v>46214</v>
      </c>
      <c r="H1317" s="450"/>
      <c r="I1317" s="450" t="s">
        <v>186</v>
      </c>
      <c r="J1317" s="295">
        <v>0.31388888888888888</v>
      </c>
      <c r="K1317" s="295">
        <v>0.71180555555555558</v>
      </c>
      <c r="L1317" s="451" t="s">
        <v>169</v>
      </c>
      <c r="M1317" s="452">
        <v>8</v>
      </c>
      <c r="N1317" s="452"/>
      <c r="O1317" s="452"/>
      <c r="P1317" s="452"/>
      <c r="Q1317" s="453"/>
      <c r="R1317" s="452"/>
      <c r="S1317" s="452"/>
      <c r="T1317" s="453"/>
      <c r="U1317" s="452"/>
      <c r="V1317" s="453"/>
      <c r="W1317" s="454"/>
      <c r="X1317" s="455"/>
      <c r="Y1317" s="456"/>
      <c r="Z1317" s="457"/>
      <c r="AA1317" s="458"/>
      <c r="AB1317" s="443"/>
    </row>
    <row r="1318" spans="1:28" s="444" customFormat="1">
      <c r="A1318" s="702"/>
      <c r="B1318" s="446" t="s">
        <v>187</v>
      </c>
      <c r="C1318" s="449">
        <v>11842</v>
      </c>
      <c r="D1318" s="448" t="s">
        <v>284</v>
      </c>
      <c r="E1318" s="449" t="s">
        <v>283</v>
      </c>
      <c r="F1318" s="448" t="s">
        <v>284</v>
      </c>
      <c r="G1318" s="590">
        <v>46215</v>
      </c>
      <c r="H1318" s="450"/>
      <c r="I1318" s="450"/>
      <c r="J1318" s="699" t="s">
        <v>173</v>
      </c>
      <c r="K1318" s="700"/>
      <c r="L1318" s="451"/>
      <c r="M1318" s="452"/>
      <c r="N1318" s="452"/>
      <c r="O1318" s="452"/>
      <c r="P1318" s="452"/>
      <c r="Q1318" s="453"/>
      <c r="R1318" s="452"/>
      <c r="S1318" s="452"/>
      <c r="T1318" s="453"/>
      <c r="U1318" s="452"/>
      <c r="V1318" s="453"/>
      <c r="W1318" s="454"/>
      <c r="X1318" s="455"/>
      <c r="Y1318" s="456"/>
      <c r="Z1318" s="457"/>
      <c r="AA1318" s="458"/>
      <c r="AB1318" s="443"/>
    </row>
    <row r="1319" spans="1:28" s="444" customFormat="1">
      <c r="A1319" s="702"/>
      <c r="B1319" s="446" t="s">
        <v>187</v>
      </c>
      <c r="C1319" s="486">
        <v>11842</v>
      </c>
      <c r="D1319" s="448" t="s">
        <v>284</v>
      </c>
      <c r="E1319" s="449" t="s">
        <v>283</v>
      </c>
      <c r="F1319" s="448" t="s">
        <v>284</v>
      </c>
      <c r="G1319" s="589">
        <v>46216</v>
      </c>
      <c r="H1319" s="450"/>
      <c r="I1319" s="450" t="s">
        <v>186</v>
      </c>
      <c r="J1319" s="382">
        <v>0.3034722222222222</v>
      </c>
      <c r="K1319" s="382">
        <v>0.79374999999999996</v>
      </c>
      <c r="L1319" s="451" t="s">
        <v>169</v>
      </c>
      <c r="M1319" s="452">
        <v>8</v>
      </c>
      <c r="N1319" s="452">
        <v>2</v>
      </c>
      <c r="O1319" s="452"/>
      <c r="P1319" s="452"/>
      <c r="Q1319" s="453"/>
      <c r="R1319" s="452"/>
      <c r="S1319" s="452"/>
      <c r="T1319" s="453"/>
      <c r="U1319" s="452"/>
      <c r="V1319" s="453"/>
      <c r="W1319" s="454"/>
      <c r="X1319" s="455"/>
      <c r="Y1319" s="456"/>
      <c r="Z1319" s="457"/>
      <c r="AA1319" s="458"/>
      <c r="AB1319" s="443"/>
    </row>
    <row r="1320" spans="1:28" s="444" customFormat="1">
      <c r="A1320" s="702"/>
      <c r="B1320" s="446" t="s">
        <v>187</v>
      </c>
      <c r="C1320" s="486">
        <v>11842</v>
      </c>
      <c r="D1320" s="448" t="s">
        <v>284</v>
      </c>
      <c r="E1320" s="449" t="s">
        <v>283</v>
      </c>
      <c r="F1320" s="448" t="s">
        <v>284</v>
      </c>
      <c r="G1320" s="589">
        <v>46217</v>
      </c>
      <c r="H1320" s="450"/>
      <c r="I1320" s="450" t="s">
        <v>186</v>
      </c>
      <c r="J1320" s="382">
        <v>0.30416666666666664</v>
      </c>
      <c r="K1320" s="382">
        <v>0.79305555555555562</v>
      </c>
      <c r="L1320" s="451" t="s">
        <v>169</v>
      </c>
      <c r="M1320" s="452">
        <v>8</v>
      </c>
      <c r="N1320" s="452">
        <v>2</v>
      </c>
      <c r="O1320" s="462"/>
      <c r="P1320" s="462"/>
      <c r="Q1320" s="461"/>
      <c r="R1320" s="462"/>
      <c r="S1320" s="462"/>
      <c r="T1320" s="461"/>
      <c r="U1320" s="462"/>
      <c r="V1320" s="461"/>
      <c r="W1320" s="463"/>
      <c r="X1320" s="464"/>
      <c r="Y1320" s="465"/>
      <c r="Z1320" s="466"/>
      <c r="AA1320" s="467"/>
      <c r="AB1320" s="443"/>
    </row>
    <row r="1321" spans="1:28" s="444" customFormat="1">
      <c r="A1321" s="702"/>
      <c r="B1321" s="446" t="s">
        <v>187</v>
      </c>
      <c r="C1321" s="486">
        <v>11842</v>
      </c>
      <c r="D1321" s="448" t="s">
        <v>284</v>
      </c>
      <c r="E1321" s="449" t="s">
        <v>283</v>
      </c>
      <c r="F1321" s="448" t="s">
        <v>284</v>
      </c>
      <c r="G1321" s="589">
        <v>46218</v>
      </c>
      <c r="H1321" s="450"/>
      <c r="I1321" s="450" t="s">
        <v>186</v>
      </c>
      <c r="J1321" s="305">
        <v>0.3125</v>
      </c>
      <c r="K1321" s="305">
        <v>0.79236111111111107</v>
      </c>
      <c r="L1321" s="451" t="s">
        <v>169</v>
      </c>
      <c r="M1321" s="452">
        <v>8</v>
      </c>
      <c r="N1321" s="452">
        <v>2</v>
      </c>
      <c r="O1321" s="452"/>
      <c r="P1321" s="452"/>
      <c r="Q1321" s="453"/>
      <c r="R1321" s="452"/>
      <c r="S1321" s="452"/>
      <c r="T1321" s="453"/>
      <c r="U1321" s="452"/>
      <c r="V1321" s="453"/>
      <c r="W1321" s="454"/>
      <c r="X1321" s="455"/>
      <c r="Y1321" s="456"/>
      <c r="Z1321" s="457"/>
      <c r="AA1321" s="458"/>
      <c r="AB1321" s="443"/>
    </row>
    <row r="1322" spans="1:28" s="444" customFormat="1">
      <c r="A1322" s="702"/>
      <c r="B1322" s="446" t="s">
        <v>187</v>
      </c>
      <c r="C1322" s="486">
        <v>11842</v>
      </c>
      <c r="D1322" s="448" t="s">
        <v>284</v>
      </c>
      <c r="E1322" s="449" t="s">
        <v>283</v>
      </c>
      <c r="F1322" s="448" t="s">
        <v>284</v>
      </c>
      <c r="G1322" s="589">
        <v>46219</v>
      </c>
      <c r="H1322" s="450"/>
      <c r="I1322" s="450" t="s">
        <v>186</v>
      </c>
      <c r="J1322" s="305">
        <v>0.30694444444444441</v>
      </c>
      <c r="K1322" s="305">
        <v>0.79236111111111107</v>
      </c>
      <c r="L1322" s="451" t="s">
        <v>169</v>
      </c>
      <c r="M1322" s="452">
        <v>8</v>
      </c>
      <c r="N1322" s="452">
        <v>2</v>
      </c>
      <c r="O1322" s="452"/>
      <c r="P1322" s="452"/>
      <c r="Q1322" s="453"/>
      <c r="R1322" s="452"/>
      <c r="S1322" s="452"/>
      <c r="T1322" s="453"/>
      <c r="U1322" s="452"/>
      <c r="V1322" s="453"/>
      <c r="W1322" s="454"/>
      <c r="X1322" s="455"/>
      <c r="Y1322" s="456"/>
      <c r="Z1322" s="457"/>
      <c r="AA1322" s="458"/>
      <c r="AB1322" s="443"/>
    </row>
    <row r="1323" spans="1:28" s="444" customFormat="1">
      <c r="A1323" s="702"/>
      <c r="B1323" s="446" t="s">
        <v>187</v>
      </c>
      <c r="C1323" s="486">
        <v>11842</v>
      </c>
      <c r="D1323" s="448" t="s">
        <v>284</v>
      </c>
      <c r="E1323" s="449" t="s">
        <v>283</v>
      </c>
      <c r="F1323" s="448" t="s">
        <v>284</v>
      </c>
      <c r="G1323" s="589">
        <v>46220</v>
      </c>
      <c r="H1323" s="450"/>
      <c r="I1323" s="450" t="s">
        <v>186</v>
      </c>
      <c r="J1323" s="305">
        <v>0.30624999999999997</v>
      </c>
      <c r="K1323" s="305"/>
      <c r="L1323" s="451" t="s">
        <v>169</v>
      </c>
      <c r="M1323" s="452"/>
      <c r="N1323" s="452"/>
      <c r="O1323" s="452"/>
      <c r="P1323" s="452"/>
      <c r="Q1323" s="453"/>
      <c r="R1323" s="452"/>
      <c r="S1323" s="452"/>
      <c r="T1323" s="453"/>
      <c r="U1323" s="452"/>
      <c r="V1323" s="453"/>
      <c r="W1323" s="454"/>
      <c r="X1323" s="455"/>
      <c r="Y1323" s="456"/>
      <c r="Z1323" s="457"/>
      <c r="AA1323" s="458"/>
      <c r="AB1323" s="443"/>
    </row>
    <row r="1324" spans="1:28" s="444" customFormat="1">
      <c r="A1324" s="702"/>
      <c r="B1324" s="446" t="s">
        <v>187</v>
      </c>
      <c r="C1324" s="486">
        <v>11842</v>
      </c>
      <c r="D1324" s="448" t="s">
        <v>284</v>
      </c>
      <c r="E1324" s="449" t="s">
        <v>283</v>
      </c>
      <c r="F1324" s="448" t="s">
        <v>284</v>
      </c>
      <c r="G1324" s="589">
        <v>46221</v>
      </c>
      <c r="H1324" s="450"/>
      <c r="I1324" s="450"/>
      <c r="J1324" s="305"/>
      <c r="K1324" s="305"/>
      <c r="L1324" s="451"/>
      <c r="M1324" s="452"/>
      <c r="N1324" s="452"/>
      <c r="O1324" s="452"/>
      <c r="P1324" s="452"/>
      <c r="Q1324" s="453"/>
      <c r="R1324" s="452"/>
      <c r="S1324" s="452"/>
      <c r="T1324" s="453"/>
      <c r="U1324" s="452"/>
      <c r="V1324" s="453"/>
      <c r="W1324" s="454"/>
      <c r="X1324" s="455"/>
      <c r="Y1324" s="456"/>
      <c r="Z1324" s="457"/>
      <c r="AA1324" s="458"/>
      <c r="AB1324" s="443"/>
    </row>
    <row r="1325" spans="1:28" s="444" customFormat="1">
      <c r="A1325" s="702"/>
      <c r="B1325" s="446" t="s">
        <v>187</v>
      </c>
      <c r="C1325" s="486">
        <v>11842</v>
      </c>
      <c r="D1325" s="448" t="s">
        <v>284</v>
      </c>
      <c r="E1325" s="449" t="s">
        <v>283</v>
      </c>
      <c r="F1325" s="448" t="s">
        <v>284</v>
      </c>
      <c r="G1325" s="590">
        <v>46222</v>
      </c>
      <c r="H1325" s="450"/>
      <c r="I1325" s="450"/>
      <c r="J1325" s="699" t="s">
        <v>173</v>
      </c>
      <c r="K1325" s="700"/>
      <c r="L1325" s="451"/>
      <c r="M1325" s="452"/>
      <c r="N1325" s="452"/>
      <c r="O1325" s="452"/>
      <c r="P1325" s="452"/>
      <c r="Q1325" s="453"/>
      <c r="R1325" s="452"/>
      <c r="S1325" s="452"/>
      <c r="T1325" s="453"/>
      <c r="U1325" s="452"/>
      <c r="V1325" s="453"/>
      <c r="W1325" s="454"/>
      <c r="X1325" s="455"/>
      <c r="Y1325" s="456"/>
      <c r="Z1325" s="457"/>
      <c r="AA1325" s="458"/>
      <c r="AB1325" s="443"/>
    </row>
    <row r="1326" spans="1:28" s="444" customFormat="1">
      <c r="A1326" s="702"/>
      <c r="B1326" s="446" t="s">
        <v>187</v>
      </c>
      <c r="C1326" s="486">
        <v>11842</v>
      </c>
      <c r="D1326" s="448" t="s">
        <v>284</v>
      </c>
      <c r="E1326" s="449" t="s">
        <v>283</v>
      </c>
      <c r="F1326" s="448" t="s">
        <v>284</v>
      </c>
      <c r="G1326" s="589">
        <v>46223</v>
      </c>
      <c r="H1326" s="450"/>
      <c r="I1326" s="450" t="s">
        <v>183</v>
      </c>
      <c r="J1326" s="295">
        <v>0.76249999999999996</v>
      </c>
      <c r="K1326" s="295">
        <v>0.25069444444444444</v>
      </c>
      <c r="L1326" s="537" t="s">
        <v>168</v>
      </c>
      <c r="M1326" s="494">
        <v>8</v>
      </c>
      <c r="N1326" s="494">
        <v>2</v>
      </c>
      <c r="O1326" s="494">
        <v>6</v>
      </c>
      <c r="P1326" s="494">
        <v>2</v>
      </c>
      <c r="Q1326" s="461"/>
      <c r="R1326" s="462"/>
      <c r="S1326" s="462"/>
      <c r="T1326" s="461"/>
      <c r="U1326" s="462"/>
      <c r="V1326" s="461"/>
      <c r="W1326" s="454"/>
      <c r="X1326" s="455"/>
      <c r="Y1326" s="456"/>
      <c r="Z1326" s="457"/>
      <c r="AA1326" s="458"/>
      <c r="AB1326" s="443"/>
    </row>
    <row r="1327" spans="1:28" s="444" customFormat="1">
      <c r="A1327" s="702"/>
      <c r="B1327" s="446" t="s">
        <v>187</v>
      </c>
      <c r="C1327" s="486">
        <v>11842</v>
      </c>
      <c r="D1327" s="448" t="s">
        <v>284</v>
      </c>
      <c r="E1327" s="449" t="s">
        <v>283</v>
      </c>
      <c r="F1327" s="448" t="s">
        <v>284</v>
      </c>
      <c r="G1327" s="589">
        <v>46224</v>
      </c>
      <c r="H1327" s="450"/>
      <c r="I1327" s="450" t="s">
        <v>183</v>
      </c>
      <c r="J1327" s="295">
        <v>0.76458333333333328</v>
      </c>
      <c r="K1327" s="295">
        <v>0.16805555555555557</v>
      </c>
      <c r="L1327" s="537" t="s">
        <v>168</v>
      </c>
      <c r="M1327" s="494">
        <v>8</v>
      </c>
      <c r="N1327" s="477"/>
      <c r="O1327" s="480">
        <v>6</v>
      </c>
      <c r="P1327" s="469"/>
      <c r="Q1327" s="468"/>
      <c r="R1327" s="469"/>
      <c r="S1327" s="469"/>
      <c r="T1327" s="461"/>
      <c r="U1327" s="462"/>
      <c r="V1327" s="461"/>
      <c r="W1327" s="463"/>
      <c r="X1327" s="464"/>
      <c r="Y1327" s="465"/>
      <c r="Z1327" s="466"/>
      <c r="AA1327" s="467"/>
      <c r="AB1327" s="443"/>
    </row>
    <row r="1328" spans="1:28" s="444" customFormat="1">
      <c r="A1328" s="702"/>
      <c r="B1328" s="446" t="s">
        <v>187</v>
      </c>
      <c r="C1328" s="486">
        <v>11842</v>
      </c>
      <c r="D1328" s="448" t="s">
        <v>284</v>
      </c>
      <c r="E1328" s="449" t="s">
        <v>283</v>
      </c>
      <c r="F1328" s="448" t="s">
        <v>284</v>
      </c>
      <c r="G1328" s="589">
        <v>46225</v>
      </c>
      <c r="H1328" s="450"/>
      <c r="I1328" s="450" t="s">
        <v>183</v>
      </c>
      <c r="J1328" s="295">
        <v>0.76527777777777772</v>
      </c>
      <c r="K1328" s="295">
        <v>0.25069444444444444</v>
      </c>
      <c r="L1328" s="537" t="s">
        <v>168</v>
      </c>
      <c r="M1328" s="494">
        <v>8</v>
      </c>
      <c r="N1328" s="494">
        <v>2</v>
      </c>
      <c r="O1328" s="494">
        <v>6</v>
      </c>
      <c r="P1328" s="494">
        <v>2</v>
      </c>
      <c r="Q1328" s="453"/>
      <c r="R1328" s="452"/>
      <c r="S1328" s="452"/>
      <c r="T1328" s="453"/>
      <c r="U1328" s="452"/>
      <c r="V1328" s="453"/>
      <c r="W1328" s="454"/>
      <c r="X1328" s="455"/>
      <c r="Y1328" s="456"/>
      <c r="Z1328" s="457"/>
      <c r="AA1328" s="458"/>
      <c r="AB1328" s="443"/>
    </row>
    <row r="1329" spans="1:28" s="444" customFormat="1">
      <c r="A1329" s="702"/>
      <c r="B1329" s="446" t="s">
        <v>187</v>
      </c>
      <c r="C1329" s="486">
        <v>11842</v>
      </c>
      <c r="D1329" s="448" t="s">
        <v>284</v>
      </c>
      <c r="E1329" s="449" t="s">
        <v>283</v>
      </c>
      <c r="F1329" s="448" t="s">
        <v>284</v>
      </c>
      <c r="G1329" s="589">
        <v>46226</v>
      </c>
      <c r="H1329" s="450"/>
      <c r="I1329" s="450" t="s">
        <v>183</v>
      </c>
      <c r="J1329" s="295">
        <v>0.7631944444444444</v>
      </c>
      <c r="K1329" s="295">
        <v>0.25069444444444444</v>
      </c>
      <c r="L1329" s="537" t="s">
        <v>168</v>
      </c>
      <c r="M1329" s="494">
        <v>8</v>
      </c>
      <c r="N1329" s="494">
        <v>2</v>
      </c>
      <c r="O1329" s="494">
        <v>6</v>
      </c>
      <c r="P1329" s="494">
        <v>2</v>
      </c>
      <c r="Q1329" s="453"/>
      <c r="R1329" s="452"/>
      <c r="S1329" s="452"/>
      <c r="T1329" s="453"/>
      <c r="U1329" s="452"/>
      <c r="V1329" s="453"/>
      <c r="W1329" s="454"/>
      <c r="X1329" s="455"/>
      <c r="Y1329" s="456"/>
      <c r="Z1329" s="457"/>
      <c r="AA1329" s="458"/>
      <c r="AB1329" s="443"/>
    </row>
    <row r="1330" spans="1:28" s="444" customFormat="1">
      <c r="A1330" s="702"/>
      <c r="B1330" s="446" t="s">
        <v>187</v>
      </c>
      <c r="C1330" s="486">
        <v>11842</v>
      </c>
      <c r="D1330" s="448" t="s">
        <v>284</v>
      </c>
      <c r="E1330" s="449" t="s">
        <v>283</v>
      </c>
      <c r="F1330" s="448" t="s">
        <v>284</v>
      </c>
      <c r="G1330" s="589">
        <v>46227</v>
      </c>
      <c r="H1330" s="450"/>
      <c r="I1330" s="450" t="s">
        <v>183</v>
      </c>
      <c r="J1330" s="295">
        <v>0.76458333333333328</v>
      </c>
      <c r="K1330" s="318">
        <v>0.16805555555555557</v>
      </c>
      <c r="L1330" s="537" t="s">
        <v>168</v>
      </c>
      <c r="M1330" s="494">
        <v>8</v>
      </c>
      <c r="N1330" s="471"/>
      <c r="O1330" s="471">
        <v>6</v>
      </c>
      <c r="P1330" s="471"/>
      <c r="Q1330" s="472"/>
      <c r="R1330" s="471"/>
      <c r="S1330" s="471"/>
      <c r="T1330" s="453"/>
      <c r="U1330" s="452"/>
      <c r="V1330" s="453"/>
      <c r="W1330" s="454"/>
      <c r="X1330" s="455"/>
      <c r="Y1330" s="456"/>
      <c r="Z1330" s="457"/>
      <c r="AA1330" s="458"/>
      <c r="AB1330" s="443"/>
    </row>
    <row r="1331" spans="1:28" s="444" customFormat="1">
      <c r="A1331" s="702"/>
      <c r="B1331" s="446" t="s">
        <v>187</v>
      </c>
      <c r="C1331" s="486">
        <v>11842</v>
      </c>
      <c r="D1331" s="448" t="s">
        <v>284</v>
      </c>
      <c r="E1331" s="449" t="s">
        <v>283</v>
      </c>
      <c r="F1331" s="448" t="s">
        <v>284</v>
      </c>
      <c r="G1331" s="589">
        <v>46228</v>
      </c>
      <c r="H1331" s="450"/>
      <c r="I1331" s="450" t="s">
        <v>183</v>
      </c>
      <c r="J1331" s="295"/>
      <c r="K1331" s="295"/>
      <c r="L1331" s="451"/>
      <c r="M1331" s="452"/>
      <c r="N1331" s="452"/>
      <c r="O1331" s="452"/>
      <c r="P1331" s="452"/>
      <c r="Q1331" s="453"/>
      <c r="R1331" s="452"/>
      <c r="S1331" s="473"/>
      <c r="T1331" s="453"/>
      <c r="U1331" s="452"/>
      <c r="V1331" s="453"/>
      <c r="W1331" s="454"/>
      <c r="X1331" s="455"/>
      <c r="Y1331" s="456"/>
      <c r="Z1331" s="457"/>
      <c r="AA1331" s="458"/>
      <c r="AB1331" s="443"/>
    </row>
    <row r="1332" spans="1:28" s="444" customFormat="1">
      <c r="A1332" s="702"/>
      <c r="B1332" s="446"/>
      <c r="C1332" s="486"/>
      <c r="D1332" s="449"/>
      <c r="E1332" s="449"/>
      <c r="F1332" s="449"/>
      <c r="G1332" s="600"/>
      <c r="H1332" s="450"/>
      <c r="I1332" s="450"/>
      <c r="J1332" s="474"/>
      <c r="K1332" s="475"/>
      <c r="L1332" s="476"/>
      <c r="M1332" s="477"/>
      <c r="N1332" s="477"/>
      <c r="O1332" s="477"/>
      <c r="P1332" s="477"/>
      <c r="Q1332" s="478"/>
      <c r="R1332" s="477"/>
      <c r="S1332" s="479"/>
      <c r="T1332" s="453"/>
      <c r="U1332" s="452"/>
      <c r="V1332" s="453"/>
      <c r="W1332" s="454"/>
      <c r="X1332" s="455"/>
      <c r="Y1332" s="456"/>
      <c r="Z1332" s="457"/>
      <c r="AA1332" s="458"/>
      <c r="AB1332" s="443"/>
    </row>
    <row r="1333" spans="1:28" s="444" customFormat="1">
      <c r="A1333" s="703"/>
      <c r="B1333" s="481"/>
      <c r="C1333" s="446"/>
      <c r="D1333" s="481"/>
      <c r="E1333" s="449"/>
      <c r="F1333" s="481"/>
      <c r="G1333" s="601"/>
      <c r="H1333" s="482"/>
      <c r="I1333" s="483"/>
      <c r="J1333" s="484"/>
      <c r="K1333" s="485"/>
      <c r="L1333" s="483"/>
      <c r="M1333" s="483">
        <f t="shared" ref="M1333:AA1333" si="74">SUM(M1316:M1332)</f>
        <v>80</v>
      </c>
      <c r="N1333" s="483">
        <f t="shared" si="74"/>
        <v>14</v>
      </c>
      <c r="O1333" s="483">
        <f t="shared" si="74"/>
        <v>30</v>
      </c>
      <c r="P1333" s="483">
        <f t="shared" si="74"/>
        <v>6</v>
      </c>
      <c r="Q1333" s="483">
        <f t="shared" si="74"/>
        <v>0</v>
      </c>
      <c r="R1333" s="483">
        <f t="shared" si="74"/>
        <v>0</v>
      </c>
      <c r="S1333" s="483">
        <f t="shared" si="74"/>
        <v>0</v>
      </c>
      <c r="T1333" s="483">
        <f t="shared" si="74"/>
        <v>0</v>
      </c>
      <c r="U1333" s="483">
        <f t="shared" si="74"/>
        <v>0</v>
      </c>
      <c r="V1333" s="483">
        <f t="shared" si="74"/>
        <v>0</v>
      </c>
      <c r="W1333" s="483">
        <f t="shared" si="74"/>
        <v>0</v>
      </c>
      <c r="X1333" s="483">
        <f t="shared" si="74"/>
        <v>0</v>
      </c>
      <c r="Y1333" s="483">
        <f t="shared" si="74"/>
        <v>0</v>
      </c>
      <c r="Z1333" s="483">
        <f t="shared" si="74"/>
        <v>0</v>
      </c>
      <c r="AA1333" s="483">
        <f t="shared" si="74"/>
        <v>0</v>
      </c>
      <c r="AB1333" s="443"/>
    </row>
    <row r="1334" spans="1:28" s="444" customFormat="1">
      <c r="A1334" s="435" t="s">
        <v>170</v>
      </c>
      <c r="B1334" s="435" t="s">
        <v>120</v>
      </c>
      <c r="C1334" s="435" t="s">
        <v>152</v>
      </c>
      <c r="D1334" s="435" t="s">
        <v>182</v>
      </c>
      <c r="E1334" s="436" t="s">
        <v>153</v>
      </c>
      <c r="F1334" s="435" t="s">
        <v>182</v>
      </c>
      <c r="G1334" s="599" t="s">
        <v>401</v>
      </c>
      <c r="H1334" s="437"/>
      <c r="I1334" s="438" t="s">
        <v>181</v>
      </c>
      <c r="J1334" s="439" t="s">
        <v>154</v>
      </c>
      <c r="K1334" s="439" t="s">
        <v>155</v>
      </c>
      <c r="L1334" s="440" t="s">
        <v>156</v>
      </c>
      <c r="M1334" s="441" t="s">
        <v>157</v>
      </c>
      <c r="N1334" s="440" t="s">
        <v>158</v>
      </c>
      <c r="O1334" s="440" t="s">
        <v>159</v>
      </c>
      <c r="P1334" s="440" t="s">
        <v>174</v>
      </c>
      <c r="Q1334" s="440" t="s">
        <v>160</v>
      </c>
      <c r="R1334" s="440" t="s">
        <v>161</v>
      </c>
      <c r="S1334" s="440" t="s">
        <v>162</v>
      </c>
      <c r="T1334" s="438" t="s">
        <v>163</v>
      </c>
      <c r="U1334" s="438" t="s">
        <v>164</v>
      </c>
      <c r="V1334" s="438" t="s">
        <v>165</v>
      </c>
      <c r="W1334" s="440" t="s">
        <v>113</v>
      </c>
      <c r="X1334" s="438" t="s">
        <v>121</v>
      </c>
      <c r="Y1334" s="438" t="s">
        <v>166</v>
      </c>
      <c r="Z1334" s="442" t="s">
        <v>175</v>
      </c>
      <c r="AA1334" s="442" t="s">
        <v>167</v>
      </c>
      <c r="AB1334" s="443"/>
    </row>
    <row r="1335" spans="1:28" s="444" customFormat="1">
      <c r="A1335" s="701"/>
      <c r="B1335" s="446" t="s">
        <v>187</v>
      </c>
      <c r="C1335" s="449">
        <v>11742</v>
      </c>
      <c r="D1335" s="448" t="s">
        <v>282</v>
      </c>
      <c r="E1335" s="449" t="s">
        <v>281</v>
      </c>
      <c r="F1335" s="448" t="s">
        <v>282</v>
      </c>
      <c r="G1335" s="589">
        <v>46214</v>
      </c>
      <c r="H1335" s="450"/>
      <c r="I1335" s="450" t="s">
        <v>183</v>
      </c>
      <c r="J1335" s="295">
        <v>0.75555555555555554</v>
      </c>
      <c r="K1335" s="295">
        <v>0.16944444444444445</v>
      </c>
      <c r="L1335" s="451" t="s">
        <v>168</v>
      </c>
      <c r="M1335" s="452">
        <v>8</v>
      </c>
      <c r="N1335" s="452"/>
      <c r="O1335" s="452">
        <v>6</v>
      </c>
      <c r="P1335" s="452"/>
      <c r="Q1335" s="453"/>
      <c r="R1335" s="452"/>
      <c r="S1335" s="452"/>
      <c r="T1335" s="453"/>
      <c r="U1335" s="452"/>
      <c r="V1335" s="453"/>
      <c r="W1335" s="454"/>
      <c r="X1335" s="455"/>
      <c r="Y1335" s="456"/>
      <c r="Z1335" s="457"/>
      <c r="AA1335" s="458"/>
      <c r="AB1335" s="443"/>
    </row>
    <row r="1336" spans="1:28" s="444" customFormat="1">
      <c r="A1336" s="702"/>
      <c r="B1336" s="446" t="s">
        <v>187</v>
      </c>
      <c r="C1336" s="449">
        <v>11742</v>
      </c>
      <c r="D1336" s="448" t="s">
        <v>282</v>
      </c>
      <c r="E1336" s="449" t="s">
        <v>281</v>
      </c>
      <c r="F1336" s="448" t="s">
        <v>282</v>
      </c>
      <c r="G1336" s="590">
        <v>46215</v>
      </c>
      <c r="H1336" s="450"/>
      <c r="I1336" s="450"/>
      <c r="J1336" s="699" t="s">
        <v>173</v>
      </c>
      <c r="K1336" s="700"/>
      <c r="L1336" s="451"/>
      <c r="M1336" s="452"/>
      <c r="N1336" s="452"/>
      <c r="O1336" s="452"/>
      <c r="P1336" s="452"/>
      <c r="Q1336" s="453"/>
      <c r="R1336" s="452"/>
      <c r="S1336" s="452"/>
      <c r="T1336" s="453"/>
      <c r="U1336" s="452"/>
      <c r="V1336" s="453"/>
      <c r="W1336" s="454"/>
      <c r="X1336" s="455"/>
      <c r="Y1336" s="456"/>
      <c r="Z1336" s="457"/>
      <c r="AA1336" s="458"/>
      <c r="AB1336" s="443"/>
    </row>
    <row r="1337" spans="1:28" s="444" customFormat="1">
      <c r="A1337" s="702"/>
      <c r="B1337" s="446" t="s">
        <v>187</v>
      </c>
      <c r="C1337" s="536">
        <v>11742</v>
      </c>
      <c r="D1337" s="448" t="s">
        <v>282</v>
      </c>
      <c r="E1337" s="504" t="s">
        <v>281</v>
      </c>
      <c r="F1337" s="448" t="s">
        <v>282</v>
      </c>
      <c r="G1337" s="589">
        <v>46216</v>
      </c>
      <c r="H1337" s="450"/>
      <c r="I1337" s="450" t="s">
        <v>186</v>
      </c>
      <c r="J1337" s="382">
        <v>0.31666666666666665</v>
      </c>
      <c r="K1337" s="382">
        <v>0.7104166666666667</v>
      </c>
      <c r="L1337" s="451" t="s">
        <v>169</v>
      </c>
      <c r="M1337" s="452">
        <v>8</v>
      </c>
      <c r="N1337" s="452"/>
      <c r="O1337" s="452"/>
      <c r="P1337" s="452"/>
      <c r="Q1337" s="461"/>
      <c r="R1337" s="452"/>
      <c r="S1337" s="452"/>
      <c r="T1337" s="453"/>
      <c r="U1337" s="452"/>
      <c r="V1337" s="453"/>
      <c r="W1337" s="454"/>
      <c r="X1337" s="455"/>
      <c r="Y1337" s="456"/>
      <c r="Z1337" s="457"/>
      <c r="AA1337" s="458"/>
      <c r="AB1337" s="443"/>
    </row>
    <row r="1338" spans="1:28" s="444" customFormat="1">
      <c r="A1338" s="702"/>
      <c r="B1338" s="446" t="s">
        <v>187</v>
      </c>
      <c r="C1338" s="486">
        <v>11742</v>
      </c>
      <c r="D1338" s="448" t="s">
        <v>282</v>
      </c>
      <c r="E1338" s="449" t="s">
        <v>281</v>
      </c>
      <c r="F1338" s="448" t="s">
        <v>282</v>
      </c>
      <c r="G1338" s="589">
        <v>46217</v>
      </c>
      <c r="H1338" s="450"/>
      <c r="I1338" s="450" t="s">
        <v>186</v>
      </c>
      <c r="J1338" s="305">
        <v>0.28888888888888886</v>
      </c>
      <c r="K1338" s="305">
        <v>0.7944444444444444</v>
      </c>
      <c r="L1338" s="451" t="s">
        <v>169</v>
      </c>
      <c r="M1338" s="452">
        <v>8</v>
      </c>
      <c r="N1338" s="452">
        <v>2</v>
      </c>
      <c r="O1338" s="452"/>
      <c r="P1338" s="452"/>
      <c r="Q1338" s="461"/>
      <c r="R1338" s="462"/>
      <c r="S1338" s="462"/>
      <c r="T1338" s="461"/>
      <c r="U1338" s="462"/>
      <c r="V1338" s="461"/>
      <c r="W1338" s="463"/>
      <c r="X1338" s="464"/>
      <c r="Y1338" s="465"/>
      <c r="Z1338" s="466"/>
      <c r="AA1338" s="467"/>
      <c r="AB1338" s="443"/>
    </row>
    <row r="1339" spans="1:28" s="444" customFormat="1">
      <c r="A1339" s="702"/>
      <c r="B1339" s="446" t="s">
        <v>187</v>
      </c>
      <c r="C1339" s="536">
        <v>11742</v>
      </c>
      <c r="D1339" s="448" t="s">
        <v>282</v>
      </c>
      <c r="E1339" s="504" t="s">
        <v>281</v>
      </c>
      <c r="F1339" s="448" t="s">
        <v>282</v>
      </c>
      <c r="G1339" s="589">
        <v>46218</v>
      </c>
      <c r="H1339" s="450"/>
      <c r="I1339" s="450" t="s">
        <v>186</v>
      </c>
      <c r="J1339" s="305">
        <v>0.29097222222222224</v>
      </c>
      <c r="K1339" s="305">
        <v>0.79513888888888884</v>
      </c>
      <c r="L1339" s="451" t="s">
        <v>169</v>
      </c>
      <c r="M1339" s="452">
        <v>8</v>
      </c>
      <c r="N1339" s="452">
        <v>2</v>
      </c>
      <c r="O1339" s="452"/>
      <c r="P1339" s="452"/>
      <c r="Q1339" s="453"/>
      <c r="R1339" s="452"/>
      <c r="S1339" s="452"/>
      <c r="T1339" s="453"/>
      <c r="U1339" s="452"/>
      <c r="V1339" s="453"/>
      <c r="W1339" s="454"/>
      <c r="X1339" s="455"/>
      <c r="Y1339" s="456"/>
      <c r="Z1339" s="457"/>
      <c r="AA1339" s="458"/>
      <c r="AB1339" s="443"/>
    </row>
    <row r="1340" spans="1:28" s="444" customFormat="1">
      <c r="A1340" s="702"/>
      <c r="B1340" s="446" t="s">
        <v>187</v>
      </c>
      <c r="C1340" s="486">
        <v>11742</v>
      </c>
      <c r="D1340" s="448" t="s">
        <v>282</v>
      </c>
      <c r="E1340" s="449" t="s">
        <v>281</v>
      </c>
      <c r="F1340" s="448" t="s">
        <v>282</v>
      </c>
      <c r="G1340" s="589">
        <v>46219</v>
      </c>
      <c r="H1340" s="450"/>
      <c r="I1340" s="450" t="s">
        <v>186</v>
      </c>
      <c r="J1340" s="305">
        <v>0.30208333333333331</v>
      </c>
      <c r="K1340" s="305">
        <v>0.7944444444444444</v>
      </c>
      <c r="L1340" s="451" t="s">
        <v>169</v>
      </c>
      <c r="M1340" s="452">
        <v>8</v>
      </c>
      <c r="N1340" s="452">
        <v>2</v>
      </c>
      <c r="O1340" s="452"/>
      <c r="P1340" s="452"/>
      <c r="Q1340" s="453"/>
      <c r="R1340" s="452"/>
      <c r="S1340" s="452"/>
      <c r="T1340" s="453"/>
      <c r="U1340" s="452"/>
      <c r="V1340" s="453"/>
      <c r="W1340" s="454"/>
      <c r="X1340" s="455"/>
      <c r="Y1340" s="456"/>
      <c r="Z1340" s="457"/>
      <c r="AA1340" s="458"/>
      <c r="AB1340" s="443"/>
    </row>
    <row r="1341" spans="1:28" s="444" customFormat="1">
      <c r="A1341" s="702"/>
      <c r="B1341" s="446" t="s">
        <v>187</v>
      </c>
      <c r="C1341" s="486">
        <v>11742</v>
      </c>
      <c r="D1341" s="448" t="s">
        <v>282</v>
      </c>
      <c r="E1341" s="449" t="s">
        <v>281</v>
      </c>
      <c r="F1341" s="448" t="s">
        <v>282</v>
      </c>
      <c r="G1341" s="589">
        <v>46220</v>
      </c>
      <c r="H1341" s="450"/>
      <c r="I1341" s="450" t="s">
        <v>186</v>
      </c>
      <c r="J1341" s="305">
        <v>0.31805555555555554</v>
      </c>
      <c r="K1341" s="305">
        <v>0.79513888888888884</v>
      </c>
      <c r="L1341" s="451" t="s">
        <v>169</v>
      </c>
      <c r="M1341" s="452">
        <v>8</v>
      </c>
      <c r="N1341" s="452">
        <v>2</v>
      </c>
      <c r="O1341" s="452"/>
      <c r="P1341" s="452"/>
      <c r="Q1341" s="453"/>
      <c r="R1341" s="452"/>
      <c r="S1341" s="452"/>
      <c r="T1341" s="453"/>
      <c r="U1341" s="452"/>
      <c r="V1341" s="453"/>
      <c r="W1341" s="454"/>
      <c r="X1341" s="455"/>
      <c r="Y1341" s="456"/>
      <c r="Z1341" s="457"/>
      <c r="AA1341" s="458"/>
      <c r="AB1341" s="443"/>
    </row>
    <row r="1342" spans="1:28" s="444" customFormat="1">
      <c r="A1342" s="702"/>
      <c r="B1342" s="446" t="s">
        <v>187</v>
      </c>
      <c r="C1342" s="486">
        <v>11742</v>
      </c>
      <c r="D1342" s="448" t="s">
        <v>282</v>
      </c>
      <c r="E1342" s="449" t="s">
        <v>281</v>
      </c>
      <c r="F1342" s="448" t="s">
        <v>282</v>
      </c>
      <c r="G1342" s="589">
        <v>46221</v>
      </c>
      <c r="H1342" s="450"/>
      <c r="I1342" s="450" t="s">
        <v>186</v>
      </c>
      <c r="J1342" s="305">
        <v>0.28888888888888886</v>
      </c>
      <c r="K1342" s="305">
        <v>0.71180555555555558</v>
      </c>
      <c r="L1342" s="451" t="s">
        <v>169</v>
      </c>
      <c r="M1342" s="452">
        <v>8</v>
      </c>
      <c r="N1342" s="452"/>
      <c r="O1342" s="452"/>
      <c r="P1342" s="452"/>
      <c r="Q1342" s="453"/>
      <c r="R1342" s="452"/>
      <c r="S1342" s="452"/>
      <c r="T1342" s="453"/>
      <c r="U1342" s="452"/>
      <c r="V1342" s="453"/>
      <c r="W1342" s="454"/>
      <c r="X1342" s="455"/>
      <c r="Y1342" s="456"/>
      <c r="Z1342" s="457"/>
      <c r="AA1342" s="458"/>
      <c r="AB1342" s="443"/>
    </row>
    <row r="1343" spans="1:28" s="444" customFormat="1">
      <c r="A1343" s="702"/>
      <c r="B1343" s="446" t="s">
        <v>187</v>
      </c>
      <c r="C1343" s="486">
        <v>11742</v>
      </c>
      <c r="D1343" s="448" t="s">
        <v>282</v>
      </c>
      <c r="E1343" s="449" t="s">
        <v>281</v>
      </c>
      <c r="F1343" s="448" t="s">
        <v>282</v>
      </c>
      <c r="G1343" s="590">
        <v>46222</v>
      </c>
      <c r="H1343" s="450"/>
      <c r="I1343" s="450"/>
      <c r="J1343" s="699" t="s">
        <v>173</v>
      </c>
      <c r="K1343" s="700"/>
      <c r="L1343" s="451"/>
      <c r="M1343" s="452"/>
      <c r="N1343" s="452"/>
      <c r="O1343" s="452"/>
      <c r="P1343" s="452"/>
      <c r="Q1343" s="453"/>
      <c r="R1343" s="452"/>
      <c r="S1343" s="452"/>
      <c r="T1343" s="453"/>
      <c r="U1343" s="452"/>
      <c r="V1343" s="453"/>
      <c r="W1343" s="454"/>
      <c r="X1343" s="455"/>
      <c r="Y1343" s="456"/>
      <c r="Z1343" s="457"/>
      <c r="AA1343" s="458"/>
      <c r="AB1343" s="443"/>
    </row>
    <row r="1344" spans="1:28" s="444" customFormat="1">
      <c r="A1344" s="702"/>
      <c r="B1344" s="446" t="s">
        <v>187</v>
      </c>
      <c r="C1344" s="486">
        <v>11742</v>
      </c>
      <c r="D1344" s="448" t="s">
        <v>282</v>
      </c>
      <c r="E1344" s="449" t="s">
        <v>281</v>
      </c>
      <c r="F1344" s="448" t="s">
        <v>282</v>
      </c>
      <c r="G1344" s="589">
        <v>46223</v>
      </c>
      <c r="H1344" s="450"/>
      <c r="I1344" s="450" t="s">
        <v>186</v>
      </c>
      <c r="J1344" s="295">
        <v>0.29652777777777778</v>
      </c>
      <c r="K1344" s="295">
        <v>0.79513888888888884</v>
      </c>
      <c r="L1344" s="451" t="s">
        <v>169</v>
      </c>
      <c r="M1344" s="452">
        <v>8</v>
      </c>
      <c r="N1344" s="452">
        <v>2</v>
      </c>
      <c r="O1344" s="462"/>
      <c r="P1344" s="462"/>
      <c r="Q1344" s="461"/>
      <c r="R1344" s="462"/>
      <c r="S1344" s="462"/>
      <c r="T1344" s="461"/>
      <c r="U1344" s="462"/>
      <c r="V1344" s="461"/>
      <c r="W1344" s="454"/>
      <c r="X1344" s="455"/>
      <c r="Y1344" s="456"/>
      <c r="Z1344" s="457"/>
      <c r="AA1344" s="458"/>
      <c r="AB1344" s="443"/>
    </row>
    <row r="1345" spans="1:28" s="444" customFormat="1">
      <c r="A1345" s="702"/>
      <c r="B1345" s="446" t="s">
        <v>187</v>
      </c>
      <c r="C1345" s="486">
        <v>11742</v>
      </c>
      <c r="D1345" s="448" t="s">
        <v>282</v>
      </c>
      <c r="E1345" s="449" t="s">
        <v>281</v>
      </c>
      <c r="F1345" s="448" t="s">
        <v>282</v>
      </c>
      <c r="G1345" s="589">
        <v>46224</v>
      </c>
      <c r="H1345" s="450"/>
      <c r="I1345" s="450" t="s">
        <v>186</v>
      </c>
      <c r="J1345" s="295">
        <v>0.27916666666666667</v>
      </c>
      <c r="K1345" s="295">
        <v>0.79583333333333328</v>
      </c>
      <c r="L1345" s="451" t="s">
        <v>169</v>
      </c>
      <c r="M1345" s="452">
        <v>8</v>
      </c>
      <c r="N1345" s="452">
        <v>2</v>
      </c>
      <c r="O1345" s="477"/>
      <c r="P1345" s="477"/>
      <c r="Q1345" s="468"/>
      <c r="R1345" s="469"/>
      <c r="S1345" s="469"/>
      <c r="T1345" s="461"/>
      <c r="U1345" s="462"/>
      <c r="V1345" s="461"/>
      <c r="W1345" s="463"/>
      <c r="X1345" s="464"/>
      <c r="Y1345" s="465"/>
      <c r="Z1345" s="466"/>
      <c r="AA1345" s="467"/>
      <c r="AB1345" s="443"/>
    </row>
    <row r="1346" spans="1:28" s="444" customFormat="1">
      <c r="A1346" s="702"/>
      <c r="B1346" s="446" t="s">
        <v>187</v>
      </c>
      <c r="C1346" s="486">
        <v>11742</v>
      </c>
      <c r="D1346" s="448" t="s">
        <v>282</v>
      </c>
      <c r="E1346" s="449" t="s">
        <v>281</v>
      </c>
      <c r="F1346" s="448" t="s">
        <v>282</v>
      </c>
      <c r="G1346" s="589">
        <v>46225</v>
      </c>
      <c r="H1346" s="450"/>
      <c r="I1346" s="450" t="s">
        <v>186</v>
      </c>
      <c r="J1346" s="295">
        <v>0.30277777777777776</v>
      </c>
      <c r="K1346" s="295">
        <v>0.70902777777777781</v>
      </c>
      <c r="L1346" s="451" t="s">
        <v>169</v>
      </c>
      <c r="M1346" s="452">
        <v>8</v>
      </c>
      <c r="N1346" s="471"/>
      <c r="O1346" s="452"/>
      <c r="P1346" s="452"/>
      <c r="Q1346" s="453"/>
      <c r="R1346" s="452"/>
      <c r="S1346" s="452"/>
      <c r="T1346" s="453"/>
      <c r="U1346" s="452"/>
      <c r="V1346" s="453"/>
      <c r="W1346" s="454"/>
      <c r="X1346" s="455"/>
      <c r="Y1346" s="456"/>
      <c r="Z1346" s="457"/>
      <c r="AA1346" s="458"/>
      <c r="AB1346" s="443"/>
    </row>
    <row r="1347" spans="1:28" s="444" customFormat="1">
      <c r="A1347" s="702"/>
      <c r="B1347" s="446" t="s">
        <v>187</v>
      </c>
      <c r="C1347" s="486">
        <v>11742</v>
      </c>
      <c r="D1347" s="448" t="s">
        <v>282</v>
      </c>
      <c r="E1347" s="449" t="s">
        <v>281</v>
      </c>
      <c r="F1347" s="448" t="s">
        <v>282</v>
      </c>
      <c r="G1347" s="589">
        <v>46226</v>
      </c>
      <c r="H1347" s="450"/>
      <c r="I1347" s="450" t="s">
        <v>186</v>
      </c>
      <c r="J1347" s="295">
        <v>0.30208333333333331</v>
      </c>
      <c r="K1347" s="295">
        <v>0.7944444444444444</v>
      </c>
      <c r="L1347" s="451" t="s">
        <v>169</v>
      </c>
      <c r="M1347" s="452">
        <v>8</v>
      </c>
      <c r="N1347" s="452">
        <v>2</v>
      </c>
      <c r="O1347" s="470"/>
      <c r="P1347" s="470"/>
      <c r="Q1347" s="453"/>
      <c r="R1347" s="452"/>
      <c r="S1347" s="452"/>
      <c r="T1347" s="453"/>
      <c r="U1347" s="452"/>
      <c r="V1347" s="453"/>
      <c r="W1347" s="454"/>
      <c r="X1347" s="455"/>
      <c r="Y1347" s="456"/>
      <c r="Z1347" s="457"/>
      <c r="AA1347" s="458"/>
      <c r="AB1347" s="443"/>
    </row>
    <row r="1348" spans="1:28" s="444" customFormat="1">
      <c r="A1348" s="702"/>
      <c r="B1348" s="446" t="s">
        <v>187</v>
      </c>
      <c r="C1348" s="486">
        <v>11742</v>
      </c>
      <c r="D1348" s="448" t="s">
        <v>282</v>
      </c>
      <c r="E1348" s="449" t="s">
        <v>281</v>
      </c>
      <c r="F1348" s="448" t="s">
        <v>282</v>
      </c>
      <c r="G1348" s="589">
        <v>46227</v>
      </c>
      <c r="H1348" s="450"/>
      <c r="I1348" s="450" t="s">
        <v>186</v>
      </c>
      <c r="J1348" s="295">
        <v>0.28958333333333336</v>
      </c>
      <c r="K1348" s="318">
        <v>0.7944444444444444</v>
      </c>
      <c r="L1348" s="451" t="s">
        <v>169</v>
      </c>
      <c r="M1348" s="452">
        <v>8</v>
      </c>
      <c r="N1348" s="452">
        <v>2</v>
      </c>
      <c r="O1348" s="471"/>
      <c r="P1348" s="471"/>
      <c r="Q1348" s="472"/>
      <c r="R1348" s="471"/>
      <c r="S1348" s="471"/>
      <c r="T1348" s="453"/>
      <c r="U1348" s="452"/>
      <c r="V1348" s="453"/>
      <c r="W1348" s="454"/>
      <c r="X1348" s="455"/>
      <c r="Y1348" s="456"/>
      <c r="Z1348" s="457"/>
      <c r="AA1348" s="458"/>
      <c r="AB1348" s="443"/>
    </row>
    <row r="1349" spans="1:28" s="444" customFormat="1">
      <c r="A1349" s="702"/>
      <c r="B1349" s="446" t="s">
        <v>187</v>
      </c>
      <c r="C1349" s="486">
        <v>11742</v>
      </c>
      <c r="D1349" s="448" t="s">
        <v>282</v>
      </c>
      <c r="E1349" s="449" t="s">
        <v>281</v>
      </c>
      <c r="F1349" s="448" t="s">
        <v>282</v>
      </c>
      <c r="G1349" s="589">
        <v>46228</v>
      </c>
      <c r="H1349" s="450"/>
      <c r="I1349" s="450" t="s">
        <v>186</v>
      </c>
      <c r="J1349" s="295"/>
      <c r="K1349" s="295"/>
      <c r="L1349" s="451"/>
      <c r="M1349" s="452"/>
      <c r="N1349" s="452"/>
      <c r="O1349" s="452"/>
      <c r="P1349" s="452"/>
      <c r="Q1349" s="453"/>
      <c r="R1349" s="452"/>
      <c r="S1349" s="473"/>
      <c r="T1349" s="453"/>
      <c r="U1349" s="452"/>
      <c r="V1349" s="453"/>
      <c r="W1349" s="454"/>
      <c r="X1349" s="455"/>
      <c r="Y1349" s="456"/>
      <c r="Z1349" s="457"/>
      <c r="AA1349" s="458"/>
      <c r="AB1349" s="443"/>
    </row>
    <row r="1350" spans="1:28" s="444" customFormat="1">
      <c r="A1350" s="702"/>
      <c r="B1350" s="446"/>
      <c r="C1350" s="486"/>
      <c r="D1350" s="449"/>
      <c r="E1350" s="449"/>
      <c r="F1350" s="449"/>
      <c r="G1350" s="600"/>
      <c r="H1350" s="450"/>
      <c r="I1350" s="450"/>
      <c r="J1350" s="474"/>
      <c r="K1350" s="475"/>
      <c r="L1350" s="476"/>
      <c r="M1350" s="477"/>
      <c r="N1350" s="477"/>
      <c r="O1350" s="477"/>
      <c r="P1350" s="477"/>
      <c r="Q1350" s="478"/>
      <c r="R1350" s="477"/>
      <c r="S1350" s="479"/>
      <c r="T1350" s="453"/>
      <c r="U1350" s="452"/>
      <c r="V1350" s="453"/>
      <c r="W1350" s="454"/>
      <c r="X1350" s="455"/>
      <c r="Y1350" s="456"/>
      <c r="Z1350" s="457"/>
      <c r="AA1350" s="458"/>
      <c r="AB1350" s="443"/>
    </row>
    <row r="1351" spans="1:28" s="444" customFormat="1">
      <c r="A1351" s="703"/>
      <c r="B1351" s="481"/>
      <c r="C1351" s="446"/>
      <c r="D1351" s="481"/>
      <c r="E1351" s="449"/>
      <c r="F1351" s="481"/>
      <c r="G1351" s="601"/>
      <c r="H1351" s="482"/>
      <c r="I1351" s="483"/>
      <c r="J1351" s="484"/>
      <c r="K1351" s="485"/>
      <c r="L1351" s="483"/>
      <c r="M1351" s="483">
        <f t="shared" ref="M1351:AA1351" si="75">SUM(M1334:M1350)</f>
        <v>96</v>
      </c>
      <c r="N1351" s="483">
        <f t="shared" si="75"/>
        <v>16</v>
      </c>
      <c r="O1351" s="483">
        <f t="shared" si="75"/>
        <v>6</v>
      </c>
      <c r="P1351" s="483">
        <f t="shared" si="75"/>
        <v>0</v>
      </c>
      <c r="Q1351" s="483">
        <f t="shared" si="75"/>
        <v>0</v>
      </c>
      <c r="R1351" s="483">
        <f t="shared" si="75"/>
        <v>0</v>
      </c>
      <c r="S1351" s="483">
        <f t="shared" si="75"/>
        <v>0</v>
      </c>
      <c r="T1351" s="483">
        <f t="shared" si="75"/>
        <v>0</v>
      </c>
      <c r="U1351" s="483">
        <f t="shared" si="75"/>
        <v>0</v>
      </c>
      <c r="V1351" s="483">
        <f t="shared" si="75"/>
        <v>0</v>
      </c>
      <c r="W1351" s="483">
        <f t="shared" si="75"/>
        <v>0</v>
      </c>
      <c r="X1351" s="483">
        <f t="shared" si="75"/>
        <v>0</v>
      </c>
      <c r="Y1351" s="483">
        <f t="shared" si="75"/>
        <v>0</v>
      </c>
      <c r="Z1351" s="483">
        <f t="shared" si="75"/>
        <v>0</v>
      </c>
      <c r="AA1351" s="483">
        <f t="shared" si="75"/>
        <v>0</v>
      </c>
      <c r="AB1351" s="443"/>
    </row>
    <row r="1352" spans="1:28" s="444" customFormat="1">
      <c r="A1352" s="435" t="s">
        <v>170</v>
      </c>
      <c r="B1352" s="435" t="s">
        <v>120</v>
      </c>
      <c r="C1352" s="435" t="s">
        <v>152</v>
      </c>
      <c r="D1352" s="435" t="s">
        <v>182</v>
      </c>
      <c r="E1352" s="436" t="s">
        <v>153</v>
      </c>
      <c r="F1352" s="435" t="s">
        <v>182</v>
      </c>
      <c r="G1352" s="599" t="s">
        <v>401</v>
      </c>
      <c r="H1352" s="437"/>
      <c r="I1352" s="438" t="s">
        <v>181</v>
      </c>
      <c r="J1352" s="439" t="s">
        <v>154</v>
      </c>
      <c r="K1352" s="439" t="s">
        <v>155</v>
      </c>
      <c r="L1352" s="440" t="s">
        <v>156</v>
      </c>
      <c r="M1352" s="441" t="s">
        <v>157</v>
      </c>
      <c r="N1352" s="440" t="s">
        <v>158</v>
      </c>
      <c r="O1352" s="440" t="s">
        <v>159</v>
      </c>
      <c r="P1352" s="440" t="s">
        <v>174</v>
      </c>
      <c r="Q1352" s="440" t="s">
        <v>160</v>
      </c>
      <c r="R1352" s="440" t="s">
        <v>161</v>
      </c>
      <c r="S1352" s="440" t="s">
        <v>162</v>
      </c>
      <c r="T1352" s="438" t="s">
        <v>163</v>
      </c>
      <c r="U1352" s="438" t="s">
        <v>164</v>
      </c>
      <c r="V1352" s="438" t="s">
        <v>165</v>
      </c>
      <c r="W1352" s="440" t="s">
        <v>113</v>
      </c>
      <c r="X1352" s="438" t="s">
        <v>121</v>
      </c>
      <c r="Y1352" s="438" t="s">
        <v>166</v>
      </c>
      <c r="Z1352" s="442" t="s">
        <v>175</v>
      </c>
      <c r="AA1352" s="442" t="s">
        <v>167</v>
      </c>
      <c r="AB1352" s="443"/>
    </row>
    <row r="1353" spans="1:28" s="444" customFormat="1">
      <c r="A1353" s="701"/>
      <c r="B1353" s="446" t="s">
        <v>187</v>
      </c>
      <c r="C1353" s="488">
        <v>30292</v>
      </c>
      <c r="D1353" s="448" t="s">
        <v>280</v>
      </c>
      <c r="E1353" s="449" t="s">
        <v>279</v>
      </c>
      <c r="F1353" s="448" t="s">
        <v>280</v>
      </c>
      <c r="G1353" s="589">
        <v>46214</v>
      </c>
      <c r="H1353" s="450"/>
      <c r="I1353" s="450" t="s">
        <v>186</v>
      </c>
      <c r="J1353" s="295">
        <v>0.31736111111111109</v>
      </c>
      <c r="K1353" s="295">
        <v>0.79374999999999996</v>
      </c>
      <c r="L1353" s="451" t="s">
        <v>169</v>
      </c>
      <c r="M1353" s="452">
        <v>8</v>
      </c>
      <c r="N1353" s="452">
        <v>2</v>
      </c>
      <c r="O1353" s="452"/>
      <c r="P1353" s="452"/>
      <c r="Q1353" s="453"/>
      <c r="R1353" s="452"/>
      <c r="S1353" s="452"/>
      <c r="T1353" s="453"/>
      <c r="U1353" s="452"/>
      <c r="V1353" s="453"/>
      <c r="W1353" s="454"/>
      <c r="X1353" s="455"/>
      <c r="Y1353" s="456"/>
      <c r="Z1353" s="457"/>
      <c r="AA1353" s="458"/>
      <c r="AB1353" s="443"/>
    </row>
    <row r="1354" spans="1:28" s="444" customFormat="1">
      <c r="A1354" s="702"/>
      <c r="B1354" s="446" t="s">
        <v>187</v>
      </c>
      <c r="C1354" s="488">
        <v>30292</v>
      </c>
      <c r="D1354" s="448" t="s">
        <v>280</v>
      </c>
      <c r="E1354" s="449" t="s">
        <v>279</v>
      </c>
      <c r="F1354" s="448" t="s">
        <v>280</v>
      </c>
      <c r="G1354" s="590">
        <v>46215</v>
      </c>
      <c r="H1354" s="450"/>
      <c r="I1354" s="450"/>
      <c r="J1354" s="699" t="s">
        <v>173</v>
      </c>
      <c r="K1354" s="700"/>
      <c r="L1354" s="451"/>
      <c r="M1354" s="452"/>
      <c r="N1354" s="452"/>
      <c r="O1354" s="452"/>
      <c r="P1354" s="452"/>
      <c r="Q1354" s="453"/>
      <c r="R1354" s="452"/>
      <c r="S1354" s="452"/>
      <c r="T1354" s="453"/>
      <c r="U1354" s="452"/>
      <c r="V1354" s="453"/>
      <c r="W1354" s="454"/>
      <c r="X1354" s="455"/>
      <c r="Y1354" s="456"/>
      <c r="Z1354" s="457"/>
      <c r="AA1354" s="458"/>
      <c r="AB1354" s="443"/>
    </row>
    <row r="1355" spans="1:28" s="444" customFormat="1">
      <c r="A1355" s="702"/>
      <c r="B1355" s="446" t="s">
        <v>187</v>
      </c>
      <c r="C1355" s="505">
        <v>30292</v>
      </c>
      <c r="D1355" s="448" t="s">
        <v>280</v>
      </c>
      <c r="E1355" s="449" t="s">
        <v>279</v>
      </c>
      <c r="F1355" s="448" t="s">
        <v>280</v>
      </c>
      <c r="G1355" s="589">
        <v>46216</v>
      </c>
      <c r="H1355" s="450"/>
      <c r="I1355" s="450" t="s">
        <v>186</v>
      </c>
      <c r="J1355" s="382">
        <v>0.31874999999999998</v>
      </c>
      <c r="K1355" s="382">
        <v>0.79374999999999996</v>
      </c>
      <c r="L1355" s="451" t="s">
        <v>169</v>
      </c>
      <c r="M1355" s="452">
        <v>8</v>
      </c>
      <c r="N1355" s="452">
        <v>2</v>
      </c>
      <c r="O1355" s="462"/>
      <c r="P1355" s="462"/>
      <c r="Q1355" s="461"/>
      <c r="R1355" s="452"/>
      <c r="S1355" s="452"/>
      <c r="T1355" s="453"/>
      <c r="U1355" s="452"/>
      <c r="V1355" s="453"/>
      <c r="W1355" s="454"/>
      <c r="X1355" s="455"/>
      <c r="Y1355" s="456"/>
      <c r="Z1355" s="457"/>
      <c r="AA1355" s="458"/>
      <c r="AB1355" s="443"/>
    </row>
    <row r="1356" spans="1:28" s="444" customFormat="1">
      <c r="A1356" s="702"/>
      <c r="B1356" s="446" t="s">
        <v>187</v>
      </c>
      <c r="C1356" s="505">
        <v>30292</v>
      </c>
      <c r="D1356" s="448" t="s">
        <v>280</v>
      </c>
      <c r="E1356" s="449" t="s">
        <v>279</v>
      </c>
      <c r="F1356" s="448" t="s">
        <v>280</v>
      </c>
      <c r="G1356" s="589">
        <v>46217</v>
      </c>
      <c r="H1356" s="450"/>
      <c r="I1356" s="450" t="s">
        <v>186</v>
      </c>
      <c r="J1356" s="382">
        <v>0.32847222222222222</v>
      </c>
      <c r="K1356" s="382">
        <v>0.7944444444444444</v>
      </c>
      <c r="L1356" s="451" t="s">
        <v>169</v>
      </c>
      <c r="M1356" s="452">
        <v>8</v>
      </c>
      <c r="N1356" s="452">
        <v>2</v>
      </c>
      <c r="O1356" s="452"/>
      <c r="P1356" s="452"/>
      <c r="Q1356" s="461"/>
      <c r="R1356" s="462"/>
      <c r="S1356" s="462"/>
      <c r="T1356" s="461"/>
      <c r="U1356" s="462"/>
      <c r="V1356" s="461"/>
      <c r="W1356" s="463"/>
      <c r="X1356" s="464"/>
      <c r="Y1356" s="465"/>
      <c r="Z1356" s="466"/>
      <c r="AA1356" s="467"/>
      <c r="AB1356" s="443"/>
    </row>
    <row r="1357" spans="1:28" s="444" customFormat="1">
      <c r="A1357" s="702"/>
      <c r="B1357" s="446" t="s">
        <v>187</v>
      </c>
      <c r="C1357" s="505">
        <v>30292</v>
      </c>
      <c r="D1357" s="448" t="s">
        <v>280</v>
      </c>
      <c r="E1357" s="449" t="s">
        <v>279</v>
      </c>
      <c r="F1357" s="448" t="s">
        <v>280</v>
      </c>
      <c r="G1357" s="589">
        <v>46218</v>
      </c>
      <c r="H1357" s="450"/>
      <c r="I1357" s="450" t="s">
        <v>186</v>
      </c>
      <c r="J1357" s="382">
        <v>0.31527777777777777</v>
      </c>
      <c r="K1357" s="382">
        <v>0.79305555555555562</v>
      </c>
      <c r="L1357" s="451" t="s">
        <v>169</v>
      </c>
      <c r="M1357" s="452">
        <v>8</v>
      </c>
      <c r="N1357" s="452">
        <v>2</v>
      </c>
      <c r="O1357" s="452"/>
      <c r="P1357" s="452"/>
      <c r="Q1357" s="453"/>
      <c r="R1357" s="452"/>
      <c r="S1357" s="452"/>
      <c r="T1357" s="453"/>
      <c r="U1357" s="452"/>
      <c r="V1357" s="453"/>
      <c r="W1357" s="454"/>
      <c r="X1357" s="455"/>
      <c r="Y1357" s="456"/>
      <c r="Z1357" s="457"/>
      <c r="AA1357" s="458"/>
      <c r="AB1357" s="443"/>
    </row>
    <row r="1358" spans="1:28" s="444" customFormat="1">
      <c r="A1358" s="702"/>
      <c r="B1358" s="446" t="s">
        <v>187</v>
      </c>
      <c r="C1358" s="505">
        <v>30292</v>
      </c>
      <c r="D1358" s="448" t="s">
        <v>280</v>
      </c>
      <c r="E1358" s="449" t="s">
        <v>279</v>
      </c>
      <c r="F1358" s="448" t="s">
        <v>280</v>
      </c>
      <c r="G1358" s="589">
        <v>46219</v>
      </c>
      <c r="H1358" s="450"/>
      <c r="I1358" s="450" t="s">
        <v>186</v>
      </c>
      <c r="J1358" s="382">
        <v>0.32083333333333336</v>
      </c>
      <c r="K1358" s="382">
        <v>0.79305555555555562</v>
      </c>
      <c r="L1358" s="451" t="s">
        <v>169</v>
      </c>
      <c r="M1358" s="452">
        <v>8</v>
      </c>
      <c r="N1358" s="452">
        <v>2</v>
      </c>
      <c r="O1358" s="452"/>
      <c r="P1358" s="452"/>
      <c r="Q1358" s="453"/>
      <c r="R1358" s="452"/>
      <c r="S1358" s="452"/>
      <c r="T1358" s="453"/>
      <c r="U1358" s="452"/>
      <c r="V1358" s="453"/>
      <c r="W1358" s="454"/>
      <c r="X1358" s="455"/>
      <c r="Y1358" s="456"/>
      <c r="Z1358" s="457"/>
      <c r="AA1358" s="458"/>
      <c r="AB1358" s="443"/>
    </row>
    <row r="1359" spans="1:28" s="444" customFormat="1">
      <c r="A1359" s="702"/>
      <c r="B1359" s="446" t="s">
        <v>187</v>
      </c>
      <c r="C1359" s="505">
        <v>30292</v>
      </c>
      <c r="D1359" s="448" t="s">
        <v>280</v>
      </c>
      <c r="E1359" s="449" t="s">
        <v>279</v>
      </c>
      <c r="F1359" s="448" t="s">
        <v>280</v>
      </c>
      <c r="G1359" s="589">
        <v>46220</v>
      </c>
      <c r="H1359" s="450"/>
      <c r="I1359" s="450" t="s">
        <v>186</v>
      </c>
      <c r="J1359" s="382">
        <v>0.31111111111111112</v>
      </c>
      <c r="K1359" s="382">
        <v>0.70972222222222225</v>
      </c>
      <c r="L1359" s="451" t="s">
        <v>169</v>
      </c>
      <c r="M1359" s="452">
        <v>8</v>
      </c>
      <c r="N1359" s="452"/>
      <c r="O1359" s="452"/>
      <c r="P1359" s="452"/>
      <c r="Q1359" s="453"/>
      <c r="R1359" s="452"/>
      <c r="S1359" s="452"/>
      <c r="T1359" s="453"/>
      <c r="U1359" s="452"/>
      <c r="V1359" s="453"/>
      <c r="W1359" s="454"/>
      <c r="X1359" s="455"/>
      <c r="Y1359" s="456"/>
      <c r="Z1359" s="457"/>
      <c r="AA1359" s="458"/>
      <c r="AB1359" s="443"/>
    </row>
    <row r="1360" spans="1:28" s="444" customFormat="1">
      <c r="A1360" s="702"/>
      <c r="B1360" s="446" t="s">
        <v>187</v>
      </c>
      <c r="C1360" s="505">
        <v>30292</v>
      </c>
      <c r="D1360" s="448" t="s">
        <v>280</v>
      </c>
      <c r="E1360" s="449" t="s">
        <v>279</v>
      </c>
      <c r="F1360" s="448" t="s">
        <v>280</v>
      </c>
      <c r="G1360" s="589">
        <v>46221</v>
      </c>
      <c r="H1360" s="450"/>
      <c r="I1360" s="450" t="s">
        <v>186</v>
      </c>
      <c r="J1360" s="382">
        <v>0.31805555555555554</v>
      </c>
      <c r="K1360" s="382">
        <v>0.7104166666666667</v>
      </c>
      <c r="L1360" s="451" t="s">
        <v>169</v>
      </c>
      <c r="M1360" s="452">
        <v>8</v>
      </c>
      <c r="N1360" s="452"/>
      <c r="O1360" s="452"/>
      <c r="P1360" s="452"/>
      <c r="Q1360" s="453"/>
      <c r="R1360" s="452"/>
      <c r="S1360" s="452"/>
      <c r="T1360" s="453"/>
      <c r="U1360" s="452"/>
      <c r="V1360" s="453"/>
      <c r="W1360" s="454"/>
      <c r="X1360" s="455"/>
      <c r="Y1360" s="456"/>
      <c r="Z1360" s="457"/>
      <c r="AA1360" s="458"/>
      <c r="AB1360" s="443"/>
    </row>
    <row r="1361" spans="1:28" s="444" customFormat="1">
      <c r="A1361" s="702"/>
      <c r="B1361" s="446" t="s">
        <v>187</v>
      </c>
      <c r="C1361" s="505">
        <v>30292</v>
      </c>
      <c r="D1361" s="448" t="s">
        <v>280</v>
      </c>
      <c r="E1361" s="449" t="s">
        <v>279</v>
      </c>
      <c r="F1361" s="448" t="s">
        <v>280</v>
      </c>
      <c r="G1361" s="590">
        <v>46222</v>
      </c>
      <c r="H1361" s="450"/>
      <c r="I1361" s="450"/>
      <c r="J1361" s="699" t="s">
        <v>173</v>
      </c>
      <c r="K1361" s="700"/>
      <c r="L1361" s="451"/>
      <c r="M1361" s="452"/>
      <c r="N1361" s="452"/>
      <c r="O1361" s="452"/>
      <c r="P1361" s="452"/>
      <c r="Q1361" s="453"/>
      <c r="R1361" s="452"/>
      <c r="S1361" s="452"/>
      <c r="T1361" s="453"/>
      <c r="U1361" s="452"/>
      <c r="V1361" s="453"/>
      <c r="W1361" s="454"/>
      <c r="X1361" s="455"/>
      <c r="Y1361" s="456"/>
      <c r="Z1361" s="457"/>
      <c r="AA1361" s="458"/>
      <c r="AB1361" s="443"/>
    </row>
    <row r="1362" spans="1:28" s="444" customFormat="1">
      <c r="A1362" s="702"/>
      <c r="B1362" s="446" t="s">
        <v>187</v>
      </c>
      <c r="C1362" s="505">
        <v>30292</v>
      </c>
      <c r="D1362" s="448" t="s">
        <v>280</v>
      </c>
      <c r="E1362" s="449" t="s">
        <v>279</v>
      </c>
      <c r="F1362" s="448" t="s">
        <v>280</v>
      </c>
      <c r="G1362" s="589">
        <v>46223</v>
      </c>
      <c r="H1362" s="450"/>
      <c r="I1362" s="450" t="s">
        <v>186</v>
      </c>
      <c r="J1362" s="305">
        <v>0.2722222222222222</v>
      </c>
      <c r="K1362" s="305">
        <v>0.79374999999999996</v>
      </c>
      <c r="L1362" s="451" t="s">
        <v>169</v>
      </c>
      <c r="M1362" s="452">
        <v>8</v>
      </c>
      <c r="N1362" s="452">
        <v>2</v>
      </c>
      <c r="O1362" s="462"/>
      <c r="P1362" s="462"/>
      <c r="Q1362" s="461"/>
      <c r="R1362" s="462"/>
      <c r="S1362" s="462"/>
      <c r="T1362" s="461"/>
      <c r="U1362" s="462"/>
      <c r="V1362" s="461"/>
      <c r="W1362" s="454"/>
      <c r="X1362" s="455"/>
      <c r="Y1362" s="456"/>
      <c r="Z1362" s="457"/>
      <c r="AA1362" s="458"/>
      <c r="AB1362" s="443"/>
    </row>
    <row r="1363" spans="1:28" s="444" customFormat="1">
      <c r="A1363" s="702"/>
      <c r="B1363" s="446" t="s">
        <v>187</v>
      </c>
      <c r="C1363" s="505">
        <v>30292</v>
      </c>
      <c r="D1363" s="448" t="s">
        <v>280</v>
      </c>
      <c r="E1363" s="449" t="s">
        <v>279</v>
      </c>
      <c r="F1363" s="448" t="s">
        <v>280</v>
      </c>
      <c r="G1363" s="589">
        <v>46224</v>
      </c>
      <c r="H1363" s="450"/>
      <c r="I1363" s="450" t="s">
        <v>186</v>
      </c>
      <c r="J1363" s="378">
        <v>0.31805555555555554</v>
      </c>
      <c r="K1363" s="378">
        <v>0.79374999999999996</v>
      </c>
      <c r="L1363" s="451" t="s">
        <v>169</v>
      </c>
      <c r="M1363" s="452">
        <v>8</v>
      </c>
      <c r="N1363" s="452">
        <v>2</v>
      </c>
      <c r="O1363" s="477"/>
      <c r="P1363" s="477"/>
      <c r="Q1363" s="468"/>
      <c r="R1363" s="469"/>
      <c r="S1363" s="469"/>
      <c r="T1363" s="461"/>
      <c r="U1363" s="462"/>
      <c r="V1363" s="461"/>
      <c r="W1363" s="463"/>
      <c r="X1363" s="464"/>
      <c r="Y1363" s="465"/>
      <c r="Z1363" s="466"/>
      <c r="AA1363" s="467"/>
      <c r="AB1363" s="443"/>
    </row>
    <row r="1364" spans="1:28" s="444" customFormat="1">
      <c r="A1364" s="702"/>
      <c r="B1364" s="446" t="s">
        <v>187</v>
      </c>
      <c r="C1364" s="505">
        <v>30292</v>
      </c>
      <c r="D1364" s="448" t="s">
        <v>280</v>
      </c>
      <c r="E1364" s="449" t="s">
        <v>279</v>
      </c>
      <c r="F1364" s="448" t="s">
        <v>280</v>
      </c>
      <c r="G1364" s="589">
        <v>46225</v>
      </c>
      <c r="H1364" s="450"/>
      <c r="I1364" s="450" t="s">
        <v>186</v>
      </c>
      <c r="J1364" s="295">
        <v>0.32013888888888886</v>
      </c>
      <c r="K1364" s="295">
        <v>0.71111111111111114</v>
      </c>
      <c r="L1364" s="451" t="s">
        <v>169</v>
      </c>
      <c r="M1364" s="452">
        <v>8</v>
      </c>
      <c r="N1364" s="471"/>
      <c r="O1364" s="452"/>
      <c r="P1364" s="452"/>
      <c r="Q1364" s="453"/>
      <c r="R1364" s="452"/>
      <c r="S1364" s="452"/>
      <c r="T1364" s="453"/>
      <c r="U1364" s="452"/>
      <c r="V1364" s="453"/>
      <c r="W1364" s="454"/>
      <c r="X1364" s="455"/>
      <c r="Y1364" s="456"/>
      <c r="Z1364" s="457"/>
      <c r="AA1364" s="458"/>
      <c r="AB1364" s="443"/>
    </row>
    <row r="1365" spans="1:28" s="444" customFormat="1">
      <c r="A1365" s="702"/>
      <c r="B1365" s="446" t="s">
        <v>187</v>
      </c>
      <c r="C1365" s="505">
        <v>30292</v>
      </c>
      <c r="D1365" s="448" t="s">
        <v>280</v>
      </c>
      <c r="E1365" s="449" t="s">
        <v>279</v>
      </c>
      <c r="F1365" s="448" t="s">
        <v>280</v>
      </c>
      <c r="G1365" s="589">
        <v>46226</v>
      </c>
      <c r="H1365" s="450"/>
      <c r="I1365" s="450" t="s">
        <v>186</v>
      </c>
      <c r="J1365" s="295">
        <v>0.32291666666666669</v>
      </c>
      <c r="K1365" s="295">
        <v>0.79374999999999996</v>
      </c>
      <c r="L1365" s="451" t="s">
        <v>169</v>
      </c>
      <c r="M1365" s="452">
        <v>8</v>
      </c>
      <c r="N1365" s="452">
        <v>2</v>
      </c>
      <c r="O1365" s="470"/>
      <c r="P1365" s="470"/>
      <c r="Q1365" s="453"/>
      <c r="R1365" s="452"/>
      <c r="S1365" s="452"/>
      <c r="T1365" s="453"/>
      <c r="U1365" s="452"/>
      <c r="V1365" s="453"/>
      <c r="W1365" s="454"/>
      <c r="X1365" s="455"/>
      <c r="Y1365" s="456"/>
      <c r="Z1365" s="457"/>
      <c r="AA1365" s="458"/>
      <c r="AB1365" s="443"/>
    </row>
    <row r="1366" spans="1:28" s="444" customFormat="1">
      <c r="A1366" s="702"/>
      <c r="B1366" s="446" t="s">
        <v>187</v>
      </c>
      <c r="C1366" s="505">
        <v>30292</v>
      </c>
      <c r="D1366" s="448" t="s">
        <v>280</v>
      </c>
      <c r="E1366" s="449" t="s">
        <v>279</v>
      </c>
      <c r="F1366" s="448" t="s">
        <v>280</v>
      </c>
      <c r="G1366" s="589">
        <v>46227</v>
      </c>
      <c r="H1366" s="450"/>
      <c r="I1366" s="450" t="s">
        <v>186</v>
      </c>
      <c r="J1366" s="295">
        <v>0.31805555555555554</v>
      </c>
      <c r="K1366" s="318">
        <v>0.7104166666666667</v>
      </c>
      <c r="L1366" s="451" t="s">
        <v>169</v>
      </c>
      <c r="M1366" s="452">
        <v>8</v>
      </c>
      <c r="N1366" s="471"/>
      <c r="O1366" s="471"/>
      <c r="P1366" s="471"/>
      <c r="Q1366" s="472"/>
      <c r="R1366" s="471"/>
      <c r="S1366" s="471"/>
      <c r="T1366" s="453"/>
      <c r="U1366" s="452"/>
      <c r="V1366" s="453"/>
      <c r="W1366" s="454"/>
      <c r="X1366" s="455"/>
      <c r="Y1366" s="456"/>
      <c r="Z1366" s="457"/>
      <c r="AA1366" s="458"/>
      <c r="AB1366" s="443"/>
    </row>
    <row r="1367" spans="1:28" s="444" customFormat="1">
      <c r="A1367" s="702"/>
      <c r="B1367" s="446" t="s">
        <v>187</v>
      </c>
      <c r="C1367" s="505">
        <v>30292</v>
      </c>
      <c r="D1367" s="448" t="s">
        <v>280</v>
      </c>
      <c r="E1367" s="449" t="s">
        <v>279</v>
      </c>
      <c r="F1367" s="448" t="s">
        <v>280</v>
      </c>
      <c r="G1367" s="589">
        <v>46228</v>
      </c>
      <c r="H1367" s="450"/>
      <c r="I1367" s="450" t="s">
        <v>186</v>
      </c>
      <c r="J1367" s="295"/>
      <c r="K1367" s="295"/>
      <c r="L1367" s="451"/>
      <c r="M1367" s="452"/>
      <c r="N1367" s="452"/>
      <c r="O1367" s="452"/>
      <c r="P1367" s="452"/>
      <c r="Q1367" s="453"/>
      <c r="R1367" s="452"/>
      <c r="S1367" s="473"/>
      <c r="T1367" s="453"/>
      <c r="U1367" s="452"/>
      <c r="V1367" s="453"/>
      <c r="W1367" s="454"/>
      <c r="X1367" s="455"/>
      <c r="Y1367" s="456"/>
      <c r="Z1367" s="457"/>
      <c r="AA1367" s="458"/>
      <c r="AB1367" s="443"/>
    </row>
    <row r="1368" spans="1:28" s="444" customFormat="1">
      <c r="A1368" s="702"/>
      <c r="B1368" s="446"/>
      <c r="C1368" s="505"/>
      <c r="D1368" s="449"/>
      <c r="E1368" s="449"/>
      <c r="F1368" s="449"/>
      <c r="G1368" s="600"/>
      <c r="H1368" s="450"/>
      <c r="I1368" s="450"/>
      <c r="J1368" s="474"/>
      <c r="K1368" s="475"/>
      <c r="L1368" s="476"/>
      <c r="M1368" s="477"/>
      <c r="N1368" s="477"/>
      <c r="O1368" s="477"/>
      <c r="P1368" s="477"/>
      <c r="Q1368" s="478"/>
      <c r="R1368" s="477"/>
      <c r="S1368" s="479"/>
      <c r="T1368" s="453"/>
      <c r="U1368" s="452"/>
      <c r="V1368" s="453"/>
      <c r="W1368" s="454"/>
      <c r="X1368" s="455"/>
      <c r="Y1368" s="456"/>
      <c r="Z1368" s="457"/>
      <c r="AA1368" s="458"/>
      <c r="AB1368" s="443"/>
    </row>
    <row r="1369" spans="1:28" s="444" customFormat="1">
      <c r="A1369" s="703"/>
      <c r="B1369" s="481"/>
      <c r="C1369" s="446"/>
      <c r="D1369" s="481"/>
      <c r="E1369" s="449"/>
      <c r="F1369" s="481"/>
      <c r="G1369" s="601"/>
      <c r="H1369" s="482"/>
      <c r="I1369" s="483"/>
      <c r="J1369" s="484"/>
      <c r="K1369" s="485"/>
      <c r="L1369" s="483"/>
      <c r="M1369" s="483">
        <f t="shared" ref="M1369:AA1369" si="76">SUM(M1352:M1368)</f>
        <v>96</v>
      </c>
      <c r="N1369" s="483">
        <f t="shared" si="76"/>
        <v>16</v>
      </c>
      <c r="O1369" s="483">
        <f t="shared" si="76"/>
        <v>0</v>
      </c>
      <c r="P1369" s="483">
        <f t="shared" si="76"/>
        <v>0</v>
      </c>
      <c r="Q1369" s="483">
        <f t="shared" si="76"/>
        <v>0</v>
      </c>
      <c r="R1369" s="483">
        <f t="shared" si="76"/>
        <v>0</v>
      </c>
      <c r="S1369" s="483">
        <f t="shared" si="76"/>
        <v>0</v>
      </c>
      <c r="T1369" s="483">
        <f t="shared" si="76"/>
        <v>0</v>
      </c>
      <c r="U1369" s="483">
        <f t="shared" si="76"/>
        <v>0</v>
      </c>
      <c r="V1369" s="483">
        <f t="shared" si="76"/>
        <v>0</v>
      </c>
      <c r="W1369" s="483">
        <f t="shared" si="76"/>
        <v>0</v>
      </c>
      <c r="X1369" s="483">
        <f t="shared" si="76"/>
        <v>0</v>
      </c>
      <c r="Y1369" s="483">
        <f t="shared" si="76"/>
        <v>0</v>
      </c>
      <c r="Z1369" s="483">
        <f t="shared" si="76"/>
        <v>0</v>
      </c>
      <c r="AA1369" s="483">
        <f t="shared" si="76"/>
        <v>0</v>
      </c>
      <c r="AB1369" s="443"/>
    </row>
    <row r="1370" spans="1:28" s="444" customFormat="1">
      <c r="A1370" s="435" t="s">
        <v>170</v>
      </c>
      <c r="B1370" s="435" t="s">
        <v>120</v>
      </c>
      <c r="C1370" s="435" t="s">
        <v>152</v>
      </c>
      <c r="D1370" s="435" t="s">
        <v>182</v>
      </c>
      <c r="E1370" s="436" t="s">
        <v>153</v>
      </c>
      <c r="F1370" s="435" t="s">
        <v>182</v>
      </c>
      <c r="G1370" s="599" t="s">
        <v>401</v>
      </c>
      <c r="H1370" s="437"/>
      <c r="I1370" s="438" t="s">
        <v>181</v>
      </c>
      <c r="J1370" s="439" t="s">
        <v>154</v>
      </c>
      <c r="K1370" s="439" t="s">
        <v>155</v>
      </c>
      <c r="L1370" s="440" t="s">
        <v>156</v>
      </c>
      <c r="M1370" s="441" t="s">
        <v>157</v>
      </c>
      <c r="N1370" s="440" t="s">
        <v>158</v>
      </c>
      <c r="O1370" s="440" t="s">
        <v>159</v>
      </c>
      <c r="P1370" s="440" t="s">
        <v>174</v>
      </c>
      <c r="Q1370" s="440" t="s">
        <v>160</v>
      </c>
      <c r="R1370" s="440" t="s">
        <v>161</v>
      </c>
      <c r="S1370" s="440" t="s">
        <v>162</v>
      </c>
      <c r="T1370" s="438" t="s">
        <v>163</v>
      </c>
      <c r="U1370" s="438" t="s">
        <v>164</v>
      </c>
      <c r="V1370" s="438" t="s">
        <v>165</v>
      </c>
      <c r="W1370" s="440" t="s">
        <v>113</v>
      </c>
      <c r="X1370" s="438" t="s">
        <v>121</v>
      </c>
      <c r="Y1370" s="438" t="s">
        <v>166</v>
      </c>
      <c r="Z1370" s="442" t="s">
        <v>175</v>
      </c>
      <c r="AA1370" s="442" t="s">
        <v>167</v>
      </c>
      <c r="AB1370" s="443"/>
    </row>
    <row r="1371" spans="1:28" s="444" customFormat="1">
      <c r="A1371" s="445"/>
      <c r="B1371" s="446" t="s">
        <v>187</v>
      </c>
      <c r="C1371" s="447">
        <v>13236</v>
      </c>
      <c r="D1371" s="448" t="s">
        <v>278</v>
      </c>
      <c r="E1371" s="449" t="s">
        <v>277</v>
      </c>
      <c r="F1371" s="448" t="s">
        <v>278</v>
      </c>
      <c r="G1371" s="589">
        <v>46214</v>
      </c>
      <c r="H1371" s="450"/>
      <c r="I1371" s="450" t="s">
        <v>186</v>
      </c>
      <c r="J1371" s="295">
        <v>0.31736111111111109</v>
      </c>
      <c r="K1371" s="295">
        <v>0.71319444444444446</v>
      </c>
      <c r="L1371" s="451" t="s">
        <v>169</v>
      </c>
      <c r="M1371" s="452">
        <v>8</v>
      </c>
      <c r="N1371" s="452"/>
      <c r="O1371" s="452"/>
      <c r="P1371" s="452"/>
      <c r="Q1371" s="453"/>
      <c r="R1371" s="452"/>
      <c r="S1371" s="452"/>
      <c r="T1371" s="453"/>
      <c r="U1371" s="452"/>
      <c r="V1371" s="453"/>
      <c r="W1371" s="454"/>
      <c r="X1371" s="455"/>
      <c r="Y1371" s="456"/>
      <c r="Z1371" s="457"/>
      <c r="AA1371" s="458"/>
      <c r="AB1371" s="443"/>
    </row>
    <row r="1372" spans="1:28" s="444" customFormat="1">
      <c r="A1372" s="459"/>
      <c r="B1372" s="446" t="s">
        <v>187</v>
      </c>
      <c r="C1372" s="447">
        <v>13236</v>
      </c>
      <c r="D1372" s="448" t="s">
        <v>278</v>
      </c>
      <c r="E1372" s="449" t="s">
        <v>277</v>
      </c>
      <c r="F1372" s="448" t="s">
        <v>278</v>
      </c>
      <c r="G1372" s="590">
        <v>46215</v>
      </c>
      <c r="H1372" s="450"/>
      <c r="I1372" s="450"/>
      <c r="J1372" s="699" t="s">
        <v>173</v>
      </c>
      <c r="K1372" s="700"/>
      <c r="L1372" s="451"/>
      <c r="M1372" s="452"/>
      <c r="N1372" s="452"/>
      <c r="O1372" s="452"/>
      <c r="P1372" s="452"/>
      <c r="Q1372" s="453"/>
      <c r="R1372" s="452"/>
      <c r="S1372" s="452"/>
      <c r="T1372" s="453"/>
      <c r="U1372" s="452"/>
      <c r="V1372" s="453"/>
      <c r="W1372" s="454"/>
      <c r="X1372" s="455"/>
      <c r="Y1372" s="456"/>
      <c r="Z1372" s="457"/>
      <c r="AA1372" s="458"/>
      <c r="AB1372" s="443"/>
    </row>
    <row r="1373" spans="1:28" s="444" customFormat="1">
      <c r="A1373" s="459"/>
      <c r="B1373" s="446" t="s">
        <v>187</v>
      </c>
      <c r="C1373" s="446">
        <v>13236</v>
      </c>
      <c r="D1373" s="448" t="s">
        <v>278</v>
      </c>
      <c r="E1373" s="449" t="s">
        <v>277</v>
      </c>
      <c r="F1373" s="448" t="s">
        <v>278</v>
      </c>
      <c r="G1373" s="589">
        <v>46216</v>
      </c>
      <c r="H1373" s="450"/>
      <c r="I1373" s="450" t="s">
        <v>183</v>
      </c>
      <c r="J1373" s="382">
        <v>0.78055555555555556</v>
      </c>
      <c r="K1373" s="382">
        <v>0.25138888888888888</v>
      </c>
      <c r="L1373" s="451" t="s">
        <v>168</v>
      </c>
      <c r="M1373" s="452">
        <v>8</v>
      </c>
      <c r="N1373" s="452">
        <v>2</v>
      </c>
      <c r="O1373" s="452">
        <v>6</v>
      </c>
      <c r="P1373" s="452">
        <v>2</v>
      </c>
      <c r="Q1373" s="453"/>
      <c r="R1373" s="452"/>
      <c r="S1373" s="452"/>
      <c r="T1373" s="453"/>
      <c r="U1373" s="452"/>
      <c r="V1373" s="453"/>
      <c r="W1373" s="454"/>
      <c r="X1373" s="455"/>
      <c r="Y1373" s="456"/>
      <c r="Z1373" s="457"/>
      <c r="AA1373" s="458"/>
      <c r="AB1373" s="443"/>
    </row>
    <row r="1374" spans="1:28" s="444" customFormat="1">
      <c r="A1374" s="459"/>
      <c r="B1374" s="446" t="s">
        <v>187</v>
      </c>
      <c r="C1374" s="446">
        <v>13236</v>
      </c>
      <c r="D1374" s="448" t="s">
        <v>278</v>
      </c>
      <c r="E1374" s="449" t="s">
        <v>277</v>
      </c>
      <c r="F1374" s="448" t="s">
        <v>278</v>
      </c>
      <c r="G1374" s="589">
        <v>46217</v>
      </c>
      <c r="H1374" s="450"/>
      <c r="I1374" s="450" t="s">
        <v>183</v>
      </c>
      <c r="J1374" s="305">
        <v>0.7729166666666667</v>
      </c>
      <c r="K1374" s="305">
        <v>0.25138888888888888</v>
      </c>
      <c r="L1374" s="451" t="s">
        <v>168</v>
      </c>
      <c r="M1374" s="452">
        <v>8</v>
      </c>
      <c r="N1374" s="452">
        <v>2</v>
      </c>
      <c r="O1374" s="452">
        <v>6</v>
      </c>
      <c r="P1374" s="452">
        <v>2</v>
      </c>
      <c r="Q1374" s="461"/>
      <c r="R1374" s="462"/>
      <c r="S1374" s="462"/>
      <c r="T1374" s="461"/>
      <c r="U1374" s="462"/>
      <c r="V1374" s="461"/>
      <c r="W1374" s="463"/>
      <c r="X1374" s="464"/>
      <c r="Y1374" s="465"/>
      <c r="Z1374" s="466"/>
      <c r="AA1374" s="467"/>
      <c r="AB1374" s="443"/>
    </row>
    <row r="1375" spans="1:28" s="444" customFormat="1">
      <c r="A1375" s="459"/>
      <c r="B1375" s="446" t="s">
        <v>187</v>
      </c>
      <c r="C1375" s="446">
        <v>13236</v>
      </c>
      <c r="D1375" s="448" t="s">
        <v>278</v>
      </c>
      <c r="E1375" s="449" t="s">
        <v>277</v>
      </c>
      <c r="F1375" s="448" t="s">
        <v>278</v>
      </c>
      <c r="G1375" s="589">
        <v>46218</v>
      </c>
      <c r="H1375" s="450"/>
      <c r="I1375" s="450" t="s">
        <v>183</v>
      </c>
      <c r="J1375" s="305">
        <v>0.78194444444444444</v>
      </c>
      <c r="K1375" s="305">
        <v>0.25069444444444444</v>
      </c>
      <c r="L1375" s="451" t="s">
        <v>168</v>
      </c>
      <c r="M1375" s="452">
        <v>8</v>
      </c>
      <c r="N1375" s="452">
        <v>2</v>
      </c>
      <c r="O1375" s="452">
        <v>6</v>
      </c>
      <c r="P1375" s="452">
        <v>2</v>
      </c>
      <c r="Q1375" s="453"/>
      <c r="R1375" s="452"/>
      <c r="S1375" s="452"/>
      <c r="T1375" s="453"/>
      <c r="U1375" s="452"/>
      <c r="V1375" s="453"/>
      <c r="W1375" s="454"/>
      <c r="X1375" s="455"/>
      <c r="Y1375" s="456"/>
      <c r="Z1375" s="457"/>
      <c r="AA1375" s="458"/>
      <c r="AB1375" s="443"/>
    </row>
    <row r="1376" spans="1:28" s="444" customFormat="1">
      <c r="A1376" s="459"/>
      <c r="B1376" s="446" t="s">
        <v>187</v>
      </c>
      <c r="C1376" s="446">
        <v>13236</v>
      </c>
      <c r="D1376" s="448" t="s">
        <v>278</v>
      </c>
      <c r="E1376" s="449" t="s">
        <v>277</v>
      </c>
      <c r="F1376" s="448" t="s">
        <v>278</v>
      </c>
      <c r="G1376" s="589">
        <v>46219</v>
      </c>
      <c r="H1376" s="450"/>
      <c r="I1376" s="450" t="s">
        <v>183</v>
      </c>
      <c r="J1376" s="305">
        <v>0.78055555555555556</v>
      </c>
      <c r="K1376" s="305">
        <v>0.25138888888888888</v>
      </c>
      <c r="L1376" s="451" t="s">
        <v>168</v>
      </c>
      <c r="M1376" s="452">
        <v>8</v>
      </c>
      <c r="N1376" s="452">
        <v>2</v>
      </c>
      <c r="O1376" s="452">
        <v>6</v>
      </c>
      <c r="P1376" s="452">
        <v>2</v>
      </c>
      <c r="Q1376" s="453"/>
      <c r="R1376" s="452"/>
      <c r="S1376" s="452"/>
      <c r="T1376" s="453"/>
      <c r="U1376" s="452"/>
      <c r="V1376" s="453"/>
      <c r="W1376" s="454"/>
      <c r="X1376" s="455"/>
      <c r="Y1376" s="456"/>
      <c r="Z1376" s="457"/>
      <c r="AA1376" s="458"/>
      <c r="AB1376" s="443"/>
    </row>
    <row r="1377" spans="1:28" s="444" customFormat="1">
      <c r="A1377" s="459"/>
      <c r="B1377" s="446" t="s">
        <v>187</v>
      </c>
      <c r="C1377" s="446">
        <v>13236</v>
      </c>
      <c r="D1377" s="448" t="s">
        <v>278</v>
      </c>
      <c r="E1377" s="449" t="s">
        <v>277</v>
      </c>
      <c r="F1377" s="448" t="s">
        <v>278</v>
      </c>
      <c r="G1377" s="589">
        <v>46220</v>
      </c>
      <c r="H1377" s="450"/>
      <c r="I1377" s="450" t="s">
        <v>183</v>
      </c>
      <c r="J1377" s="305">
        <v>0.78125</v>
      </c>
      <c r="K1377" s="305">
        <v>0.25069444444444444</v>
      </c>
      <c r="L1377" s="451" t="s">
        <v>168</v>
      </c>
      <c r="M1377" s="452">
        <v>8</v>
      </c>
      <c r="N1377" s="452">
        <v>2</v>
      </c>
      <c r="O1377" s="452">
        <v>6</v>
      </c>
      <c r="P1377" s="452">
        <v>2</v>
      </c>
      <c r="Q1377" s="453"/>
      <c r="R1377" s="452"/>
      <c r="S1377" s="452"/>
      <c r="T1377" s="453"/>
      <c r="U1377" s="452"/>
      <c r="V1377" s="453"/>
      <c r="W1377" s="454"/>
      <c r="X1377" s="455"/>
      <c r="Y1377" s="456"/>
      <c r="Z1377" s="457"/>
      <c r="AA1377" s="458"/>
      <c r="AB1377" s="443"/>
    </row>
    <row r="1378" spans="1:28" s="444" customFormat="1">
      <c r="A1378" s="459"/>
      <c r="B1378" s="446" t="s">
        <v>187</v>
      </c>
      <c r="C1378" s="446">
        <v>13236</v>
      </c>
      <c r="D1378" s="448" t="s">
        <v>278</v>
      </c>
      <c r="E1378" s="449" t="s">
        <v>277</v>
      </c>
      <c r="F1378" s="448" t="s">
        <v>278</v>
      </c>
      <c r="G1378" s="589">
        <v>46221</v>
      </c>
      <c r="H1378" s="450"/>
      <c r="I1378" s="450" t="s">
        <v>183</v>
      </c>
      <c r="J1378" s="305">
        <v>0.78194444444444444</v>
      </c>
      <c r="K1378" s="305">
        <v>0.1673611111111111</v>
      </c>
      <c r="L1378" s="451" t="s">
        <v>168</v>
      </c>
      <c r="M1378" s="452">
        <v>8</v>
      </c>
      <c r="N1378" s="452"/>
      <c r="O1378" s="452">
        <v>6</v>
      </c>
      <c r="P1378" s="452"/>
      <c r="Q1378" s="453"/>
      <c r="R1378" s="452"/>
      <c r="S1378" s="452"/>
      <c r="T1378" s="453"/>
      <c r="U1378" s="452"/>
      <c r="V1378" s="453"/>
      <c r="W1378" s="454"/>
      <c r="X1378" s="455"/>
      <c r="Y1378" s="456"/>
      <c r="Z1378" s="457"/>
      <c r="AA1378" s="458"/>
      <c r="AB1378" s="443"/>
    </row>
    <row r="1379" spans="1:28" s="444" customFormat="1">
      <c r="A1379" s="459"/>
      <c r="B1379" s="446" t="s">
        <v>187</v>
      </c>
      <c r="C1379" s="446">
        <v>13236</v>
      </c>
      <c r="D1379" s="448" t="s">
        <v>278</v>
      </c>
      <c r="E1379" s="449" t="s">
        <v>277</v>
      </c>
      <c r="F1379" s="448" t="s">
        <v>278</v>
      </c>
      <c r="G1379" s="590">
        <v>46222</v>
      </c>
      <c r="H1379" s="450"/>
      <c r="I1379" s="450"/>
      <c r="J1379" s="699" t="s">
        <v>173</v>
      </c>
      <c r="K1379" s="700"/>
      <c r="L1379" s="451"/>
      <c r="M1379" s="452"/>
      <c r="N1379" s="452"/>
      <c r="O1379" s="452"/>
      <c r="P1379" s="452"/>
      <c r="Q1379" s="453"/>
      <c r="R1379" s="452"/>
      <c r="S1379" s="452"/>
      <c r="T1379" s="453"/>
      <c r="U1379" s="452"/>
      <c r="V1379" s="453"/>
      <c r="W1379" s="454"/>
      <c r="X1379" s="455"/>
      <c r="Y1379" s="456"/>
      <c r="Z1379" s="457"/>
      <c r="AA1379" s="458"/>
      <c r="AB1379" s="443"/>
    </row>
    <row r="1380" spans="1:28" s="444" customFormat="1">
      <c r="A1380" s="459"/>
      <c r="B1380" s="446" t="s">
        <v>187</v>
      </c>
      <c r="C1380" s="446">
        <v>13236</v>
      </c>
      <c r="D1380" s="448" t="s">
        <v>278</v>
      </c>
      <c r="E1380" s="449" t="s">
        <v>277</v>
      </c>
      <c r="F1380" s="448" t="s">
        <v>278</v>
      </c>
      <c r="G1380" s="589">
        <v>46223</v>
      </c>
      <c r="H1380" s="450"/>
      <c r="I1380" s="450" t="s">
        <v>183</v>
      </c>
      <c r="J1380" s="305">
        <v>0.77638888888888891</v>
      </c>
      <c r="K1380" s="305">
        <v>0.25138888888888888</v>
      </c>
      <c r="L1380" s="451" t="s">
        <v>168</v>
      </c>
      <c r="M1380" s="452">
        <v>8</v>
      </c>
      <c r="N1380" s="452">
        <v>2</v>
      </c>
      <c r="O1380" s="452">
        <v>6</v>
      </c>
      <c r="P1380" s="452">
        <v>2</v>
      </c>
      <c r="Q1380" s="461"/>
      <c r="R1380" s="462"/>
      <c r="S1380" s="462"/>
      <c r="T1380" s="461"/>
      <c r="U1380" s="462"/>
      <c r="V1380" s="461"/>
      <c r="W1380" s="454"/>
      <c r="X1380" s="455"/>
      <c r="Y1380" s="456"/>
      <c r="Z1380" s="457"/>
      <c r="AA1380" s="458"/>
      <c r="AB1380" s="443"/>
    </row>
    <row r="1381" spans="1:28" s="444" customFormat="1">
      <c r="A1381" s="459"/>
      <c r="B1381" s="446" t="s">
        <v>187</v>
      </c>
      <c r="C1381" s="446">
        <v>13236</v>
      </c>
      <c r="D1381" s="448" t="s">
        <v>278</v>
      </c>
      <c r="E1381" s="449" t="s">
        <v>277</v>
      </c>
      <c r="F1381" s="448" t="s">
        <v>278</v>
      </c>
      <c r="G1381" s="589">
        <v>46224</v>
      </c>
      <c r="H1381" s="450"/>
      <c r="I1381" s="450" t="s">
        <v>183</v>
      </c>
      <c r="J1381" s="378">
        <v>0.77013888888888893</v>
      </c>
      <c r="K1381" s="378">
        <v>0.25069444444444444</v>
      </c>
      <c r="L1381" s="451" t="s">
        <v>168</v>
      </c>
      <c r="M1381" s="452">
        <v>8</v>
      </c>
      <c r="N1381" s="452">
        <v>2</v>
      </c>
      <c r="O1381" s="452">
        <v>6</v>
      </c>
      <c r="P1381" s="452">
        <v>2</v>
      </c>
      <c r="Q1381" s="468"/>
      <c r="R1381" s="469"/>
      <c r="S1381" s="469"/>
      <c r="T1381" s="461"/>
      <c r="U1381" s="462"/>
      <c r="V1381" s="461"/>
      <c r="W1381" s="463"/>
      <c r="X1381" s="464"/>
      <c r="Y1381" s="465"/>
      <c r="Z1381" s="466"/>
      <c r="AA1381" s="467"/>
      <c r="AB1381" s="443"/>
    </row>
    <row r="1382" spans="1:28" s="444" customFormat="1">
      <c r="A1382" s="459"/>
      <c r="B1382" s="446" t="s">
        <v>187</v>
      </c>
      <c r="C1382" s="446">
        <v>13236</v>
      </c>
      <c r="D1382" s="448" t="s">
        <v>278</v>
      </c>
      <c r="E1382" s="449" t="s">
        <v>277</v>
      </c>
      <c r="F1382" s="448" t="s">
        <v>278</v>
      </c>
      <c r="G1382" s="589">
        <v>46225</v>
      </c>
      <c r="H1382" s="450"/>
      <c r="I1382" s="450" t="s">
        <v>183</v>
      </c>
      <c r="J1382" s="378">
        <v>0.77708333333333335</v>
      </c>
      <c r="K1382" s="378">
        <v>0.25347222222222221</v>
      </c>
      <c r="L1382" s="451" t="s">
        <v>168</v>
      </c>
      <c r="M1382" s="452">
        <v>8</v>
      </c>
      <c r="N1382" s="452">
        <v>2</v>
      </c>
      <c r="O1382" s="452">
        <v>6</v>
      </c>
      <c r="P1382" s="452">
        <v>2</v>
      </c>
      <c r="Q1382" s="453"/>
      <c r="R1382" s="452"/>
      <c r="S1382" s="452"/>
      <c r="T1382" s="453"/>
      <c r="U1382" s="452"/>
      <c r="V1382" s="453"/>
      <c r="W1382" s="454"/>
      <c r="X1382" s="455"/>
      <c r="Y1382" s="456"/>
      <c r="Z1382" s="457"/>
      <c r="AA1382" s="458"/>
      <c r="AB1382" s="443"/>
    </row>
    <row r="1383" spans="1:28" s="444" customFormat="1">
      <c r="A1383" s="459"/>
      <c r="B1383" s="446" t="s">
        <v>187</v>
      </c>
      <c r="C1383" s="446">
        <v>13236</v>
      </c>
      <c r="D1383" s="448" t="s">
        <v>278</v>
      </c>
      <c r="E1383" s="449" t="s">
        <v>277</v>
      </c>
      <c r="F1383" s="448" t="s">
        <v>278</v>
      </c>
      <c r="G1383" s="589">
        <v>46226</v>
      </c>
      <c r="H1383" s="450"/>
      <c r="I1383" s="450" t="s">
        <v>183</v>
      </c>
      <c r="J1383" s="378">
        <v>0.78055555555555556</v>
      </c>
      <c r="K1383" s="378">
        <v>0.25069444444444444</v>
      </c>
      <c r="L1383" s="451" t="s">
        <v>168</v>
      </c>
      <c r="M1383" s="452">
        <v>8</v>
      </c>
      <c r="N1383" s="452">
        <v>2</v>
      </c>
      <c r="O1383" s="452">
        <v>6</v>
      </c>
      <c r="P1383" s="452">
        <v>2</v>
      </c>
      <c r="Q1383" s="453"/>
      <c r="R1383" s="452"/>
      <c r="S1383" s="452"/>
      <c r="T1383" s="453"/>
      <c r="U1383" s="452"/>
      <c r="V1383" s="453"/>
      <c r="W1383" s="454"/>
      <c r="X1383" s="455"/>
      <c r="Y1383" s="456"/>
      <c r="Z1383" s="457"/>
      <c r="AA1383" s="458"/>
      <c r="AB1383" s="443"/>
    </row>
    <row r="1384" spans="1:28" s="444" customFormat="1">
      <c r="A1384" s="459"/>
      <c r="B1384" s="446" t="s">
        <v>187</v>
      </c>
      <c r="C1384" s="446">
        <v>13236</v>
      </c>
      <c r="D1384" s="448" t="s">
        <v>278</v>
      </c>
      <c r="E1384" s="449" t="s">
        <v>277</v>
      </c>
      <c r="F1384" s="448" t="s">
        <v>278</v>
      </c>
      <c r="G1384" s="589">
        <v>46227</v>
      </c>
      <c r="H1384" s="450"/>
      <c r="I1384" s="450" t="s">
        <v>183</v>
      </c>
      <c r="J1384" s="378">
        <v>0.7729166666666667</v>
      </c>
      <c r="K1384" s="381">
        <v>0.25069444444444444</v>
      </c>
      <c r="L1384" s="451" t="s">
        <v>168</v>
      </c>
      <c r="M1384" s="452">
        <v>8</v>
      </c>
      <c r="N1384" s="452">
        <v>2</v>
      </c>
      <c r="O1384" s="452">
        <v>6</v>
      </c>
      <c r="P1384" s="452">
        <v>2</v>
      </c>
      <c r="Q1384" s="472"/>
      <c r="R1384" s="471"/>
      <c r="S1384" s="471"/>
      <c r="T1384" s="453"/>
      <c r="U1384" s="452"/>
      <c r="V1384" s="453"/>
      <c r="W1384" s="454"/>
      <c r="X1384" s="455"/>
      <c r="Y1384" s="456"/>
      <c r="Z1384" s="457"/>
      <c r="AA1384" s="458"/>
      <c r="AB1384" s="443"/>
    </row>
    <row r="1385" spans="1:28" s="444" customFormat="1">
      <c r="A1385" s="459"/>
      <c r="B1385" s="446" t="s">
        <v>187</v>
      </c>
      <c r="C1385" s="446">
        <v>13236</v>
      </c>
      <c r="D1385" s="448" t="s">
        <v>278</v>
      </c>
      <c r="E1385" s="449" t="s">
        <v>277</v>
      </c>
      <c r="F1385" s="448" t="s">
        <v>278</v>
      </c>
      <c r="G1385" s="589">
        <v>46228</v>
      </c>
      <c r="H1385" s="450"/>
      <c r="I1385" s="450" t="s">
        <v>183</v>
      </c>
      <c r="J1385" s="295"/>
      <c r="K1385" s="295"/>
      <c r="L1385" s="451"/>
      <c r="M1385" s="452"/>
      <c r="N1385" s="452"/>
      <c r="O1385" s="452"/>
      <c r="P1385" s="452"/>
      <c r="Q1385" s="453"/>
      <c r="R1385" s="452"/>
      <c r="S1385" s="473"/>
      <c r="T1385" s="453"/>
      <c r="U1385" s="452"/>
      <c r="V1385" s="453"/>
      <c r="W1385" s="454"/>
      <c r="X1385" s="455"/>
      <c r="Y1385" s="456"/>
      <c r="Z1385" s="457"/>
      <c r="AA1385" s="458"/>
      <c r="AB1385" s="443"/>
    </row>
    <row r="1386" spans="1:28" s="444" customFormat="1">
      <c r="A1386" s="459"/>
      <c r="B1386" s="446"/>
      <c r="C1386" s="505"/>
      <c r="D1386" s="449"/>
      <c r="E1386" s="449"/>
      <c r="F1386" s="449"/>
      <c r="G1386" s="600"/>
      <c r="H1386" s="450"/>
      <c r="I1386" s="450"/>
      <c r="J1386" s="474"/>
      <c r="K1386" s="475"/>
      <c r="L1386" s="476"/>
      <c r="M1386" s="477"/>
      <c r="N1386" s="477"/>
      <c r="O1386" s="477"/>
      <c r="P1386" s="477"/>
      <c r="Q1386" s="478"/>
      <c r="R1386" s="477"/>
      <c r="S1386" s="479"/>
      <c r="T1386" s="453"/>
      <c r="U1386" s="452"/>
      <c r="V1386" s="453"/>
      <c r="W1386" s="454"/>
      <c r="X1386" s="455"/>
      <c r="Y1386" s="456"/>
      <c r="Z1386" s="457"/>
      <c r="AA1386" s="458"/>
      <c r="AB1386" s="443"/>
    </row>
    <row r="1387" spans="1:28" s="444" customFormat="1">
      <c r="A1387" s="480"/>
      <c r="B1387" s="481"/>
      <c r="C1387" s="446"/>
      <c r="D1387" s="481"/>
      <c r="E1387" s="449"/>
      <c r="F1387" s="481"/>
      <c r="G1387" s="601"/>
      <c r="H1387" s="482"/>
      <c r="I1387" s="483"/>
      <c r="J1387" s="484"/>
      <c r="K1387" s="485"/>
      <c r="L1387" s="483"/>
      <c r="M1387" s="483">
        <f t="shared" ref="M1387:AA1387" si="77">SUM(M1370:M1386)</f>
        <v>96</v>
      </c>
      <c r="N1387" s="483">
        <f t="shared" si="77"/>
        <v>20</v>
      </c>
      <c r="O1387" s="483">
        <f t="shared" si="77"/>
        <v>66</v>
      </c>
      <c r="P1387" s="483">
        <f t="shared" si="77"/>
        <v>20</v>
      </c>
      <c r="Q1387" s="483">
        <f t="shared" si="77"/>
        <v>0</v>
      </c>
      <c r="R1387" s="483">
        <f t="shared" si="77"/>
        <v>0</v>
      </c>
      <c r="S1387" s="483">
        <f t="shared" si="77"/>
        <v>0</v>
      </c>
      <c r="T1387" s="483">
        <f t="shared" si="77"/>
        <v>0</v>
      </c>
      <c r="U1387" s="483">
        <f t="shared" si="77"/>
        <v>0</v>
      </c>
      <c r="V1387" s="483">
        <f t="shared" si="77"/>
        <v>0</v>
      </c>
      <c r="W1387" s="483">
        <f t="shared" si="77"/>
        <v>0</v>
      </c>
      <c r="X1387" s="483">
        <f t="shared" si="77"/>
        <v>0</v>
      </c>
      <c r="Y1387" s="483">
        <f t="shared" si="77"/>
        <v>0</v>
      </c>
      <c r="Z1387" s="483">
        <f t="shared" si="77"/>
        <v>0</v>
      </c>
      <c r="AA1387" s="483">
        <f t="shared" si="77"/>
        <v>0</v>
      </c>
      <c r="AB1387" s="443"/>
    </row>
    <row r="1388" spans="1:28" s="444" customFormat="1">
      <c r="A1388" s="480"/>
      <c r="B1388" s="481"/>
      <c r="C1388" s="446"/>
      <c r="D1388" s="481"/>
      <c r="E1388" s="449"/>
      <c r="F1388" s="481"/>
      <c r="G1388" s="601"/>
      <c r="H1388" s="482"/>
      <c r="I1388" s="483"/>
      <c r="J1388" s="484"/>
      <c r="K1388" s="485"/>
      <c r="L1388" s="483"/>
      <c r="M1388" s="377">
        <v>0</v>
      </c>
      <c r="N1388" s="377">
        <v>0</v>
      </c>
      <c r="O1388" s="377">
        <v>0</v>
      </c>
      <c r="P1388" s="377">
        <v>0</v>
      </c>
      <c r="Q1388" s="377">
        <v>0</v>
      </c>
      <c r="R1388" s="377">
        <v>0</v>
      </c>
      <c r="S1388" s="377">
        <v>0</v>
      </c>
      <c r="T1388" s="377">
        <v>0</v>
      </c>
      <c r="U1388" s="483" t="e">
        <f>SUM(#REF!)</f>
        <v>#REF!</v>
      </c>
      <c r="V1388" s="483" t="e">
        <f>SUM(#REF!)</f>
        <v>#REF!</v>
      </c>
      <c r="W1388" s="483" t="e">
        <f>SUM(#REF!)</f>
        <v>#REF!</v>
      </c>
      <c r="X1388" s="483" t="e">
        <f>SUM(#REF!)</f>
        <v>#REF!</v>
      </c>
      <c r="Y1388" s="483" t="e">
        <f>SUM(#REF!)</f>
        <v>#REF!</v>
      </c>
      <c r="Z1388" s="483" t="e">
        <f>SUM(#REF!)</f>
        <v>#REF!</v>
      </c>
      <c r="AA1388" s="377">
        <v>0</v>
      </c>
      <c r="AB1388" s="443"/>
    </row>
    <row r="1389" spans="1:28" s="444" customFormat="1">
      <c r="A1389" s="435" t="s">
        <v>170</v>
      </c>
      <c r="B1389" s="435" t="s">
        <v>120</v>
      </c>
      <c r="C1389" s="435" t="s">
        <v>152</v>
      </c>
      <c r="D1389" s="435" t="s">
        <v>182</v>
      </c>
      <c r="E1389" s="436" t="s">
        <v>153</v>
      </c>
      <c r="F1389" s="435" t="s">
        <v>182</v>
      </c>
      <c r="G1389" s="599" t="s">
        <v>401</v>
      </c>
      <c r="H1389" s="437"/>
      <c r="I1389" s="438" t="s">
        <v>181</v>
      </c>
      <c r="J1389" s="439" t="s">
        <v>154</v>
      </c>
      <c r="K1389" s="439" t="s">
        <v>155</v>
      </c>
      <c r="L1389" s="440" t="s">
        <v>156</v>
      </c>
      <c r="M1389" s="441" t="s">
        <v>157</v>
      </c>
      <c r="N1389" s="440" t="s">
        <v>158</v>
      </c>
      <c r="O1389" s="440" t="s">
        <v>159</v>
      </c>
      <c r="P1389" s="440" t="s">
        <v>174</v>
      </c>
      <c r="Q1389" s="440" t="s">
        <v>160</v>
      </c>
      <c r="R1389" s="440" t="s">
        <v>161</v>
      </c>
      <c r="S1389" s="440" t="s">
        <v>162</v>
      </c>
      <c r="T1389" s="438" t="s">
        <v>163</v>
      </c>
      <c r="U1389" s="438" t="s">
        <v>164</v>
      </c>
      <c r="V1389" s="438" t="s">
        <v>165</v>
      </c>
      <c r="W1389" s="440" t="s">
        <v>113</v>
      </c>
      <c r="X1389" s="438" t="s">
        <v>121</v>
      </c>
      <c r="Y1389" s="438" t="s">
        <v>166</v>
      </c>
      <c r="Z1389" s="442" t="s">
        <v>175</v>
      </c>
      <c r="AA1389" s="442" t="s">
        <v>167</v>
      </c>
      <c r="AB1389" s="443"/>
    </row>
    <row r="1390" spans="1:28" s="444" customFormat="1">
      <c r="A1390" s="701"/>
      <c r="B1390" s="446" t="s">
        <v>187</v>
      </c>
      <c r="C1390" s="486">
        <v>14473</v>
      </c>
      <c r="D1390" s="448" t="s">
        <v>276</v>
      </c>
      <c r="E1390" s="449" t="s">
        <v>275</v>
      </c>
      <c r="F1390" s="448" t="s">
        <v>276</v>
      </c>
      <c r="G1390" s="589">
        <v>46214</v>
      </c>
      <c r="H1390" s="450"/>
      <c r="I1390" s="450" t="s">
        <v>186</v>
      </c>
      <c r="J1390" s="295">
        <v>0.31388888888888888</v>
      </c>
      <c r="K1390" s="295">
        <v>0.7104166666666667</v>
      </c>
      <c r="L1390" s="451" t="s">
        <v>169</v>
      </c>
      <c r="M1390" s="452">
        <v>8</v>
      </c>
      <c r="N1390" s="452"/>
      <c r="O1390" s="452"/>
      <c r="P1390" s="452"/>
      <c r="Q1390" s="453"/>
      <c r="R1390" s="452"/>
      <c r="S1390" s="452"/>
      <c r="T1390" s="453"/>
      <c r="U1390" s="452"/>
      <c r="V1390" s="453"/>
      <c r="W1390" s="454"/>
      <c r="X1390" s="455"/>
      <c r="Y1390" s="456"/>
      <c r="Z1390" s="457"/>
      <c r="AA1390" s="458"/>
      <c r="AB1390" s="443"/>
    </row>
    <row r="1391" spans="1:28" s="444" customFormat="1">
      <c r="A1391" s="702"/>
      <c r="B1391" s="446" t="s">
        <v>187</v>
      </c>
      <c r="C1391" s="486">
        <v>14473</v>
      </c>
      <c r="D1391" s="448" t="s">
        <v>276</v>
      </c>
      <c r="E1391" s="449" t="s">
        <v>275</v>
      </c>
      <c r="F1391" s="448" t="s">
        <v>276</v>
      </c>
      <c r="G1391" s="590">
        <v>46215</v>
      </c>
      <c r="H1391" s="450"/>
      <c r="I1391" s="450"/>
      <c r="J1391" s="699" t="s">
        <v>173</v>
      </c>
      <c r="K1391" s="700"/>
      <c r="L1391" s="451"/>
      <c r="M1391" s="452"/>
      <c r="N1391" s="452"/>
      <c r="O1391" s="452"/>
      <c r="P1391" s="452"/>
      <c r="Q1391" s="453"/>
      <c r="R1391" s="452"/>
      <c r="S1391" s="452"/>
      <c r="T1391" s="453"/>
      <c r="U1391" s="452"/>
      <c r="V1391" s="453"/>
      <c r="W1391" s="454"/>
      <c r="X1391" s="455"/>
      <c r="Y1391" s="456"/>
      <c r="Z1391" s="457"/>
      <c r="AA1391" s="458"/>
      <c r="AB1391" s="443"/>
    </row>
    <row r="1392" spans="1:28" s="444" customFormat="1">
      <c r="A1392" s="702"/>
      <c r="B1392" s="446" t="s">
        <v>187</v>
      </c>
      <c r="C1392" s="486">
        <v>14473</v>
      </c>
      <c r="D1392" s="448" t="s">
        <v>276</v>
      </c>
      <c r="E1392" s="449" t="s">
        <v>275</v>
      </c>
      <c r="F1392" s="448" t="s">
        <v>276</v>
      </c>
      <c r="G1392" s="589">
        <v>46216</v>
      </c>
      <c r="H1392" s="450"/>
      <c r="I1392" s="450" t="s">
        <v>186</v>
      </c>
      <c r="J1392" s="382">
        <v>0.3034722222222222</v>
      </c>
      <c r="K1392" s="382">
        <v>0.79374999999999996</v>
      </c>
      <c r="L1392" s="451" t="s">
        <v>169</v>
      </c>
      <c r="M1392" s="452">
        <v>8</v>
      </c>
      <c r="N1392" s="452">
        <v>2</v>
      </c>
      <c r="O1392" s="462"/>
      <c r="P1392" s="462"/>
      <c r="Q1392" s="461"/>
      <c r="R1392" s="452"/>
      <c r="S1392" s="452"/>
      <c r="T1392" s="453"/>
      <c r="U1392" s="452"/>
      <c r="V1392" s="453"/>
      <c r="W1392" s="454"/>
      <c r="X1392" s="455"/>
      <c r="Y1392" s="456"/>
      <c r="Z1392" s="457"/>
      <c r="AA1392" s="458"/>
      <c r="AB1392" s="443"/>
    </row>
    <row r="1393" spans="1:28" s="444" customFormat="1">
      <c r="A1393" s="702"/>
      <c r="B1393" s="446" t="s">
        <v>187</v>
      </c>
      <c r="C1393" s="486">
        <v>14473</v>
      </c>
      <c r="D1393" s="448" t="s">
        <v>276</v>
      </c>
      <c r="E1393" s="449" t="s">
        <v>275</v>
      </c>
      <c r="F1393" s="448" t="s">
        <v>276</v>
      </c>
      <c r="G1393" s="589">
        <v>46217</v>
      </c>
      <c r="H1393" s="450"/>
      <c r="I1393" s="450" t="s">
        <v>186</v>
      </c>
      <c r="J1393" s="382">
        <v>0.30416666666666664</v>
      </c>
      <c r="K1393" s="382">
        <v>0.70972222222222225</v>
      </c>
      <c r="L1393" s="451" t="s">
        <v>169</v>
      </c>
      <c r="M1393" s="452">
        <v>8</v>
      </c>
      <c r="N1393" s="452"/>
      <c r="O1393" s="452"/>
      <c r="P1393" s="462"/>
      <c r="Q1393" s="461"/>
      <c r="R1393" s="462"/>
      <c r="S1393" s="462"/>
      <c r="T1393" s="461"/>
      <c r="U1393" s="462"/>
      <c r="V1393" s="461"/>
      <c r="W1393" s="463"/>
      <c r="X1393" s="464"/>
      <c r="Y1393" s="465"/>
      <c r="Z1393" s="466"/>
      <c r="AA1393" s="467"/>
      <c r="AB1393" s="443"/>
    </row>
    <row r="1394" spans="1:28" s="444" customFormat="1">
      <c r="A1394" s="702"/>
      <c r="B1394" s="446" t="s">
        <v>187</v>
      </c>
      <c r="C1394" s="486">
        <v>14473</v>
      </c>
      <c r="D1394" s="448" t="s">
        <v>276</v>
      </c>
      <c r="E1394" s="449" t="s">
        <v>275</v>
      </c>
      <c r="F1394" s="448" t="s">
        <v>276</v>
      </c>
      <c r="G1394" s="589">
        <v>46218</v>
      </c>
      <c r="H1394" s="450"/>
      <c r="I1394" s="450"/>
      <c r="J1394" s="305"/>
      <c r="K1394" s="305"/>
      <c r="L1394" s="451"/>
      <c r="M1394" s="452"/>
      <c r="N1394" s="452"/>
      <c r="O1394" s="452"/>
      <c r="P1394" s="452"/>
      <c r="Q1394" s="453"/>
      <c r="R1394" s="452"/>
      <c r="S1394" s="452"/>
      <c r="T1394" s="453"/>
      <c r="U1394" s="452"/>
      <c r="V1394" s="453"/>
      <c r="W1394" s="454"/>
      <c r="X1394" s="455"/>
      <c r="Y1394" s="456"/>
      <c r="Z1394" s="457"/>
      <c r="AA1394" s="458"/>
      <c r="AB1394" s="443"/>
    </row>
    <row r="1395" spans="1:28" s="444" customFormat="1">
      <c r="A1395" s="702"/>
      <c r="B1395" s="446" t="s">
        <v>187</v>
      </c>
      <c r="C1395" s="486">
        <v>14473</v>
      </c>
      <c r="D1395" s="448" t="s">
        <v>276</v>
      </c>
      <c r="E1395" s="449" t="s">
        <v>275</v>
      </c>
      <c r="F1395" s="448" t="s">
        <v>276</v>
      </c>
      <c r="G1395" s="589">
        <v>46219</v>
      </c>
      <c r="H1395" s="450"/>
      <c r="I1395" s="450"/>
      <c r="J1395" s="305"/>
      <c r="K1395" s="305"/>
      <c r="L1395" s="451"/>
      <c r="M1395" s="452"/>
      <c r="N1395" s="452"/>
      <c r="O1395" s="452"/>
      <c r="P1395" s="452"/>
      <c r="Q1395" s="453"/>
      <c r="R1395" s="452"/>
      <c r="S1395" s="452"/>
      <c r="T1395" s="453"/>
      <c r="U1395" s="452"/>
      <c r="V1395" s="453"/>
      <c r="W1395" s="454"/>
      <c r="X1395" s="455"/>
      <c r="Y1395" s="456"/>
      <c r="Z1395" s="457"/>
      <c r="AA1395" s="458"/>
      <c r="AB1395" s="443"/>
    </row>
    <row r="1396" spans="1:28" s="444" customFormat="1">
      <c r="A1396" s="702"/>
      <c r="B1396" s="446" t="s">
        <v>187</v>
      </c>
      <c r="C1396" s="486">
        <v>14473</v>
      </c>
      <c r="D1396" s="448" t="s">
        <v>276</v>
      </c>
      <c r="E1396" s="449" t="s">
        <v>275</v>
      </c>
      <c r="F1396" s="448" t="s">
        <v>276</v>
      </c>
      <c r="G1396" s="589">
        <v>46220</v>
      </c>
      <c r="H1396" s="450"/>
      <c r="I1396" s="450"/>
      <c r="J1396" s="305"/>
      <c r="K1396" s="305"/>
      <c r="L1396" s="451"/>
      <c r="M1396" s="452"/>
      <c r="N1396" s="452"/>
      <c r="O1396" s="452"/>
      <c r="P1396" s="452"/>
      <c r="Q1396" s="453"/>
      <c r="R1396" s="452"/>
      <c r="S1396" s="452"/>
      <c r="T1396" s="453"/>
      <c r="U1396" s="452"/>
      <c r="V1396" s="453"/>
      <c r="W1396" s="454"/>
      <c r="X1396" s="455"/>
      <c r="Y1396" s="456"/>
      <c r="Z1396" s="457"/>
      <c r="AA1396" s="458"/>
      <c r="AB1396" s="443"/>
    </row>
    <row r="1397" spans="1:28" s="444" customFormat="1">
      <c r="A1397" s="702"/>
      <c r="B1397" s="446" t="s">
        <v>187</v>
      </c>
      <c r="C1397" s="486">
        <v>14473</v>
      </c>
      <c r="D1397" s="448" t="s">
        <v>276</v>
      </c>
      <c r="E1397" s="449" t="s">
        <v>275</v>
      </c>
      <c r="F1397" s="448" t="s">
        <v>276</v>
      </c>
      <c r="G1397" s="589">
        <v>46221</v>
      </c>
      <c r="H1397" s="450"/>
      <c r="I1397" s="450"/>
      <c r="J1397" s="305"/>
      <c r="K1397" s="305"/>
      <c r="L1397" s="451"/>
      <c r="M1397" s="452"/>
      <c r="N1397" s="452"/>
      <c r="O1397" s="452"/>
      <c r="P1397" s="452"/>
      <c r="Q1397" s="453"/>
      <c r="R1397" s="452"/>
      <c r="S1397" s="452"/>
      <c r="T1397" s="453"/>
      <c r="U1397" s="452"/>
      <c r="V1397" s="453"/>
      <c r="W1397" s="454"/>
      <c r="X1397" s="455"/>
      <c r="Y1397" s="456"/>
      <c r="Z1397" s="457"/>
      <c r="AA1397" s="458"/>
      <c r="AB1397" s="443"/>
    </row>
    <row r="1398" spans="1:28" s="444" customFormat="1">
      <c r="A1398" s="702"/>
      <c r="B1398" s="446" t="s">
        <v>187</v>
      </c>
      <c r="C1398" s="486">
        <v>14473</v>
      </c>
      <c r="D1398" s="448" t="s">
        <v>276</v>
      </c>
      <c r="E1398" s="449" t="s">
        <v>275</v>
      </c>
      <c r="F1398" s="448" t="s">
        <v>276</v>
      </c>
      <c r="G1398" s="590">
        <v>46222</v>
      </c>
      <c r="H1398" s="450"/>
      <c r="I1398" s="450"/>
      <c r="J1398" s="699" t="s">
        <v>173</v>
      </c>
      <c r="K1398" s="700"/>
      <c r="L1398" s="451"/>
      <c r="M1398" s="452"/>
      <c r="N1398" s="452"/>
      <c r="O1398" s="452"/>
      <c r="P1398" s="452"/>
      <c r="Q1398" s="453"/>
      <c r="R1398" s="452"/>
      <c r="S1398" s="452"/>
      <c r="T1398" s="453"/>
      <c r="U1398" s="452"/>
      <c r="V1398" s="453"/>
      <c r="W1398" s="454"/>
      <c r="X1398" s="455"/>
      <c r="Y1398" s="456"/>
      <c r="Z1398" s="457"/>
      <c r="AA1398" s="458"/>
      <c r="AB1398" s="443"/>
    </row>
    <row r="1399" spans="1:28" s="444" customFormat="1">
      <c r="A1399" s="702"/>
      <c r="B1399" s="446" t="s">
        <v>187</v>
      </c>
      <c r="C1399" s="486">
        <v>14473</v>
      </c>
      <c r="D1399" s="448" t="s">
        <v>276</v>
      </c>
      <c r="E1399" s="449" t="s">
        <v>275</v>
      </c>
      <c r="F1399" s="448" t="s">
        <v>276</v>
      </c>
      <c r="G1399" s="589">
        <v>46223</v>
      </c>
      <c r="H1399" s="450"/>
      <c r="I1399" s="450" t="s">
        <v>186</v>
      </c>
      <c r="J1399" s="305">
        <v>0.30416666666666664</v>
      </c>
      <c r="K1399" s="305">
        <v>0.79236111111111107</v>
      </c>
      <c r="L1399" s="451" t="s">
        <v>169</v>
      </c>
      <c r="M1399" s="452">
        <v>8</v>
      </c>
      <c r="N1399" s="452">
        <v>2</v>
      </c>
      <c r="O1399" s="462"/>
      <c r="P1399" s="462"/>
      <c r="Q1399" s="461"/>
      <c r="R1399" s="462"/>
      <c r="S1399" s="462"/>
      <c r="T1399" s="461"/>
      <c r="U1399" s="462"/>
      <c r="V1399" s="461"/>
      <c r="W1399" s="454"/>
      <c r="X1399" s="455"/>
      <c r="Y1399" s="456"/>
      <c r="Z1399" s="457"/>
      <c r="AA1399" s="458"/>
      <c r="AB1399" s="443"/>
    </row>
    <row r="1400" spans="1:28" s="444" customFormat="1">
      <c r="A1400" s="702"/>
      <c r="B1400" s="446" t="s">
        <v>187</v>
      </c>
      <c r="C1400" s="486">
        <v>14473</v>
      </c>
      <c r="D1400" s="448" t="s">
        <v>276</v>
      </c>
      <c r="E1400" s="449" t="s">
        <v>275</v>
      </c>
      <c r="F1400" s="448" t="s">
        <v>276</v>
      </c>
      <c r="G1400" s="589">
        <v>46224</v>
      </c>
      <c r="H1400" s="450"/>
      <c r="I1400" s="450" t="s">
        <v>186</v>
      </c>
      <c r="J1400" s="378">
        <v>0.30416666666666664</v>
      </c>
      <c r="K1400" s="378">
        <v>0.70902777777777781</v>
      </c>
      <c r="L1400" s="451" t="s">
        <v>169</v>
      </c>
      <c r="M1400" s="452">
        <v>8</v>
      </c>
      <c r="N1400" s="477"/>
      <c r="O1400" s="469"/>
      <c r="P1400" s="469"/>
      <c r="Q1400" s="468"/>
      <c r="R1400" s="469"/>
      <c r="S1400" s="469"/>
      <c r="T1400" s="461"/>
      <c r="U1400" s="462"/>
      <c r="V1400" s="461"/>
      <c r="W1400" s="463"/>
      <c r="X1400" s="464"/>
      <c r="Y1400" s="465"/>
      <c r="Z1400" s="466"/>
      <c r="AA1400" s="467"/>
      <c r="AB1400" s="443"/>
    </row>
    <row r="1401" spans="1:28" s="444" customFormat="1">
      <c r="A1401" s="702"/>
      <c r="B1401" s="446" t="s">
        <v>187</v>
      </c>
      <c r="C1401" s="486">
        <v>14473</v>
      </c>
      <c r="D1401" s="448" t="s">
        <v>276</v>
      </c>
      <c r="E1401" s="449" t="s">
        <v>275</v>
      </c>
      <c r="F1401" s="448" t="s">
        <v>276</v>
      </c>
      <c r="G1401" s="589">
        <v>46225</v>
      </c>
      <c r="H1401" s="450"/>
      <c r="I1401" s="450" t="s">
        <v>186</v>
      </c>
      <c r="J1401" s="378">
        <v>0.30694444444444446</v>
      </c>
      <c r="K1401" s="378">
        <v>0.70902777777777781</v>
      </c>
      <c r="L1401" s="451" t="s">
        <v>169</v>
      </c>
      <c r="M1401" s="452">
        <v>8</v>
      </c>
      <c r="N1401" s="471"/>
      <c r="O1401" s="452"/>
      <c r="P1401" s="452"/>
      <c r="Q1401" s="453"/>
      <c r="R1401" s="452"/>
      <c r="S1401" s="452"/>
      <c r="T1401" s="453"/>
      <c r="U1401" s="452"/>
      <c r="V1401" s="453"/>
      <c r="W1401" s="454"/>
      <c r="X1401" s="455"/>
      <c r="Y1401" s="456"/>
      <c r="Z1401" s="457"/>
      <c r="AA1401" s="458"/>
      <c r="AB1401" s="443"/>
    </row>
    <row r="1402" spans="1:28" s="444" customFormat="1">
      <c r="A1402" s="702"/>
      <c r="B1402" s="446" t="s">
        <v>187</v>
      </c>
      <c r="C1402" s="486">
        <v>14473</v>
      </c>
      <c r="D1402" s="448" t="s">
        <v>276</v>
      </c>
      <c r="E1402" s="449" t="s">
        <v>275</v>
      </c>
      <c r="F1402" s="448" t="s">
        <v>276</v>
      </c>
      <c r="G1402" s="589">
        <v>46226</v>
      </c>
      <c r="H1402" s="450"/>
      <c r="I1402" s="450" t="s">
        <v>186</v>
      </c>
      <c r="J1402" s="378">
        <v>0.30555555555555558</v>
      </c>
      <c r="K1402" s="378">
        <v>0.79236111111111107</v>
      </c>
      <c r="L1402" s="451" t="s">
        <v>169</v>
      </c>
      <c r="M1402" s="452">
        <v>8</v>
      </c>
      <c r="N1402" s="452">
        <v>2</v>
      </c>
      <c r="O1402" s="470"/>
      <c r="P1402" s="470"/>
      <c r="Q1402" s="453"/>
      <c r="R1402" s="452"/>
      <c r="S1402" s="452"/>
      <c r="T1402" s="453"/>
      <c r="U1402" s="452"/>
      <c r="V1402" s="453"/>
      <c r="W1402" s="454"/>
      <c r="X1402" s="455"/>
      <c r="Y1402" s="456"/>
      <c r="Z1402" s="457"/>
      <c r="AA1402" s="458"/>
      <c r="AB1402" s="443"/>
    </row>
    <row r="1403" spans="1:28" s="444" customFormat="1">
      <c r="A1403" s="702"/>
      <c r="B1403" s="446" t="s">
        <v>187</v>
      </c>
      <c r="C1403" s="486">
        <v>14473</v>
      </c>
      <c r="D1403" s="448" t="s">
        <v>276</v>
      </c>
      <c r="E1403" s="449" t="s">
        <v>275</v>
      </c>
      <c r="F1403" s="448" t="s">
        <v>276</v>
      </c>
      <c r="G1403" s="589">
        <v>46227</v>
      </c>
      <c r="H1403" s="450"/>
      <c r="I1403" s="450" t="s">
        <v>186</v>
      </c>
      <c r="J1403" s="378">
        <v>0.30416666666666664</v>
      </c>
      <c r="K1403" s="381">
        <v>0.70833333333333337</v>
      </c>
      <c r="L1403" s="451" t="s">
        <v>169</v>
      </c>
      <c r="M1403" s="452">
        <v>8</v>
      </c>
      <c r="N1403" s="471"/>
      <c r="O1403" s="471"/>
      <c r="P1403" s="471"/>
      <c r="Q1403" s="472"/>
      <c r="R1403" s="471"/>
      <c r="S1403" s="471"/>
      <c r="T1403" s="453"/>
      <c r="U1403" s="452"/>
      <c r="V1403" s="453"/>
      <c r="W1403" s="454"/>
      <c r="X1403" s="455"/>
      <c r="Y1403" s="456"/>
      <c r="Z1403" s="457"/>
      <c r="AA1403" s="458"/>
      <c r="AB1403" s="443"/>
    </row>
    <row r="1404" spans="1:28" s="444" customFormat="1">
      <c r="A1404" s="702"/>
      <c r="B1404" s="446" t="s">
        <v>187</v>
      </c>
      <c r="C1404" s="486">
        <v>14473</v>
      </c>
      <c r="D1404" s="448" t="s">
        <v>276</v>
      </c>
      <c r="E1404" s="449" t="s">
        <v>275</v>
      </c>
      <c r="F1404" s="448" t="s">
        <v>276</v>
      </c>
      <c r="G1404" s="589">
        <v>46228</v>
      </c>
      <c r="H1404" s="450"/>
      <c r="I1404" s="450" t="s">
        <v>186</v>
      </c>
      <c r="J1404" s="295"/>
      <c r="K1404" s="295"/>
      <c r="L1404" s="451"/>
      <c r="M1404" s="452"/>
      <c r="N1404" s="452"/>
      <c r="O1404" s="452"/>
      <c r="P1404" s="452"/>
      <c r="Q1404" s="453"/>
      <c r="R1404" s="452"/>
      <c r="S1404" s="473"/>
      <c r="T1404" s="453"/>
      <c r="U1404" s="452"/>
      <c r="V1404" s="453"/>
      <c r="W1404" s="454"/>
      <c r="X1404" s="455"/>
      <c r="Y1404" s="456"/>
      <c r="Z1404" s="457"/>
      <c r="AA1404" s="458"/>
      <c r="AB1404" s="443"/>
    </row>
    <row r="1405" spans="1:28" s="444" customFormat="1">
      <c r="A1405" s="702"/>
      <c r="B1405" s="446"/>
      <c r="C1405" s="486"/>
      <c r="D1405" s="448"/>
      <c r="E1405" s="449"/>
      <c r="F1405" s="448"/>
      <c r="G1405" s="600"/>
      <c r="H1405" s="450"/>
      <c r="I1405" s="450"/>
      <c r="J1405" s="474"/>
      <c r="K1405" s="475"/>
      <c r="L1405" s="476"/>
      <c r="M1405" s="477"/>
      <c r="N1405" s="477"/>
      <c r="O1405" s="477"/>
      <c r="P1405" s="477"/>
      <c r="Q1405" s="478"/>
      <c r="R1405" s="477"/>
      <c r="S1405" s="479"/>
      <c r="T1405" s="453"/>
      <c r="U1405" s="452"/>
      <c r="V1405" s="453"/>
      <c r="W1405" s="454"/>
      <c r="X1405" s="455"/>
      <c r="Y1405" s="456"/>
      <c r="Z1405" s="457"/>
      <c r="AA1405" s="458"/>
      <c r="AB1405" s="443"/>
    </row>
    <row r="1406" spans="1:28" s="444" customFormat="1">
      <c r="A1406" s="703"/>
      <c r="B1406" s="481"/>
      <c r="C1406" s="446"/>
      <c r="D1406" s="481"/>
      <c r="E1406" s="449"/>
      <c r="F1406" s="481"/>
      <c r="G1406" s="601"/>
      <c r="H1406" s="482"/>
      <c r="I1406" s="483"/>
      <c r="J1406" s="484"/>
      <c r="K1406" s="485"/>
      <c r="L1406" s="483"/>
      <c r="M1406" s="483">
        <f t="shared" ref="M1406:AA1406" si="78">SUM(M1389:M1405)</f>
        <v>64</v>
      </c>
      <c r="N1406" s="483">
        <f t="shared" si="78"/>
        <v>6</v>
      </c>
      <c r="O1406" s="483">
        <f t="shared" si="78"/>
        <v>0</v>
      </c>
      <c r="P1406" s="483">
        <f t="shared" si="78"/>
        <v>0</v>
      </c>
      <c r="Q1406" s="483">
        <f t="shared" si="78"/>
        <v>0</v>
      </c>
      <c r="R1406" s="483">
        <f t="shared" si="78"/>
        <v>0</v>
      </c>
      <c r="S1406" s="483">
        <f t="shared" si="78"/>
        <v>0</v>
      </c>
      <c r="T1406" s="483">
        <f t="shared" si="78"/>
        <v>0</v>
      </c>
      <c r="U1406" s="483">
        <f t="shared" si="78"/>
        <v>0</v>
      </c>
      <c r="V1406" s="483">
        <f t="shared" si="78"/>
        <v>0</v>
      </c>
      <c r="W1406" s="483">
        <f t="shared" si="78"/>
        <v>0</v>
      </c>
      <c r="X1406" s="483">
        <f t="shared" si="78"/>
        <v>0</v>
      </c>
      <c r="Y1406" s="483">
        <f t="shared" si="78"/>
        <v>0</v>
      </c>
      <c r="Z1406" s="483">
        <f t="shared" si="78"/>
        <v>0</v>
      </c>
      <c r="AA1406" s="483">
        <f t="shared" si="78"/>
        <v>0</v>
      </c>
      <c r="AB1406" s="443"/>
    </row>
    <row r="1407" spans="1:28" s="444" customFormat="1">
      <c r="A1407" s="435" t="s">
        <v>170</v>
      </c>
      <c r="B1407" s="435" t="s">
        <v>120</v>
      </c>
      <c r="C1407" s="435" t="s">
        <v>152</v>
      </c>
      <c r="D1407" s="435" t="s">
        <v>182</v>
      </c>
      <c r="E1407" s="436" t="s">
        <v>153</v>
      </c>
      <c r="F1407" s="435" t="s">
        <v>182</v>
      </c>
      <c r="G1407" s="599" t="s">
        <v>401</v>
      </c>
      <c r="H1407" s="437"/>
      <c r="I1407" s="438" t="s">
        <v>181</v>
      </c>
      <c r="J1407" s="439" t="s">
        <v>154</v>
      </c>
      <c r="K1407" s="439" t="s">
        <v>155</v>
      </c>
      <c r="L1407" s="440" t="s">
        <v>156</v>
      </c>
      <c r="M1407" s="441" t="s">
        <v>157</v>
      </c>
      <c r="N1407" s="440" t="s">
        <v>158</v>
      </c>
      <c r="O1407" s="440" t="s">
        <v>159</v>
      </c>
      <c r="P1407" s="440" t="s">
        <v>174</v>
      </c>
      <c r="Q1407" s="440" t="s">
        <v>160</v>
      </c>
      <c r="R1407" s="440" t="s">
        <v>161</v>
      </c>
      <c r="S1407" s="440" t="s">
        <v>162</v>
      </c>
      <c r="T1407" s="438" t="s">
        <v>163</v>
      </c>
      <c r="U1407" s="438" t="s">
        <v>164</v>
      </c>
      <c r="V1407" s="438" t="s">
        <v>165</v>
      </c>
      <c r="W1407" s="440" t="s">
        <v>113</v>
      </c>
      <c r="X1407" s="438" t="s">
        <v>121</v>
      </c>
      <c r="Y1407" s="438" t="s">
        <v>166</v>
      </c>
      <c r="Z1407" s="442" t="s">
        <v>175</v>
      </c>
      <c r="AA1407" s="442" t="s">
        <v>167</v>
      </c>
      <c r="AB1407" s="443"/>
    </row>
    <row r="1408" spans="1:28" s="444" customFormat="1">
      <c r="A1408" s="701"/>
      <c r="B1408" s="446" t="s">
        <v>187</v>
      </c>
      <c r="C1408" s="449">
        <v>11834</v>
      </c>
      <c r="D1408" s="448" t="s">
        <v>274</v>
      </c>
      <c r="E1408" s="449" t="s">
        <v>273</v>
      </c>
      <c r="F1408" s="448" t="s">
        <v>274</v>
      </c>
      <c r="G1408" s="589">
        <v>46214</v>
      </c>
      <c r="H1408" s="450"/>
      <c r="I1408" s="450" t="s">
        <v>186</v>
      </c>
      <c r="J1408" s="295">
        <v>0.31944444444444442</v>
      </c>
      <c r="K1408" s="295">
        <v>0.71180555555555558</v>
      </c>
      <c r="L1408" s="451" t="s">
        <v>169</v>
      </c>
      <c r="M1408" s="452">
        <v>8</v>
      </c>
      <c r="N1408" s="452"/>
      <c r="O1408" s="452"/>
      <c r="P1408" s="452"/>
      <c r="Q1408" s="453"/>
      <c r="R1408" s="452"/>
      <c r="S1408" s="452"/>
      <c r="T1408" s="453"/>
      <c r="U1408" s="452"/>
      <c r="V1408" s="453"/>
      <c r="W1408" s="454"/>
      <c r="X1408" s="455"/>
      <c r="Y1408" s="456"/>
      <c r="Z1408" s="457"/>
      <c r="AA1408" s="458"/>
      <c r="AB1408" s="443"/>
    </row>
    <row r="1409" spans="1:28" s="444" customFormat="1">
      <c r="A1409" s="702"/>
      <c r="B1409" s="446" t="s">
        <v>187</v>
      </c>
      <c r="C1409" s="449">
        <v>11834</v>
      </c>
      <c r="D1409" s="448" t="s">
        <v>274</v>
      </c>
      <c r="E1409" s="449" t="s">
        <v>273</v>
      </c>
      <c r="F1409" s="448" t="s">
        <v>274</v>
      </c>
      <c r="G1409" s="590">
        <v>46215</v>
      </c>
      <c r="H1409" s="450"/>
      <c r="I1409" s="450"/>
      <c r="L1409" s="451"/>
      <c r="M1409" s="452"/>
      <c r="N1409" s="452"/>
      <c r="O1409" s="452"/>
      <c r="P1409" s="452"/>
      <c r="Q1409" s="453"/>
      <c r="R1409" s="452"/>
      <c r="S1409" s="452"/>
      <c r="T1409" s="453"/>
      <c r="U1409" s="452"/>
      <c r="V1409" s="453"/>
      <c r="W1409" s="454"/>
      <c r="X1409" s="455"/>
      <c r="Y1409" s="456"/>
      <c r="Z1409" s="457"/>
      <c r="AA1409" s="458"/>
      <c r="AB1409" s="443"/>
    </row>
    <row r="1410" spans="1:28" s="444" customFormat="1">
      <c r="A1410" s="702"/>
      <c r="B1410" s="446" t="s">
        <v>187</v>
      </c>
      <c r="C1410" s="486">
        <v>11834</v>
      </c>
      <c r="D1410" s="448" t="s">
        <v>274</v>
      </c>
      <c r="E1410" s="449" t="s">
        <v>273</v>
      </c>
      <c r="F1410" s="448" t="s">
        <v>274</v>
      </c>
      <c r="G1410" s="589">
        <v>46216</v>
      </c>
      <c r="H1410" s="450"/>
      <c r="I1410" s="450" t="s">
        <v>186</v>
      </c>
      <c r="J1410" s="382">
        <v>0.31666666666666665</v>
      </c>
      <c r="K1410" s="382">
        <v>0.79513888888888884</v>
      </c>
      <c r="L1410" s="451" t="s">
        <v>169</v>
      </c>
      <c r="M1410" s="452">
        <v>8</v>
      </c>
      <c r="N1410" s="452">
        <v>2</v>
      </c>
      <c r="O1410" s="462"/>
      <c r="P1410" s="462"/>
      <c r="Q1410" s="461"/>
      <c r="R1410" s="452"/>
      <c r="S1410" s="452"/>
      <c r="T1410" s="453"/>
      <c r="U1410" s="452"/>
      <c r="V1410" s="453"/>
      <c r="W1410" s="454"/>
      <c r="X1410" s="455"/>
      <c r="Y1410" s="456"/>
      <c r="Z1410" s="457"/>
      <c r="AA1410" s="458"/>
      <c r="AB1410" s="443"/>
    </row>
    <row r="1411" spans="1:28" s="444" customFormat="1">
      <c r="A1411" s="702"/>
      <c r="B1411" s="446" t="s">
        <v>187</v>
      </c>
      <c r="C1411" s="486">
        <v>11834</v>
      </c>
      <c r="D1411" s="448" t="s">
        <v>274</v>
      </c>
      <c r="E1411" s="449" t="s">
        <v>273</v>
      </c>
      <c r="F1411" s="448" t="s">
        <v>274</v>
      </c>
      <c r="G1411" s="589">
        <v>46217</v>
      </c>
      <c r="H1411" s="450"/>
      <c r="I1411" s="450" t="s">
        <v>186</v>
      </c>
      <c r="J1411" s="382">
        <v>0.31805555555555554</v>
      </c>
      <c r="K1411" s="382">
        <v>0.7944444444444444</v>
      </c>
      <c r="L1411" s="451" t="s">
        <v>169</v>
      </c>
      <c r="M1411" s="452">
        <v>8</v>
      </c>
      <c r="N1411" s="452">
        <v>2</v>
      </c>
      <c r="O1411" s="462"/>
      <c r="P1411" s="462"/>
      <c r="Q1411" s="461"/>
      <c r="R1411" s="462"/>
      <c r="S1411" s="462"/>
      <c r="T1411" s="461"/>
      <c r="U1411" s="462"/>
      <c r="V1411" s="461"/>
      <c r="W1411" s="463"/>
      <c r="X1411" s="464"/>
      <c r="Y1411" s="465"/>
      <c r="Z1411" s="466"/>
      <c r="AA1411" s="467"/>
      <c r="AB1411" s="443"/>
    </row>
    <row r="1412" spans="1:28" s="444" customFormat="1">
      <c r="A1412" s="702"/>
      <c r="B1412" s="446" t="s">
        <v>187</v>
      </c>
      <c r="C1412" s="486">
        <v>11834</v>
      </c>
      <c r="D1412" s="448" t="s">
        <v>274</v>
      </c>
      <c r="E1412" s="449" t="s">
        <v>273</v>
      </c>
      <c r="F1412" s="448" t="s">
        <v>274</v>
      </c>
      <c r="G1412" s="589">
        <v>46218</v>
      </c>
      <c r="H1412" s="450"/>
      <c r="I1412" s="450" t="s">
        <v>186</v>
      </c>
      <c r="J1412" s="305">
        <v>0.31736111111111115</v>
      </c>
      <c r="K1412" s="305">
        <v>0.7944444444444444</v>
      </c>
      <c r="L1412" s="451" t="s">
        <v>169</v>
      </c>
      <c r="M1412" s="452">
        <v>8</v>
      </c>
      <c r="N1412" s="452">
        <v>2</v>
      </c>
      <c r="O1412" s="452"/>
      <c r="P1412" s="452"/>
      <c r="Q1412" s="453"/>
      <c r="R1412" s="452"/>
      <c r="S1412" s="452"/>
      <c r="T1412" s="453"/>
      <c r="U1412" s="452"/>
      <c r="V1412" s="453"/>
      <c r="W1412" s="454"/>
      <c r="X1412" s="455"/>
      <c r="Y1412" s="456"/>
      <c r="Z1412" s="457"/>
      <c r="AA1412" s="458"/>
      <c r="AB1412" s="443"/>
    </row>
    <row r="1413" spans="1:28" s="444" customFormat="1">
      <c r="A1413" s="702"/>
      <c r="B1413" s="446" t="s">
        <v>187</v>
      </c>
      <c r="C1413" s="486">
        <v>11834</v>
      </c>
      <c r="D1413" s="448" t="s">
        <v>274</v>
      </c>
      <c r="E1413" s="449" t="s">
        <v>273</v>
      </c>
      <c r="F1413" s="448" t="s">
        <v>274</v>
      </c>
      <c r="G1413" s="589">
        <v>46219</v>
      </c>
      <c r="H1413" s="450"/>
      <c r="I1413" s="450" t="s">
        <v>186</v>
      </c>
      <c r="J1413" s="305">
        <v>0.31805555555555554</v>
      </c>
      <c r="K1413" s="305">
        <v>0.79375000000000007</v>
      </c>
      <c r="L1413" s="451" t="s">
        <v>169</v>
      </c>
      <c r="M1413" s="452">
        <v>8</v>
      </c>
      <c r="N1413" s="452">
        <v>2</v>
      </c>
      <c r="O1413" s="452"/>
      <c r="P1413" s="452"/>
      <c r="Q1413" s="453"/>
      <c r="R1413" s="452"/>
      <c r="S1413" s="452"/>
      <c r="T1413" s="453"/>
      <c r="U1413" s="452"/>
      <c r="V1413" s="453"/>
      <c r="W1413" s="454"/>
      <c r="X1413" s="455"/>
      <c r="Y1413" s="456"/>
      <c r="Z1413" s="457"/>
      <c r="AA1413" s="458"/>
      <c r="AB1413" s="443"/>
    </row>
    <row r="1414" spans="1:28" s="444" customFormat="1">
      <c r="A1414" s="702"/>
      <c r="B1414" s="446" t="s">
        <v>187</v>
      </c>
      <c r="C1414" s="486">
        <v>11834</v>
      </c>
      <c r="D1414" s="448" t="s">
        <v>274</v>
      </c>
      <c r="E1414" s="449" t="s">
        <v>273</v>
      </c>
      <c r="F1414" s="448" t="s">
        <v>274</v>
      </c>
      <c r="G1414" s="589">
        <v>46220</v>
      </c>
      <c r="H1414" s="450"/>
      <c r="I1414" s="450" t="s">
        <v>186</v>
      </c>
      <c r="J1414" s="305">
        <v>0.31805555555555554</v>
      </c>
      <c r="K1414" s="305">
        <v>0.79374999999999996</v>
      </c>
      <c r="L1414" s="451" t="s">
        <v>169</v>
      </c>
      <c r="M1414" s="452">
        <v>8</v>
      </c>
      <c r="N1414" s="452">
        <v>2</v>
      </c>
      <c r="O1414" s="452"/>
      <c r="P1414" s="452"/>
      <c r="Q1414" s="453"/>
      <c r="R1414" s="452"/>
      <c r="S1414" s="452"/>
      <c r="T1414" s="453"/>
      <c r="U1414" s="452"/>
      <c r="V1414" s="453"/>
      <c r="W1414" s="454"/>
      <c r="X1414" s="455"/>
      <c r="Y1414" s="456"/>
      <c r="Z1414" s="457"/>
      <c r="AA1414" s="458"/>
      <c r="AB1414" s="443"/>
    </row>
    <row r="1415" spans="1:28" s="444" customFormat="1">
      <c r="A1415" s="702"/>
      <c r="B1415" s="446" t="s">
        <v>187</v>
      </c>
      <c r="C1415" s="486">
        <v>11834</v>
      </c>
      <c r="D1415" s="448" t="s">
        <v>274</v>
      </c>
      <c r="E1415" s="449" t="s">
        <v>273</v>
      </c>
      <c r="F1415" s="448" t="s">
        <v>274</v>
      </c>
      <c r="G1415" s="589">
        <v>46221</v>
      </c>
      <c r="H1415" s="450"/>
      <c r="I1415" s="450" t="s">
        <v>186</v>
      </c>
      <c r="J1415" s="305">
        <v>0.31736111111111109</v>
      </c>
      <c r="K1415" s="305">
        <v>0.71111111111111114</v>
      </c>
      <c r="L1415" s="451" t="s">
        <v>169</v>
      </c>
      <c r="M1415" s="452">
        <v>8</v>
      </c>
      <c r="N1415" s="452"/>
      <c r="O1415" s="452"/>
      <c r="P1415" s="452"/>
      <c r="Q1415" s="453"/>
      <c r="R1415" s="452"/>
      <c r="S1415" s="452"/>
      <c r="T1415" s="453"/>
      <c r="U1415" s="452"/>
      <c r="V1415" s="453"/>
      <c r="W1415" s="454"/>
      <c r="X1415" s="455"/>
      <c r="Y1415" s="456"/>
      <c r="Z1415" s="457"/>
      <c r="AA1415" s="458"/>
      <c r="AB1415" s="443"/>
    </row>
    <row r="1416" spans="1:28" s="444" customFormat="1">
      <c r="A1416" s="702"/>
      <c r="B1416" s="446" t="s">
        <v>187</v>
      </c>
      <c r="C1416" s="486">
        <v>11834</v>
      </c>
      <c r="D1416" s="448" t="s">
        <v>274</v>
      </c>
      <c r="E1416" s="449" t="s">
        <v>273</v>
      </c>
      <c r="F1416" s="448" t="s">
        <v>274</v>
      </c>
      <c r="G1416" s="590">
        <v>46222</v>
      </c>
      <c r="H1416" s="450"/>
      <c r="I1416" s="450"/>
      <c r="J1416" s="699" t="s">
        <v>173</v>
      </c>
      <c r="K1416" s="700"/>
      <c r="L1416" s="451"/>
      <c r="M1416" s="452"/>
      <c r="N1416" s="452"/>
      <c r="O1416" s="452"/>
      <c r="P1416" s="452"/>
      <c r="Q1416" s="453"/>
      <c r="R1416" s="452"/>
      <c r="S1416" s="452"/>
      <c r="T1416" s="453"/>
      <c r="U1416" s="452"/>
      <c r="V1416" s="453"/>
      <c r="W1416" s="454"/>
      <c r="X1416" s="455"/>
      <c r="Y1416" s="456"/>
      <c r="Z1416" s="457"/>
      <c r="AA1416" s="458"/>
      <c r="AB1416" s="443"/>
    </row>
    <row r="1417" spans="1:28" s="444" customFormat="1">
      <c r="A1417" s="702"/>
      <c r="B1417" s="446" t="s">
        <v>187</v>
      </c>
      <c r="C1417" s="486">
        <v>11834</v>
      </c>
      <c r="D1417" s="448" t="s">
        <v>274</v>
      </c>
      <c r="E1417" s="449" t="s">
        <v>273</v>
      </c>
      <c r="F1417" s="448" t="s">
        <v>274</v>
      </c>
      <c r="G1417" s="589">
        <v>46223</v>
      </c>
      <c r="H1417" s="450"/>
      <c r="I1417" s="450" t="s">
        <v>186</v>
      </c>
      <c r="J1417" s="305">
        <v>0.31736111111111109</v>
      </c>
      <c r="K1417" s="305">
        <v>0.7944444444444444</v>
      </c>
      <c r="L1417" s="451" t="s">
        <v>169</v>
      </c>
      <c r="M1417" s="452">
        <v>8</v>
      </c>
      <c r="N1417" s="452">
        <v>2</v>
      </c>
      <c r="O1417" s="462"/>
      <c r="P1417" s="462"/>
      <c r="Q1417" s="461"/>
      <c r="R1417" s="462"/>
      <c r="S1417" s="462"/>
      <c r="T1417" s="461"/>
      <c r="U1417" s="462"/>
      <c r="V1417" s="461"/>
      <c r="W1417" s="454"/>
      <c r="X1417" s="455"/>
      <c r="Y1417" s="456"/>
      <c r="Z1417" s="457"/>
      <c r="AA1417" s="458"/>
      <c r="AB1417" s="443"/>
    </row>
    <row r="1418" spans="1:28" s="444" customFormat="1">
      <c r="A1418" s="702"/>
      <c r="B1418" s="446" t="s">
        <v>187</v>
      </c>
      <c r="C1418" s="486">
        <v>11834</v>
      </c>
      <c r="D1418" s="448" t="s">
        <v>274</v>
      </c>
      <c r="E1418" s="449" t="s">
        <v>273</v>
      </c>
      <c r="F1418" s="448" t="s">
        <v>274</v>
      </c>
      <c r="G1418" s="589">
        <v>46224</v>
      </c>
      <c r="H1418" s="450"/>
      <c r="I1418" s="450" t="s">
        <v>186</v>
      </c>
      <c r="J1418" s="305">
        <v>0.31736111111111109</v>
      </c>
      <c r="K1418" s="305">
        <v>0.7944444444444444</v>
      </c>
      <c r="L1418" s="451" t="s">
        <v>169</v>
      </c>
      <c r="M1418" s="452">
        <v>8</v>
      </c>
      <c r="N1418" s="452">
        <v>2</v>
      </c>
      <c r="O1418" s="469"/>
      <c r="P1418" s="469"/>
      <c r="Q1418" s="468"/>
      <c r="R1418" s="469"/>
      <c r="S1418" s="469"/>
      <c r="T1418" s="461"/>
      <c r="U1418" s="462"/>
      <c r="V1418" s="461"/>
      <c r="W1418" s="463"/>
      <c r="X1418" s="464"/>
      <c r="Y1418" s="465"/>
      <c r="Z1418" s="466"/>
      <c r="AA1418" s="467"/>
      <c r="AB1418" s="443"/>
    </row>
    <row r="1419" spans="1:28" s="444" customFormat="1">
      <c r="A1419" s="702"/>
      <c r="B1419" s="446" t="s">
        <v>187</v>
      </c>
      <c r="C1419" s="486">
        <v>11834</v>
      </c>
      <c r="D1419" s="448" t="s">
        <v>274</v>
      </c>
      <c r="E1419" s="449" t="s">
        <v>273</v>
      </c>
      <c r="F1419" s="448" t="s">
        <v>274</v>
      </c>
      <c r="G1419" s="589">
        <v>46225</v>
      </c>
      <c r="H1419" s="450"/>
      <c r="I1419" s="450" t="s">
        <v>186</v>
      </c>
      <c r="J1419" s="378">
        <v>0.31736111111111109</v>
      </c>
      <c r="K1419" s="378">
        <v>0.70972222222222225</v>
      </c>
      <c r="L1419" s="451" t="s">
        <v>169</v>
      </c>
      <c r="M1419" s="452">
        <v>8</v>
      </c>
      <c r="N1419" s="471"/>
      <c r="O1419" s="452"/>
      <c r="P1419" s="452"/>
      <c r="Q1419" s="453"/>
      <c r="R1419" s="452"/>
      <c r="S1419" s="452"/>
      <c r="T1419" s="453"/>
      <c r="U1419" s="452"/>
      <c r="V1419" s="453"/>
      <c r="W1419" s="454"/>
      <c r="X1419" s="455"/>
      <c r="Y1419" s="456"/>
      <c r="Z1419" s="457"/>
      <c r="AA1419" s="458"/>
      <c r="AB1419" s="443"/>
    </row>
    <row r="1420" spans="1:28" s="444" customFormat="1">
      <c r="A1420" s="702"/>
      <c r="B1420" s="446" t="s">
        <v>187</v>
      </c>
      <c r="C1420" s="486">
        <v>11834</v>
      </c>
      <c r="D1420" s="448" t="s">
        <v>274</v>
      </c>
      <c r="E1420" s="449" t="s">
        <v>273</v>
      </c>
      <c r="F1420" s="448" t="s">
        <v>274</v>
      </c>
      <c r="G1420" s="589">
        <v>46226</v>
      </c>
      <c r="H1420" s="450"/>
      <c r="I1420" s="450" t="s">
        <v>186</v>
      </c>
      <c r="J1420" s="378">
        <v>0.31805555555555554</v>
      </c>
      <c r="K1420" s="378">
        <v>0.79513888888888884</v>
      </c>
      <c r="L1420" s="451" t="s">
        <v>169</v>
      </c>
      <c r="M1420" s="452">
        <v>8</v>
      </c>
      <c r="N1420" s="452">
        <v>2</v>
      </c>
      <c r="O1420" s="470"/>
      <c r="P1420" s="470"/>
      <c r="Q1420" s="453"/>
      <c r="R1420" s="452"/>
      <c r="S1420" s="452"/>
      <c r="T1420" s="453"/>
      <c r="U1420" s="452"/>
      <c r="V1420" s="453"/>
      <c r="W1420" s="454"/>
      <c r="X1420" s="455"/>
      <c r="Y1420" s="456"/>
      <c r="Z1420" s="457"/>
      <c r="AA1420" s="458"/>
      <c r="AB1420" s="443"/>
    </row>
    <row r="1421" spans="1:28" s="444" customFormat="1">
      <c r="A1421" s="702"/>
      <c r="B1421" s="446" t="s">
        <v>187</v>
      </c>
      <c r="C1421" s="486">
        <v>11834</v>
      </c>
      <c r="D1421" s="448" t="s">
        <v>274</v>
      </c>
      <c r="E1421" s="449" t="s">
        <v>273</v>
      </c>
      <c r="F1421" s="448" t="s">
        <v>274</v>
      </c>
      <c r="G1421" s="589">
        <v>46227</v>
      </c>
      <c r="H1421" s="450"/>
      <c r="I1421" s="450" t="s">
        <v>186</v>
      </c>
      <c r="J1421" s="378">
        <v>0.3034722222222222</v>
      </c>
      <c r="K1421" s="381">
        <v>0.7104166666666667</v>
      </c>
      <c r="L1421" s="451" t="s">
        <v>169</v>
      </c>
      <c r="M1421" s="452">
        <v>8</v>
      </c>
      <c r="N1421" s="471"/>
      <c r="O1421" s="471"/>
      <c r="P1421" s="471"/>
      <c r="Q1421" s="472"/>
      <c r="R1421" s="471"/>
      <c r="S1421" s="471"/>
      <c r="T1421" s="453"/>
      <c r="U1421" s="452"/>
      <c r="V1421" s="453"/>
      <c r="W1421" s="454"/>
      <c r="X1421" s="455"/>
      <c r="Y1421" s="456"/>
      <c r="Z1421" s="457"/>
      <c r="AA1421" s="458"/>
      <c r="AB1421" s="443"/>
    </row>
    <row r="1422" spans="1:28" s="444" customFormat="1">
      <c r="A1422" s="702"/>
      <c r="B1422" s="446" t="s">
        <v>187</v>
      </c>
      <c r="C1422" s="486">
        <v>11834</v>
      </c>
      <c r="D1422" s="448" t="s">
        <v>274</v>
      </c>
      <c r="E1422" s="449" t="s">
        <v>273</v>
      </c>
      <c r="F1422" s="448" t="s">
        <v>274</v>
      </c>
      <c r="G1422" s="589">
        <v>46228</v>
      </c>
      <c r="H1422" s="450"/>
      <c r="I1422" s="450" t="s">
        <v>186</v>
      </c>
      <c r="J1422" s="295"/>
      <c r="K1422" s="295"/>
      <c r="L1422" s="451"/>
      <c r="M1422" s="452"/>
      <c r="N1422" s="452"/>
      <c r="O1422" s="452"/>
      <c r="P1422" s="452"/>
      <c r="Q1422" s="453"/>
      <c r="R1422" s="452"/>
      <c r="S1422" s="473"/>
      <c r="T1422" s="453"/>
      <c r="U1422" s="452"/>
      <c r="V1422" s="453"/>
      <c r="W1422" s="454"/>
      <c r="X1422" s="455"/>
      <c r="Y1422" s="456"/>
      <c r="Z1422" s="457"/>
      <c r="AA1422" s="458"/>
      <c r="AB1422" s="443"/>
    </row>
    <row r="1423" spans="1:28" s="444" customFormat="1">
      <c r="A1423" s="702"/>
      <c r="B1423" s="446"/>
      <c r="C1423" s="486"/>
      <c r="D1423" s="449"/>
      <c r="E1423" s="449"/>
      <c r="F1423" s="449"/>
      <c r="G1423" s="600"/>
      <c r="H1423" s="450"/>
      <c r="I1423" s="450"/>
      <c r="J1423" s="474"/>
      <c r="K1423" s="475"/>
      <c r="L1423" s="476"/>
      <c r="M1423" s="477"/>
      <c r="N1423" s="477"/>
      <c r="O1423" s="477"/>
      <c r="P1423" s="477"/>
      <c r="Q1423" s="478"/>
      <c r="R1423" s="477"/>
      <c r="S1423" s="479"/>
      <c r="T1423" s="453"/>
      <c r="U1423" s="452"/>
      <c r="V1423" s="453"/>
      <c r="W1423" s="454"/>
      <c r="X1423" s="455"/>
      <c r="Y1423" s="456"/>
      <c r="Z1423" s="457"/>
      <c r="AA1423" s="458"/>
      <c r="AB1423" s="443"/>
    </row>
    <row r="1424" spans="1:28" s="444" customFormat="1">
      <c r="A1424" s="703"/>
      <c r="B1424" s="481"/>
      <c r="C1424" s="446"/>
      <c r="D1424" s="481"/>
      <c r="E1424" s="449"/>
      <c r="F1424" s="481"/>
      <c r="G1424" s="601"/>
      <c r="H1424" s="482"/>
      <c r="I1424" s="483"/>
      <c r="J1424" s="484"/>
      <c r="K1424" s="485"/>
      <c r="L1424" s="483"/>
      <c r="M1424" s="483">
        <f t="shared" ref="M1424:AA1424" si="79">SUM(M1407:M1423)</f>
        <v>96</v>
      </c>
      <c r="N1424" s="483">
        <f t="shared" si="79"/>
        <v>16</v>
      </c>
      <c r="O1424" s="483">
        <f t="shared" si="79"/>
        <v>0</v>
      </c>
      <c r="P1424" s="483">
        <f t="shared" si="79"/>
        <v>0</v>
      </c>
      <c r="Q1424" s="483">
        <f t="shared" si="79"/>
        <v>0</v>
      </c>
      <c r="R1424" s="483">
        <f t="shared" si="79"/>
        <v>0</v>
      </c>
      <c r="S1424" s="483">
        <f t="shared" si="79"/>
        <v>0</v>
      </c>
      <c r="T1424" s="483">
        <f t="shared" si="79"/>
        <v>0</v>
      </c>
      <c r="U1424" s="483">
        <f t="shared" si="79"/>
        <v>0</v>
      </c>
      <c r="V1424" s="483">
        <f t="shared" si="79"/>
        <v>0</v>
      </c>
      <c r="W1424" s="483">
        <f t="shared" si="79"/>
        <v>0</v>
      </c>
      <c r="X1424" s="483">
        <f t="shared" si="79"/>
        <v>0</v>
      </c>
      <c r="Y1424" s="483">
        <f t="shared" si="79"/>
        <v>0</v>
      </c>
      <c r="Z1424" s="483">
        <f t="shared" si="79"/>
        <v>0</v>
      </c>
      <c r="AA1424" s="491">
        <f t="shared" si="79"/>
        <v>0</v>
      </c>
      <c r="AB1424" s="443"/>
    </row>
    <row r="1425" spans="1:28" s="444" customFormat="1">
      <c r="A1425" s="435" t="s">
        <v>170</v>
      </c>
      <c r="B1425" s="435" t="s">
        <v>120</v>
      </c>
      <c r="C1425" s="435" t="s">
        <v>152</v>
      </c>
      <c r="D1425" s="435" t="s">
        <v>182</v>
      </c>
      <c r="E1425" s="436" t="s">
        <v>153</v>
      </c>
      <c r="F1425" s="435" t="s">
        <v>182</v>
      </c>
      <c r="G1425" s="599" t="s">
        <v>401</v>
      </c>
      <c r="H1425" s="437"/>
      <c r="I1425" s="438" t="s">
        <v>181</v>
      </c>
      <c r="J1425" s="439" t="s">
        <v>154</v>
      </c>
      <c r="K1425" s="439" t="s">
        <v>155</v>
      </c>
      <c r="L1425" s="440" t="s">
        <v>156</v>
      </c>
      <c r="M1425" s="441" t="s">
        <v>157</v>
      </c>
      <c r="N1425" s="440" t="s">
        <v>158</v>
      </c>
      <c r="O1425" s="440" t="s">
        <v>159</v>
      </c>
      <c r="P1425" s="440" t="s">
        <v>174</v>
      </c>
      <c r="Q1425" s="440" t="s">
        <v>160</v>
      </c>
      <c r="R1425" s="440" t="s">
        <v>161</v>
      </c>
      <c r="S1425" s="440" t="s">
        <v>162</v>
      </c>
      <c r="T1425" s="438" t="s">
        <v>163</v>
      </c>
      <c r="U1425" s="438" t="s">
        <v>164</v>
      </c>
      <c r="V1425" s="438" t="s">
        <v>165</v>
      </c>
      <c r="W1425" s="440" t="s">
        <v>113</v>
      </c>
      <c r="X1425" s="438" t="s">
        <v>121</v>
      </c>
      <c r="Y1425" s="438" t="s">
        <v>166</v>
      </c>
      <c r="Z1425" s="442" t="s">
        <v>175</v>
      </c>
      <c r="AA1425" s="442" t="s">
        <v>167</v>
      </c>
      <c r="AB1425" s="443"/>
    </row>
    <row r="1426" spans="1:28" s="444" customFormat="1">
      <c r="A1426" s="445"/>
      <c r="B1426" s="446" t="s">
        <v>187</v>
      </c>
      <c r="C1426" s="447">
        <v>14835</v>
      </c>
      <c r="D1426" s="448" t="s">
        <v>272</v>
      </c>
      <c r="E1426" s="449" t="s">
        <v>271</v>
      </c>
      <c r="F1426" s="448" t="s">
        <v>272</v>
      </c>
      <c r="G1426" s="589">
        <v>46214</v>
      </c>
      <c r="H1426" s="450"/>
      <c r="I1426" s="450" t="s">
        <v>183</v>
      </c>
      <c r="J1426" s="295">
        <v>0.77361111111111114</v>
      </c>
      <c r="K1426" s="295">
        <v>0.1673611111111111</v>
      </c>
      <c r="L1426" s="451" t="s">
        <v>168</v>
      </c>
      <c r="M1426" s="452">
        <v>8</v>
      </c>
      <c r="N1426" s="452"/>
      <c r="O1426" s="452">
        <v>6</v>
      </c>
      <c r="P1426" s="452"/>
      <c r="Q1426" s="453"/>
      <c r="R1426" s="452"/>
      <c r="S1426" s="452"/>
      <c r="T1426" s="453"/>
      <c r="U1426" s="452"/>
      <c r="V1426" s="453"/>
      <c r="W1426" s="454"/>
      <c r="X1426" s="455"/>
      <c r="Y1426" s="456"/>
      <c r="Z1426" s="457"/>
      <c r="AA1426" s="458"/>
      <c r="AB1426" s="443"/>
    </row>
    <row r="1427" spans="1:28" s="444" customFormat="1">
      <c r="A1427" s="459"/>
      <c r="B1427" s="446" t="s">
        <v>187</v>
      </c>
      <c r="C1427" s="447">
        <v>14835</v>
      </c>
      <c r="D1427" s="448" t="s">
        <v>272</v>
      </c>
      <c r="E1427" s="449" t="s">
        <v>271</v>
      </c>
      <c r="F1427" s="448" t="s">
        <v>272</v>
      </c>
      <c r="G1427" s="590">
        <v>46215</v>
      </c>
      <c r="H1427" s="450"/>
      <c r="I1427" s="450"/>
      <c r="J1427" s="699" t="s">
        <v>173</v>
      </c>
      <c r="K1427" s="700"/>
      <c r="L1427" s="451"/>
      <c r="M1427" s="452"/>
      <c r="N1427" s="452"/>
      <c r="O1427" s="452"/>
      <c r="P1427" s="452"/>
      <c r="Q1427" s="453"/>
      <c r="R1427" s="452"/>
      <c r="S1427" s="452"/>
      <c r="T1427" s="453"/>
      <c r="U1427" s="452"/>
      <c r="V1427" s="453"/>
      <c r="W1427" s="454"/>
      <c r="X1427" s="455"/>
      <c r="Y1427" s="456"/>
      <c r="Z1427" s="457"/>
      <c r="AA1427" s="458"/>
      <c r="AB1427" s="443"/>
    </row>
    <row r="1428" spans="1:28" s="444" customFormat="1">
      <c r="A1428" s="459"/>
      <c r="B1428" s="446" t="s">
        <v>187</v>
      </c>
      <c r="C1428" s="447">
        <v>14835</v>
      </c>
      <c r="D1428" s="448" t="s">
        <v>272</v>
      </c>
      <c r="E1428" s="449" t="s">
        <v>271</v>
      </c>
      <c r="F1428" s="448" t="s">
        <v>272</v>
      </c>
      <c r="G1428" s="589">
        <v>46216</v>
      </c>
      <c r="H1428" s="450"/>
      <c r="I1428" s="450" t="s">
        <v>186</v>
      </c>
      <c r="J1428" s="382">
        <v>0.31111111111111112</v>
      </c>
      <c r="K1428" s="382">
        <v>0.70833333333333337</v>
      </c>
      <c r="L1428" s="451" t="s">
        <v>169</v>
      </c>
      <c r="M1428" s="452">
        <v>8</v>
      </c>
      <c r="N1428" s="462"/>
      <c r="O1428" s="462"/>
      <c r="P1428" s="462"/>
      <c r="Q1428" s="461"/>
      <c r="R1428" s="452"/>
      <c r="S1428" s="452"/>
      <c r="T1428" s="453"/>
      <c r="U1428" s="452"/>
      <c r="V1428" s="453"/>
      <c r="W1428" s="454"/>
      <c r="X1428" s="455"/>
      <c r="Y1428" s="456"/>
      <c r="Z1428" s="457"/>
      <c r="AA1428" s="458"/>
      <c r="AB1428" s="443"/>
    </row>
    <row r="1429" spans="1:28" s="444" customFormat="1">
      <c r="A1429" s="459"/>
      <c r="B1429" s="446" t="s">
        <v>187</v>
      </c>
      <c r="C1429" s="447">
        <v>14835</v>
      </c>
      <c r="D1429" s="448" t="s">
        <v>272</v>
      </c>
      <c r="E1429" s="449" t="s">
        <v>271</v>
      </c>
      <c r="F1429" s="448" t="s">
        <v>272</v>
      </c>
      <c r="G1429" s="589">
        <v>46217</v>
      </c>
      <c r="H1429" s="450"/>
      <c r="I1429" s="450" t="s">
        <v>186</v>
      </c>
      <c r="J1429" s="305">
        <v>0.30416666666666664</v>
      </c>
      <c r="K1429" s="305">
        <v>0.79375000000000007</v>
      </c>
      <c r="L1429" s="451" t="s">
        <v>169</v>
      </c>
      <c r="M1429" s="452">
        <v>8</v>
      </c>
      <c r="N1429" s="452">
        <v>2</v>
      </c>
      <c r="O1429" s="452"/>
      <c r="P1429" s="452"/>
      <c r="Q1429" s="461"/>
      <c r="R1429" s="462"/>
      <c r="S1429" s="462"/>
      <c r="T1429" s="461"/>
      <c r="U1429" s="462"/>
      <c r="V1429" s="461"/>
      <c r="W1429" s="463"/>
      <c r="X1429" s="464"/>
      <c r="Y1429" s="465"/>
      <c r="Z1429" s="466"/>
      <c r="AA1429" s="467"/>
      <c r="AB1429" s="443"/>
    </row>
    <row r="1430" spans="1:28" s="444" customFormat="1">
      <c r="A1430" s="459"/>
      <c r="B1430" s="446" t="s">
        <v>187</v>
      </c>
      <c r="C1430" s="447">
        <v>14835</v>
      </c>
      <c r="D1430" s="448" t="s">
        <v>272</v>
      </c>
      <c r="E1430" s="449" t="s">
        <v>271</v>
      </c>
      <c r="F1430" s="448" t="s">
        <v>272</v>
      </c>
      <c r="G1430" s="589">
        <v>46218</v>
      </c>
      <c r="H1430" s="450"/>
      <c r="I1430" s="450" t="s">
        <v>186</v>
      </c>
      <c r="J1430" s="305">
        <v>0.30694444444444441</v>
      </c>
      <c r="K1430" s="305">
        <v>0.79305555555555562</v>
      </c>
      <c r="L1430" s="451" t="s">
        <v>169</v>
      </c>
      <c r="M1430" s="452">
        <v>8</v>
      </c>
      <c r="N1430" s="452">
        <v>2</v>
      </c>
      <c r="O1430" s="452"/>
      <c r="P1430" s="452"/>
      <c r="Q1430" s="453"/>
      <c r="R1430" s="452"/>
      <c r="S1430" s="452"/>
      <c r="T1430" s="453"/>
      <c r="U1430" s="452"/>
      <c r="V1430" s="453"/>
      <c r="W1430" s="454"/>
      <c r="X1430" s="455"/>
      <c r="Y1430" s="456"/>
      <c r="Z1430" s="457"/>
      <c r="AA1430" s="458"/>
      <c r="AB1430" s="443"/>
    </row>
    <row r="1431" spans="1:28" s="444" customFormat="1">
      <c r="A1431" s="459"/>
      <c r="B1431" s="446" t="s">
        <v>187</v>
      </c>
      <c r="C1431" s="447">
        <v>14835</v>
      </c>
      <c r="D1431" s="448" t="s">
        <v>272</v>
      </c>
      <c r="E1431" s="449" t="s">
        <v>271</v>
      </c>
      <c r="F1431" s="448" t="s">
        <v>272</v>
      </c>
      <c r="G1431" s="589">
        <v>46219</v>
      </c>
      <c r="H1431" s="450"/>
      <c r="I1431" s="450" t="s">
        <v>186</v>
      </c>
      <c r="J1431" s="305">
        <v>0.30694444444444441</v>
      </c>
      <c r="K1431" s="305">
        <v>0.79236111111111107</v>
      </c>
      <c r="L1431" s="451" t="s">
        <v>169</v>
      </c>
      <c r="M1431" s="452">
        <v>8</v>
      </c>
      <c r="N1431" s="452">
        <v>2</v>
      </c>
      <c r="O1431" s="452"/>
      <c r="P1431" s="452"/>
      <c r="Q1431" s="453"/>
      <c r="R1431" s="452"/>
      <c r="S1431" s="452"/>
      <c r="T1431" s="453"/>
      <c r="U1431" s="452"/>
      <c r="V1431" s="453"/>
      <c r="W1431" s="454"/>
      <c r="X1431" s="455"/>
      <c r="Y1431" s="456"/>
      <c r="Z1431" s="457"/>
      <c r="AA1431" s="458"/>
      <c r="AB1431" s="443"/>
    </row>
    <row r="1432" spans="1:28" s="444" customFormat="1">
      <c r="A1432" s="459"/>
      <c r="B1432" s="446" t="s">
        <v>187</v>
      </c>
      <c r="C1432" s="447">
        <v>14835</v>
      </c>
      <c r="D1432" s="448" t="s">
        <v>272</v>
      </c>
      <c r="E1432" s="449" t="s">
        <v>271</v>
      </c>
      <c r="F1432" s="448" t="s">
        <v>272</v>
      </c>
      <c r="G1432" s="589">
        <v>46220</v>
      </c>
      <c r="H1432" s="450"/>
      <c r="I1432" s="450" t="s">
        <v>186</v>
      </c>
      <c r="J1432" s="305">
        <v>0.31041666666666667</v>
      </c>
      <c r="K1432" s="305">
        <v>0.79305555555555551</v>
      </c>
      <c r="L1432" s="451" t="s">
        <v>169</v>
      </c>
      <c r="M1432" s="452">
        <v>8</v>
      </c>
      <c r="N1432" s="452">
        <v>2</v>
      </c>
      <c r="O1432" s="452"/>
      <c r="P1432" s="452"/>
      <c r="Q1432" s="453"/>
      <c r="R1432" s="452"/>
      <c r="S1432" s="452"/>
      <c r="T1432" s="453"/>
      <c r="U1432" s="452"/>
      <c r="V1432" s="453"/>
      <c r="W1432" s="454"/>
      <c r="X1432" s="455"/>
      <c r="Y1432" s="456"/>
      <c r="Z1432" s="457"/>
      <c r="AA1432" s="458"/>
      <c r="AB1432" s="443"/>
    </row>
    <row r="1433" spans="1:28" s="444" customFormat="1">
      <c r="A1433" s="459"/>
      <c r="B1433" s="446" t="s">
        <v>187</v>
      </c>
      <c r="C1433" s="447">
        <v>14835</v>
      </c>
      <c r="D1433" s="448" t="s">
        <v>272</v>
      </c>
      <c r="E1433" s="449" t="s">
        <v>271</v>
      </c>
      <c r="F1433" s="448" t="s">
        <v>272</v>
      </c>
      <c r="G1433" s="589">
        <v>46221</v>
      </c>
      <c r="H1433" s="450"/>
      <c r="I1433" s="450" t="s">
        <v>186</v>
      </c>
      <c r="J1433" s="305">
        <v>0.31041666666666667</v>
      </c>
      <c r="K1433" s="305">
        <v>0.7944444444444444</v>
      </c>
      <c r="L1433" s="451" t="s">
        <v>169</v>
      </c>
      <c r="M1433" s="452">
        <v>8</v>
      </c>
      <c r="N1433" s="452">
        <v>2</v>
      </c>
      <c r="O1433" s="452"/>
      <c r="P1433" s="452"/>
      <c r="Q1433" s="453"/>
      <c r="R1433" s="452"/>
      <c r="S1433" s="452"/>
      <c r="T1433" s="453"/>
      <c r="U1433" s="452"/>
      <c r="V1433" s="453"/>
      <c r="W1433" s="454"/>
      <c r="X1433" s="455"/>
      <c r="Y1433" s="456"/>
      <c r="Z1433" s="457"/>
      <c r="AA1433" s="458"/>
      <c r="AB1433" s="443"/>
    </row>
    <row r="1434" spans="1:28" s="444" customFormat="1">
      <c r="A1434" s="459"/>
      <c r="B1434" s="446" t="s">
        <v>187</v>
      </c>
      <c r="C1434" s="447">
        <v>14835</v>
      </c>
      <c r="D1434" s="448" t="s">
        <v>272</v>
      </c>
      <c r="E1434" s="449" t="s">
        <v>271</v>
      </c>
      <c r="F1434" s="448" t="s">
        <v>272</v>
      </c>
      <c r="G1434" s="590">
        <v>46222</v>
      </c>
      <c r="H1434" s="450"/>
      <c r="I1434" s="450"/>
      <c r="J1434" s="699" t="s">
        <v>173</v>
      </c>
      <c r="K1434" s="700"/>
      <c r="L1434" s="451"/>
      <c r="M1434" s="452"/>
      <c r="N1434" s="452"/>
      <c r="O1434" s="452"/>
      <c r="P1434" s="452"/>
      <c r="Q1434" s="453"/>
      <c r="R1434" s="452"/>
      <c r="S1434" s="452"/>
      <c r="T1434" s="453"/>
      <c r="U1434" s="452"/>
      <c r="V1434" s="453"/>
      <c r="W1434" s="454"/>
      <c r="X1434" s="455"/>
      <c r="Y1434" s="456"/>
      <c r="Z1434" s="457"/>
      <c r="AA1434" s="458"/>
      <c r="AB1434" s="443"/>
    </row>
    <row r="1435" spans="1:28" s="444" customFormat="1">
      <c r="A1435" s="459"/>
      <c r="B1435" s="446" t="s">
        <v>187</v>
      </c>
      <c r="C1435" s="447">
        <v>14835</v>
      </c>
      <c r="D1435" s="448" t="s">
        <v>272</v>
      </c>
      <c r="E1435" s="449" t="s">
        <v>271</v>
      </c>
      <c r="F1435" s="448" t="s">
        <v>272</v>
      </c>
      <c r="G1435" s="589">
        <v>46223</v>
      </c>
      <c r="H1435" s="450"/>
      <c r="I1435" s="450" t="s">
        <v>186</v>
      </c>
      <c r="J1435" s="295">
        <v>0.31180555555555556</v>
      </c>
      <c r="K1435" s="295">
        <v>0.79374999999999996</v>
      </c>
      <c r="L1435" s="451" t="s">
        <v>169</v>
      </c>
      <c r="M1435" s="452">
        <v>8</v>
      </c>
      <c r="N1435" s="452">
        <v>2</v>
      </c>
      <c r="O1435" s="462"/>
      <c r="P1435" s="462"/>
      <c r="Q1435" s="461"/>
      <c r="R1435" s="462"/>
      <c r="S1435" s="462"/>
      <c r="T1435" s="461"/>
      <c r="U1435" s="462"/>
      <c r="V1435" s="461"/>
      <c r="W1435" s="454"/>
      <c r="X1435" s="455"/>
      <c r="Y1435" s="456"/>
      <c r="Z1435" s="457"/>
      <c r="AA1435" s="458"/>
      <c r="AB1435" s="443"/>
    </row>
    <row r="1436" spans="1:28" s="444" customFormat="1">
      <c r="A1436" s="459"/>
      <c r="B1436" s="446" t="s">
        <v>187</v>
      </c>
      <c r="C1436" s="447">
        <v>14835</v>
      </c>
      <c r="D1436" s="448" t="s">
        <v>272</v>
      </c>
      <c r="E1436" s="449" t="s">
        <v>271</v>
      </c>
      <c r="F1436" s="448" t="s">
        <v>272</v>
      </c>
      <c r="G1436" s="589">
        <v>46224</v>
      </c>
      <c r="H1436" s="450"/>
      <c r="I1436" s="450" t="s">
        <v>186</v>
      </c>
      <c r="J1436" s="295">
        <v>0.31805555555555554</v>
      </c>
      <c r="K1436" s="295">
        <v>0.79305555555555551</v>
      </c>
      <c r="L1436" s="451" t="s">
        <v>169</v>
      </c>
      <c r="M1436" s="452">
        <v>8</v>
      </c>
      <c r="N1436" s="452">
        <v>2</v>
      </c>
      <c r="O1436" s="477"/>
      <c r="P1436" s="477"/>
      <c r="Q1436" s="468"/>
      <c r="R1436" s="469"/>
      <c r="S1436" s="469"/>
      <c r="T1436" s="461"/>
      <c r="U1436" s="462"/>
      <c r="V1436" s="461"/>
      <c r="W1436" s="463"/>
      <c r="X1436" s="464"/>
      <c r="Y1436" s="465"/>
      <c r="Z1436" s="466"/>
      <c r="AA1436" s="467"/>
      <c r="AB1436" s="443"/>
    </row>
    <row r="1437" spans="1:28" s="444" customFormat="1">
      <c r="A1437" s="459"/>
      <c r="B1437" s="446" t="s">
        <v>187</v>
      </c>
      <c r="C1437" s="447">
        <v>14835</v>
      </c>
      <c r="D1437" s="448" t="s">
        <v>272</v>
      </c>
      <c r="E1437" s="449" t="s">
        <v>271</v>
      </c>
      <c r="F1437" s="448" t="s">
        <v>272</v>
      </c>
      <c r="G1437" s="589">
        <v>46225</v>
      </c>
      <c r="H1437" s="450"/>
      <c r="I1437" s="450" t="s">
        <v>186</v>
      </c>
      <c r="J1437" s="295">
        <v>0.31527777777777777</v>
      </c>
      <c r="K1437" s="295">
        <v>0.79374999999999996</v>
      </c>
      <c r="L1437" s="451" t="s">
        <v>169</v>
      </c>
      <c r="M1437" s="452">
        <v>8</v>
      </c>
      <c r="N1437" s="452">
        <v>2</v>
      </c>
      <c r="O1437" s="452"/>
      <c r="P1437" s="452"/>
      <c r="Q1437" s="453"/>
      <c r="R1437" s="452"/>
      <c r="S1437" s="452"/>
      <c r="T1437" s="453"/>
      <c r="U1437" s="452"/>
      <c r="V1437" s="453"/>
      <c r="W1437" s="454"/>
      <c r="X1437" s="455"/>
      <c r="Y1437" s="456"/>
      <c r="Z1437" s="457"/>
      <c r="AA1437" s="458"/>
      <c r="AB1437" s="443"/>
    </row>
    <row r="1438" spans="1:28" s="444" customFormat="1">
      <c r="A1438" s="459"/>
      <c r="B1438" s="446" t="s">
        <v>187</v>
      </c>
      <c r="C1438" s="447">
        <v>14835</v>
      </c>
      <c r="D1438" s="448" t="s">
        <v>272</v>
      </c>
      <c r="E1438" s="449" t="s">
        <v>271</v>
      </c>
      <c r="F1438" s="448" t="s">
        <v>272</v>
      </c>
      <c r="G1438" s="589">
        <v>46226</v>
      </c>
      <c r="H1438" s="450"/>
      <c r="I1438" s="450" t="s">
        <v>186</v>
      </c>
      <c r="J1438" s="295">
        <v>0.31458333333333333</v>
      </c>
      <c r="K1438" s="295">
        <v>0.79236111111111107</v>
      </c>
      <c r="L1438" s="451" t="s">
        <v>169</v>
      </c>
      <c r="M1438" s="452">
        <v>8</v>
      </c>
      <c r="N1438" s="452">
        <v>2</v>
      </c>
      <c r="O1438" s="470"/>
      <c r="P1438" s="470"/>
      <c r="Q1438" s="453"/>
      <c r="R1438" s="452"/>
      <c r="S1438" s="452"/>
      <c r="T1438" s="453"/>
      <c r="U1438" s="452"/>
      <c r="V1438" s="453"/>
      <c r="W1438" s="454"/>
      <c r="X1438" s="455"/>
      <c r="Y1438" s="456"/>
      <c r="Z1438" s="457"/>
      <c r="AA1438" s="458"/>
      <c r="AB1438" s="443"/>
    </row>
    <row r="1439" spans="1:28" s="444" customFormat="1">
      <c r="A1439" s="459"/>
      <c r="B1439" s="446" t="s">
        <v>187</v>
      </c>
      <c r="C1439" s="447">
        <v>14835</v>
      </c>
      <c r="D1439" s="448" t="s">
        <v>272</v>
      </c>
      <c r="E1439" s="449" t="s">
        <v>271</v>
      </c>
      <c r="F1439" s="448" t="s">
        <v>272</v>
      </c>
      <c r="G1439" s="589">
        <v>46227</v>
      </c>
      <c r="H1439" s="450"/>
      <c r="I1439" s="450" t="s">
        <v>186</v>
      </c>
      <c r="J1439" s="295">
        <v>0.31180555555555556</v>
      </c>
      <c r="K1439" s="318">
        <v>0.79236111111111107</v>
      </c>
      <c r="L1439" s="451" t="s">
        <v>169</v>
      </c>
      <c r="M1439" s="452">
        <v>8</v>
      </c>
      <c r="N1439" s="452">
        <v>2</v>
      </c>
      <c r="O1439" s="471"/>
      <c r="P1439" s="471"/>
      <c r="Q1439" s="472"/>
      <c r="R1439" s="471"/>
      <c r="S1439" s="471"/>
      <c r="T1439" s="453"/>
      <c r="U1439" s="452"/>
      <c r="V1439" s="453"/>
      <c r="W1439" s="454"/>
      <c r="X1439" s="455"/>
      <c r="Y1439" s="456"/>
      <c r="Z1439" s="457"/>
      <c r="AA1439" s="458"/>
      <c r="AB1439" s="443"/>
    </row>
    <row r="1440" spans="1:28" s="444" customFormat="1">
      <c r="A1440" s="459"/>
      <c r="B1440" s="446" t="s">
        <v>187</v>
      </c>
      <c r="C1440" s="447">
        <v>14835</v>
      </c>
      <c r="D1440" s="448" t="s">
        <v>272</v>
      </c>
      <c r="E1440" s="449" t="s">
        <v>271</v>
      </c>
      <c r="F1440" s="448" t="s">
        <v>272</v>
      </c>
      <c r="G1440" s="589">
        <v>46228</v>
      </c>
      <c r="H1440" s="450"/>
      <c r="I1440" s="450" t="s">
        <v>186</v>
      </c>
      <c r="J1440" s="295"/>
      <c r="K1440" s="295"/>
      <c r="L1440" s="451"/>
      <c r="M1440" s="452"/>
      <c r="N1440" s="452"/>
      <c r="O1440" s="452"/>
      <c r="P1440" s="452"/>
      <c r="Q1440" s="453"/>
      <c r="R1440" s="452"/>
      <c r="S1440" s="473"/>
      <c r="T1440" s="453"/>
      <c r="U1440" s="452"/>
      <c r="V1440" s="453"/>
      <c r="W1440" s="454"/>
      <c r="X1440" s="455"/>
      <c r="Y1440" s="456"/>
      <c r="Z1440" s="457"/>
      <c r="AA1440" s="458"/>
      <c r="AB1440" s="443"/>
    </row>
    <row r="1441" spans="1:28" s="444" customFormat="1">
      <c r="A1441" s="459"/>
      <c r="B1441" s="446"/>
      <c r="C1441" s="447"/>
      <c r="D1441" s="449"/>
      <c r="E1441" s="449"/>
      <c r="F1441" s="449"/>
      <c r="G1441" s="600"/>
      <c r="H1441" s="450"/>
      <c r="I1441" s="450"/>
      <c r="J1441" s="474"/>
      <c r="K1441" s="475"/>
      <c r="L1441" s="476"/>
      <c r="M1441" s="477"/>
      <c r="N1441" s="477"/>
      <c r="O1441" s="477"/>
      <c r="P1441" s="477"/>
      <c r="Q1441" s="478"/>
      <c r="R1441" s="477"/>
      <c r="S1441" s="479"/>
      <c r="T1441" s="453"/>
      <c r="U1441" s="452"/>
      <c r="V1441" s="453"/>
      <c r="W1441" s="454"/>
      <c r="X1441" s="455"/>
      <c r="Y1441" s="456"/>
      <c r="Z1441" s="457"/>
      <c r="AA1441" s="458"/>
      <c r="AB1441" s="443"/>
    </row>
    <row r="1442" spans="1:28" s="444" customFormat="1">
      <c r="A1442" s="480"/>
      <c r="B1442" s="481"/>
      <c r="C1442" s="446"/>
      <c r="D1442" s="481"/>
      <c r="E1442" s="449"/>
      <c r="F1442" s="481"/>
      <c r="G1442" s="601"/>
      <c r="H1442" s="482"/>
      <c r="I1442" s="483"/>
      <c r="J1442" s="484"/>
      <c r="K1442" s="485"/>
      <c r="L1442" s="483"/>
      <c r="M1442" s="483">
        <f t="shared" ref="M1442:AA1442" si="80">SUM(M1425:M1441)</f>
        <v>96</v>
      </c>
      <c r="N1442" s="483">
        <f t="shared" si="80"/>
        <v>20</v>
      </c>
      <c r="O1442" s="483">
        <f t="shared" si="80"/>
        <v>6</v>
      </c>
      <c r="P1442" s="483">
        <f t="shared" si="80"/>
        <v>0</v>
      </c>
      <c r="Q1442" s="483">
        <f t="shared" si="80"/>
        <v>0</v>
      </c>
      <c r="R1442" s="483">
        <f t="shared" si="80"/>
        <v>0</v>
      </c>
      <c r="S1442" s="483">
        <f t="shared" si="80"/>
        <v>0</v>
      </c>
      <c r="T1442" s="483">
        <f t="shared" si="80"/>
        <v>0</v>
      </c>
      <c r="U1442" s="483">
        <f t="shared" si="80"/>
        <v>0</v>
      </c>
      <c r="V1442" s="483">
        <f t="shared" si="80"/>
        <v>0</v>
      </c>
      <c r="W1442" s="483">
        <f t="shared" si="80"/>
        <v>0</v>
      </c>
      <c r="X1442" s="483">
        <f t="shared" si="80"/>
        <v>0</v>
      </c>
      <c r="Y1442" s="483">
        <f t="shared" si="80"/>
        <v>0</v>
      </c>
      <c r="Z1442" s="483">
        <f t="shared" si="80"/>
        <v>0</v>
      </c>
      <c r="AA1442" s="483">
        <f t="shared" si="80"/>
        <v>0</v>
      </c>
      <c r="AB1442" s="443"/>
    </row>
    <row r="1443" spans="1:28" s="444" customFormat="1">
      <c r="A1443" s="435" t="s">
        <v>170</v>
      </c>
      <c r="B1443" s="435" t="s">
        <v>120</v>
      </c>
      <c r="C1443" s="435" t="s">
        <v>152</v>
      </c>
      <c r="D1443" s="435" t="s">
        <v>182</v>
      </c>
      <c r="E1443" s="436" t="s">
        <v>153</v>
      </c>
      <c r="F1443" s="435" t="s">
        <v>182</v>
      </c>
      <c r="G1443" s="599" t="s">
        <v>401</v>
      </c>
      <c r="H1443" s="437"/>
      <c r="I1443" s="438" t="s">
        <v>181</v>
      </c>
      <c r="J1443" s="439" t="s">
        <v>154</v>
      </c>
      <c r="K1443" s="439" t="s">
        <v>155</v>
      </c>
      <c r="L1443" s="440" t="s">
        <v>156</v>
      </c>
      <c r="M1443" s="441" t="s">
        <v>157</v>
      </c>
      <c r="N1443" s="440" t="s">
        <v>158</v>
      </c>
      <c r="O1443" s="440" t="s">
        <v>159</v>
      </c>
      <c r="P1443" s="440" t="s">
        <v>174</v>
      </c>
      <c r="Q1443" s="440" t="s">
        <v>160</v>
      </c>
      <c r="R1443" s="440" t="s">
        <v>161</v>
      </c>
      <c r="S1443" s="440" t="s">
        <v>162</v>
      </c>
      <c r="T1443" s="438" t="s">
        <v>163</v>
      </c>
      <c r="U1443" s="438" t="s">
        <v>164</v>
      </c>
      <c r="V1443" s="438" t="s">
        <v>165</v>
      </c>
      <c r="W1443" s="440" t="s">
        <v>113</v>
      </c>
      <c r="X1443" s="438" t="s">
        <v>121</v>
      </c>
      <c r="Y1443" s="438" t="s">
        <v>166</v>
      </c>
      <c r="Z1443" s="442" t="s">
        <v>175</v>
      </c>
      <c r="AA1443" s="442" t="s">
        <v>167</v>
      </c>
      <c r="AB1443" s="443"/>
    </row>
    <row r="1444" spans="1:28" s="444" customFormat="1">
      <c r="A1444" s="701"/>
      <c r="B1444" s="446" t="s">
        <v>187</v>
      </c>
      <c r="C1444" s="486">
        <v>7646</v>
      </c>
      <c r="D1444" s="448" t="s">
        <v>270</v>
      </c>
      <c r="E1444" s="449" t="s">
        <v>269</v>
      </c>
      <c r="F1444" s="448" t="s">
        <v>270</v>
      </c>
      <c r="G1444" s="605">
        <v>46214</v>
      </c>
      <c r="H1444" s="450"/>
      <c r="I1444" s="450"/>
      <c r="J1444" s="295"/>
      <c r="K1444" s="295"/>
      <c r="L1444" s="451"/>
      <c r="M1444" s="452"/>
      <c r="N1444" s="452"/>
      <c r="O1444" s="452"/>
      <c r="P1444" s="452"/>
      <c r="Q1444" s="453"/>
      <c r="R1444" s="452"/>
      <c r="S1444" s="452"/>
      <c r="T1444" s="453"/>
      <c r="U1444" s="452"/>
      <c r="V1444" s="453"/>
      <c r="W1444" s="454"/>
      <c r="X1444" s="455"/>
      <c r="Y1444" s="456"/>
      <c r="Z1444" s="457"/>
      <c r="AA1444" s="458"/>
      <c r="AB1444" s="443"/>
    </row>
    <row r="1445" spans="1:28" s="444" customFormat="1">
      <c r="A1445" s="702"/>
      <c r="B1445" s="446" t="s">
        <v>187</v>
      </c>
      <c r="C1445" s="486">
        <v>7646</v>
      </c>
      <c r="D1445" s="448" t="s">
        <v>270</v>
      </c>
      <c r="E1445" s="449" t="s">
        <v>269</v>
      </c>
      <c r="F1445" s="448" t="s">
        <v>270</v>
      </c>
      <c r="G1445" s="605">
        <v>46215</v>
      </c>
      <c r="H1445" s="450"/>
      <c r="I1445" s="450"/>
      <c r="J1445" s="704" t="s">
        <v>173</v>
      </c>
      <c r="K1445" s="705"/>
      <c r="L1445" s="451"/>
      <c r="M1445" s="452"/>
      <c r="N1445" s="452"/>
      <c r="O1445" s="452"/>
      <c r="P1445" s="452"/>
      <c r="Q1445" s="453"/>
      <c r="R1445" s="452"/>
      <c r="S1445" s="452"/>
      <c r="T1445" s="453"/>
      <c r="U1445" s="452"/>
      <c r="V1445" s="453"/>
      <c r="W1445" s="454"/>
      <c r="X1445" s="455"/>
      <c r="Y1445" s="456"/>
      <c r="Z1445" s="457"/>
      <c r="AA1445" s="458"/>
      <c r="AB1445" s="443"/>
    </row>
    <row r="1446" spans="1:28" s="444" customFormat="1">
      <c r="A1446" s="702"/>
      <c r="B1446" s="446" t="s">
        <v>187</v>
      </c>
      <c r="C1446" s="486">
        <v>7646</v>
      </c>
      <c r="D1446" s="448" t="s">
        <v>270</v>
      </c>
      <c r="E1446" s="449" t="s">
        <v>269</v>
      </c>
      <c r="F1446" s="448" t="s">
        <v>270</v>
      </c>
      <c r="G1446" s="606">
        <v>46216</v>
      </c>
      <c r="H1446" s="450"/>
      <c r="I1446" s="490"/>
      <c r="J1446" s="434"/>
      <c r="K1446" s="434"/>
      <c r="L1446" s="528"/>
      <c r="M1446" s="462"/>
      <c r="N1446" s="462"/>
      <c r="O1446" s="462"/>
      <c r="P1446" s="462"/>
      <c r="Q1446" s="461"/>
      <c r="R1446" s="452"/>
      <c r="S1446" s="452"/>
      <c r="T1446" s="453"/>
      <c r="U1446" s="452"/>
      <c r="V1446" s="453"/>
      <c r="W1446" s="454"/>
      <c r="X1446" s="455"/>
      <c r="Y1446" s="456"/>
      <c r="Z1446" s="457"/>
      <c r="AA1446" s="458"/>
      <c r="AB1446" s="443"/>
    </row>
    <row r="1447" spans="1:28" s="444" customFormat="1">
      <c r="A1447" s="702"/>
      <c r="B1447" s="446" t="s">
        <v>187</v>
      </c>
      <c r="C1447" s="486">
        <v>7646</v>
      </c>
      <c r="D1447" s="448" t="s">
        <v>270</v>
      </c>
      <c r="E1447" s="449" t="s">
        <v>269</v>
      </c>
      <c r="F1447" s="448" t="s">
        <v>270</v>
      </c>
      <c r="G1447" s="605">
        <v>46217</v>
      </c>
      <c r="H1447" s="450"/>
      <c r="I1447" s="450"/>
      <c r="J1447" s="305"/>
      <c r="K1447" s="305"/>
      <c r="L1447" s="451"/>
      <c r="M1447" s="452"/>
      <c r="N1447" s="452"/>
      <c r="O1447" s="452"/>
      <c r="P1447" s="452"/>
      <c r="Q1447" s="461"/>
      <c r="R1447" s="462"/>
      <c r="S1447" s="462"/>
      <c r="T1447" s="461"/>
      <c r="U1447" s="462"/>
      <c r="V1447" s="461"/>
      <c r="W1447" s="463"/>
      <c r="X1447" s="464"/>
      <c r="Y1447" s="465"/>
      <c r="Z1447" s="466"/>
      <c r="AA1447" s="467"/>
      <c r="AB1447" s="443"/>
    </row>
    <row r="1448" spans="1:28" s="444" customFormat="1">
      <c r="A1448" s="702"/>
      <c r="B1448" s="446" t="s">
        <v>187</v>
      </c>
      <c r="C1448" s="486">
        <v>7646</v>
      </c>
      <c r="D1448" s="448" t="s">
        <v>270</v>
      </c>
      <c r="E1448" s="449" t="s">
        <v>269</v>
      </c>
      <c r="F1448" s="448" t="s">
        <v>270</v>
      </c>
      <c r="G1448" s="605">
        <v>46218</v>
      </c>
      <c r="H1448" s="450"/>
      <c r="I1448" s="450"/>
      <c r="J1448" s="305"/>
      <c r="K1448" s="305"/>
      <c r="L1448" s="451"/>
      <c r="M1448" s="452"/>
      <c r="N1448" s="452"/>
      <c r="O1448" s="452"/>
      <c r="P1448" s="452"/>
      <c r="Q1448" s="453"/>
      <c r="R1448" s="452"/>
      <c r="S1448" s="452"/>
      <c r="T1448" s="453"/>
      <c r="U1448" s="452"/>
      <c r="V1448" s="453"/>
      <c r="W1448" s="454"/>
      <c r="X1448" s="455"/>
      <c r="Y1448" s="456"/>
      <c r="Z1448" s="457"/>
      <c r="AA1448" s="458"/>
      <c r="AB1448" s="443"/>
    </row>
    <row r="1449" spans="1:28" s="444" customFormat="1">
      <c r="A1449" s="702"/>
      <c r="B1449" s="446" t="s">
        <v>187</v>
      </c>
      <c r="C1449" s="486">
        <v>7646</v>
      </c>
      <c r="D1449" s="448" t="s">
        <v>270</v>
      </c>
      <c r="E1449" s="449" t="s">
        <v>269</v>
      </c>
      <c r="F1449" s="448" t="s">
        <v>270</v>
      </c>
      <c r="G1449" s="605">
        <v>46219</v>
      </c>
      <c r="H1449" s="450"/>
      <c r="I1449" s="450" t="s">
        <v>186</v>
      </c>
      <c r="J1449" s="305">
        <v>0.31180555555555556</v>
      </c>
      <c r="K1449" s="305">
        <v>0.79236111111111107</v>
      </c>
      <c r="L1449" s="451" t="s">
        <v>169</v>
      </c>
      <c r="M1449" s="452">
        <v>8</v>
      </c>
      <c r="N1449" s="452">
        <v>2</v>
      </c>
      <c r="O1449" s="452"/>
      <c r="P1449" s="452"/>
      <c r="Q1449" s="453"/>
      <c r="R1449" s="452"/>
      <c r="S1449" s="452"/>
      <c r="T1449" s="453"/>
      <c r="U1449" s="452"/>
      <c r="V1449" s="453"/>
      <c r="W1449" s="454"/>
      <c r="X1449" s="455"/>
      <c r="Y1449" s="456"/>
      <c r="Z1449" s="457"/>
      <c r="AA1449" s="458"/>
      <c r="AB1449" s="443"/>
    </row>
    <row r="1450" spans="1:28" s="444" customFormat="1">
      <c r="A1450" s="702"/>
      <c r="B1450" s="446" t="s">
        <v>187</v>
      </c>
      <c r="C1450" s="486">
        <v>7646</v>
      </c>
      <c r="D1450" s="448" t="s">
        <v>270</v>
      </c>
      <c r="E1450" s="449" t="s">
        <v>269</v>
      </c>
      <c r="F1450" s="448" t="s">
        <v>270</v>
      </c>
      <c r="G1450" s="605">
        <v>46220</v>
      </c>
      <c r="H1450" s="450"/>
      <c r="I1450" s="450" t="s">
        <v>186</v>
      </c>
      <c r="J1450" s="305">
        <v>0.31041666666666667</v>
      </c>
      <c r="K1450" s="305">
        <v>0.79236111111111107</v>
      </c>
      <c r="L1450" s="451" t="s">
        <v>169</v>
      </c>
      <c r="M1450" s="452">
        <v>8</v>
      </c>
      <c r="N1450" s="452">
        <v>2</v>
      </c>
      <c r="O1450" s="452"/>
      <c r="P1450" s="452"/>
      <c r="Q1450" s="453"/>
      <c r="R1450" s="452"/>
      <c r="S1450" s="452"/>
      <c r="T1450" s="453"/>
      <c r="U1450" s="452"/>
      <c r="V1450" s="453"/>
      <c r="W1450" s="454"/>
      <c r="X1450" s="455"/>
      <c r="Y1450" s="456"/>
      <c r="Z1450" s="457"/>
      <c r="AA1450" s="458"/>
      <c r="AB1450" s="443"/>
    </row>
    <row r="1451" spans="1:28" s="444" customFormat="1">
      <c r="A1451" s="702"/>
      <c r="B1451" s="446" t="s">
        <v>187</v>
      </c>
      <c r="C1451" s="486">
        <v>7646</v>
      </c>
      <c r="D1451" s="448" t="s">
        <v>270</v>
      </c>
      <c r="E1451" s="449" t="s">
        <v>269</v>
      </c>
      <c r="F1451" s="448" t="s">
        <v>270</v>
      </c>
      <c r="G1451" s="605">
        <v>46221</v>
      </c>
      <c r="H1451" s="450"/>
      <c r="I1451" s="450" t="s">
        <v>186</v>
      </c>
      <c r="J1451" s="305">
        <v>0.31041666666666667</v>
      </c>
      <c r="K1451" s="305">
        <v>0.70972222222222225</v>
      </c>
      <c r="L1451" s="451" t="s">
        <v>169</v>
      </c>
      <c r="M1451" s="452">
        <v>8</v>
      </c>
      <c r="N1451" s="452"/>
      <c r="O1451" s="452"/>
      <c r="P1451" s="452"/>
      <c r="Q1451" s="453"/>
      <c r="R1451" s="452"/>
      <c r="S1451" s="452"/>
      <c r="T1451" s="453"/>
      <c r="U1451" s="452"/>
      <c r="V1451" s="453"/>
      <c r="W1451" s="454"/>
      <c r="X1451" s="455"/>
      <c r="Y1451" s="456"/>
      <c r="Z1451" s="457"/>
      <c r="AA1451" s="458"/>
      <c r="AB1451" s="443"/>
    </row>
    <row r="1452" spans="1:28" s="444" customFormat="1">
      <c r="A1452" s="702"/>
      <c r="B1452" s="446" t="s">
        <v>187</v>
      </c>
      <c r="C1452" s="486">
        <v>7646</v>
      </c>
      <c r="D1452" s="448" t="s">
        <v>270</v>
      </c>
      <c r="E1452" s="449" t="s">
        <v>269</v>
      </c>
      <c r="F1452" s="448" t="s">
        <v>270</v>
      </c>
      <c r="G1452" s="606">
        <v>46222</v>
      </c>
      <c r="H1452" s="450"/>
      <c r="I1452" s="450"/>
      <c r="J1452" s="704" t="s">
        <v>173</v>
      </c>
      <c r="K1452" s="705"/>
      <c r="L1452" s="451"/>
      <c r="M1452" s="452"/>
      <c r="N1452" s="452"/>
      <c r="O1452" s="452"/>
      <c r="P1452" s="452"/>
      <c r="Q1452" s="453"/>
      <c r="R1452" s="452"/>
      <c r="S1452" s="452"/>
      <c r="T1452" s="453"/>
      <c r="U1452" s="452"/>
      <c r="V1452" s="453"/>
      <c r="W1452" s="454"/>
      <c r="X1452" s="455"/>
      <c r="Y1452" s="456"/>
      <c r="Z1452" s="457"/>
      <c r="AA1452" s="458"/>
      <c r="AB1452" s="443"/>
    </row>
    <row r="1453" spans="1:28" s="444" customFormat="1">
      <c r="A1453" s="702"/>
      <c r="B1453" s="446" t="s">
        <v>187</v>
      </c>
      <c r="C1453" s="486">
        <v>7646</v>
      </c>
      <c r="D1453" s="448" t="s">
        <v>270</v>
      </c>
      <c r="E1453" s="449" t="s">
        <v>269</v>
      </c>
      <c r="F1453" s="448" t="s">
        <v>270</v>
      </c>
      <c r="G1453" s="607">
        <v>46223</v>
      </c>
      <c r="H1453" s="450"/>
      <c r="I1453" s="450" t="s">
        <v>186</v>
      </c>
      <c r="J1453" s="295">
        <v>0.31041666666666667</v>
      </c>
      <c r="K1453" s="295">
        <v>0.79236111111111107</v>
      </c>
      <c r="L1453" s="451" t="s">
        <v>169</v>
      </c>
      <c r="M1453" s="452">
        <v>8</v>
      </c>
      <c r="N1453" s="452">
        <v>2</v>
      </c>
      <c r="O1453" s="462"/>
      <c r="P1453" s="462"/>
      <c r="Q1453" s="461"/>
      <c r="R1453" s="462"/>
      <c r="S1453" s="462"/>
      <c r="T1453" s="461"/>
      <c r="U1453" s="462"/>
      <c r="V1453" s="461"/>
      <c r="W1453" s="454"/>
      <c r="X1453" s="455"/>
      <c r="Y1453" s="456"/>
      <c r="Z1453" s="457"/>
      <c r="AA1453" s="458"/>
      <c r="AB1453" s="443"/>
    </row>
    <row r="1454" spans="1:28" s="444" customFormat="1">
      <c r="A1454" s="702"/>
      <c r="B1454" s="446" t="s">
        <v>187</v>
      </c>
      <c r="C1454" s="486">
        <v>7646</v>
      </c>
      <c r="D1454" s="448" t="s">
        <v>270</v>
      </c>
      <c r="E1454" s="449" t="s">
        <v>269</v>
      </c>
      <c r="F1454" s="448" t="s">
        <v>270</v>
      </c>
      <c r="G1454" s="605">
        <v>46224</v>
      </c>
      <c r="H1454" s="450"/>
      <c r="I1454" s="450" t="s">
        <v>186</v>
      </c>
      <c r="J1454" s="295">
        <v>0.31041666666666667</v>
      </c>
      <c r="K1454" s="295">
        <v>0.79236111111111107</v>
      </c>
      <c r="L1454" s="451" t="s">
        <v>169</v>
      </c>
      <c r="M1454" s="452">
        <v>8</v>
      </c>
      <c r="N1454" s="452">
        <v>2</v>
      </c>
      <c r="O1454" s="477"/>
      <c r="P1454" s="477"/>
      <c r="Q1454" s="468"/>
      <c r="R1454" s="469"/>
      <c r="S1454" s="469"/>
      <c r="T1454" s="461"/>
      <c r="U1454" s="462"/>
      <c r="V1454" s="461"/>
      <c r="W1454" s="463"/>
      <c r="X1454" s="464"/>
      <c r="Y1454" s="465"/>
      <c r="Z1454" s="466"/>
      <c r="AA1454" s="467"/>
      <c r="AB1454" s="443"/>
    </row>
    <row r="1455" spans="1:28" s="444" customFormat="1">
      <c r="A1455" s="702"/>
      <c r="B1455" s="446" t="s">
        <v>187</v>
      </c>
      <c r="C1455" s="486">
        <v>7646</v>
      </c>
      <c r="D1455" s="448" t="s">
        <v>270</v>
      </c>
      <c r="E1455" s="449" t="s">
        <v>269</v>
      </c>
      <c r="F1455" s="448" t="s">
        <v>270</v>
      </c>
      <c r="G1455" s="605">
        <v>46225</v>
      </c>
      <c r="H1455" s="450"/>
      <c r="I1455" s="450" t="s">
        <v>186</v>
      </c>
      <c r="J1455" s="295">
        <v>0.3125</v>
      </c>
      <c r="K1455" s="295">
        <v>0.79236111111111107</v>
      </c>
      <c r="L1455" s="451" t="s">
        <v>169</v>
      </c>
      <c r="M1455" s="452">
        <v>8</v>
      </c>
      <c r="N1455" s="452">
        <v>2</v>
      </c>
      <c r="O1455" s="452"/>
      <c r="P1455" s="452"/>
      <c r="Q1455" s="453"/>
      <c r="R1455" s="452"/>
      <c r="S1455" s="452"/>
      <c r="T1455" s="453"/>
      <c r="U1455" s="452"/>
      <c r="V1455" s="453"/>
      <c r="W1455" s="454"/>
      <c r="X1455" s="455"/>
      <c r="Y1455" s="456"/>
      <c r="Z1455" s="457"/>
      <c r="AA1455" s="458"/>
      <c r="AB1455" s="443"/>
    </row>
    <row r="1456" spans="1:28" s="444" customFormat="1">
      <c r="A1456" s="702"/>
      <c r="B1456" s="446" t="s">
        <v>187</v>
      </c>
      <c r="C1456" s="486">
        <v>7646</v>
      </c>
      <c r="D1456" s="448" t="s">
        <v>270</v>
      </c>
      <c r="E1456" s="449" t="s">
        <v>269</v>
      </c>
      <c r="F1456" s="448" t="s">
        <v>270</v>
      </c>
      <c r="G1456" s="605">
        <v>46226</v>
      </c>
      <c r="H1456" s="450"/>
      <c r="I1456" s="450" t="s">
        <v>186</v>
      </c>
      <c r="J1456" s="295">
        <v>0.31041666666666667</v>
      </c>
      <c r="K1456" s="295">
        <v>0.79166666666666663</v>
      </c>
      <c r="L1456" s="451" t="s">
        <v>169</v>
      </c>
      <c r="M1456" s="452">
        <v>8</v>
      </c>
      <c r="N1456" s="452">
        <v>2</v>
      </c>
      <c r="O1456" s="470"/>
      <c r="P1456" s="470"/>
      <c r="Q1456" s="453"/>
      <c r="R1456" s="452"/>
      <c r="S1456" s="452"/>
      <c r="T1456" s="453"/>
      <c r="U1456" s="452"/>
      <c r="V1456" s="453"/>
      <c r="W1456" s="454"/>
      <c r="X1456" s="455"/>
      <c r="Y1456" s="456"/>
      <c r="Z1456" s="457"/>
      <c r="AA1456" s="458"/>
      <c r="AB1456" s="443"/>
    </row>
    <row r="1457" spans="1:28" s="444" customFormat="1">
      <c r="A1457" s="702"/>
      <c r="B1457" s="446" t="s">
        <v>187</v>
      </c>
      <c r="C1457" s="486">
        <v>7646</v>
      </c>
      <c r="D1457" s="448" t="s">
        <v>270</v>
      </c>
      <c r="E1457" s="449" t="s">
        <v>269</v>
      </c>
      <c r="F1457" s="448" t="s">
        <v>270</v>
      </c>
      <c r="G1457" s="605">
        <v>46227</v>
      </c>
      <c r="H1457" s="450"/>
      <c r="I1457" s="450" t="s">
        <v>186</v>
      </c>
      <c r="J1457" s="295">
        <v>0.3125</v>
      </c>
      <c r="K1457" s="318">
        <v>0.70833333333333337</v>
      </c>
      <c r="L1457" s="451" t="s">
        <v>169</v>
      </c>
      <c r="M1457" s="452">
        <v>8</v>
      </c>
      <c r="N1457" s="471"/>
      <c r="O1457" s="471"/>
      <c r="P1457" s="471"/>
      <c r="Q1457" s="472"/>
      <c r="R1457" s="471"/>
      <c r="S1457" s="471"/>
      <c r="T1457" s="453"/>
      <c r="U1457" s="452"/>
      <c r="V1457" s="453"/>
      <c r="W1457" s="454"/>
      <c r="X1457" s="455"/>
      <c r="Y1457" s="456"/>
      <c r="Z1457" s="457"/>
      <c r="AA1457" s="458"/>
      <c r="AB1457" s="443"/>
    </row>
    <row r="1458" spans="1:28" s="444" customFormat="1">
      <c r="A1458" s="702"/>
      <c r="B1458" s="446" t="s">
        <v>187</v>
      </c>
      <c r="C1458" s="486">
        <v>7646</v>
      </c>
      <c r="D1458" s="448" t="s">
        <v>270</v>
      </c>
      <c r="E1458" s="449" t="s">
        <v>269</v>
      </c>
      <c r="F1458" s="448" t="s">
        <v>270</v>
      </c>
      <c r="G1458" s="605">
        <v>46228</v>
      </c>
      <c r="H1458" s="450"/>
      <c r="I1458" s="450" t="s">
        <v>186</v>
      </c>
      <c r="J1458" s="295"/>
      <c r="K1458" s="295"/>
      <c r="L1458" s="451"/>
      <c r="M1458" s="452"/>
      <c r="N1458" s="452"/>
      <c r="O1458" s="452"/>
      <c r="P1458" s="452"/>
      <c r="Q1458" s="453"/>
      <c r="R1458" s="452"/>
      <c r="S1458" s="473"/>
      <c r="T1458" s="453"/>
      <c r="U1458" s="452"/>
      <c r="V1458" s="453"/>
      <c r="W1458" s="454"/>
      <c r="X1458" s="455"/>
      <c r="Y1458" s="456"/>
      <c r="Z1458" s="457"/>
      <c r="AA1458" s="458"/>
      <c r="AB1458" s="443"/>
    </row>
    <row r="1459" spans="1:28" s="444" customFormat="1">
      <c r="A1459" s="702"/>
      <c r="B1459" s="446"/>
      <c r="C1459" s="486"/>
      <c r="D1459" s="449"/>
      <c r="E1459" s="449"/>
      <c r="F1459" s="449"/>
      <c r="G1459" s="600"/>
      <c r="H1459" s="450"/>
      <c r="I1459" s="450"/>
      <c r="J1459" s="474"/>
      <c r="K1459" s="475"/>
      <c r="L1459" s="476"/>
      <c r="M1459" s="477"/>
      <c r="N1459" s="477"/>
      <c r="O1459" s="477"/>
      <c r="P1459" s="477"/>
      <c r="Q1459" s="478"/>
      <c r="R1459" s="477"/>
      <c r="S1459" s="479"/>
      <c r="T1459" s="453"/>
      <c r="U1459" s="452"/>
      <c r="V1459" s="453"/>
      <c r="W1459" s="454"/>
      <c r="X1459" s="455"/>
      <c r="Y1459" s="456"/>
      <c r="Z1459" s="457"/>
      <c r="AA1459" s="458"/>
      <c r="AB1459" s="443"/>
    </row>
    <row r="1460" spans="1:28" s="444" customFormat="1">
      <c r="A1460" s="703"/>
      <c r="B1460" s="481"/>
      <c r="C1460" s="446"/>
      <c r="D1460" s="481"/>
      <c r="E1460" s="449"/>
      <c r="F1460" s="481"/>
      <c r="G1460" s="601"/>
      <c r="H1460" s="482"/>
      <c r="I1460" s="483"/>
      <c r="J1460" s="484"/>
      <c r="K1460" s="485"/>
      <c r="L1460" s="483"/>
      <c r="M1460" s="483">
        <f t="shared" ref="M1460:AA1460" si="81">SUM(M1443:M1459)</f>
        <v>64</v>
      </c>
      <c r="N1460" s="483">
        <f t="shared" si="81"/>
        <v>12</v>
      </c>
      <c r="O1460" s="483">
        <f t="shared" si="81"/>
        <v>0</v>
      </c>
      <c r="P1460" s="483">
        <f t="shared" si="81"/>
        <v>0</v>
      </c>
      <c r="Q1460" s="483">
        <f t="shared" si="81"/>
        <v>0</v>
      </c>
      <c r="R1460" s="483">
        <f t="shared" si="81"/>
        <v>0</v>
      </c>
      <c r="S1460" s="483">
        <f t="shared" si="81"/>
        <v>0</v>
      </c>
      <c r="T1460" s="483">
        <f t="shared" si="81"/>
        <v>0</v>
      </c>
      <c r="U1460" s="483">
        <f t="shared" si="81"/>
        <v>0</v>
      </c>
      <c r="V1460" s="483">
        <f t="shared" si="81"/>
        <v>0</v>
      </c>
      <c r="W1460" s="483">
        <f t="shared" si="81"/>
        <v>0</v>
      </c>
      <c r="X1460" s="483">
        <f t="shared" si="81"/>
        <v>0</v>
      </c>
      <c r="Y1460" s="483">
        <f t="shared" si="81"/>
        <v>0</v>
      </c>
      <c r="Z1460" s="483">
        <f t="shared" si="81"/>
        <v>0</v>
      </c>
      <c r="AA1460" s="483">
        <f t="shared" si="81"/>
        <v>0</v>
      </c>
      <c r="AB1460" s="443"/>
    </row>
    <row r="1461" spans="1:28" s="444" customFormat="1">
      <c r="A1461" s="435" t="s">
        <v>170</v>
      </c>
      <c r="B1461" s="435" t="s">
        <v>120</v>
      </c>
      <c r="C1461" s="435" t="s">
        <v>152</v>
      </c>
      <c r="D1461" s="435" t="s">
        <v>182</v>
      </c>
      <c r="E1461" s="436" t="s">
        <v>153</v>
      </c>
      <c r="F1461" s="435" t="s">
        <v>182</v>
      </c>
      <c r="G1461" s="599" t="s">
        <v>401</v>
      </c>
      <c r="H1461" s="437"/>
      <c r="I1461" s="438" t="s">
        <v>181</v>
      </c>
      <c r="J1461" s="538" t="s">
        <v>154</v>
      </c>
      <c r="K1461" s="538" t="s">
        <v>155</v>
      </c>
      <c r="L1461" s="438" t="s">
        <v>156</v>
      </c>
      <c r="M1461" s="539" t="s">
        <v>157</v>
      </c>
      <c r="N1461" s="438" t="s">
        <v>158</v>
      </c>
      <c r="O1461" s="438" t="s">
        <v>159</v>
      </c>
      <c r="P1461" s="438" t="s">
        <v>174</v>
      </c>
      <c r="Q1461" s="438" t="s">
        <v>160</v>
      </c>
      <c r="R1461" s="438" t="s">
        <v>161</v>
      </c>
      <c r="S1461" s="438" t="s">
        <v>162</v>
      </c>
      <c r="T1461" s="438" t="s">
        <v>163</v>
      </c>
      <c r="U1461" s="438" t="s">
        <v>164</v>
      </c>
      <c r="V1461" s="438" t="s">
        <v>165</v>
      </c>
      <c r="W1461" s="440" t="s">
        <v>113</v>
      </c>
      <c r="X1461" s="438" t="s">
        <v>121</v>
      </c>
      <c r="Y1461" s="438" t="s">
        <v>166</v>
      </c>
      <c r="Z1461" s="442" t="s">
        <v>175</v>
      </c>
      <c r="AA1461" s="442" t="s">
        <v>167</v>
      </c>
      <c r="AB1461" s="443"/>
    </row>
    <row r="1462" spans="1:28" s="444" customFormat="1">
      <c r="A1462" s="445"/>
      <c r="B1462" s="446" t="s">
        <v>187</v>
      </c>
      <c r="C1462" s="452">
        <v>32518</v>
      </c>
      <c r="D1462" s="291" t="s">
        <v>387</v>
      </c>
      <c r="E1462" s="452" t="s">
        <v>268</v>
      </c>
      <c r="F1462" s="291" t="s">
        <v>387</v>
      </c>
      <c r="G1462" s="589">
        <v>46214</v>
      </c>
      <c r="H1462" s="450"/>
      <c r="I1462" s="450" t="s">
        <v>186</v>
      </c>
      <c r="J1462" s="295">
        <v>0.31805555555555554</v>
      </c>
      <c r="K1462" s="295">
        <v>0.71111111111111114</v>
      </c>
      <c r="L1462" s="451" t="s">
        <v>169</v>
      </c>
      <c r="M1462" s="452">
        <v>8</v>
      </c>
      <c r="N1462" s="452"/>
      <c r="O1462" s="452"/>
      <c r="P1462" s="452"/>
      <c r="Q1462" s="453"/>
      <c r="R1462" s="452"/>
      <c r="S1462" s="452"/>
      <c r="T1462" s="453"/>
      <c r="U1462" s="452"/>
      <c r="V1462" s="453"/>
      <c r="W1462" s="454"/>
      <c r="X1462" s="455"/>
      <c r="Y1462" s="456"/>
      <c r="Z1462" s="457"/>
      <c r="AA1462" s="458"/>
      <c r="AB1462" s="443"/>
    </row>
    <row r="1463" spans="1:28" s="444" customFormat="1">
      <c r="A1463" s="459"/>
      <c r="B1463" s="446" t="s">
        <v>187</v>
      </c>
      <c r="C1463" s="452">
        <v>32518</v>
      </c>
      <c r="D1463" s="291" t="s">
        <v>387</v>
      </c>
      <c r="E1463" s="452" t="s">
        <v>268</v>
      </c>
      <c r="F1463" s="291" t="s">
        <v>387</v>
      </c>
      <c r="G1463" s="590">
        <v>46215</v>
      </c>
      <c r="H1463" s="450"/>
      <c r="I1463" s="450"/>
      <c r="J1463" s="699" t="s">
        <v>173</v>
      </c>
      <c r="K1463" s="700"/>
      <c r="L1463" s="451"/>
      <c r="M1463" s="452"/>
      <c r="N1463" s="452"/>
      <c r="O1463" s="452"/>
      <c r="P1463" s="452"/>
      <c r="Q1463" s="453"/>
      <c r="R1463" s="452"/>
      <c r="S1463" s="452"/>
      <c r="T1463" s="453"/>
      <c r="U1463" s="452"/>
      <c r="V1463" s="453"/>
      <c r="W1463" s="454"/>
      <c r="X1463" s="455"/>
      <c r="Y1463" s="456"/>
      <c r="Z1463" s="457"/>
      <c r="AA1463" s="458"/>
      <c r="AB1463" s="443"/>
    </row>
    <row r="1464" spans="1:28" s="444" customFormat="1">
      <c r="A1464" s="459"/>
      <c r="B1464" s="446" t="s">
        <v>187</v>
      </c>
      <c r="C1464" s="452">
        <v>32518</v>
      </c>
      <c r="D1464" s="291" t="s">
        <v>387</v>
      </c>
      <c r="E1464" s="452" t="s">
        <v>268</v>
      </c>
      <c r="F1464" s="291" t="s">
        <v>387</v>
      </c>
      <c r="G1464" s="589">
        <v>46216</v>
      </c>
      <c r="H1464" s="450"/>
      <c r="I1464" s="450" t="s">
        <v>186</v>
      </c>
      <c r="J1464" s="382">
        <v>0.31180555555555556</v>
      </c>
      <c r="K1464" s="382">
        <v>0.79513888888888884</v>
      </c>
      <c r="L1464" s="451" t="s">
        <v>169</v>
      </c>
      <c r="M1464" s="452">
        <v>8</v>
      </c>
      <c r="N1464" s="452">
        <v>2</v>
      </c>
      <c r="O1464" s="462"/>
      <c r="P1464" s="462"/>
      <c r="Q1464" s="461"/>
      <c r="R1464" s="452"/>
      <c r="S1464" s="452"/>
      <c r="T1464" s="453"/>
      <c r="U1464" s="452"/>
      <c r="V1464" s="453"/>
      <c r="W1464" s="454"/>
      <c r="X1464" s="455"/>
      <c r="Y1464" s="456"/>
      <c r="Z1464" s="457"/>
      <c r="AA1464" s="458"/>
      <c r="AB1464" s="443"/>
    </row>
    <row r="1465" spans="1:28" s="444" customFormat="1">
      <c r="A1465" s="459"/>
      <c r="B1465" s="446" t="s">
        <v>187</v>
      </c>
      <c r="C1465" s="452">
        <v>32518</v>
      </c>
      <c r="D1465" s="291" t="s">
        <v>387</v>
      </c>
      <c r="E1465" s="452" t="s">
        <v>268</v>
      </c>
      <c r="F1465" s="291" t="s">
        <v>387</v>
      </c>
      <c r="G1465" s="589">
        <v>46217</v>
      </c>
      <c r="H1465" s="450"/>
      <c r="I1465" s="450" t="s">
        <v>186</v>
      </c>
      <c r="J1465" s="305">
        <v>0.31666666666666665</v>
      </c>
      <c r="K1465" s="305">
        <v>0.79236111111111107</v>
      </c>
      <c r="L1465" s="451" t="s">
        <v>169</v>
      </c>
      <c r="M1465" s="452">
        <v>8</v>
      </c>
      <c r="N1465" s="452">
        <v>2</v>
      </c>
      <c r="O1465" s="462"/>
      <c r="P1465" s="462"/>
      <c r="Q1465" s="461"/>
      <c r="R1465" s="462"/>
      <c r="S1465" s="462"/>
      <c r="T1465" s="461"/>
      <c r="U1465" s="462"/>
      <c r="V1465" s="461"/>
      <c r="W1465" s="463"/>
      <c r="X1465" s="464"/>
      <c r="Y1465" s="465"/>
      <c r="Z1465" s="466"/>
      <c r="AA1465" s="467"/>
      <c r="AB1465" s="443"/>
    </row>
    <row r="1466" spans="1:28" s="444" customFormat="1">
      <c r="A1466" s="459"/>
      <c r="B1466" s="446" t="s">
        <v>187</v>
      </c>
      <c r="C1466" s="452">
        <v>32518</v>
      </c>
      <c r="D1466" s="291" t="s">
        <v>387</v>
      </c>
      <c r="E1466" s="452" t="s">
        <v>268</v>
      </c>
      <c r="F1466" s="291" t="s">
        <v>387</v>
      </c>
      <c r="G1466" s="589">
        <v>46218</v>
      </c>
      <c r="H1466" s="450"/>
      <c r="I1466" s="450" t="s">
        <v>186</v>
      </c>
      <c r="J1466" s="305">
        <v>0.3125</v>
      </c>
      <c r="K1466" s="305">
        <v>0.79375000000000007</v>
      </c>
      <c r="L1466" s="451" t="s">
        <v>169</v>
      </c>
      <c r="M1466" s="452">
        <v>8</v>
      </c>
      <c r="N1466" s="452">
        <v>2</v>
      </c>
      <c r="O1466" s="452"/>
      <c r="P1466" s="452"/>
      <c r="Q1466" s="453"/>
      <c r="R1466" s="452"/>
      <c r="S1466" s="452"/>
      <c r="T1466" s="453"/>
      <c r="U1466" s="452"/>
      <c r="V1466" s="453"/>
      <c r="W1466" s="454"/>
      <c r="X1466" s="455"/>
      <c r="Y1466" s="456"/>
      <c r="Z1466" s="457"/>
      <c r="AA1466" s="458"/>
      <c r="AB1466" s="443"/>
    </row>
    <row r="1467" spans="1:28" s="444" customFormat="1">
      <c r="A1467" s="459"/>
      <c r="B1467" s="446" t="s">
        <v>187</v>
      </c>
      <c r="C1467" s="452">
        <v>32518</v>
      </c>
      <c r="D1467" s="291" t="s">
        <v>387</v>
      </c>
      <c r="E1467" s="452" t="s">
        <v>268</v>
      </c>
      <c r="F1467" s="291" t="s">
        <v>387</v>
      </c>
      <c r="G1467" s="589">
        <v>46219</v>
      </c>
      <c r="H1467" s="450"/>
      <c r="I1467" s="450" t="s">
        <v>186</v>
      </c>
      <c r="J1467" s="305">
        <v>0.31180555555555556</v>
      </c>
      <c r="K1467" s="305">
        <v>0.79375000000000007</v>
      </c>
      <c r="L1467" s="451" t="s">
        <v>169</v>
      </c>
      <c r="M1467" s="452">
        <v>8</v>
      </c>
      <c r="N1467" s="452">
        <v>2</v>
      </c>
      <c r="O1467" s="452"/>
      <c r="P1467" s="452"/>
      <c r="Q1467" s="453"/>
      <c r="R1467" s="452"/>
      <c r="S1467" s="452"/>
      <c r="T1467" s="453"/>
      <c r="U1467" s="452"/>
      <c r="V1467" s="453"/>
      <c r="W1467" s="454"/>
      <c r="X1467" s="455"/>
      <c r="Y1467" s="456"/>
      <c r="Z1467" s="457"/>
      <c r="AA1467" s="458"/>
      <c r="AB1467" s="443"/>
    </row>
    <row r="1468" spans="1:28" s="444" customFormat="1">
      <c r="A1468" s="459"/>
      <c r="B1468" s="446" t="s">
        <v>187</v>
      </c>
      <c r="C1468" s="452">
        <v>32518</v>
      </c>
      <c r="D1468" s="291" t="s">
        <v>387</v>
      </c>
      <c r="E1468" s="452" t="s">
        <v>268</v>
      </c>
      <c r="F1468" s="291" t="s">
        <v>387</v>
      </c>
      <c r="G1468" s="589">
        <v>46220</v>
      </c>
      <c r="H1468" s="450"/>
      <c r="I1468" s="450" t="s">
        <v>186</v>
      </c>
      <c r="J1468" s="305">
        <v>0.31527777777777777</v>
      </c>
      <c r="K1468" s="305">
        <v>0.79166666666666663</v>
      </c>
      <c r="L1468" s="451" t="s">
        <v>169</v>
      </c>
      <c r="M1468" s="452">
        <v>8</v>
      </c>
      <c r="N1468" s="452">
        <v>2</v>
      </c>
      <c r="O1468" s="452"/>
      <c r="P1468" s="452"/>
      <c r="Q1468" s="453"/>
      <c r="R1468" s="452"/>
      <c r="S1468" s="452"/>
      <c r="T1468" s="453"/>
      <c r="U1468" s="452"/>
      <c r="V1468" s="453"/>
      <c r="W1468" s="454"/>
      <c r="X1468" s="455"/>
      <c r="Y1468" s="456"/>
      <c r="Z1468" s="457"/>
      <c r="AA1468" s="458"/>
      <c r="AB1468" s="443"/>
    </row>
    <row r="1469" spans="1:28" s="444" customFormat="1">
      <c r="A1469" s="459"/>
      <c r="B1469" s="446" t="s">
        <v>187</v>
      </c>
      <c r="C1469" s="452">
        <v>32518</v>
      </c>
      <c r="D1469" s="291" t="s">
        <v>387</v>
      </c>
      <c r="E1469" s="452" t="s">
        <v>268</v>
      </c>
      <c r="F1469" s="291" t="s">
        <v>387</v>
      </c>
      <c r="G1469" s="589">
        <v>46221</v>
      </c>
      <c r="H1469" s="450"/>
      <c r="I1469" s="450" t="s">
        <v>186</v>
      </c>
      <c r="J1469" s="305">
        <v>0.31944444444444442</v>
      </c>
      <c r="K1469" s="305">
        <v>0.71319444444444446</v>
      </c>
      <c r="L1469" s="451" t="s">
        <v>169</v>
      </c>
      <c r="M1469" s="452">
        <v>8</v>
      </c>
      <c r="N1469" s="452"/>
      <c r="O1469" s="452"/>
      <c r="P1469" s="452"/>
      <c r="Q1469" s="453"/>
      <c r="R1469" s="452"/>
      <c r="S1469" s="452"/>
      <c r="T1469" s="453"/>
      <c r="U1469" s="452"/>
      <c r="V1469" s="453"/>
      <c r="W1469" s="454"/>
      <c r="X1469" s="455"/>
      <c r="Y1469" s="456"/>
      <c r="Z1469" s="457"/>
      <c r="AA1469" s="458"/>
      <c r="AB1469" s="443"/>
    </row>
    <row r="1470" spans="1:28" s="444" customFormat="1">
      <c r="A1470" s="459"/>
      <c r="B1470" s="446" t="s">
        <v>187</v>
      </c>
      <c r="C1470" s="452">
        <v>32518</v>
      </c>
      <c r="D1470" s="291" t="s">
        <v>387</v>
      </c>
      <c r="E1470" s="452" t="s">
        <v>268</v>
      </c>
      <c r="F1470" s="291" t="s">
        <v>387</v>
      </c>
      <c r="G1470" s="590">
        <v>46222</v>
      </c>
      <c r="H1470" s="450"/>
      <c r="I1470" s="450"/>
      <c r="J1470" s="699" t="s">
        <v>173</v>
      </c>
      <c r="K1470" s="700"/>
      <c r="L1470" s="451"/>
      <c r="M1470" s="452"/>
      <c r="N1470" s="452"/>
      <c r="O1470" s="452"/>
      <c r="P1470" s="452"/>
      <c r="Q1470" s="453"/>
      <c r="R1470" s="452"/>
      <c r="S1470" s="452"/>
      <c r="T1470" s="453"/>
      <c r="U1470" s="452"/>
      <c r="V1470" s="453"/>
      <c r="W1470" s="454"/>
      <c r="X1470" s="455"/>
      <c r="Y1470" s="456"/>
      <c r="Z1470" s="457"/>
      <c r="AA1470" s="458"/>
      <c r="AB1470" s="443"/>
    </row>
    <row r="1471" spans="1:28" s="444" customFormat="1">
      <c r="A1471" s="459"/>
      <c r="B1471" s="446" t="s">
        <v>187</v>
      </c>
      <c r="C1471" s="452">
        <v>32518</v>
      </c>
      <c r="D1471" s="291" t="s">
        <v>387</v>
      </c>
      <c r="E1471" s="452" t="s">
        <v>268</v>
      </c>
      <c r="F1471" s="291" t="s">
        <v>387</v>
      </c>
      <c r="G1471" s="589">
        <v>46223</v>
      </c>
      <c r="H1471" s="450"/>
      <c r="I1471" s="450" t="s">
        <v>186</v>
      </c>
      <c r="J1471" s="421"/>
      <c r="K1471" s="421"/>
      <c r="L1471" s="528"/>
      <c r="M1471" s="462"/>
      <c r="N1471" s="462"/>
      <c r="O1471" s="462"/>
      <c r="P1471" s="462"/>
      <c r="Q1471" s="461"/>
      <c r="R1471" s="462"/>
      <c r="S1471" s="462"/>
      <c r="T1471" s="461"/>
      <c r="U1471" s="462"/>
      <c r="V1471" s="461"/>
      <c r="W1471" s="454"/>
      <c r="X1471" s="455"/>
      <c r="Y1471" s="456"/>
      <c r="Z1471" s="457"/>
      <c r="AA1471" s="458"/>
      <c r="AB1471" s="443"/>
    </row>
    <row r="1472" spans="1:28" s="444" customFormat="1">
      <c r="A1472" s="459"/>
      <c r="B1472" s="446" t="s">
        <v>187</v>
      </c>
      <c r="C1472" s="452">
        <v>32518</v>
      </c>
      <c r="D1472" s="291" t="s">
        <v>387</v>
      </c>
      <c r="E1472" s="452" t="s">
        <v>268</v>
      </c>
      <c r="F1472" s="291" t="s">
        <v>387</v>
      </c>
      <c r="G1472" s="589">
        <v>46224</v>
      </c>
      <c r="H1472" s="450"/>
      <c r="I1472" s="450" t="s">
        <v>186</v>
      </c>
      <c r="J1472" s="421"/>
      <c r="K1472" s="421"/>
      <c r="L1472" s="528"/>
      <c r="M1472" s="462"/>
      <c r="N1472" s="469"/>
      <c r="O1472" s="469"/>
      <c r="P1472" s="469"/>
      <c r="Q1472" s="468"/>
      <c r="R1472" s="469"/>
      <c r="S1472" s="469"/>
      <c r="T1472" s="461"/>
      <c r="U1472" s="462"/>
      <c r="V1472" s="461"/>
      <c r="W1472" s="463"/>
      <c r="X1472" s="464"/>
      <c r="Y1472" s="465"/>
      <c r="Z1472" s="466"/>
      <c r="AA1472" s="467"/>
      <c r="AB1472" s="443"/>
    </row>
    <row r="1473" spans="1:28" s="444" customFormat="1">
      <c r="A1473" s="459"/>
      <c r="B1473" s="446" t="s">
        <v>187</v>
      </c>
      <c r="C1473" s="452">
        <v>32518</v>
      </c>
      <c r="D1473" s="291" t="s">
        <v>387</v>
      </c>
      <c r="E1473" s="452" t="s">
        <v>268</v>
      </c>
      <c r="F1473" s="291" t="s">
        <v>387</v>
      </c>
      <c r="G1473" s="589">
        <v>46225</v>
      </c>
      <c r="H1473" s="450"/>
      <c r="I1473" s="450" t="s">
        <v>186</v>
      </c>
      <c r="J1473" s="295">
        <v>0.31180555555555556</v>
      </c>
      <c r="K1473" s="391"/>
      <c r="L1473" s="451"/>
      <c r="M1473" s="452"/>
      <c r="N1473" s="471"/>
      <c r="O1473" s="452"/>
      <c r="P1473" s="452"/>
      <c r="Q1473" s="453"/>
      <c r="R1473" s="452"/>
      <c r="S1473" s="452"/>
      <c r="T1473" s="453"/>
      <c r="U1473" s="452"/>
      <c r="V1473" s="453"/>
      <c r="W1473" s="454"/>
      <c r="X1473" s="455"/>
      <c r="Y1473" s="456"/>
      <c r="Z1473" s="457"/>
      <c r="AA1473" s="458"/>
      <c r="AB1473" s="443" t="s">
        <v>402</v>
      </c>
    </row>
    <row r="1474" spans="1:28" s="444" customFormat="1">
      <c r="A1474" s="459"/>
      <c r="B1474" s="446" t="s">
        <v>187</v>
      </c>
      <c r="C1474" s="452">
        <v>32518</v>
      </c>
      <c r="D1474" s="291" t="s">
        <v>387</v>
      </c>
      <c r="E1474" s="452" t="s">
        <v>268</v>
      </c>
      <c r="F1474" s="291" t="s">
        <v>387</v>
      </c>
      <c r="G1474" s="589">
        <v>46226</v>
      </c>
      <c r="H1474" s="450"/>
      <c r="I1474" s="450" t="s">
        <v>186</v>
      </c>
      <c r="J1474" s="295">
        <v>0.31041666666666667</v>
      </c>
      <c r="K1474" s="295">
        <v>0.79374999999999996</v>
      </c>
      <c r="L1474" s="451" t="s">
        <v>169</v>
      </c>
      <c r="M1474" s="452">
        <v>8</v>
      </c>
      <c r="N1474" s="452">
        <v>2</v>
      </c>
      <c r="O1474" s="470"/>
      <c r="P1474" s="470"/>
      <c r="Q1474" s="453"/>
      <c r="R1474" s="452"/>
      <c r="S1474" s="452"/>
      <c r="T1474" s="453"/>
      <c r="U1474" s="452"/>
      <c r="V1474" s="453"/>
      <c r="W1474" s="454"/>
      <c r="X1474" s="455"/>
      <c r="Y1474" s="456"/>
      <c r="Z1474" s="457"/>
      <c r="AA1474" s="458"/>
      <c r="AB1474" s="443"/>
    </row>
    <row r="1475" spans="1:28" s="444" customFormat="1">
      <c r="A1475" s="459"/>
      <c r="B1475" s="446" t="s">
        <v>187</v>
      </c>
      <c r="C1475" s="452">
        <v>32518</v>
      </c>
      <c r="D1475" s="291" t="s">
        <v>387</v>
      </c>
      <c r="E1475" s="452" t="s">
        <v>268</v>
      </c>
      <c r="F1475" s="291" t="s">
        <v>387</v>
      </c>
      <c r="G1475" s="589">
        <v>46227</v>
      </c>
      <c r="H1475" s="450"/>
      <c r="I1475" s="450" t="s">
        <v>186</v>
      </c>
      <c r="J1475" s="295">
        <v>0.31458333333333333</v>
      </c>
      <c r="K1475" s="318">
        <v>0.79305555555555551</v>
      </c>
      <c r="L1475" s="451" t="s">
        <v>169</v>
      </c>
      <c r="M1475" s="452">
        <v>8</v>
      </c>
      <c r="N1475" s="452">
        <v>2</v>
      </c>
      <c r="O1475" s="471"/>
      <c r="P1475" s="471"/>
      <c r="Q1475" s="472"/>
      <c r="R1475" s="471"/>
      <c r="S1475" s="471"/>
      <c r="T1475" s="453"/>
      <c r="U1475" s="452"/>
      <c r="V1475" s="453"/>
      <c r="W1475" s="454"/>
      <c r="X1475" s="455"/>
      <c r="Y1475" s="456"/>
      <c r="Z1475" s="457"/>
      <c r="AA1475" s="458"/>
      <c r="AB1475" s="443"/>
    </row>
    <row r="1476" spans="1:28" s="444" customFormat="1">
      <c r="A1476" s="459"/>
      <c r="B1476" s="446" t="s">
        <v>187</v>
      </c>
      <c r="C1476" s="452">
        <v>32518</v>
      </c>
      <c r="D1476" s="291" t="s">
        <v>387</v>
      </c>
      <c r="E1476" s="452" t="s">
        <v>268</v>
      </c>
      <c r="F1476" s="291" t="s">
        <v>387</v>
      </c>
      <c r="G1476" s="589">
        <v>46228</v>
      </c>
      <c r="H1476" s="450"/>
      <c r="I1476" s="450" t="s">
        <v>186</v>
      </c>
      <c r="J1476" s="295"/>
      <c r="K1476" s="295"/>
      <c r="L1476" s="451"/>
      <c r="M1476" s="452"/>
      <c r="N1476" s="452"/>
      <c r="O1476" s="452"/>
      <c r="P1476" s="452"/>
      <c r="Q1476" s="453"/>
      <c r="R1476" s="452"/>
      <c r="S1476" s="473"/>
      <c r="T1476" s="453"/>
      <c r="U1476" s="452"/>
      <c r="V1476" s="453"/>
      <c r="W1476" s="454"/>
      <c r="X1476" s="455"/>
      <c r="Y1476" s="456"/>
      <c r="Z1476" s="457"/>
      <c r="AA1476" s="458"/>
      <c r="AB1476" s="443"/>
    </row>
    <row r="1477" spans="1:28" s="444" customFormat="1">
      <c r="A1477" s="459"/>
      <c r="B1477" s="446"/>
      <c r="C1477" s="452"/>
      <c r="D1477" s="449"/>
      <c r="E1477" s="488"/>
      <c r="F1477" s="449"/>
      <c r="G1477" s="600"/>
      <c r="H1477" s="450"/>
      <c r="I1477" s="450"/>
      <c r="J1477" s="474"/>
      <c r="K1477" s="475"/>
      <c r="L1477" s="476"/>
      <c r="M1477" s="477"/>
      <c r="N1477" s="477"/>
      <c r="O1477" s="477"/>
      <c r="P1477" s="477"/>
      <c r="Q1477" s="478"/>
      <c r="R1477" s="477"/>
      <c r="S1477" s="479"/>
      <c r="T1477" s="453"/>
      <c r="U1477" s="452"/>
      <c r="V1477" s="453"/>
      <c r="W1477" s="454"/>
      <c r="X1477" s="455"/>
      <c r="Y1477" s="456"/>
      <c r="Z1477" s="457"/>
      <c r="AA1477" s="458"/>
      <c r="AB1477" s="443"/>
    </row>
    <row r="1478" spans="1:28" s="444" customFormat="1">
      <c r="A1478" s="480"/>
      <c r="B1478" s="481"/>
      <c r="C1478" s="446"/>
      <c r="D1478" s="481"/>
      <c r="E1478" s="449"/>
      <c r="F1478" s="481"/>
      <c r="G1478" s="601"/>
      <c r="H1478" s="482"/>
      <c r="I1478" s="483"/>
      <c r="J1478" s="484"/>
      <c r="K1478" s="485"/>
      <c r="L1478" s="483"/>
      <c r="M1478" s="483">
        <f t="shared" ref="M1478:AA1478" si="82">SUM(M1461:M1477)</f>
        <v>72</v>
      </c>
      <c r="N1478" s="483">
        <f t="shared" si="82"/>
        <v>14</v>
      </c>
      <c r="O1478" s="483">
        <f t="shared" si="82"/>
        <v>0</v>
      </c>
      <c r="P1478" s="483">
        <f t="shared" si="82"/>
        <v>0</v>
      </c>
      <c r="Q1478" s="483">
        <f t="shared" si="82"/>
        <v>0</v>
      </c>
      <c r="R1478" s="483">
        <f t="shared" si="82"/>
        <v>0</v>
      </c>
      <c r="S1478" s="483">
        <f t="shared" si="82"/>
        <v>0</v>
      </c>
      <c r="T1478" s="483">
        <f t="shared" si="82"/>
        <v>0</v>
      </c>
      <c r="U1478" s="483">
        <f t="shared" si="82"/>
        <v>0</v>
      </c>
      <c r="V1478" s="483">
        <f t="shared" si="82"/>
        <v>0</v>
      </c>
      <c r="W1478" s="483">
        <f t="shared" si="82"/>
        <v>0</v>
      </c>
      <c r="X1478" s="483">
        <f t="shared" si="82"/>
        <v>0</v>
      </c>
      <c r="Y1478" s="483">
        <f t="shared" si="82"/>
        <v>0</v>
      </c>
      <c r="Z1478" s="483">
        <f t="shared" si="82"/>
        <v>0</v>
      </c>
      <c r="AA1478" s="483">
        <f t="shared" si="82"/>
        <v>0</v>
      </c>
      <c r="AB1478" s="443"/>
    </row>
    <row r="1479" spans="1:28" s="444" customFormat="1">
      <c r="A1479" s="435" t="s">
        <v>170</v>
      </c>
      <c r="B1479" s="435" t="s">
        <v>120</v>
      </c>
      <c r="C1479" s="435" t="s">
        <v>152</v>
      </c>
      <c r="D1479" s="435" t="s">
        <v>182</v>
      </c>
      <c r="E1479" s="436" t="s">
        <v>153</v>
      </c>
      <c r="F1479" s="435" t="s">
        <v>182</v>
      </c>
      <c r="G1479" s="599" t="s">
        <v>401</v>
      </c>
      <c r="H1479" s="437"/>
      <c r="I1479" s="438" t="s">
        <v>181</v>
      </c>
      <c r="J1479" s="538" t="s">
        <v>154</v>
      </c>
      <c r="K1479" s="538" t="s">
        <v>155</v>
      </c>
      <c r="L1479" s="438" t="s">
        <v>156</v>
      </c>
      <c r="M1479" s="539" t="s">
        <v>157</v>
      </c>
      <c r="N1479" s="438" t="s">
        <v>158</v>
      </c>
      <c r="O1479" s="438" t="s">
        <v>159</v>
      </c>
      <c r="P1479" s="438" t="s">
        <v>174</v>
      </c>
      <c r="Q1479" s="438" t="s">
        <v>160</v>
      </c>
      <c r="R1479" s="438" t="s">
        <v>161</v>
      </c>
      <c r="S1479" s="438" t="s">
        <v>162</v>
      </c>
      <c r="T1479" s="438" t="s">
        <v>163</v>
      </c>
      <c r="U1479" s="438" t="s">
        <v>164</v>
      </c>
      <c r="V1479" s="438" t="s">
        <v>165</v>
      </c>
      <c r="W1479" s="440" t="s">
        <v>113</v>
      </c>
      <c r="X1479" s="438" t="s">
        <v>121</v>
      </c>
      <c r="Y1479" s="438" t="s">
        <v>166</v>
      </c>
      <c r="Z1479" s="442" t="s">
        <v>175</v>
      </c>
      <c r="AA1479" s="442" t="s">
        <v>167</v>
      </c>
      <c r="AB1479" s="443"/>
    </row>
    <row r="1480" spans="1:28" s="444" customFormat="1">
      <c r="A1480" s="445"/>
      <c r="B1480" s="446" t="s">
        <v>187</v>
      </c>
      <c r="C1480" s="447">
        <v>32498</v>
      </c>
      <c r="D1480" s="448" t="s">
        <v>380</v>
      </c>
      <c r="E1480" s="486" t="s">
        <v>267</v>
      </c>
      <c r="F1480" s="448" t="s">
        <v>380</v>
      </c>
      <c r="G1480" s="589">
        <v>46214</v>
      </c>
      <c r="H1480" s="450"/>
      <c r="I1480" s="450" t="s">
        <v>186</v>
      </c>
      <c r="J1480" s="295">
        <v>0.31041666666666667</v>
      </c>
      <c r="K1480" s="295">
        <v>0.71111111111111114</v>
      </c>
      <c r="L1480" s="451" t="s">
        <v>169</v>
      </c>
      <c r="M1480" s="452">
        <v>8</v>
      </c>
      <c r="N1480" s="452"/>
      <c r="O1480" s="452"/>
      <c r="P1480" s="452"/>
      <c r="Q1480" s="453"/>
      <c r="R1480" s="452"/>
      <c r="S1480" s="452"/>
      <c r="T1480" s="453"/>
      <c r="U1480" s="452"/>
      <c r="V1480" s="453"/>
      <c r="W1480" s="454"/>
      <c r="X1480" s="455"/>
      <c r="Y1480" s="456"/>
      <c r="Z1480" s="457"/>
      <c r="AA1480" s="458"/>
      <c r="AB1480" s="443"/>
    </row>
    <row r="1481" spans="1:28" s="444" customFormat="1">
      <c r="A1481" s="459"/>
      <c r="B1481" s="446" t="s">
        <v>187</v>
      </c>
      <c r="C1481" s="447">
        <v>32498</v>
      </c>
      <c r="D1481" s="448" t="s">
        <v>380</v>
      </c>
      <c r="E1481" s="486" t="s">
        <v>267</v>
      </c>
      <c r="F1481" s="448" t="s">
        <v>380</v>
      </c>
      <c r="G1481" s="590">
        <v>46215</v>
      </c>
      <c r="H1481" s="450"/>
      <c r="I1481" s="450"/>
      <c r="J1481" s="699" t="s">
        <v>173</v>
      </c>
      <c r="K1481" s="700"/>
      <c r="L1481" s="451"/>
      <c r="M1481" s="452"/>
      <c r="N1481" s="452"/>
      <c r="O1481" s="452"/>
      <c r="P1481" s="452"/>
      <c r="Q1481" s="453"/>
      <c r="R1481" s="452"/>
      <c r="S1481" s="452"/>
      <c r="T1481" s="453"/>
      <c r="U1481" s="452"/>
      <c r="V1481" s="453"/>
      <c r="W1481" s="454"/>
      <c r="X1481" s="455"/>
      <c r="Y1481" s="456"/>
      <c r="Z1481" s="457"/>
      <c r="AA1481" s="458"/>
      <c r="AB1481" s="443"/>
    </row>
    <row r="1482" spans="1:28" s="444" customFormat="1">
      <c r="A1482" s="459"/>
      <c r="B1482" s="446" t="s">
        <v>187</v>
      </c>
      <c r="C1482" s="447">
        <v>32498</v>
      </c>
      <c r="D1482" s="448" t="s">
        <v>380</v>
      </c>
      <c r="E1482" s="486" t="s">
        <v>267</v>
      </c>
      <c r="F1482" s="448" t="s">
        <v>380</v>
      </c>
      <c r="G1482" s="589">
        <v>46216</v>
      </c>
      <c r="H1482" s="450"/>
      <c r="I1482" s="450" t="s">
        <v>186</v>
      </c>
      <c r="J1482" s="382">
        <v>0.32777777777777778</v>
      </c>
      <c r="K1482" s="382">
        <v>0.79305555555555551</v>
      </c>
      <c r="L1482" s="451" t="s">
        <v>169</v>
      </c>
      <c r="M1482" s="452">
        <v>8</v>
      </c>
      <c r="N1482" s="452">
        <v>2</v>
      </c>
      <c r="O1482" s="452"/>
      <c r="P1482" s="452"/>
      <c r="Q1482" s="453"/>
      <c r="R1482" s="452"/>
      <c r="S1482" s="452"/>
      <c r="T1482" s="453"/>
      <c r="U1482" s="452"/>
      <c r="V1482" s="453"/>
      <c r="W1482" s="454"/>
      <c r="X1482" s="455"/>
      <c r="Y1482" s="456"/>
      <c r="Z1482" s="457"/>
      <c r="AA1482" s="458"/>
      <c r="AB1482" s="443"/>
    </row>
    <row r="1483" spans="1:28" s="444" customFormat="1">
      <c r="A1483" s="459"/>
      <c r="B1483" s="446" t="s">
        <v>187</v>
      </c>
      <c r="C1483" s="447">
        <v>32498</v>
      </c>
      <c r="D1483" s="448" t="s">
        <v>380</v>
      </c>
      <c r="E1483" s="486" t="s">
        <v>267</v>
      </c>
      <c r="F1483" s="448" t="s">
        <v>380</v>
      </c>
      <c r="G1483" s="589">
        <v>46217</v>
      </c>
      <c r="H1483" s="450"/>
      <c r="I1483" s="450" t="s">
        <v>186</v>
      </c>
      <c r="J1483" s="305">
        <v>0.31666666666666665</v>
      </c>
      <c r="K1483" s="305">
        <v>0.79305555555555562</v>
      </c>
      <c r="L1483" s="451" t="s">
        <v>169</v>
      </c>
      <c r="M1483" s="452">
        <v>8</v>
      </c>
      <c r="N1483" s="452">
        <v>2</v>
      </c>
      <c r="O1483" s="462"/>
      <c r="P1483" s="462"/>
      <c r="Q1483" s="461"/>
      <c r="R1483" s="462"/>
      <c r="S1483" s="462"/>
      <c r="T1483" s="461"/>
      <c r="U1483" s="462"/>
      <c r="V1483" s="461"/>
      <c r="W1483" s="463"/>
      <c r="X1483" s="464"/>
      <c r="Y1483" s="465"/>
      <c r="Z1483" s="466"/>
      <c r="AA1483" s="467"/>
      <c r="AB1483" s="443"/>
    </row>
    <row r="1484" spans="1:28" s="444" customFormat="1">
      <c r="A1484" s="459"/>
      <c r="B1484" s="446" t="s">
        <v>187</v>
      </c>
      <c r="C1484" s="447">
        <v>32498</v>
      </c>
      <c r="D1484" s="448" t="s">
        <v>380</v>
      </c>
      <c r="E1484" s="486" t="s">
        <v>267</v>
      </c>
      <c r="F1484" s="448" t="s">
        <v>380</v>
      </c>
      <c r="G1484" s="589">
        <v>46218</v>
      </c>
      <c r="H1484" s="450"/>
      <c r="I1484" s="450" t="s">
        <v>186</v>
      </c>
      <c r="J1484" s="305">
        <v>0.3125</v>
      </c>
      <c r="K1484" s="305">
        <v>0.79305555555555562</v>
      </c>
      <c r="L1484" s="451" t="s">
        <v>169</v>
      </c>
      <c r="M1484" s="452">
        <v>8</v>
      </c>
      <c r="N1484" s="452">
        <v>2</v>
      </c>
      <c r="O1484" s="452"/>
      <c r="P1484" s="452"/>
      <c r="Q1484" s="453"/>
      <c r="R1484" s="452"/>
      <c r="S1484" s="452"/>
      <c r="T1484" s="453"/>
      <c r="U1484" s="452"/>
      <c r="V1484" s="453"/>
      <c r="W1484" s="454"/>
      <c r="X1484" s="455"/>
      <c r="Y1484" s="456"/>
      <c r="Z1484" s="457"/>
      <c r="AA1484" s="458"/>
      <c r="AB1484" s="443"/>
    </row>
    <row r="1485" spans="1:28" s="444" customFormat="1">
      <c r="A1485" s="459"/>
      <c r="B1485" s="446" t="s">
        <v>187</v>
      </c>
      <c r="C1485" s="447">
        <v>32498</v>
      </c>
      <c r="D1485" s="448" t="s">
        <v>380</v>
      </c>
      <c r="E1485" s="486" t="s">
        <v>267</v>
      </c>
      <c r="F1485" s="448" t="s">
        <v>380</v>
      </c>
      <c r="G1485" s="589">
        <v>46219</v>
      </c>
      <c r="H1485" s="450"/>
      <c r="I1485" s="450" t="s">
        <v>186</v>
      </c>
      <c r="J1485" s="305">
        <v>0.31180555555555556</v>
      </c>
      <c r="K1485" s="305">
        <v>0.79375000000000007</v>
      </c>
      <c r="L1485" s="451" t="s">
        <v>169</v>
      </c>
      <c r="M1485" s="452">
        <v>8</v>
      </c>
      <c r="N1485" s="452">
        <v>2</v>
      </c>
      <c r="O1485" s="452"/>
      <c r="P1485" s="452"/>
      <c r="Q1485" s="453"/>
      <c r="R1485" s="452"/>
      <c r="S1485" s="452"/>
      <c r="T1485" s="453"/>
      <c r="U1485" s="452"/>
      <c r="V1485" s="453"/>
      <c r="W1485" s="454"/>
      <c r="X1485" s="455"/>
      <c r="Y1485" s="456"/>
      <c r="Z1485" s="457"/>
      <c r="AA1485" s="458"/>
      <c r="AB1485" s="443"/>
    </row>
    <row r="1486" spans="1:28" s="444" customFormat="1">
      <c r="A1486" s="459"/>
      <c r="B1486" s="446" t="s">
        <v>187</v>
      </c>
      <c r="C1486" s="447">
        <v>32498</v>
      </c>
      <c r="D1486" s="448" t="s">
        <v>380</v>
      </c>
      <c r="E1486" s="486" t="s">
        <v>267</v>
      </c>
      <c r="F1486" s="448" t="s">
        <v>380</v>
      </c>
      <c r="G1486" s="589">
        <v>46220</v>
      </c>
      <c r="H1486" s="450"/>
      <c r="I1486" s="450" t="s">
        <v>186</v>
      </c>
      <c r="J1486" s="305">
        <v>0.32361111111111113</v>
      </c>
      <c r="K1486" s="305">
        <v>0.70972222222222225</v>
      </c>
      <c r="L1486" s="451" t="s">
        <v>169</v>
      </c>
      <c r="M1486" s="452">
        <v>8</v>
      </c>
      <c r="N1486" s="452"/>
      <c r="O1486" s="452"/>
      <c r="P1486" s="452"/>
      <c r="Q1486" s="453"/>
      <c r="R1486" s="452"/>
      <c r="S1486" s="452"/>
      <c r="T1486" s="453"/>
      <c r="U1486" s="452"/>
      <c r="V1486" s="453"/>
      <c r="W1486" s="454"/>
      <c r="X1486" s="455"/>
      <c r="Y1486" s="456"/>
      <c r="Z1486" s="457"/>
      <c r="AA1486" s="458"/>
      <c r="AB1486" s="443"/>
    </row>
    <row r="1487" spans="1:28" s="444" customFormat="1">
      <c r="A1487" s="459"/>
      <c r="B1487" s="446" t="s">
        <v>187</v>
      </c>
      <c r="C1487" s="447">
        <v>32498</v>
      </c>
      <c r="D1487" s="448" t="s">
        <v>380</v>
      </c>
      <c r="E1487" s="486" t="s">
        <v>267</v>
      </c>
      <c r="F1487" s="448" t="s">
        <v>380</v>
      </c>
      <c r="G1487" s="589">
        <v>46221</v>
      </c>
      <c r="H1487" s="450"/>
      <c r="I1487" s="450" t="s">
        <v>186</v>
      </c>
      <c r="J1487" s="305">
        <v>0.30416666666666664</v>
      </c>
      <c r="K1487" s="305">
        <v>0.7104166666666667</v>
      </c>
      <c r="L1487" s="451" t="s">
        <v>169</v>
      </c>
      <c r="M1487" s="452">
        <v>8</v>
      </c>
      <c r="N1487" s="452"/>
      <c r="O1487" s="452"/>
      <c r="P1487" s="452"/>
      <c r="Q1487" s="453"/>
      <c r="R1487" s="452"/>
      <c r="S1487" s="452"/>
      <c r="T1487" s="453"/>
      <c r="U1487" s="452"/>
      <c r="V1487" s="453"/>
      <c r="W1487" s="454"/>
      <c r="X1487" s="455"/>
      <c r="Y1487" s="456"/>
      <c r="Z1487" s="457"/>
      <c r="AA1487" s="458"/>
      <c r="AB1487" s="443"/>
    </row>
    <row r="1488" spans="1:28" s="444" customFormat="1">
      <c r="A1488" s="459"/>
      <c r="B1488" s="446" t="s">
        <v>187</v>
      </c>
      <c r="C1488" s="447">
        <v>32498</v>
      </c>
      <c r="D1488" s="448" t="s">
        <v>380</v>
      </c>
      <c r="E1488" s="486" t="s">
        <v>267</v>
      </c>
      <c r="F1488" s="448" t="s">
        <v>380</v>
      </c>
      <c r="G1488" s="590">
        <v>46222</v>
      </c>
      <c r="H1488" s="450"/>
      <c r="I1488" s="450"/>
      <c r="J1488" s="699" t="s">
        <v>173</v>
      </c>
      <c r="K1488" s="700"/>
      <c r="L1488" s="451"/>
      <c r="M1488" s="452"/>
      <c r="N1488" s="452"/>
      <c r="O1488" s="452"/>
      <c r="P1488" s="452"/>
      <c r="Q1488" s="453"/>
      <c r="R1488" s="452"/>
      <c r="S1488" s="452"/>
      <c r="T1488" s="453"/>
      <c r="U1488" s="452"/>
      <c r="V1488" s="453"/>
      <c r="W1488" s="454"/>
      <c r="X1488" s="455"/>
      <c r="Y1488" s="456"/>
      <c r="Z1488" s="457"/>
      <c r="AA1488" s="458"/>
      <c r="AB1488" s="443"/>
    </row>
    <row r="1489" spans="1:28" s="444" customFormat="1">
      <c r="A1489" s="459"/>
      <c r="B1489" s="446" t="s">
        <v>187</v>
      </c>
      <c r="C1489" s="447">
        <v>32498</v>
      </c>
      <c r="D1489" s="448" t="s">
        <v>380</v>
      </c>
      <c r="E1489" s="486" t="s">
        <v>267</v>
      </c>
      <c r="F1489" s="448" t="s">
        <v>380</v>
      </c>
      <c r="G1489" s="589">
        <v>46223</v>
      </c>
      <c r="H1489" s="450"/>
      <c r="I1489" s="450" t="s">
        <v>186</v>
      </c>
      <c r="J1489" s="295">
        <v>0.31041666666666667</v>
      </c>
      <c r="K1489" s="295">
        <v>0.79305555555555551</v>
      </c>
      <c r="L1489" s="451" t="s">
        <v>169</v>
      </c>
      <c r="M1489" s="452">
        <v>8</v>
      </c>
      <c r="N1489" s="452">
        <v>2</v>
      </c>
      <c r="O1489" s="462"/>
      <c r="P1489" s="462"/>
      <c r="Q1489" s="461"/>
      <c r="R1489" s="462"/>
      <c r="S1489" s="462"/>
      <c r="T1489" s="461"/>
      <c r="U1489" s="462"/>
      <c r="V1489" s="461"/>
      <c r="W1489" s="454"/>
      <c r="X1489" s="455"/>
      <c r="Y1489" s="456"/>
      <c r="Z1489" s="457"/>
      <c r="AA1489" s="458"/>
      <c r="AB1489" s="443"/>
    </row>
    <row r="1490" spans="1:28" s="444" customFormat="1">
      <c r="A1490" s="459"/>
      <c r="B1490" s="446" t="s">
        <v>187</v>
      </c>
      <c r="C1490" s="447">
        <v>32498</v>
      </c>
      <c r="D1490" s="448" t="s">
        <v>380</v>
      </c>
      <c r="E1490" s="486" t="s">
        <v>267</v>
      </c>
      <c r="F1490" s="448" t="s">
        <v>380</v>
      </c>
      <c r="G1490" s="589">
        <v>46224</v>
      </c>
      <c r="H1490" s="450"/>
      <c r="I1490" s="450" t="s">
        <v>186</v>
      </c>
      <c r="J1490" s="295">
        <v>0.30486111111111114</v>
      </c>
      <c r="K1490" s="295">
        <v>0.70972222222222225</v>
      </c>
      <c r="L1490" s="451" t="s">
        <v>169</v>
      </c>
      <c r="M1490" s="452">
        <v>8</v>
      </c>
      <c r="N1490" s="477"/>
      <c r="O1490" s="469"/>
      <c r="P1490" s="469"/>
      <c r="Q1490" s="468"/>
      <c r="R1490" s="469"/>
      <c r="S1490" s="469"/>
      <c r="T1490" s="461"/>
      <c r="U1490" s="462"/>
      <c r="V1490" s="461"/>
      <c r="W1490" s="463"/>
      <c r="X1490" s="464"/>
      <c r="Y1490" s="465"/>
      <c r="Z1490" s="466"/>
      <c r="AA1490" s="467"/>
      <c r="AB1490" s="443"/>
    </row>
    <row r="1491" spans="1:28" s="444" customFormat="1">
      <c r="A1491" s="459"/>
      <c r="B1491" s="446" t="s">
        <v>187</v>
      </c>
      <c r="C1491" s="447">
        <v>32498</v>
      </c>
      <c r="D1491" s="448" t="s">
        <v>380</v>
      </c>
      <c r="E1491" s="486" t="s">
        <v>267</v>
      </c>
      <c r="F1491" s="448" t="s">
        <v>380</v>
      </c>
      <c r="G1491" s="589">
        <v>46225</v>
      </c>
      <c r="H1491" s="450"/>
      <c r="I1491" s="450" t="s">
        <v>186</v>
      </c>
      <c r="J1491" s="295">
        <v>0.30763888888888891</v>
      </c>
      <c r="K1491" s="295">
        <v>0.79305555555555551</v>
      </c>
      <c r="L1491" s="451" t="s">
        <v>169</v>
      </c>
      <c r="M1491" s="452">
        <v>8</v>
      </c>
      <c r="N1491" s="452">
        <v>2</v>
      </c>
      <c r="O1491" s="452"/>
      <c r="P1491" s="452"/>
      <c r="Q1491" s="453"/>
      <c r="R1491" s="452"/>
      <c r="S1491" s="452"/>
      <c r="T1491" s="453"/>
      <c r="U1491" s="452"/>
      <c r="V1491" s="453"/>
      <c r="W1491" s="454"/>
      <c r="X1491" s="455"/>
      <c r="Y1491" s="456"/>
      <c r="Z1491" s="457"/>
      <c r="AA1491" s="458"/>
      <c r="AB1491" s="443"/>
    </row>
    <row r="1492" spans="1:28" s="444" customFormat="1">
      <c r="A1492" s="459"/>
      <c r="B1492" s="446" t="s">
        <v>187</v>
      </c>
      <c r="C1492" s="447">
        <v>32498</v>
      </c>
      <c r="D1492" s="448" t="s">
        <v>380</v>
      </c>
      <c r="E1492" s="486" t="s">
        <v>267</v>
      </c>
      <c r="F1492" s="448" t="s">
        <v>380</v>
      </c>
      <c r="G1492" s="589">
        <v>46226</v>
      </c>
      <c r="H1492" s="450"/>
      <c r="I1492" s="450" t="s">
        <v>186</v>
      </c>
      <c r="J1492" s="295">
        <v>0.30555555555555558</v>
      </c>
      <c r="K1492" s="295">
        <v>0.79374999999999996</v>
      </c>
      <c r="L1492" s="451" t="s">
        <v>169</v>
      </c>
      <c r="M1492" s="452">
        <v>8</v>
      </c>
      <c r="N1492" s="452">
        <v>2</v>
      </c>
      <c r="O1492" s="470"/>
      <c r="P1492" s="470"/>
      <c r="Q1492" s="453"/>
      <c r="R1492" s="452"/>
      <c r="S1492" s="452"/>
      <c r="T1492" s="453"/>
      <c r="U1492" s="452"/>
      <c r="V1492" s="453"/>
      <c r="W1492" s="454"/>
      <c r="X1492" s="455"/>
      <c r="Y1492" s="456"/>
      <c r="Z1492" s="457"/>
      <c r="AA1492" s="458"/>
      <c r="AB1492" s="443"/>
    </row>
    <row r="1493" spans="1:28" s="444" customFormat="1">
      <c r="A1493" s="459"/>
      <c r="B1493" s="446" t="s">
        <v>187</v>
      </c>
      <c r="C1493" s="447">
        <v>32498</v>
      </c>
      <c r="D1493" s="448" t="s">
        <v>380</v>
      </c>
      <c r="E1493" s="486" t="s">
        <v>267</v>
      </c>
      <c r="F1493" s="448" t="s">
        <v>380</v>
      </c>
      <c r="G1493" s="589">
        <v>46227</v>
      </c>
      <c r="H1493" s="450"/>
      <c r="I1493" s="450" t="s">
        <v>186</v>
      </c>
      <c r="J1493" s="295">
        <v>0.3034722222222222</v>
      </c>
      <c r="K1493" s="318">
        <v>0.7104166666666667</v>
      </c>
      <c r="L1493" s="451" t="s">
        <v>169</v>
      </c>
      <c r="M1493" s="452">
        <v>8</v>
      </c>
      <c r="N1493" s="471"/>
      <c r="O1493" s="471"/>
      <c r="P1493" s="471"/>
      <c r="Q1493" s="472"/>
      <c r="R1493" s="471"/>
      <c r="S1493" s="471"/>
      <c r="T1493" s="453"/>
      <c r="U1493" s="452"/>
      <c r="V1493" s="453"/>
      <c r="W1493" s="454"/>
      <c r="X1493" s="455"/>
      <c r="Y1493" s="456"/>
      <c r="Z1493" s="457"/>
      <c r="AA1493" s="458"/>
      <c r="AB1493" s="443"/>
    </row>
    <row r="1494" spans="1:28" s="444" customFormat="1">
      <c r="A1494" s="459"/>
      <c r="B1494" s="446" t="s">
        <v>187</v>
      </c>
      <c r="C1494" s="447">
        <v>32498</v>
      </c>
      <c r="D1494" s="448" t="s">
        <v>380</v>
      </c>
      <c r="E1494" s="486" t="s">
        <v>267</v>
      </c>
      <c r="F1494" s="448" t="s">
        <v>380</v>
      </c>
      <c r="G1494" s="589">
        <v>46228</v>
      </c>
      <c r="H1494" s="450"/>
      <c r="I1494" s="450" t="s">
        <v>186</v>
      </c>
      <c r="J1494" s="295"/>
      <c r="K1494" s="295"/>
      <c r="L1494" s="451"/>
      <c r="M1494" s="452"/>
      <c r="N1494" s="452"/>
      <c r="O1494" s="452"/>
      <c r="P1494" s="452"/>
      <c r="Q1494" s="453"/>
      <c r="R1494" s="452"/>
      <c r="S1494" s="473"/>
      <c r="T1494" s="453"/>
      <c r="U1494" s="452"/>
      <c r="V1494" s="453"/>
      <c r="W1494" s="454"/>
      <c r="X1494" s="455"/>
      <c r="Y1494" s="456"/>
      <c r="Z1494" s="457"/>
      <c r="AA1494" s="458"/>
      <c r="AB1494" s="443"/>
    </row>
    <row r="1495" spans="1:28" s="444" customFormat="1">
      <c r="A1495" s="459"/>
      <c r="B1495" s="446"/>
      <c r="C1495" s="505"/>
      <c r="D1495" s="449"/>
      <c r="E1495" s="488"/>
      <c r="F1495" s="449"/>
      <c r="G1495" s="600"/>
      <c r="H1495" s="450"/>
      <c r="I1495" s="450"/>
      <c r="J1495" s="474"/>
      <c r="K1495" s="475"/>
      <c r="L1495" s="476"/>
      <c r="M1495" s="477"/>
      <c r="N1495" s="477"/>
      <c r="O1495" s="477"/>
      <c r="P1495" s="477"/>
      <c r="Q1495" s="478"/>
      <c r="R1495" s="477"/>
      <c r="S1495" s="479"/>
      <c r="T1495" s="453"/>
      <c r="U1495" s="452"/>
      <c r="V1495" s="453"/>
      <c r="W1495" s="454"/>
      <c r="X1495" s="455"/>
      <c r="Y1495" s="456"/>
      <c r="Z1495" s="457"/>
      <c r="AA1495" s="458"/>
      <c r="AB1495" s="443"/>
    </row>
    <row r="1496" spans="1:28" s="444" customFormat="1">
      <c r="A1496" s="480"/>
      <c r="B1496" s="481"/>
      <c r="C1496" s="446"/>
      <c r="D1496" s="481"/>
      <c r="E1496" s="449"/>
      <c r="F1496" s="481"/>
      <c r="G1496" s="601"/>
      <c r="H1496" s="482"/>
      <c r="I1496" s="483"/>
      <c r="J1496" s="484"/>
      <c r="K1496" s="485"/>
      <c r="L1496" s="483"/>
      <c r="M1496" s="483">
        <f t="shared" ref="M1496:AA1496" si="83">SUM(M1479:M1495)</f>
        <v>96</v>
      </c>
      <c r="N1496" s="483">
        <f t="shared" si="83"/>
        <v>14</v>
      </c>
      <c r="O1496" s="483">
        <f t="shared" si="83"/>
        <v>0</v>
      </c>
      <c r="P1496" s="483">
        <f t="shared" si="83"/>
        <v>0</v>
      </c>
      <c r="Q1496" s="483">
        <f t="shared" si="83"/>
        <v>0</v>
      </c>
      <c r="R1496" s="483">
        <f t="shared" si="83"/>
        <v>0</v>
      </c>
      <c r="S1496" s="483">
        <f t="shared" si="83"/>
        <v>0</v>
      </c>
      <c r="T1496" s="483">
        <f t="shared" si="83"/>
        <v>0</v>
      </c>
      <c r="U1496" s="483">
        <f t="shared" si="83"/>
        <v>0</v>
      </c>
      <c r="V1496" s="483">
        <f t="shared" si="83"/>
        <v>0</v>
      </c>
      <c r="W1496" s="483">
        <f t="shared" si="83"/>
        <v>0</v>
      </c>
      <c r="X1496" s="483">
        <f t="shared" si="83"/>
        <v>0</v>
      </c>
      <c r="Y1496" s="483">
        <f t="shared" si="83"/>
        <v>0</v>
      </c>
      <c r="Z1496" s="483">
        <f t="shared" si="83"/>
        <v>0</v>
      </c>
      <c r="AA1496" s="483">
        <f t="shared" si="83"/>
        <v>0</v>
      </c>
      <c r="AB1496" s="443"/>
    </row>
    <row r="1497" spans="1:28" s="444" customFormat="1">
      <c r="A1497" s="435" t="s">
        <v>170</v>
      </c>
      <c r="B1497" s="435" t="s">
        <v>120</v>
      </c>
      <c r="C1497" s="435" t="s">
        <v>152</v>
      </c>
      <c r="D1497" s="435" t="s">
        <v>182</v>
      </c>
      <c r="E1497" s="436" t="s">
        <v>153</v>
      </c>
      <c r="F1497" s="435" t="s">
        <v>182</v>
      </c>
      <c r="G1497" s="599" t="s">
        <v>401</v>
      </c>
      <c r="H1497" s="437"/>
      <c r="I1497" s="438" t="s">
        <v>181</v>
      </c>
      <c r="J1497" s="538" t="s">
        <v>154</v>
      </c>
      <c r="K1497" s="538" t="s">
        <v>155</v>
      </c>
      <c r="L1497" s="438" t="s">
        <v>156</v>
      </c>
      <c r="M1497" s="539" t="s">
        <v>157</v>
      </c>
      <c r="N1497" s="438" t="s">
        <v>158</v>
      </c>
      <c r="O1497" s="438" t="s">
        <v>159</v>
      </c>
      <c r="P1497" s="438" t="s">
        <v>174</v>
      </c>
      <c r="Q1497" s="438" t="s">
        <v>160</v>
      </c>
      <c r="R1497" s="438" t="s">
        <v>161</v>
      </c>
      <c r="S1497" s="438" t="s">
        <v>162</v>
      </c>
      <c r="T1497" s="438" t="s">
        <v>163</v>
      </c>
      <c r="U1497" s="438" t="s">
        <v>164</v>
      </c>
      <c r="V1497" s="438" t="s">
        <v>165</v>
      </c>
      <c r="W1497" s="440" t="s">
        <v>113</v>
      </c>
      <c r="X1497" s="438" t="s">
        <v>121</v>
      </c>
      <c r="Y1497" s="438" t="s">
        <v>166</v>
      </c>
      <c r="Z1497" s="442" t="s">
        <v>175</v>
      </c>
      <c r="AA1497" s="442" t="s">
        <v>167</v>
      </c>
      <c r="AB1497" s="443"/>
    </row>
    <row r="1498" spans="1:28" s="444" customFormat="1">
      <c r="A1498" s="445"/>
      <c r="B1498" s="446" t="s">
        <v>187</v>
      </c>
      <c r="C1498" s="447">
        <v>32460</v>
      </c>
      <c r="D1498" s="448" t="s">
        <v>381</v>
      </c>
      <c r="E1498" s="486" t="s">
        <v>266</v>
      </c>
      <c r="F1498" s="448" t="s">
        <v>381</v>
      </c>
      <c r="G1498" s="589">
        <v>46214</v>
      </c>
      <c r="H1498" s="450"/>
      <c r="I1498" s="450" t="s">
        <v>186</v>
      </c>
      <c r="J1498" s="295">
        <v>0.31736111111111109</v>
      </c>
      <c r="K1498" s="295">
        <v>0.7104166666666667</v>
      </c>
      <c r="L1498" s="451" t="s">
        <v>169</v>
      </c>
      <c r="M1498" s="452">
        <v>8</v>
      </c>
      <c r="N1498" s="452"/>
      <c r="O1498" s="452"/>
      <c r="P1498" s="452"/>
      <c r="Q1498" s="453"/>
      <c r="R1498" s="452"/>
      <c r="S1498" s="452"/>
      <c r="T1498" s="453"/>
      <c r="U1498" s="452"/>
      <c r="V1498" s="453"/>
      <c r="W1498" s="454"/>
      <c r="X1498" s="455"/>
      <c r="Y1498" s="456"/>
      <c r="Z1498" s="457"/>
      <c r="AA1498" s="458"/>
      <c r="AB1498" s="443"/>
    </row>
    <row r="1499" spans="1:28" s="444" customFormat="1">
      <c r="A1499" s="459"/>
      <c r="B1499" s="446" t="s">
        <v>187</v>
      </c>
      <c r="C1499" s="447">
        <v>32460</v>
      </c>
      <c r="D1499" s="448" t="s">
        <v>381</v>
      </c>
      <c r="E1499" s="486" t="s">
        <v>266</v>
      </c>
      <c r="F1499" s="448" t="s">
        <v>381</v>
      </c>
      <c r="G1499" s="590">
        <v>46215</v>
      </c>
      <c r="H1499" s="450"/>
      <c r="I1499" s="496"/>
      <c r="J1499" s="699" t="s">
        <v>173</v>
      </c>
      <c r="K1499" s="700"/>
      <c r="L1499" s="451"/>
      <c r="M1499" s="452"/>
      <c r="N1499" s="452"/>
      <c r="O1499" s="452"/>
      <c r="P1499" s="452"/>
      <c r="Q1499" s="453"/>
      <c r="R1499" s="452"/>
      <c r="S1499" s="452"/>
      <c r="T1499" s="453"/>
      <c r="U1499" s="452"/>
      <c r="V1499" s="453"/>
      <c r="W1499" s="454"/>
      <c r="X1499" s="455"/>
      <c r="Y1499" s="456"/>
      <c r="Z1499" s="457"/>
      <c r="AA1499" s="458"/>
      <c r="AB1499" s="443"/>
    </row>
    <row r="1500" spans="1:28" s="444" customFormat="1">
      <c r="A1500" s="459"/>
      <c r="B1500" s="446" t="s">
        <v>187</v>
      </c>
      <c r="C1500" s="447">
        <v>32460</v>
      </c>
      <c r="D1500" s="448" t="s">
        <v>381</v>
      </c>
      <c r="E1500" s="486" t="s">
        <v>266</v>
      </c>
      <c r="F1500" s="448" t="s">
        <v>381</v>
      </c>
      <c r="G1500" s="589">
        <v>46216</v>
      </c>
      <c r="H1500" s="450"/>
      <c r="I1500" s="496" t="s">
        <v>186</v>
      </c>
      <c r="J1500" s="382">
        <v>0.31111111111111112</v>
      </c>
      <c r="K1500" s="382">
        <v>0.79305555555555551</v>
      </c>
      <c r="L1500" s="451" t="s">
        <v>169</v>
      </c>
      <c r="M1500" s="452">
        <v>8</v>
      </c>
      <c r="N1500" s="452">
        <v>2</v>
      </c>
      <c r="O1500" s="452"/>
      <c r="P1500" s="452"/>
      <c r="Q1500" s="453"/>
      <c r="R1500" s="452"/>
      <c r="S1500" s="452"/>
      <c r="T1500" s="453"/>
      <c r="U1500" s="452"/>
      <c r="V1500" s="453"/>
      <c r="W1500" s="454"/>
      <c r="X1500" s="455"/>
      <c r="Y1500" s="456"/>
      <c r="Z1500" s="457"/>
      <c r="AA1500" s="458"/>
      <c r="AB1500" s="443"/>
    </row>
    <row r="1501" spans="1:28" s="444" customFormat="1">
      <c r="A1501" s="459"/>
      <c r="B1501" s="446" t="s">
        <v>187</v>
      </c>
      <c r="C1501" s="447">
        <v>32460</v>
      </c>
      <c r="D1501" s="448" t="s">
        <v>381</v>
      </c>
      <c r="E1501" s="486" t="s">
        <v>266</v>
      </c>
      <c r="F1501" s="448" t="s">
        <v>381</v>
      </c>
      <c r="G1501" s="589">
        <v>46217</v>
      </c>
      <c r="H1501" s="450"/>
      <c r="I1501" s="496" t="s">
        <v>186</v>
      </c>
      <c r="J1501" s="305">
        <v>0.31666666666666665</v>
      </c>
      <c r="K1501" s="305">
        <v>0.79236111111111107</v>
      </c>
      <c r="L1501" s="451" t="s">
        <v>169</v>
      </c>
      <c r="M1501" s="452">
        <v>8</v>
      </c>
      <c r="N1501" s="452">
        <v>2</v>
      </c>
      <c r="O1501" s="462"/>
      <c r="P1501" s="462"/>
      <c r="Q1501" s="461"/>
      <c r="R1501" s="462"/>
      <c r="S1501" s="462"/>
      <c r="T1501" s="461"/>
      <c r="U1501" s="462"/>
      <c r="V1501" s="461"/>
      <c r="W1501" s="463"/>
      <c r="X1501" s="464"/>
      <c r="Y1501" s="465"/>
      <c r="Z1501" s="466"/>
      <c r="AA1501" s="467"/>
      <c r="AB1501" s="443"/>
    </row>
    <row r="1502" spans="1:28" s="444" customFormat="1">
      <c r="A1502" s="459"/>
      <c r="B1502" s="446" t="s">
        <v>187</v>
      </c>
      <c r="C1502" s="447">
        <v>32460</v>
      </c>
      <c r="D1502" s="448" t="s">
        <v>381</v>
      </c>
      <c r="E1502" s="486" t="s">
        <v>266</v>
      </c>
      <c r="F1502" s="448" t="s">
        <v>381</v>
      </c>
      <c r="G1502" s="589">
        <v>46218</v>
      </c>
      <c r="H1502" s="450"/>
      <c r="I1502" s="496" t="s">
        <v>186</v>
      </c>
      <c r="J1502" s="305">
        <v>0.31527777777777777</v>
      </c>
      <c r="K1502" s="305">
        <v>0.70972222222222225</v>
      </c>
      <c r="L1502" s="451" t="s">
        <v>169</v>
      </c>
      <c r="M1502" s="452">
        <v>8</v>
      </c>
      <c r="N1502" s="452"/>
      <c r="O1502" s="452"/>
      <c r="P1502" s="452"/>
      <c r="Q1502" s="453"/>
      <c r="R1502" s="452"/>
      <c r="S1502" s="452"/>
      <c r="T1502" s="453"/>
      <c r="U1502" s="452"/>
      <c r="V1502" s="453"/>
      <c r="W1502" s="454"/>
      <c r="X1502" s="455"/>
      <c r="Y1502" s="456"/>
      <c r="Z1502" s="457"/>
      <c r="AA1502" s="458"/>
      <c r="AB1502" s="443"/>
    </row>
    <row r="1503" spans="1:28" s="444" customFormat="1">
      <c r="A1503" s="459"/>
      <c r="B1503" s="446" t="s">
        <v>187</v>
      </c>
      <c r="C1503" s="447">
        <v>32460</v>
      </c>
      <c r="D1503" s="448" t="s">
        <v>381</v>
      </c>
      <c r="E1503" s="486" t="s">
        <v>266</v>
      </c>
      <c r="F1503" s="448" t="s">
        <v>381</v>
      </c>
      <c r="G1503" s="589">
        <v>46219</v>
      </c>
      <c r="H1503" s="450"/>
      <c r="I1503" s="496" t="s">
        <v>186</v>
      </c>
      <c r="J1503" s="305">
        <v>0.31597222222222221</v>
      </c>
      <c r="K1503" s="305">
        <v>0.79305555555555562</v>
      </c>
      <c r="L1503" s="451" t="s">
        <v>169</v>
      </c>
      <c r="M1503" s="452">
        <v>8</v>
      </c>
      <c r="N1503" s="452">
        <v>2</v>
      </c>
      <c r="O1503" s="452"/>
      <c r="P1503" s="452"/>
      <c r="Q1503" s="453"/>
      <c r="R1503" s="452"/>
      <c r="S1503" s="452"/>
      <c r="T1503" s="453"/>
      <c r="U1503" s="452"/>
      <c r="V1503" s="453"/>
      <c r="W1503" s="454"/>
      <c r="X1503" s="455"/>
      <c r="Y1503" s="456"/>
      <c r="Z1503" s="457"/>
      <c r="AA1503" s="458"/>
      <c r="AB1503" s="443"/>
    </row>
    <row r="1504" spans="1:28" s="444" customFormat="1">
      <c r="A1504" s="459"/>
      <c r="B1504" s="446" t="s">
        <v>187</v>
      </c>
      <c r="C1504" s="447">
        <v>32460</v>
      </c>
      <c r="D1504" s="448" t="s">
        <v>381</v>
      </c>
      <c r="E1504" s="486" t="s">
        <v>266</v>
      </c>
      <c r="F1504" s="448" t="s">
        <v>381</v>
      </c>
      <c r="G1504" s="589">
        <v>46220</v>
      </c>
      <c r="H1504" s="450"/>
      <c r="I1504" s="496" t="s">
        <v>186</v>
      </c>
      <c r="J1504" s="305">
        <v>0.31805555555555554</v>
      </c>
      <c r="K1504" s="305">
        <v>0.70972222222222225</v>
      </c>
      <c r="L1504" s="451" t="s">
        <v>169</v>
      </c>
      <c r="M1504" s="452">
        <v>8</v>
      </c>
      <c r="N1504" s="452"/>
      <c r="O1504" s="452"/>
      <c r="P1504" s="452"/>
      <c r="Q1504" s="453"/>
      <c r="R1504" s="452"/>
      <c r="S1504" s="452"/>
      <c r="T1504" s="453"/>
      <c r="U1504" s="452"/>
      <c r="V1504" s="453"/>
      <c r="W1504" s="454"/>
      <c r="X1504" s="455"/>
      <c r="Y1504" s="456"/>
      <c r="Z1504" s="457"/>
      <c r="AA1504" s="458"/>
      <c r="AB1504" s="443"/>
    </row>
    <row r="1505" spans="1:28" s="444" customFormat="1">
      <c r="A1505" s="459"/>
      <c r="B1505" s="446" t="s">
        <v>187</v>
      </c>
      <c r="C1505" s="447">
        <v>32460</v>
      </c>
      <c r="D1505" s="448" t="s">
        <v>381</v>
      </c>
      <c r="E1505" s="486" t="s">
        <v>266</v>
      </c>
      <c r="F1505" s="448" t="s">
        <v>381</v>
      </c>
      <c r="G1505" s="589">
        <v>46221</v>
      </c>
      <c r="H1505" s="450"/>
      <c r="I1505" s="496" t="s">
        <v>186</v>
      </c>
      <c r="J1505" s="305">
        <v>0.31944444444444442</v>
      </c>
      <c r="K1505" s="305">
        <v>0.70972222222222225</v>
      </c>
      <c r="L1505" s="451" t="s">
        <v>169</v>
      </c>
      <c r="M1505" s="452">
        <v>8</v>
      </c>
      <c r="N1505" s="452"/>
      <c r="O1505" s="452"/>
      <c r="P1505" s="452"/>
      <c r="Q1505" s="453"/>
      <c r="R1505" s="452"/>
      <c r="S1505" s="452"/>
      <c r="T1505" s="453"/>
      <c r="U1505" s="452"/>
      <c r="V1505" s="453"/>
      <c r="W1505" s="454"/>
      <c r="X1505" s="455"/>
      <c r="Y1505" s="456"/>
      <c r="Z1505" s="457"/>
      <c r="AA1505" s="458"/>
      <c r="AB1505" s="443"/>
    </row>
    <row r="1506" spans="1:28" s="444" customFormat="1">
      <c r="A1506" s="459"/>
      <c r="B1506" s="446" t="s">
        <v>187</v>
      </c>
      <c r="C1506" s="447">
        <v>32460</v>
      </c>
      <c r="D1506" s="448" t="s">
        <v>381</v>
      </c>
      <c r="E1506" s="486" t="s">
        <v>266</v>
      </c>
      <c r="F1506" s="448" t="s">
        <v>381</v>
      </c>
      <c r="G1506" s="590">
        <v>46222</v>
      </c>
      <c r="H1506" s="450"/>
      <c r="I1506" s="496"/>
      <c r="J1506" s="699" t="s">
        <v>173</v>
      </c>
      <c r="K1506" s="700"/>
      <c r="L1506" s="451"/>
      <c r="M1506" s="452"/>
      <c r="N1506" s="452"/>
      <c r="O1506" s="452"/>
      <c r="P1506" s="452"/>
      <c r="Q1506" s="453"/>
      <c r="R1506" s="452"/>
      <c r="S1506" s="452"/>
      <c r="T1506" s="453"/>
      <c r="U1506" s="452"/>
      <c r="V1506" s="453"/>
      <c r="W1506" s="454"/>
      <c r="X1506" s="455"/>
      <c r="Y1506" s="456"/>
      <c r="Z1506" s="457"/>
      <c r="AA1506" s="458"/>
      <c r="AB1506" s="443"/>
    </row>
    <row r="1507" spans="1:28" s="444" customFormat="1">
      <c r="A1507" s="459"/>
      <c r="B1507" s="446" t="s">
        <v>187</v>
      </c>
      <c r="C1507" s="447">
        <v>32460</v>
      </c>
      <c r="D1507" s="448" t="s">
        <v>381</v>
      </c>
      <c r="E1507" s="486" t="s">
        <v>266</v>
      </c>
      <c r="F1507" s="448" t="s">
        <v>381</v>
      </c>
      <c r="G1507" s="589">
        <v>46223</v>
      </c>
      <c r="H1507" s="450"/>
      <c r="I1507" s="496" t="s">
        <v>186</v>
      </c>
      <c r="J1507" s="295">
        <v>0.31805555555555554</v>
      </c>
      <c r="K1507" s="295">
        <v>0.70902777777777781</v>
      </c>
      <c r="L1507" s="451" t="s">
        <v>169</v>
      </c>
      <c r="M1507" s="452">
        <v>8</v>
      </c>
      <c r="N1507" s="462"/>
      <c r="O1507" s="462"/>
      <c r="P1507" s="462"/>
      <c r="Q1507" s="461"/>
      <c r="R1507" s="462"/>
      <c r="S1507" s="462"/>
      <c r="T1507" s="461"/>
      <c r="U1507" s="462"/>
      <c r="V1507" s="461"/>
      <c r="W1507" s="454"/>
      <c r="X1507" s="455"/>
      <c r="Y1507" s="456"/>
      <c r="Z1507" s="457"/>
      <c r="AA1507" s="458"/>
      <c r="AB1507" s="443"/>
    </row>
    <row r="1508" spans="1:28" s="444" customFormat="1">
      <c r="A1508" s="459"/>
      <c r="B1508" s="446" t="s">
        <v>187</v>
      </c>
      <c r="C1508" s="447">
        <v>32460</v>
      </c>
      <c r="D1508" s="448" t="s">
        <v>381</v>
      </c>
      <c r="E1508" s="486" t="s">
        <v>266</v>
      </c>
      <c r="F1508" s="448" t="s">
        <v>381</v>
      </c>
      <c r="G1508" s="589">
        <v>46224</v>
      </c>
      <c r="H1508" s="450"/>
      <c r="I1508" s="496" t="s">
        <v>186</v>
      </c>
      <c r="J1508" s="295">
        <v>0.31874999999999998</v>
      </c>
      <c r="K1508" s="295">
        <v>0.79305555555555551</v>
      </c>
      <c r="L1508" s="451" t="s">
        <v>169</v>
      </c>
      <c r="M1508" s="452">
        <v>8</v>
      </c>
      <c r="N1508" s="452">
        <v>2</v>
      </c>
      <c r="O1508" s="469"/>
      <c r="P1508" s="469"/>
      <c r="Q1508" s="468"/>
      <c r="R1508" s="469"/>
      <c r="S1508" s="469"/>
      <c r="T1508" s="461"/>
      <c r="U1508" s="462"/>
      <c r="V1508" s="461"/>
      <c r="W1508" s="463"/>
      <c r="X1508" s="464"/>
      <c r="Y1508" s="465"/>
      <c r="Z1508" s="466"/>
      <c r="AA1508" s="467"/>
      <c r="AB1508" s="443"/>
    </row>
    <row r="1509" spans="1:28" s="444" customFormat="1">
      <c r="A1509" s="459"/>
      <c r="B1509" s="446" t="s">
        <v>187</v>
      </c>
      <c r="C1509" s="447">
        <v>32460</v>
      </c>
      <c r="D1509" s="448" t="s">
        <v>381</v>
      </c>
      <c r="E1509" s="486" t="s">
        <v>266</v>
      </c>
      <c r="F1509" s="448" t="s">
        <v>381</v>
      </c>
      <c r="G1509" s="589">
        <v>46225</v>
      </c>
      <c r="H1509" s="450"/>
      <c r="I1509" s="496" t="s">
        <v>186</v>
      </c>
      <c r="J1509" s="295">
        <v>0.31527777777777777</v>
      </c>
      <c r="K1509" s="295">
        <v>0.79305555555555551</v>
      </c>
      <c r="L1509" s="451" t="s">
        <v>169</v>
      </c>
      <c r="M1509" s="452">
        <v>8</v>
      </c>
      <c r="N1509" s="452">
        <v>2</v>
      </c>
      <c r="O1509" s="452"/>
      <c r="P1509" s="452"/>
      <c r="Q1509" s="453"/>
      <c r="R1509" s="452"/>
      <c r="S1509" s="452"/>
      <c r="T1509" s="453"/>
      <c r="U1509" s="452"/>
      <c r="V1509" s="453"/>
      <c r="W1509" s="454"/>
      <c r="X1509" s="455"/>
      <c r="Y1509" s="456"/>
      <c r="Z1509" s="457"/>
      <c r="AA1509" s="458"/>
      <c r="AB1509" s="443"/>
    </row>
    <row r="1510" spans="1:28" s="444" customFormat="1">
      <c r="A1510" s="459"/>
      <c r="B1510" s="446" t="s">
        <v>187</v>
      </c>
      <c r="C1510" s="447">
        <v>32460</v>
      </c>
      <c r="D1510" s="448" t="s">
        <v>381</v>
      </c>
      <c r="E1510" s="486" t="s">
        <v>266</v>
      </c>
      <c r="F1510" s="448" t="s">
        <v>381</v>
      </c>
      <c r="G1510" s="589">
        <v>46226</v>
      </c>
      <c r="H1510" s="450"/>
      <c r="I1510" s="496" t="s">
        <v>186</v>
      </c>
      <c r="J1510" s="295">
        <v>0.31458333333333333</v>
      </c>
      <c r="K1510" s="295">
        <v>0.79374999999999996</v>
      </c>
      <c r="L1510" s="451" t="s">
        <v>169</v>
      </c>
      <c r="M1510" s="452">
        <v>8</v>
      </c>
      <c r="N1510" s="452">
        <v>2</v>
      </c>
      <c r="O1510" s="470"/>
      <c r="P1510" s="470"/>
      <c r="Q1510" s="453"/>
      <c r="R1510" s="452"/>
      <c r="S1510" s="452"/>
      <c r="T1510" s="453"/>
      <c r="U1510" s="452"/>
      <c r="V1510" s="453"/>
      <c r="W1510" s="454"/>
      <c r="X1510" s="455"/>
      <c r="Y1510" s="456"/>
      <c r="Z1510" s="457"/>
      <c r="AA1510" s="458"/>
      <c r="AB1510" s="443"/>
    </row>
    <row r="1511" spans="1:28" s="444" customFormat="1">
      <c r="A1511" s="459"/>
      <c r="B1511" s="446" t="s">
        <v>187</v>
      </c>
      <c r="C1511" s="447">
        <v>32460</v>
      </c>
      <c r="D1511" s="448" t="s">
        <v>381</v>
      </c>
      <c r="E1511" s="486" t="s">
        <v>266</v>
      </c>
      <c r="F1511" s="448" t="s">
        <v>381</v>
      </c>
      <c r="G1511" s="589">
        <v>46227</v>
      </c>
      <c r="H1511" s="450"/>
      <c r="I1511" s="496" t="s">
        <v>186</v>
      </c>
      <c r="J1511" s="295">
        <v>0.31527777777777777</v>
      </c>
      <c r="K1511" s="318">
        <v>0.7104166666666667</v>
      </c>
      <c r="L1511" s="451" t="s">
        <v>169</v>
      </c>
      <c r="M1511" s="452">
        <v>8</v>
      </c>
      <c r="N1511" s="471"/>
      <c r="O1511" s="471"/>
      <c r="P1511" s="471"/>
      <c r="Q1511" s="472"/>
      <c r="R1511" s="471"/>
      <c r="S1511" s="471"/>
      <c r="T1511" s="453"/>
      <c r="U1511" s="452"/>
      <c r="V1511" s="453"/>
      <c r="W1511" s="454"/>
      <c r="X1511" s="455"/>
      <c r="Y1511" s="456"/>
      <c r="Z1511" s="457"/>
      <c r="AA1511" s="458"/>
      <c r="AB1511" s="443"/>
    </row>
    <row r="1512" spans="1:28" s="444" customFormat="1">
      <c r="A1512" s="459"/>
      <c r="B1512" s="446" t="s">
        <v>187</v>
      </c>
      <c r="C1512" s="447">
        <v>32460</v>
      </c>
      <c r="D1512" s="448" t="s">
        <v>381</v>
      </c>
      <c r="E1512" s="486" t="s">
        <v>266</v>
      </c>
      <c r="F1512" s="448" t="s">
        <v>381</v>
      </c>
      <c r="G1512" s="589">
        <v>46228</v>
      </c>
      <c r="H1512" s="450"/>
      <c r="I1512" s="496" t="s">
        <v>186</v>
      </c>
      <c r="J1512" s="295"/>
      <c r="K1512" s="295"/>
      <c r="L1512" s="451"/>
      <c r="M1512" s="452"/>
      <c r="N1512" s="452"/>
      <c r="O1512" s="452"/>
      <c r="P1512" s="452"/>
      <c r="Q1512" s="453"/>
      <c r="R1512" s="452"/>
      <c r="S1512" s="473"/>
      <c r="T1512" s="453"/>
      <c r="U1512" s="452"/>
      <c r="V1512" s="453"/>
      <c r="W1512" s="454"/>
      <c r="X1512" s="455"/>
      <c r="Y1512" s="456"/>
      <c r="Z1512" s="457"/>
      <c r="AA1512" s="458"/>
      <c r="AB1512" s="443"/>
    </row>
    <row r="1513" spans="1:28" s="444" customFormat="1">
      <c r="A1513" s="459"/>
      <c r="B1513" s="446"/>
      <c r="C1513" s="447"/>
      <c r="D1513" s="448"/>
      <c r="E1513" s="486"/>
      <c r="F1513" s="448"/>
      <c r="G1513" s="600"/>
      <c r="H1513" s="450"/>
      <c r="I1513" s="496"/>
      <c r="J1513" s="474"/>
      <c r="K1513" s="475"/>
      <c r="L1513" s="476"/>
      <c r="M1513" s="477"/>
      <c r="N1513" s="477"/>
      <c r="O1513" s="477"/>
      <c r="P1513" s="477"/>
      <c r="Q1513" s="478"/>
      <c r="R1513" s="477"/>
      <c r="S1513" s="479"/>
      <c r="T1513" s="453"/>
      <c r="U1513" s="452"/>
      <c r="V1513" s="453"/>
      <c r="W1513" s="454"/>
      <c r="X1513" s="455"/>
      <c r="Y1513" s="456"/>
      <c r="Z1513" s="457"/>
      <c r="AA1513" s="458"/>
      <c r="AB1513" s="443"/>
    </row>
    <row r="1514" spans="1:28" s="444" customFormat="1">
      <c r="A1514" s="480"/>
      <c r="B1514" s="481"/>
      <c r="C1514" s="446"/>
      <c r="D1514" s="481"/>
      <c r="E1514" s="449"/>
      <c r="F1514" s="481"/>
      <c r="G1514" s="601"/>
      <c r="H1514" s="482"/>
      <c r="I1514" s="483"/>
      <c r="J1514" s="484"/>
      <c r="K1514" s="485"/>
      <c r="L1514" s="483"/>
      <c r="M1514" s="483">
        <f t="shared" ref="M1514:AA1514" si="84">SUM(M1497:M1513)</f>
        <v>96</v>
      </c>
      <c r="N1514" s="483">
        <f t="shared" si="84"/>
        <v>12</v>
      </c>
      <c r="O1514" s="483">
        <f t="shared" si="84"/>
        <v>0</v>
      </c>
      <c r="P1514" s="483">
        <f t="shared" si="84"/>
        <v>0</v>
      </c>
      <c r="Q1514" s="483">
        <f t="shared" si="84"/>
        <v>0</v>
      </c>
      <c r="R1514" s="483">
        <f t="shared" si="84"/>
        <v>0</v>
      </c>
      <c r="S1514" s="483">
        <f t="shared" si="84"/>
        <v>0</v>
      </c>
      <c r="T1514" s="483">
        <f t="shared" si="84"/>
        <v>0</v>
      </c>
      <c r="U1514" s="483">
        <f t="shared" si="84"/>
        <v>0</v>
      </c>
      <c r="V1514" s="483">
        <f t="shared" si="84"/>
        <v>0</v>
      </c>
      <c r="W1514" s="483">
        <f t="shared" si="84"/>
        <v>0</v>
      </c>
      <c r="X1514" s="483">
        <f t="shared" si="84"/>
        <v>0</v>
      </c>
      <c r="Y1514" s="483">
        <f t="shared" si="84"/>
        <v>0</v>
      </c>
      <c r="Z1514" s="483">
        <f t="shared" si="84"/>
        <v>0</v>
      </c>
      <c r="AA1514" s="483">
        <f t="shared" si="84"/>
        <v>0</v>
      </c>
      <c r="AB1514" s="443"/>
    </row>
    <row r="1515" spans="1:28" s="444" customFormat="1">
      <c r="A1515" s="435" t="s">
        <v>170</v>
      </c>
      <c r="B1515" s="435" t="s">
        <v>120</v>
      </c>
      <c r="C1515" s="435" t="s">
        <v>152</v>
      </c>
      <c r="D1515" s="435" t="s">
        <v>182</v>
      </c>
      <c r="E1515" s="436" t="s">
        <v>153</v>
      </c>
      <c r="F1515" s="435" t="s">
        <v>182</v>
      </c>
      <c r="G1515" s="599" t="s">
        <v>401</v>
      </c>
      <c r="H1515" s="437"/>
      <c r="I1515" s="438" t="s">
        <v>181</v>
      </c>
      <c r="J1515" s="538" t="s">
        <v>154</v>
      </c>
      <c r="K1515" s="538" t="s">
        <v>155</v>
      </c>
      <c r="L1515" s="438" t="s">
        <v>156</v>
      </c>
      <c r="M1515" s="539" t="s">
        <v>157</v>
      </c>
      <c r="N1515" s="438" t="s">
        <v>158</v>
      </c>
      <c r="O1515" s="438" t="s">
        <v>159</v>
      </c>
      <c r="P1515" s="438" t="s">
        <v>174</v>
      </c>
      <c r="Q1515" s="438" t="s">
        <v>160</v>
      </c>
      <c r="R1515" s="438" t="s">
        <v>161</v>
      </c>
      <c r="S1515" s="438" t="s">
        <v>162</v>
      </c>
      <c r="T1515" s="438" t="s">
        <v>163</v>
      </c>
      <c r="U1515" s="438" t="s">
        <v>164</v>
      </c>
      <c r="V1515" s="438" t="s">
        <v>165</v>
      </c>
      <c r="W1515" s="440" t="s">
        <v>113</v>
      </c>
      <c r="X1515" s="438" t="s">
        <v>121</v>
      </c>
      <c r="Y1515" s="438" t="s">
        <v>166</v>
      </c>
      <c r="Z1515" s="442" t="s">
        <v>175</v>
      </c>
      <c r="AA1515" s="442" t="s">
        <v>167</v>
      </c>
      <c r="AB1515" s="443"/>
    </row>
    <row r="1516" spans="1:28" s="444" customFormat="1">
      <c r="A1516" s="445"/>
      <c r="B1516" s="446" t="s">
        <v>187</v>
      </c>
      <c r="C1516" s="447">
        <v>32488</v>
      </c>
      <c r="D1516" s="448" t="s">
        <v>382</v>
      </c>
      <c r="E1516" s="452" t="s">
        <v>265</v>
      </c>
      <c r="F1516" s="448" t="s">
        <v>382</v>
      </c>
      <c r="G1516" s="589">
        <v>46214</v>
      </c>
      <c r="H1516" s="450"/>
      <c r="I1516" s="496" t="s">
        <v>186</v>
      </c>
      <c r="J1516" s="295">
        <v>0.31458333333333333</v>
      </c>
      <c r="K1516" s="295">
        <v>0.7104166666666667</v>
      </c>
      <c r="L1516" s="451" t="s">
        <v>169</v>
      </c>
      <c r="M1516" s="452">
        <v>8</v>
      </c>
      <c r="N1516" s="452"/>
      <c r="O1516" s="452"/>
      <c r="P1516" s="452"/>
      <c r="Q1516" s="453"/>
      <c r="R1516" s="452"/>
      <c r="S1516" s="452"/>
      <c r="T1516" s="453"/>
      <c r="U1516" s="452"/>
      <c r="V1516" s="453"/>
      <c r="W1516" s="454"/>
      <c r="X1516" s="455"/>
      <c r="Y1516" s="456"/>
      <c r="Z1516" s="457"/>
      <c r="AA1516" s="458"/>
      <c r="AB1516" s="443"/>
    </row>
    <row r="1517" spans="1:28" s="444" customFormat="1">
      <c r="A1517" s="459"/>
      <c r="B1517" s="446" t="s">
        <v>187</v>
      </c>
      <c r="C1517" s="447">
        <v>32488</v>
      </c>
      <c r="D1517" s="448" t="s">
        <v>382</v>
      </c>
      <c r="E1517" s="452" t="s">
        <v>265</v>
      </c>
      <c r="F1517" s="448" t="s">
        <v>382</v>
      </c>
      <c r="G1517" s="590">
        <v>46215</v>
      </c>
      <c r="H1517" s="450"/>
      <c r="I1517" s="496"/>
      <c r="L1517" s="451"/>
      <c r="M1517" s="452"/>
      <c r="N1517" s="452"/>
      <c r="O1517" s="452"/>
      <c r="P1517" s="452"/>
      <c r="Q1517" s="453"/>
      <c r="R1517" s="452"/>
      <c r="S1517" s="452"/>
      <c r="T1517" s="453"/>
      <c r="U1517" s="452"/>
      <c r="V1517" s="453"/>
      <c r="W1517" s="454"/>
      <c r="X1517" s="455"/>
      <c r="Y1517" s="456"/>
      <c r="Z1517" s="457"/>
      <c r="AA1517" s="458"/>
      <c r="AB1517" s="443"/>
    </row>
    <row r="1518" spans="1:28" s="444" customFormat="1">
      <c r="A1518" s="459"/>
      <c r="B1518" s="446" t="s">
        <v>187</v>
      </c>
      <c r="C1518" s="447">
        <v>32488</v>
      </c>
      <c r="D1518" s="448" t="s">
        <v>382</v>
      </c>
      <c r="E1518" s="452" t="s">
        <v>265</v>
      </c>
      <c r="F1518" s="448" t="s">
        <v>382</v>
      </c>
      <c r="G1518" s="589">
        <v>46216</v>
      </c>
      <c r="H1518" s="450"/>
      <c r="I1518" s="496" t="s">
        <v>186</v>
      </c>
      <c r="J1518" s="382">
        <v>0.31597222222222221</v>
      </c>
      <c r="K1518" s="540">
        <v>0.79166666666666663</v>
      </c>
      <c r="L1518" s="451" t="s">
        <v>169</v>
      </c>
      <c r="M1518" s="452">
        <v>8</v>
      </c>
      <c r="N1518" s="452">
        <v>2</v>
      </c>
      <c r="O1518" s="452"/>
      <c r="P1518" s="452"/>
      <c r="Q1518" s="453"/>
      <c r="R1518" s="452"/>
      <c r="S1518" s="452"/>
      <c r="T1518" s="453"/>
      <c r="U1518" s="452"/>
      <c r="V1518" s="453"/>
      <c r="W1518" s="454"/>
      <c r="X1518" s="455"/>
      <c r="Y1518" s="456"/>
      <c r="Z1518" s="457"/>
      <c r="AA1518" s="458"/>
      <c r="AB1518" s="443"/>
    </row>
    <row r="1519" spans="1:28" s="444" customFormat="1">
      <c r="A1519" s="459"/>
      <c r="B1519" s="446" t="s">
        <v>187</v>
      </c>
      <c r="C1519" s="447">
        <v>32488</v>
      </c>
      <c r="D1519" s="448" t="s">
        <v>382</v>
      </c>
      <c r="E1519" s="452" t="s">
        <v>265</v>
      </c>
      <c r="F1519" s="448" t="s">
        <v>382</v>
      </c>
      <c r="G1519" s="589">
        <v>46217</v>
      </c>
      <c r="H1519" s="450"/>
      <c r="I1519" s="496" t="s">
        <v>186</v>
      </c>
      <c r="J1519" s="305">
        <v>0.28819444444444442</v>
      </c>
      <c r="K1519" s="305">
        <v>0.79305555555555562</v>
      </c>
      <c r="L1519" s="451" t="s">
        <v>169</v>
      </c>
      <c r="M1519" s="452">
        <v>8</v>
      </c>
      <c r="N1519" s="452">
        <v>2</v>
      </c>
      <c r="O1519" s="462"/>
      <c r="P1519" s="462"/>
      <c r="Q1519" s="461"/>
      <c r="R1519" s="462"/>
      <c r="S1519" s="462"/>
      <c r="T1519" s="461"/>
      <c r="U1519" s="462"/>
      <c r="V1519" s="461"/>
      <c r="W1519" s="463"/>
      <c r="X1519" s="464"/>
      <c r="Y1519" s="465"/>
      <c r="Z1519" s="466"/>
      <c r="AA1519" s="467"/>
      <c r="AB1519" s="443"/>
    </row>
    <row r="1520" spans="1:28" s="444" customFormat="1">
      <c r="A1520" s="459"/>
      <c r="B1520" s="446" t="s">
        <v>187</v>
      </c>
      <c r="C1520" s="447">
        <v>32488</v>
      </c>
      <c r="D1520" s="448" t="s">
        <v>382</v>
      </c>
      <c r="E1520" s="452" t="s">
        <v>265</v>
      </c>
      <c r="F1520" s="448" t="s">
        <v>382</v>
      </c>
      <c r="G1520" s="589">
        <v>46218</v>
      </c>
      <c r="H1520" s="450"/>
      <c r="I1520" s="496" t="s">
        <v>186</v>
      </c>
      <c r="J1520" s="305">
        <v>0.30763888888888891</v>
      </c>
      <c r="K1520" s="305">
        <v>0.79305555555555562</v>
      </c>
      <c r="L1520" s="451" t="s">
        <v>169</v>
      </c>
      <c r="M1520" s="452">
        <v>8</v>
      </c>
      <c r="N1520" s="452">
        <v>2</v>
      </c>
      <c r="O1520" s="452"/>
      <c r="P1520" s="452"/>
      <c r="Q1520" s="453"/>
      <c r="R1520" s="452"/>
      <c r="S1520" s="452"/>
      <c r="T1520" s="453"/>
      <c r="U1520" s="452"/>
      <c r="V1520" s="453"/>
      <c r="W1520" s="454"/>
      <c r="X1520" s="455"/>
      <c r="Y1520" s="456"/>
      <c r="Z1520" s="457"/>
      <c r="AA1520" s="458"/>
      <c r="AB1520" s="443"/>
    </row>
    <row r="1521" spans="1:28" s="444" customFormat="1">
      <c r="A1521" s="459"/>
      <c r="B1521" s="446" t="s">
        <v>187</v>
      </c>
      <c r="C1521" s="447">
        <v>32488</v>
      </c>
      <c r="D1521" s="448" t="s">
        <v>382</v>
      </c>
      <c r="E1521" s="452" t="s">
        <v>265</v>
      </c>
      <c r="F1521" s="448" t="s">
        <v>382</v>
      </c>
      <c r="G1521" s="589">
        <v>46219</v>
      </c>
      <c r="H1521" s="450"/>
      <c r="I1521" s="496" t="s">
        <v>186</v>
      </c>
      <c r="J1521" s="305">
        <v>0.30763888888888891</v>
      </c>
      <c r="K1521" s="305">
        <v>0.79305555555555562</v>
      </c>
      <c r="L1521" s="451" t="s">
        <v>169</v>
      </c>
      <c r="M1521" s="452">
        <v>8</v>
      </c>
      <c r="N1521" s="452">
        <v>2</v>
      </c>
      <c r="O1521" s="452"/>
      <c r="P1521" s="452"/>
      <c r="Q1521" s="453"/>
      <c r="R1521" s="452"/>
      <c r="S1521" s="452"/>
      <c r="T1521" s="453"/>
      <c r="U1521" s="452"/>
      <c r="V1521" s="453"/>
      <c r="W1521" s="454"/>
      <c r="X1521" s="455"/>
      <c r="Y1521" s="456"/>
      <c r="Z1521" s="457"/>
      <c r="AA1521" s="458"/>
      <c r="AB1521" s="443"/>
    </row>
    <row r="1522" spans="1:28" s="444" customFormat="1">
      <c r="A1522" s="459"/>
      <c r="B1522" s="446" t="s">
        <v>187</v>
      </c>
      <c r="C1522" s="447">
        <v>32488</v>
      </c>
      <c r="D1522" s="448" t="s">
        <v>382</v>
      </c>
      <c r="E1522" s="452" t="s">
        <v>265</v>
      </c>
      <c r="F1522" s="448" t="s">
        <v>382</v>
      </c>
      <c r="G1522" s="589">
        <v>46220</v>
      </c>
      <c r="H1522" s="450"/>
      <c r="I1522" s="496" t="s">
        <v>186</v>
      </c>
      <c r="J1522" s="305">
        <v>0.30694444444444441</v>
      </c>
      <c r="K1522" s="305">
        <v>0.70972222222222225</v>
      </c>
      <c r="L1522" s="451" t="s">
        <v>169</v>
      </c>
      <c r="M1522" s="452">
        <v>8</v>
      </c>
      <c r="N1522" s="452"/>
      <c r="O1522" s="452"/>
      <c r="P1522" s="452"/>
      <c r="Q1522" s="453"/>
      <c r="R1522" s="452"/>
      <c r="S1522" s="452"/>
      <c r="T1522" s="453"/>
      <c r="U1522" s="452"/>
      <c r="V1522" s="453"/>
      <c r="W1522" s="454"/>
      <c r="X1522" s="455"/>
      <c r="Y1522" s="456"/>
      <c r="Z1522" s="457"/>
      <c r="AA1522" s="458"/>
      <c r="AB1522" s="443"/>
    </row>
    <row r="1523" spans="1:28" s="444" customFormat="1">
      <c r="A1523" s="459"/>
      <c r="B1523" s="446" t="s">
        <v>187</v>
      </c>
      <c r="C1523" s="447">
        <v>32488</v>
      </c>
      <c r="D1523" s="448" t="s">
        <v>382</v>
      </c>
      <c r="E1523" s="452" t="s">
        <v>265</v>
      </c>
      <c r="F1523" s="448" t="s">
        <v>382</v>
      </c>
      <c r="G1523" s="589">
        <v>46221</v>
      </c>
      <c r="H1523" s="450"/>
      <c r="I1523" s="496" t="s">
        <v>186</v>
      </c>
      <c r="J1523" s="305">
        <v>0.30486111111111114</v>
      </c>
      <c r="K1523" s="305">
        <v>0.7104166666666667</v>
      </c>
      <c r="L1523" s="451" t="s">
        <v>169</v>
      </c>
      <c r="M1523" s="452">
        <v>8</v>
      </c>
      <c r="N1523" s="452"/>
      <c r="O1523" s="452"/>
      <c r="P1523" s="452"/>
      <c r="Q1523" s="453"/>
      <c r="R1523" s="452"/>
      <c r="S1523" s="452"/>
      <c r="T1523" s="453"/>
      <c r="U1523" s="452"/>
      <c r="V1523" s="453"/>
      <c r="W1523" s="454"/>
      <c r="X1523" s="455"/>
      <c r="Y1523" s="456"/>
      <c r="Z1523" s="457"/>
      <c r="AA1523" s="458"/>
      <c r="AB1523" s="443"/>
    </row>
    <row r="1524" spans="1:28" s="444" customFormat="1">
      <c r="A1524" s="459"/>
      <c r="B1524" s="446" t="s">
        <v>187</v>
      </c>
      <c r="C1524" s="447">
        <v>32488</v>
      </c>
      <c r="D1524" s="448" t="s">
        <v>382</v>
      </c>
      <c r="E1524" s="452" t="s">
        <v>265</v>
      </c>
      <c r="F1524" s="448" t="s">
        <v>382</v>
      </c>
      <c r="G1524" s="590">
        <v>46222</v>
      </c>
      <c r="H1524" s="450"/>
      <c r="I1524" s="496"/>
      <c r="J1524" s="699" t="s">
        <v>173</v>
      </c>
      <c r="K1524" s="700"/>
      <c r="L1524" s="451"/>
      <c r="M1524" s="452"/>
      <c r="N1524" s="452"/>
      <c r="O1524" s="452"/>
      <c r="P1524" s="452"/>
      <c r="Q1524" s="453"/>
      <c r="R1524" s="452"/>
      <c r="S1524" s="452"/>
      <c r="T1524" s="453"/>
      <c r="U1524" s="452"/>
      <c r="V1524" s="453"/>
      <c r="W1524" s="454"/>
      <c r="X1524" s="455"/>
      <c r="Y1524" s="456"/>
      <c r="Z1524" s="457"/>
      <c r="AA1524" s="458"/>
      <c r="AB1524" s="443"/>
    </row>
    <row r="1525" spans="1:28" s="444" customFormat="1">
      <c r="A1525" s="459"/>
      <c r="B1525" s="446" t="s">
        <v>187</v>
      </c>
      <c r="C1525" s="447">
        <v>32488</v>
      </c>
      <c r="D1525" s="448" t="s">
        <v>382</v>
      </c>
      <c r="E1525" s="452" t="s">
        <v>265</v>
      </c>
      <c r="F1525" s="448" t="s">
        <v>382</v>
      </c>
      <c r="G1525" s="589">
        <v>46223</v>
      </c>
      <c r="H1525" s="450"/>
      <c r="I1525" s="496" t="s">
        <v>186</v>
      </c>
      <c r="J1525" s="295">
        <v>0.30416666666666664</v>
      </c>
      <c r="K1525" s="295">
        <v>0.70902777777777781</v>
      </c>
      <c r="L1525" s="451" t="s">
        <v>169</v>
      </c>
      <c r="M1525" s="452">
        <v>8</v>
      </c>
      <c r="N1525" s="462"/>
      <c r="O1525" s="462"/>
      <c r="P1525" s="462"/>
      <c r="Q1525" s="461"/>
      <c r="R1525" s="462"/>
      <c r="S1525" s="462"/>
      <c r="T1525" s="461"/>
      <c r="U1525" s="462"/>
      <c r="V1525" s="461"/>
      <c r="W1525" s="454"/>
      <c r="X1525" s="455"/>
      <c r="Y1525" s="456"/>
      <c r="Z1525" s="457"/>
      <c r="AA1525" s="458"/>
      <c r="AB1525" s="443"/>
    </row>
    <row r="1526" spans="1:28" s="444" customFormat="1">
      <c r="A1526" s="459"/>
      <c r="B1526" s="446" t="s">
        <v>187</v>
      </c>
      <c r="C1526" s="447">
        <v>32488</v>
      </c>
      <c r="D1526" s="448" t="s">
        <v>382</v>
      </c>
      <c r="E1526" s="452" t="s">
        <v>265</v>
      </c>
      <c r="F1526" s="448" t="s">
        <v>382</v>
      </c>
      <c r="G1526" s="589">
        <v>46224</v>
      </c>
      <c r="H1526" s="450"/>
      <c r="I1526" s="496" t="s">
        <v>186</v>
      </c>
      <c r="J1526" s="295">
        <v>0.31111111111111112</v>
      </c>
      <c r="K1526" s="295">
        <v>0.79374999999999996</v>
      </c>
      <c r="L1526" s="451" t="s">
        <v>169</v>
      </c>
      <c r="M1526" s="452">
        <v>8</v>
      </c>
      <c r="N1526" s="452">
        <v>2</v>
      </c>
      <c r="O1526" s="469"/>
      <c r="P1526" s="469"/>
      <c r="Q1526" s="468"/>
      <c r="R1526" s="469"/>
      <c r="S1526" s="469"/>
      <c r="T1526" s="461"/>
      <c r="U1526" s="462"/>
      <c r="V1526" s="461"/>
      <c r="W1526" s="463"/>
      <c r="X1526" s="464"/>
      <c r="Y1526" s="465"/>
      <c r="Z1526" s="466"/>
      <c r="AA1526" s="467"/>
      <c r="AB1526" s="443"/>
    </row>
    <row r="1527" spans="1:28" s="444" customFormat="1">
      <c r="A1527" s="459"/>
      <c r="B1527" s="446" t="s">
        <v>187</v>
      </c>
      <c r="C1527" s="447">
        <v>32488</v>
      </c>
      <c r="D1527" s="448" t="s">
        <v>382</v>
      </c>
      <c r="E1527" s="452" t="s">
        <v>265</v>
      </c>
      <c r="F1527" s="448" t="s">
        <v>382</v>
      </c>
      <c r="G1527" s="589">
        <v>46225</v>
      </c>
      <c r="H1527" s="450"/>
      <c r="I1527" s="496" t="s">
        <v>186</v>
      </c>
      <c r="J1527" s="295">
        <v>0.30763888888888891</v>
      </c>
      <c r="K1527" s="295">
        <v>0.7104166666666667</v>
      </c>
      <c r="L1527" s="451" t="s">
        <v>169</v>
      </c>
      <c r="M1527" s="452">
        <v>8</v>
      </c>
      <c r="N1527" s="471"/>
      <c r="O1527" s="452"/>
      <c r="P1527" s="452"/>
      <c r="Q1527" s="453"/>
      <c r="R1527" s="452"/>
      <c r="S1527" s="452"/>
      <c r="T1527" s="453"/>
      <c r="U1527" s="452"/>
      <c r="V1527" s="453"/>
      <c r="W1527" s="454"/>
      <c r="X1527" s="455"/>
      <c r="Y1527" s="456"/>
      <c r="Z1527" s="457"/>
      <c r="AA1527" s="458"/>
      <c r="AB1527" s="443"/>
    </row>
    <row r="1528" spans="1:28" s="444" customFormat="1">
      <c r="A1528" s="459"/>
      <c r="B1528" s="446" t="s">
        <v>187</v>
      </c>
      <c r="C1528" s="447">
        <v>32488</v>
      </c>
      <c r="D1528" s="448" t="s">
        <v>382</v>
      </c>
      <c r="E1528" s="452" t="s">
        <v>265</v>
      </c>
      <c r="F1528" s="448" t="s">
        <v>382</v>
      </c>
      <c r="G1528" s="589">
        <v>46226</v>
      </c>
      <c r="H1528" s="450"/>
      <c r="I1528" s="496" t="s">
        <v>186</v>
      </c>
      <c r="J1528" s="295">
        <v>0.30625000000000002</v>
      </c>
      <c r="K1528" s="295">
        <v>0.79305555555555551</v>
      </c>
      <c r="L1528" s="451" t="s">
        <v>169</v>
      </c>
      <c r="M1528" s="452">
        <v>8</v>
      </c>
      <c r="N1528" s="452">
        <v>2</v>
      </c>
      <c r="O1528" s="470"/>
      <c r="P1528" s="470"/>
      <c r="Q1528" s="453"/>
      <c r="R1528" s="452"/>
      <c r="S1528" s="452"/>
      <c r="T1528" s="453"/>
      <c r="U1528" s="452"/>
      <c r="V1528" s="453"/>
      <c r="W1528" s="454"/>
      <c r="X1528" s="455"/>
      <c r="Y1528" s="456"/>
      <c r="Z1528" s="457"/>
      <c r="AA1528" s="458"/>
      <c r="AB1528" s="443"/>
    </row>
    <row r="1529" spans="1:28" s="444" customFormat="1">
      <c r="A1529" s="459"/>
      <c r="B1529" s="446" t="s">
        <v>187</v>
      </c>
      <c r="C1529" s="447">
        <v>32488</v>
      </c>
      <c r="D1529" s="448" t="s">
        <v>382</v>
      </c>
      <c r="E1529" s="452" t="s">
        <v>265</v>
      </c>
      <c r="F1529" s="448" t="s">
        <v>382</v>
      </c>
      <c r="G1529" s="589">
        <v>46227</v>
      </c>
      <c r="H1529" s="450"/>
      <c r="I1529" s="496" t="s">
        <v>186</v>
      </c>
      <c r="J1529" s="295">
        <v>0.3125</v>
      </c>
      <c r="K1529" s="318">
        <v>0.7104166666666667</v>
      </c>
      <c r="L1529" s="451" t="s">
        <v>169</v>
      </c>
      <c r="M1529" s="452">
        <v>8</v>
      </c>
      <c r="N1529" s="471"/>
      <c r="O1529" s="471"/>
      <c r="P1529" s="471"/>
      <c r="Q1529" s="472"/>
      <c r="R1529" s="471"/>
      <c r="S1529" s="471"/>
      <c r="T1529" s="453"/>
      <c r="U1529" s="452"/>
      <c r="V1529" s="453"/>
      <c r="W1529" s="454"/>
      <c r="X1529" s="455"/>
      <c r="Y1529" s="456"/>
      <c r="Z1529" s="457"/>
      <c r="AA1529" s="458"/>
      <c r="AB1529" s="443"/>
    </row>
    <row r="1530" spans="1:28" s="444" customFormat="1">
      <c r="A1530" s="459"/>
      <c r="B1530" s="446" t="s">
        <v>187</v>
      </c>
      <c r="C1530" s="447">
        <v>32488</v>
      </c>
      <c r="D1530" s="448" t="s">
        <v>382</v>
      </c>
      <c r="E1530" s="452" t="s">
        <v>265</v>
      </c>
      <c r="F1530" s="448" t="s">
        <v>382</v>
      </c>
      <c r="G1530" s="589">
        <v>46228</v>
      </c>
      <c r="H1530" s="450"/>
      <c r="I1530" s="496" t="s">
        <v>186</v>
      </c>
      <c r="J1530" s="295"/>
      <c r="K1530" s="295"/>
      <c r="L1530" s="451"/>
      <c r="M1530" s="452"/>
      <c r="N1530" s="452"/>
      <c r="O1530" s="452"/>
      <c r="P1530" s="452"/>
      <c r="Q1530" s="453"/>
      <c r="R1530" s="452"/>
      <c r="S1530" s="473"/>
      <c r="T1530" s="453"/>
      <c r="U1530" s="452"/>
      <c r="V1530" s="453"/>
      <c r="W1530" s="454"/>
      <c r="X1530" s="455"/>
      <c r="Y1530" s="456"/>
      <c r="Z1530" s="457"/>
      <c r="AA1530" s="458"/>
      <c r="AB1530" s="443"/>
    </row>
    <row r="1531" spans="1:28" s="444" customFormat="1">
      <c r="A1531" s="459"/>
      <c r="B1531" s="446"/>
      <c r="C1531" s="505"/>
      <c r="D1531" s="449"/>
      <c r="E1531" s="488"/>
      <c r="F1531" s="449"/>
      <c r="G1531" s="600"/>
      <c r="H1531" s="450"/>
      <c r="I1531" s="496"/>
      <c r="J1531" s="474"/>
      <c r="K1531" s="475"/>
      <c r="L1531" s="476"/>
      <c r="M1531" s="477"/>
      <c r="N1531" s="477"/>
      <c r="O1531" s="477"/>
      <c r="P1531" s="477"/>
      <c r="Q1531" s="478"/>
      <c r="R1531" s="477"/>
      <c r="S1531" s="479"/>
      <c r="T1531" s="453"/>
      <c r="U1531" s="452"/>
      <c r="V1531" s="453"/>
      <c r="W1531" s="454"/>
      <c r="X1531" s="455"/>
      <c r="Y1531" s="456"/>
      <c r="Z1531" s="457"/>
      <c r="AA1531" s="458"/>
      <c r="AB1531" s="443"/>
    </row>
    <row r="1532" spans="1:28" s="444" customFormat="1">
      <c r="A1532" s="480"/>
      <c r="B1532" s="481"/>
      <c r="C1532" s="446"/>
      <c r="D1532" s="481"/>
      <c r="E1532" s="449"/>
      <c r="F1532" s="481"/>
      <c r="G1532" s="601"/>
      <c r="H1532" s="482"/>
      <c r="I1532" s="483"/>
      <c r="J1532" s="484"/>
      <c r="K1532" s="485"/>
      <c r="L1532" s="483"/>
      <c r="M1532" s="483">
        <f t="shared" ref="M1532:AA1532" si="85">SUM(M1515:M1531)</f>
        <v>96</v>
      </c>
      <c r="N1532" s="483">
        <f t="shared" si="85"/>
        <v>12</v>
      </c>
      <c r="O1532" s="483">
        <f t="shared" si="85"/>
        <v>0</v>
      </c>
      <c r="P1532" s="483">
        <f t="shared" si="85"/>
        <v>0</v>
      </c>
      <c r="Q1532" s="483">
        <f t="shared" si="85"/>
        <v>0</v>
      </c>
      <c r="R1532" s="483">
        <f t="shared" si="85"/>
        <v>0</v>
      </c>
      <c r="S1532" s="483">
        <f t="shared" si="85"/>
        <v>0</v>
      </c>
      <c r="T1532" s="483">
        <f t="shared" si="85"/>
        <v>0</v>
      </c>
      <c r="U1532" s="483">
        <f t="shared" si="85"/>
        <v>0</v>
      </c>
      <c r="V1532" s="483">
        <f t="shared" si="85"/>
        <v>0</v>
      </c>
      <c r="W1532" s="483">
        <f t="shared" si="85"/>
        <v>0</v>
      </c>
      <c r="X1532" s="483">
        <f t="shared" si="85"/>
        <v>0</v>
      </c>
      <c r="Y1532" s="483">
        <f t="shared" si="85"/>
        <v>0</v>
      </c>
      <c r="Z1532" s="483">
        <f t="shared" si="85"/>
        <v>0</v>
      </c>
      <c r="AA1532" s="483">
        <f t="shared" si="85"/>
        <v>0</v>
      </c>
      <c r="AB1532" s="443"/>
    </row>
    <row r="1533" spans="1:28" s="444" customFormat="1">
      <c r="A1533" s="435" t="s">
        <v>170</v>
      </c>
      <c r="B1533" s="435" t="s">
        <v>120</v>
      </c>
      <c r="C1533" s="435" t="s">
        <v>152</v>
      </c>
      <c r="D1533" s="435" t="s">
        <v>182</v>
      </c>
      <c r="E1533" s="436" t="s">
        <v>153</v>
      </c>
      <c r="F1533" s="435" t="s">
        <v>182</v>
      </c>
      <c r="G1533" s="608" t="s">
        <v>401</v>
      </c>
      <c r="H1533" s="437"/>
      <c r="I1533" s="438" t="s">
        <v>181</v>
      </c>
      <c r="J1533" s="538" t="s">
        <v>154</v>
      </c>
      <c r="K1533" s="538" t="s">
        <v>155</v>
      </c>
      <c r="L1533" s="438" t="s">
        <v>156</v>
      </c>
      <c r="M1533" s="539" t="s">
        <v>157</v>
      </c>
      <c r="N1533" s="438" t="s">
        <v>158</v>
      </c>
      <c r="O1533" s="438" t="s">
        <v>159</v>
      </c>
      <c r="P1533" s="438" t="s">
        <v>174</v>
      </c>
      <c r="Q1533" s="438" t="s">
        <v>160</v>
      </c>
      <c r="R1533" s="438" t="s">
        <v>161</v>
      </c>
      <c r="S1533" s="438" t="s">
        <v>162</v>
      </c>
      <c r="T1533" s="438" t="s">
        <v>163</v>
      </c>
      <c r="U1533" s="438" t="s">
        <v>164</v>
      </c>
      <c r="V1533" s="438" t="s">
        <v>165</v>
      </c>
      <c r="W1533" s="440" t="s">
        <v>113</v>
      </c>
      <c r="X1533" s="438" t="s">
        <v>121</v>
      </c>
      <c r="Y1533" s="438" t="s">
        <v>166</v>
      </c>
      <c r="Z1533" s="442" t="s">
        <v>175</v>
      </c>
      <c r="AA1533" s="442" t="s">
        <v>167</v>
      </c>
      <c r="AB1533" s="443"/>
    </row>
    <row r="1534" spans="1:28" s="444" customFormat="1">
      <c r="A1534" s="445"/>
      <c r="B1534" s="446" t="s">
        <v>187</v>
      </c>
      <c r="C1534" s="447">
        <v>32458</v>
      </c>
      <c r="D1534" s="448" t="s">
        <v>383</v>
      </c>
      <c r="E1534" s="486" t="s">
        <v>264</v>
      </c>
      <c r="F1534" s="448" t="s">
        <v>383</v>
      </c>
      <c r="G1534" s="589">
        <v>46214</v>
      </c>
      <c r="H1534" s="450"/>
      <c r="I1534" s="496" t="s">
        <v>186</v>
      </c>
      <c r="J1534" s="295">
        <v>0.31041666666666667</v>
      </c>
      <c r="K1534" s="295">
        <v>0.71111111111111114</v>
      </c>
      <c r="L1534" s="451" t="s">
        <v>169</v>
      </c>
      <c r="M1534" s="452">
        <v>8</v>
      </c>
      <c r="N1534" s="452"/>
      <c r="O1534" s="452"/>
      <c r="P1534" s="452"/>
      <c r="Q1534" s="453"/>
      <c r="R1534" s="452"/>
      <c r="S1534" s="452"/>
      <c r="T1534" s="453"/>
      <c r="U1534" s="452"/>
      <c r="V1534" s="453"/>
      <c r="W1534" s="454"/>
      <c r="X1534" s="455"/>
      <c r="Y1534" s="456"/>
      <c r="Z1534" s="457"/>
      <c r="AA1534" s="458"/>
      <c r="AB1534" s="443"/>
    </row>
    <row r="1535" spans="1:28" s="444" customFormat="1">
      <c r="A1535" s="459"/>
      <c r="B1535" s="446" t="s">
        <v>187</v>
      </c>
      <c r="C1535" s="447">
        <v>32458</v>
      </c>
      <c r="D1535" s="448" t="s">
        <v>383</v>
      </c>
      <c r="E1535" s="486" t="s">
        <v>264</v>
      </c>
      <c r="F1535" s="448" t="s">
        <v>383</v>
      </c>
      <c r="G1535" s="590">
        <v>46215</v>
      </c>
      <c r="H1535" s="450"/>
      <c r="I1535" s="496"/>
      <c r="J1535" s="699" t="s">
        <v>173</v>
      </c>
      <c r="K1535" s="700"/>
      <c r="L1535" s="451"/>
      <c r="M1535" s="452"/>
      <c r="N1535" s="452"/>
      <c r="O1535" s="452"/>
      <c r="P1535" s="452"/>
      <c r="Q1535" s="453"/>
      <c r="R1535" s="452"/>
      <c r="S1535" s="452"/>
      <c r="T1535" s="453"/>
      <c r="U1535" s="452"/>
      <c r="V1535" s="453"/>
      <c r="W1535" s="454"/>
      <c r="X1535" s="455"/>
      <c r="Y1535" s="456"/>
      <c r="Z1535" s="457"/>
      <c r="AA1535" s="458"/>
      <c r="AB1535" s="443"/>
    </row>
    <row r="1536" spans="1:28" s="444" customFormat="1">
      <c r="A1536" s="459"/>
      <c r="B1536" s="446" t="s">
        <v>187</v>
      </c>
      <c r="C1536" s="447">
        <v>32458</v>
      </c>
      <c r="D1536" s="448" t="s">
        <v>383</v>
      </c>
      <c r="E1536" s="486" t="s">
        <v>264</v>
      </c>
      <c r="F1536" s="448" t="s">
        <v>383</v>
      </c>
      <c r="G1536" s="589">
        <v>46216</v>
      </c>
      <c r="H1536" s="450"/>
      <c r="I1536" s="496" t="s">
        <v>186</v>
      </c>
      <c r="J1536" s="382">
        <v>0.31944444444444442</v>
      </c>
      <c r="K1536" s="382">
        <v>0.79305555555555551</v>
      </c>
      <c r="L1536" s="451" t="s">
        <v>169</v>
      </c>
      <c r="M1536" s="452">
        <v>8</v>
      </c>
      <c r="N1536" s="452">
        <v>2</v>
      </c>
      <c r="O1536" s="462"/>
      <c r="P1536" s="462"/>
      <c r="Q1536" s="461"/>
      <c r="R1536" s="452"/>
      <c r="S1536" s="452"/>
      <c r="T1536" s="453"/>
      <c r="U1536" s="452"/>
      <c r="V1536" s="453"/>
      <c r="W1536" s="454"/>
      <c r="X1536" s="455"/>
      <c r="Y1536" s="456"/>
      <c r="Z1536" s="457"/>
      <c r="AA1536" s="458"/>
      <c r="AB1536" s="443"/>
    </row>
    <row r="1537" spans="1:28" s="444" customFormat="1">
      <c r="A1537" s="459"/>
      <c r="B1537" s="446" t="s">
        <v>187</v>
      </c>
      <c r="C1537" s="447">
        <v>32458</v>
      </c>
      <c r="D1537" s="448" t="s">
        <v>383</v>
      </c>
      <c r="E1537" s="486" t="s">
        <v>264</v>
      </c>
      <c r="F1537" s="448" t="s">
        <v>383</v>
      </c>
      <c r="G1537" s="589">
        <v>46217</v>
      </c>
      <c r="H1537" s="450"/>
      <c r="I1537" s="496" t="s">
        <v>186</v>
      </c>
      <c r="J1537" s="382">
        <v>0.32847222222222222</v>
      </c>
      <c r="K1537" s="382">
        <v>0.79236111111111107</v>
      </c>
      <c r="L1537" s="451" t="s">
        <v>169</v>
      </c>
      <c r="M1537" s="452">
        <v>8</v>
      </c>
      <c r="N1537" s="452">
        <v>2</v>
      </c>
      <c r="O1537" s="462"/>
      <c r="P1537" s="462"/>
      <c r="Q1537" s="461"/>
      <c r="R1537" s="462"/>
      <c r="S1537" s="462"/>
      <c r="T1537" s="461"/>
      <c r="U1537" s="462"/>
      <c r="V1537" s="461"/>
      <c r="W1537" s="463"/>
      <c r="X1537" s="464"/>
      <c r="Y1537" s="465"/>
      <c r="Z1537" s="466"/>
      <c r="AA1537" s="467"/>
      <c r="AB1537" s="443"/>
    </row>
    <row r="1538" spans="1:28" s="444" customFormat="1">
      <c r="A1538" s="459"/>
      <c r="B1538" s="446" t="s">
        <v>187</v>
      </c>
      <c r="C1538" s="447">
        <v>32458</v>
      </c>
      <c r="D1538" s="448" t="s">
        <v>383</v>
      </c>
      <c r="E1538" s="486" t="s">
        <v>264</v>
      </c>
      <c r="F1538" s="448" t="s">
        <v>383</v>
      </c>
      <c r="G1538" s="589">
        <v>46218</v>
      </c>
      <c r="H1538" s="450"/>
      <c r="I1538" s="496" t="s">
        <v>186</v>
      </c>
      <c r="J1538" s="305">
        <v>0.31875000000000003</v>
      </c>
      <c r="K1538" s="305">
        <v>0.79305555555555562</v>
      </c>
      <c r="L1538" s="451" t="s">
        <v>169</v>
      </c>
      <c r="M1538" s="452">
        <v>8</v>
      </c>
      <c r="N1538" s="452">
        <v>2</v>
      </c>
      <c r="O1538" s="452"/>
      <c r="P1538" s="452"/>
      <c r="Q1538" s="453"/>
      <c r="R1538" s="452"/>
      <c r="S1538" s="452"/>
      <c r="T1538" s="453"/>
      <c r="U1538" s="452"/>
      <c r="V1538" s="453"/>
      <c r="W1538" s="454"/>
      <c r="X1538" s="455"/>
      <c r="Y1538" s="456"/>
      <c r="Z1538" s="457"/>
      <c r="AA1538" s="458"/>
      <c r="AB1538" s="443"/>
    </row>
    <row r="1539" spans="1:28" s="444" customFormat="1">
      <c r="A1539" s="459"/>
      <c r="B1539" s="446" t="s">
        <v>187</v>
      </c>
      <c r="C1539" s="447">
        <v>32458</v>
      </c>
      <c r="D1539" s="448" t="s">
        <v>383</v>
      </c>
      <c r="E1539" s="486" t="s">
        <v>264</v>
      </c>
      <c r="F1539" s="448" t="s">
        <v>383</v>
      </c>
      <c r="G1539" s="589">
        <v>46219</v>
      </c>
      <c r="H1539" s="450"/>
      <c r="I1539" s="496" t="s">
        <v>186</v>
      </c>
      <c r="J1539" s="305">
        <v>0.32083333333333336</v>
      </c>
      <c r="K1539" s="305">
        <v>0.79305555555555562</v>
      </c>
      <c r="L1539" s="451" t="s">
        <v>169</v>
      </c>
      <c r="M1539" s="452">
        <v>8</v>
      </c>
      <c r="N1539" s="452">
        <v>2</v>
      </c>
      <c r="O1539" s="452"/>
      <c r="P1539" s="452"/>
      <c r="Q1539" s="453"/>
      <c r="R1539" s="452"/>
      <c r="S1539" s="452"/>
      <c r="T1539" s="453"/>
      <c r="U1539" s="452"/>
      <c r="V1539" s="453"/>
      <c r="W1539" s="454"/>
      <c r="X1539" s="455"/>
      <c r="Y1539" s="456"/>
      <c r="Z1539" s="457"/>
      <c r="AA1539" s="458"/>
      <c r="AB1539" s="443"/>
    </row>
    <row r="1540" spans="1:28" s="444" customFormat="1">
      <c r="A1540" s="459"/>
      <c r="B1540" s="446" t="s">
        <v>187</v>
      </c>
      <c r="C1540" s="447">
        <v>32458</v>
      </c>
      <c r="D1540" s="448" t="s">
        <v>383</v>
      </c>
      <c r="E1540" s="486" t="s">
        <v>264</v>
      </c>
      <c r="F1540" s="448" t="s">
        <v>383</v>
      </c>
      <c r="G1540" s="589">
        <v>46220</v>
      </c>
      <c r="H1540" s="450"/>
      <c r="I1540" s="496" t="s">
        <v>186</v>
      </c>
      <c r="J1540" s="305">
        <v>0.31805555555555554</v>
      </c>
      <c r="K1540" s="305">
        <v>0.70972222222222225</v>
      </c>
      <c r="L1540" s="451" t="s">
        <v>169</v>
      </c>
      <c r="M1540" s="452">
        <v>8</v>
      </c>
      <c r="N1540" s="452"/>
      <c r="O1540" s="452"/>
      <c r="P1540" s="452"/>
      <c r="Q1540" s="453"/>
      <c r="R1540" s="452"/>
      <c r="S1540" s="452"/>
      <c r="T1540" s="453"/>
      <c r="U1540" s="452"/>
      <c r="V1540" s="453"/>
      <c r="W1540" s="454"/>
      <c r="X1540" s="455"/>
      <c r="Y1540" s="456"/>
      <c r="Z1540" s="457"/>
      <c r="AA1540" s="458"/>
      <c r="AB1540" s="443"/>
    </row>
    <row r="1541" spans="1:28" s="444" customFormat="1">
      <c r="A1541" s="459"/>
      <c r="B1541" s="446" t="s">
        <v>187</v>
      </c>
      <c r="C1541" s="447">
        <v>32458</v>
      </c>
      <c r="D1541" s="448" t="s">
        <v>383</v>
      </c>
      <c r="E1541" s="486" t="s">
        <v>264</v>
      </c>
      <c r="F1541" s="448" t="s">
        <v>383</v>
      </c>
      <c r="G1541" s="589">
        <v>46221</v>
      </c>
      <c r="H1541" s="450"/>
      <c r="I1541" s="496" t="s">
        <v>186</v>
      </c>
      <c r="J1541" s="305">
        <v>0.32916666666666666</v>
      </c>
      <c r="K1541" s="305">
        <v>0.70972222222222225</v>
      </c>
      <c r="L1541" s="451" t="s">
        <v>169</v>
      </c>
      <c r="M1541" s="452">
        <v>8</v>
      </c>
      <c r="N1541" s="452"/>
      <c r="O1541" s="452"/>
      <c r="P1541" s="452"/>
      <c r="Q1541" s="453"/>
      <c r="R1541" s="452"/>
      <c r="S1541" s="452"/>
      <c r="T1541" s="453"/>
      <c r="U1541" s="452"/>
      <c r="V1541" s="453"/>
      <c r="W1541" s="454"/>
      <c r="X1541" s="455"/>
      <c r="Y1541" s="456"/>
      <c r="Z1541" s="457"/>
      <c r="AA1541" s="458"/>
      <c r="AB1541" s="443"/>
    </row>
    <row r="1542" spans="1:28" s="444" customFormat="1">
      <c r="A1542" s="459"/>
      <c r="B1542" s="446" t="s">
        <v>187</v>
      </c>
      <c r="C1542" s="447">
        <v>32458</v>
      </c>
      <c r="D1542" s="448" t="s">
        <v>383</v>
      </c>
      <c r="E1542" s="486" t="s">
        <v>264</v>
      </c>
      <c r="F1542" s="448" t="s">
        <v>383</v>
      </c>
      <c r="G1542" s="590">
        <v>46222</v>
      </c>
      <c r="H1542" s="450"/>
      <c r="I1542" s="496"/>
      <c r="J1542" s="699" t="s">
        <v>173</v>
      </c>
      <c r="K1542" s="700"/>
      <c r="L1542" s="451"/>
      <c r="M1542" s="452"/>
      <c r="N1542" s="452"/>
      <c r="O1542" s="452"/>
      <c r="P1542" s="452"/>
      <c r="Q1542" s="453"/>
      <c r="R1542" s="452"/>
      <c r="S1542" s="452"/>
      <c r="T1542" s="453"/>
      <c r="U1542" s="452"/>
      <c r="V1542" s="453"/>
      <c r="W1542" s="454"/>
      <c r="X1542" s="455"/>
      <c r="Y1542" s="456"/>
      <c r="Z1542" s="457"/>
      <c r="AA1542" s="458"/>
      <c r="AB1542" s="443"/>
    </row>
    <row r="1543" spans="1:28" s="444" customFormat="1">
      <c r="A1543" s="459"/>
      <c r="B1543" s="446" t="s">
        <v>187</v>
      </c>
      <c r="C1543" s="447">
        <v>32458</v>
      </c>
      <c r="D1543" s="448" t="s">
        <v>383</v>
      </c>
      <c r="E1543" s="486" t="s">
        <v>264</v>
      </c>
      <c r="F1543" s="448" t="s">
        <v>383</v>
      </c>
      <c r="G1543" s="589">
        <v>46223</v>
      </c>
      <c r="H1543" s="450"/>
      <c r="I1543" s="496" t="s">
        <v>186</v>
      </c>
      <c r="J1543" s="305">
        <v>0.31805555555555554</v>
      </c>
      <c r="K1543" s="305">
        <v>0.79305555555555551</v>
      </c>
      <c r="L1543" s="451" t="s">
        <v>169</v>
      </c>
      <c r="M1543" s="452">
        <v>8</v>
      </c>
      <c r="N1543" s="452">
        <v>2</v>
      </c>
      <c r="O1543" s="462"/>
      <c r="P1543" s="462"/>
      <c r="Q1543" s="461"/>
      <c r="R1543" s="462"/>
      <c r="S1543" s="462"/>
      <c r="T1543" s="461"/>
      <c r="U1543" s="462"/>
      <c r="V1543" s="461"/>
      <c r="W1543" s="454"/>
      <c r="X1543" s="455"/>
      <c r="Y1543" s="456"/>
      <c r="Z1543" s="457"/>
      <c r="AA1543" s="458"/>
      <c r="AB1543" s="443"/>
    </row>
    <row r="1544" spans="1:28" s="444" customFormat="1">
      <c r="A1544" s="459"/>
      <c r="B1544" s="446" t="s">
        <v>187</v>
      </c>
      <c r="C1544" s="447">
        <v>32458</v>
      </c>
      <c r="D1544" s="448" t="s">
        <v>383</v>
      </c>
      <c r="E1544" s="486" t="s">
        <v>264</v>
      </c>
      <c r="F1544" s="448" t="s">
        <v>383</v>
      </c>
      <c r="G1544" s="589">
        <v>46224</v>
      </c>
      <c r="H1544" s="450"/>
      <c r="I1544" s="496" t="s">
        <v>186</v>
      </c>
      <c r="J1544" s="305">
        <v>0.31805555555555554</v>
      </c>
      <c r="K1544" s="305">
        <v>0.79305555555555551</v>
      </c>
      <c r="L1544" s="451" t="s">
        <v>169</v>
      </c>
      <c r="M1544" s="452">
        <v>8</v>
      </c>
      <c r="N1544" s="452">
        <v>2</v>
      </c>
      <c r="O1544" s="469"/>
      <c r="P1544" s="469"/>
      <c r="Q1544" s="468"/>
      <c r="R1544" s="469"/>
      <c r="S1544" s="469"/>
      <c r="T1544" s="461"/>
      <c r="U1544" s="462"/>
      <c r="V1544" s="461"/>
      <c r="W1544" s="463"/>
      <c r="X1544" s="464"/>
      <c r="Y1544" s="465"/>
      <c r="Z1544" s="466"/>
      <c r="AA1544" s="467"/>
      <c r="AB1544" s="443"/>
    </row>
    <row r="1545" spans="1:28" s="444" customFormat="1">
      <c r="A1545" s="459"/>
      <c r="B1545" s="446" t="s">
        <v>187</v>
      </c>
      <c r="C1545" s="447">
        <v>32458</v>
      </c>
      <c r="D1545" s="448" t="s">
        <v>383</v>
      </c>
      <c r="E1545" s="486" t="s">
        <v>264</v>
      </c>
      <c r="F1545" s="448" t="s">
        <v>383</v>
      </c>
      <c r="G1545" s="589">
        <v>46225</v>
      </c>
      <c r="H1545" s="450"/>
      <c r="I1545" s="496" t="s">
        <v>186</v>
      </c>
      <c r="J1545" s="295">
        <v>0.32013888888888886</v>
      </c>
      <c r="K1545" s="295">
        <v>0.79305555555555551</v>
      </c>
      <c r="L1545" s="451" t="s">
        <v>169</v>
      </c>
      <c r="M1545" s="452">
        <v>8</v>
      </c>
      <c r="N1545" s="452">
        <v>2</v>
      </c>
      <c r="O1545" s="452"/>
      <c r="P1545" s="452"/>
      <c r="Q1545" s="453"/>
      <c r="R1545" s="452"/>
      <c r="S1545" s="452"/>
      <c r="T1545" s="453"/>
      <c r="U1545" s="452"/>
      <c r="V1545" s="453"/>
      <c r="W1545" s="454"/>
      <c r="X1545" s="455"/>
      <c r="Y1545" s="456"/>
      <c r="Z1545" s="457"/>
      <c r="AA1545" s="458"/>
      <c r="AB1545" s="443"/>
    </row>
    <row r="1546" spans="1:28" s="444" customFormat="1">
      <c r="A1546" s="459"/>
      <c r="B1546" s="446" t="s">
        <v>187</v>
      </c>
      <c r="C1546" s="447">
        <v>32458</v>
      </c>
      <c r="D1546" s="448" t="s">
        <v>383</v>
      </c>
      <c r="E1546" s="486" t="s">
        <v>264</v>
      </c>
      <c r="F1546" s="448" t="s">
        <v>383</v>
      </c>
      <c r="G1546" s="589">
        <v>46226</v>
      </c>
      <c r="H1546" s="450"/>
      <c r="I1546" s="496" t="s">
        <v>186</v>
      </c>
      <c r="J1546" s="295">
        <v>0.31458333333333333</v>
      </c>
      <c r="K1546" s="295">
        <v>0.79374999999999996</v>
      </c>
      <c r="L1546" s="451" t="s">
        <v>169</v>
      </c>
      <c r="M1546" s="452">
        <v>8</v>
      </c>
      <c r="N1546" s="452">
        <v>2</v>
      </c>
      <c r="O1546" s="470"/>
      <c r="P1546" s="470"/>
      <c r="Q1546" s="453"/>
      <c r="R1546" s="452"/>
      <c r="S1546" s="452"/>
      <c r="T1546" s="453"/>
      <c r="U1546" s="452"/>
      <c r="V1546" s="453"/>
      <c r="W1546" s="454"/>
      <c r="X1546" s="455"/>
      <c r="Y1546" s="456"/>
      <c r="Z1546" s="457"/>
      <c r="AA1546" s="458"/>
      <c r="AB1546" s="443"/>
    </row>
    <row r="1547" spans="1:28" s="444" customFormat="1">
      <c r="A1547" s="459"/>
      <c r="B1547" s="446" t="s">
        <v>187</v>
      </c>
      <c r="C1547" s="447">
        <v>32458</v>
      </c>
      <c r="D1547" s="448" t="s">
        <v>383</v>
      </c>
      <c r="E1547" s="486" t="s">
        <v>264</v>
      </c>
      <c r="F1547" s="448" t="s">
        <v>383</v>
      </c>
      <c r="G1547" s="589">
        <v>46227</v>
      </c>
      <c r="H1547" s="450"/>
      <c r="I1547" s="496" t="s">
        <v>186</v>
      </c>
      <c r="J1547" s="295">
        <v>0.32291666666666669</v>
      </c>
      <c r="K1547" s="318">
        <v>0.7104166666666667</v>
      </c>
      <c r="L1547" s="451" t="s">
        <v>169</v>
      </c>
      <c r="M1547" s="452">
        <v>8</v>
      </c>
      <c r="N1547" s="471"/>
      <c r="O1547" s="471"/>
      <c r="P1547" s="471"/>
      <c r="Q1547" s="472"/>
      <c r="R1547" s="471"/>
      <c r="S1547" s="471"/>
      <c r="T1547" s="453"/>
      <c r="U1547" s="452"/>
      <c r="V1547" s="453"/>
      <c r="W1547" s="454"/>
      <c r="X1547" s="455"/>
      <c r="Y1547" s="456"/>
      <c r="Z1547" s="457"/>
      <c r="AA1547" s="458"/>
      <c r="AB1547" s="443"/>
    </row>
    <row r="1548" spans="1:28" s="444" customFormat="1">
      <c r="A1548" s="459"/>
      <c r="B1548" s="446" t="s">
        <v>187</v>
      </c>
      <c r="C1548" s="447">
        <v>32458</v>
      </c>
      <c r="D1548" s="448" t="s">
        <v>383</v>
      </c>
      <c r="E1548" s="486" t="s">
        <v>264</v>
      </c>
      <c r="F1548" s="448" t="s">
        <v>383</v>
      </c>
      <c r="G1548" s="589">
        <v>46228</v>
      </c>
      <c r="H1548" s="450"/>
      <c r="I1548" s="496" t="s">
        <v>186</v>
      </c>
      <c r="J1548" s="295"/>
      <c r="K1548" s="295"/>
      <c r="L1548" s="451"/>
      <c r="M1548" s="452"/>
      <c r="N1548" s="452"/>
      <c r="O1548" s="452"/>
      <c r="P1548" s="452"/>
      <c r="Q1548" s="453"/>
      <c r="R1548" s="452"/>
      <c r="S1548" s="473"/>
      <c r="T1548" s="453"/>
      <c r="U1548" s="452"/>
      <c r="V1548" s="453"/>
      <c r="W1548" s="454"/>
      <c r="X1548" s="455"/>
      <c r="Y1548" s="456"/>
      <c r="Z1548" s="457"/>
      <c r="AA1548" s="458"/>
      <c r="AB1548" s="443"/>
    </row>
    <row r="1549" spans="1:28" s="444" customFormat="1">
      <c r="A1549" s="459"/>
      <c r="B1549" s="446"/>
      <c r="C1549" s="447"/>
      <c r="D1549" s="448"/>
      <c r="E1549" s="486"/>
      <c r="F1549" s="448"/>
      <c r="G1549" s="609"/>
      <c r="H1549" s="450"/>
      <c r="I1549" s="541"/>
      <c r="J1549" s="474"/>
      <c r="K1549" s="475"/>
      <c r="L1549" s="476"/>
      <c r="M1549" s="477"/>
      <c r="N1549" s="477"/>
      <c r="O1549" s="477"/>
      <c r="P1549" s="477"/>
      <c r="Q1549" s="478"/>
      <c r="R1549" s="477"/>
      <c r="S1549" s="479"/>
      <c r="T1549" s="453"/>
      <c r="U1549" s="452"/>
      <c r="V1549" s="453"/>
      <c r="W1549" s="454"/>
      <c r="X1549" s="455"/>
      <c r="Y1549" s="456"/>
      <c r="Z1549" s="457"/>
      <c r="AA1549" s="458"/>
      <c r="AB1549" s="443"/>
    </row>
    <row r="1550" spans="1:28" s="444" customFormat="1">
      <c r="A1550" s="480"/>
      <c r="B1550" s="481"/>
      <c r="C1550" s="446"/>
      <c r="D1550" s="448"/>
      <c r="E1550" s="449"/>
      <c r="F1550" s="448"/>
      <c r="G1550" s="483"/>
      <c r="H1550" s="483"/>
      <c r="I1550" s="483"/>
      <c r="J1550" s="475"/>
      <c r="K1550" s="485"/>
      <c r="L1550" s="483"/>
      <c r="M1550" s="483">
        <f t="shared" ref="M1550:AA1550" si="86">SUM(M1533:M1549)</f>
        <v>96</v>
      </c>
      <c r="N1550" s="483">
        <f t="shared" si="86"/>
        <v>16</v>
      </c>
      <c r="O1550" s="483">
        <f t="shared" si="86"/>
        <v>0</v>
      </c>
      <c r="P1550" s="483">
        <f t="shared" si="86"/>
        <v>0</v>
      </c>
      <c r="Q1550" s="483">
        <f t="shared" si="86"/>
        <v>0</v>
      </c>
      <c r="R1550" s="483">
        <f t="shared" si="86"/>
        <v>0</v>
      </c>
      <c r="S1550" s="483">
        <f t="shared" si="86"/>
        <v>0</v>
      </c>
      <c r="T1550" s="483">
        <f t="shared" si="86"/>
        <v>0</v>
      </c>
      <c r="U1550" s="483">
        <f t="shared" si="86"/>
        <v>0</v>
      </c>
      <c r="V1550" s="483">
        <f t="shared" si="86"/>
        <v>0</v>
      </c>
      <c r="W1550" s="483">
        <f t="shared" si="86"/>
        <v>0</v>
      </c>
      <c r="X1550" s="483">
        <f t="shared" si="86"/>
        <v>0</v>
      </c>
      <c r="Y1550" s="483">
        <f t="shared" si="86"/>
        <v>0</v>
      </c>
      <c r="Z1550" s="483">
        <f t="shared" si="86"/>
        <v>0</v>
      </c>
      <c r="AA1550" s="483">
        <f t="shared" si="86"/>
        <v>0</v>
      </c>
      <c r="AB1550" s="443"/>
    </row>
    <row r="1551" spans="1:28" s="444" customFormat="1">
      <c r="A1551" s="435" t="s">
        <v>170</v>
      </c>
      <c r="B1551" s="435" t="s">
        <v>120</v>
      </c>
      <c r="C1551" s="435" t="s">
        <v>152</v>
      </c>
      <c r="D1551" s="435" t="s">
        <v>182</v>
      </c>
      <c r="E1551" s="436" t="s">
        <v>153</v>
      </c>
      <c r="F1551" s="435" t="s">
        <v>182</v>
      </c>
      <c r="G1551" s="608" t="s">
        <v>401</v>
      </c>
      <c r="H1551" s="437"/>
      <c r="I1551" s="438" t="s">
        <v>181</v>
      </c>
      <c r="J1551" s="538" t="s">
        <v>154</v>
      </c>
      <c r="K1551" s="538" t="s">
        <v>155</v>
      </c>
      <c r="L1551" s="438" t="s">
        <v>156</v>
      </c>
      <c r="M1551" s="539" t="s">
        <v>157</v>
      </c>
      <c r="N1551" s="438" t="s">
        <v>158</v>
      </c>
      <c r="O1551" s="438" t="s">
        <v>159</v>
      </c>
      <c r="P1551" s="438" t="s">
        <v>174</v>
      </c>
      <c r="Q1551" s="438" t="s">
        <v>160</v>
      </c>
      <c r="R1551" s="438" t="s">
        <v>161</v>
      </c>
      <c r="S1551" s="438" t="s">
        <v>162</v>
      </c>
      <c r="T1551" s="438" t="s">
        <v>163</v>
      </c>
      <c r="U1551" s="438" t="s">
        <v>164</v>
      </c>
      <c r="V1551" s="438" t="s">
        <v>165</v>
      </c>
      <c r="W1551" s="440" t="s">
        <v>113</v>
      </c>
      <c r="X1551" s="438" t="s">
        <v>121</v>
      </c>
      <c r="Y1551" s="438" t="s">
        <v>166</v>
      </c>
      <c r="Z1551" s="442" t="s">
        <v>175</v>
      </c>
      <c r="AA1551" s="442" t="s">
        <v>167</v>
      </c>
      <c r="AB1551" s="443"/>
    </row>
    <row r="1552" spans="1:28" s="444" customFormat="1">
      <c r="A1552" s="445"/>
      <c r="B1552" s="446" t="s">
        <v>187</v>
      </c>
      <c r="C1552" s="447">
        <v>32494</v>
      </c>
      <c r="D1552" s="448" t="s">
        <v>384</v>
      </c>
      <c r="E1552" s="486" t="s">
        <v>263</v>
      </c>
      <c r="F1552" s="448" t="s">
        <v>384</v>
      </c>
      <c r="G1552" s="589">
        <v>46214</v>
      </c>
      <c r="H1552" s="450"/>
      <c r="I1552" s="496" t="s">
        <v>186</v>
      </c>
      <c r="J1552" s="295">
        <v>0.31736111111111109</v>
      </c>
      <c r="K1552" s="295">
        <v>0.7104166666666667</v>
      </c>
      <c r="L1552" s="451" t="s">
        <v>169</v>
      </c>
      <c r="M1552" s="452">
        <v>8</v>
      </c>
      <c r="N1552" s="452"/>
      <c r="O1552" s="452"/>
      <c r="P1552" s="452"/>
      <c r="Q1552" s="453"/>
      <c r="R1552" s="452"/>
      <c r="S1552" s="452"/>
      <c r="T1552" s="453"/>
      <c r="U1552" s="452"/>
      <c r="V1552" s="453"/>
      <c r="W1552" s="454"/>
      <c r="X1552" s="455"/>
      <c r="Y1552" s="456"/>
      <c r="Z1552" s="457"/>
      <c r="AA1552" s="458"/>
      <c r="AB1552" s="443"/>
    </row>
    <row r="1553" spans="1:28" s="444" customFormat="1">
      <c r="A1553" s="459"/>
      <c r="B1553" s="446" t="s">
        <v>187</v>
      </c>
      <c r="C1553" s="447">
        <v>32494</v>
      </c>
      <c r="D1553" s="448" t="s">
        <v>384</v>
      </c>
      <c r="E1553" s="486" t="s">
        <v>263</v>
      </c>
      <c r="F1553" s="448" t="s">
        <v>384</v>
      </c>
      <c r="G1553" s="590">
        <v>46215</v>
      </c>
      <c r="H1553" s="450"/>
      <c r="I1553" s="496"/>
      <c r="J1553" s="699" t="s">
        <v>173</v>
      </c>
      <c r="K1553" s="700"/>
      <c r="L1553" s="451"/>
      <c r="M1553" s="452"/>
      <c r="N1553" s="452"/>
      <c r="O1553" s="452"/>
      <c r="P1553" s="452"/>
      <c r="Q1553" s="453"/>
      <c r="R1553" s="452"/>
      <c r="S1553" s="452"/>
      <c r="T1553" s="453"/>
      <c r="U1553" s="452"/>
      <c r="V1553" s="453"/>
      <c r="W1553" s="454"/>
      <c r="X1553" s="455"/>
      <c r="Y1553" s="456"/>
      <c r="Z1553" s="457"/>
      <c r="AA1553" s="458"/>
      <c r="AB1553" s="443"/>
    </row>
    <row r="1554" spans="1:28" s="444" customFormat="1">
      <c r="A1554" s="459"/>
      <c r="B1554" s="446" t="s">
        <v>187</v>
      </c>
      <c r="C1554" s="447">
        <v>32494</v>
      </c>
      <c r="D1554" s="448" t="s">
        <v>384</v>
      </c>
      <c r="E1554" s="486" t="s">
        <v>263</v>
      </c>
      <c r="F1554" s="448" t="s">
        <v>384</v>
      </c>
      <c r="G1554" s="589">
        <v>46216</v>
      </c>
      <c r="H1554" s="450"/>
      <c r="I1554" s="496" t="s">
        <v>186</v>
      </c>
      <c r="J1554" s="382">
        <v>0.31111111111111112</v>
      </c>
      <c r="K1554" s="382">
        <v>0.70833333333333337</v>
      </c>
      <c r="L1554" s="451" t="s">
        <v>169</v>
      </c>
      <c r="M1554" s="452">
        <v>8</v>
      </c>
      <c r="N1554" s="452"/>
      <c r="O1554" s="452"/>
      <c r="P1554" s="452"/>
      <c r="Q1554" s="453"/>
      <c r="R1554" s="452"/>
      <c r="S1554" s="452"/>
      <c r="T1554" s="453"/>
      <c r="U1554" s="452"/>
      <c r="V1554" s="453"/>
      <c r="W1554" s="454"/>
      <c r="X1554" s="455"/>
      <c r="Y1554" s="456"/>
      <c r="Z1554" s="457"/>
      <c r="AA1554" s="458"/>
      <c r="AB1554" s="443"/>
    </row>
    <row r="1555" spans="1:28" s="444" customFormat="1">
      <c r="A1555" s="459"/>
      <c r="B1555" s="446" t="s">
        <v>187</v>
      </c>
      <c r="C1555" s="447">
        <v>32494</v>
      </c>
      <c r="D1555" s="448" t="s">
        <v>384</v>
      </c>
      <c r="E1555" s="486" t="s">
        <v>263</v>
      </c>
      <c r="F1555" s="448" t="s">
        <v>384</v>
      </c>
      <c r="G1555" s="589">
        <v>46217</v>
      </c>
      <c r="H1555" s="450"/>
      <c r="I1555" s="496" t="s">
        <v>186</v>
      </c>
      <c r="J1555" s="305">
        <v>0.31666666666666665</v>
      </c>
      <c r="K1555" s="305">
        <v>0.79305555555555562</v>
      </c>
      <c r="L1555" s="451" t="s">
        <v>169</v>
      </c>
      <c r="M1555" s="452">
        <v>8</v>
      </c>
      <c r="N1555" s="452">
        <v>2</v>
      </c>
      <c r="O1555" s="462"/>
      <c r="P1555" s="462"/>
      <c r="Q1555" s="461"/>
      <c r="R1555" s="462"/>
      <c r="S1555" s="462"/>
      <c r="T1555" s="461"/>
      <c r="U1555" s="462"/>
      <c r="V1555" s="461"/>
      <c r="W1555" s="463"/>
      <c r="X1555" s="464"/>
      <c r="Y1555" s="465"/>
      <c r="Z1555" s="466"/>
      <c r="AA1555" s="467"/>
      <c r="AB1555" s="443"/>
    </row>
    <row r="1556" spans="1:28" s="444" customFormat="1">
      <c r="A1556" s="459"/>
      <c r="B1556" s="446" t="s">
        <v>187</v>
      </c>
      <c r="C1556" s="447">
        <v>32494</v>
      </c>
      <c r="D1556" s="448" t="s">
        <v>384</v>
      </c>
      <c r="E1556" s="486" t="s">
        <v>263</v>
      </c>
      <c r="F1556" s="448" t="s">
        <v>384</v>
      </c>
      <c r="G1556" s="589">
        <v>46218</v>
      </c>
      <c r="H1556" s="450"/>
      <c r="I1556" s="496" t="s">
        <v>186</v>
      </c>
      <c r="J1556" s="305">
        <v>0.31527777777777777</v>
      </c>
      <c r="K1556" s="305">
        <v>0.79305555555555562</v>
      </c>
      <c r="L1556" s="451" t="s">
        <v>169</v>
      </c>
      <c r="M1556" s="452">
        <v>8</v>
      </c>
      <c r="N1556" s="452">
        <v>2</v>
      </c>
      <c r="O1556" s="452"/>
      <c r="P1556" s="452"/>
      <c r="Q1556" s="453"/>
      <c r="R1556" s="452"/>
      <c r="S1556" s="452"/>
      <c r="T1556" s="453"/>
      <c r="U1556" s="452"/>
      <c r="V1556" s="453"/>
      <c r="W1556" s="454"/>
      <c r="X1556" s="455"/>
      <c r="Y1556" s="456"/>
      <c r="Z1556" s="457"/>
      <c r="AA1556" s="458"/>
      <c r="AB1556" s="443"/>
    </row>
    <row r="1557" spans="1:28" s="444" customFormat="1">
      <c r="A1557" s="459"/>
      <c r="B1557" s="446" t="s">
        <v>187</v>
      </c>
      <c r="C1557" s="447">
        <v>32494</v>
      </c>
      <c r="D1557" s="448" t="s">
        <v>384</v>
      </c>
      <c r="E1557" s="486" t="s">
        <v>263</v>
      </c>
      <c r="F1557" s="448" t="s">
        <v>384</v>
      </c>
      <c r="G1557" s="589">
        <v>46219</v>
      </c>
      <c r="H1557" s="450"/>
      <c r="I1557" s="496" t="s">
        <v>186</v>
      </c>
      <c r="J1557" s="305">
        <v>0.31597222222222221</v>
      </c>
      <c r="K1557" s="305">
        <v>0.79305555555555562</v>
      </c>
      <c r="L1557" s="451" t="s">
        <v>169</v>
      </c>
      <c r="M1557" s="452">
        <v>8</v>
      </c>
      <c r="N1557" s="452">
        <v>2</v>
      </c>
      <c r="O1557" s="452"/>
      <c r="P1557" s="452"/>
      <c r="Q1557" s="453"/>
      <c r="R1557" s="452"/>
      <c r="S1557" s="452"/>
      <c r="T1557" s="453"/>
      <c r="U1557" s="452"/>
      <c r="V1557" s="453"/>
      <c r="W1557" s="454"/>
      <c r="X1557" s="455"/>
      <c r="Y1557" s="456"/>
      <c r="Z1557" s="457"/>
      <c r="AA1557" s="458"/>
      <c r="AB1557" s="443"/>
    </row>
    <row r="1558" spans="1:28" s="444" customFormat="1">
      <c r="A1558" s="459"/>
      <c r="B1558" s="446" t="s">
        <v>187</v>
      </c>
      <c r="C1558" s="447">
        <v>32494</v>
      </c>
      <c r="D1558" s="448" t="s">
        <v>384</v>
      </c>
      <c r="E1558" s="486" t="s">
        <v>263</v>
      </c>
      <c r="F1558" s="448" t="s">
        <v>384</v>
      </c>
      <c r="G1558" s="589">
        <v>46220</v>
      </c>
      <c r="H1558" s="450"/>
      <c r="I1558" s="496" t="s">
        <v>186</v>
      </c>
      <c r="J1558" s="305">
        <v>0.31805555555555554</v>
      </c>
      <c r="K1558" s="305">
        <v>0.70972222222222225</v>
      </c>
      <c r="L1558" s="451" t="s">
        <v>169</v>
      </c>
      <c r="M1558" s="452">
        <v>8</v>
      </c>
      <c r="N1558" s="452"/>
      <c r="O1558" s="452"/>
      <c r="P1558" s="452"/>
      <c r="Q1558" s="453"/>
      <c r="R1558" s="452"/>
      <c r="S1558" s="452"/>
      <c r="T1558" s="453"/>
      <c r="U1558" s="452"/>
      <c r="V1558" s="453"/>
      <c r="W1558" s="454"/>
      <c r="X1558" s="455"/>
      <c r="Y1558" s="456"/>
      <c r="Z1558" s="457"/>
      <c r="AA1558" s="458"/>
      <c r="AB1558" s="443"/>
    </row>
    <row r="1559" spans="1:28" s="444" customFormat="1">
      <c r="A1559" s="459"/>
      <c r="B1559" s="446" t="s">
        <v>187</v>
      </c>
      <c r="C1559" s="447">
        <v>32494</v>
      </c>
      <c r="D1559" s="448" t="s">
        <v>384</v>
      </c>
      <c r="E1559" s="486" t="s">
        <v>263</v>
      </c>
      <c r="F1559" s="448" t="s">
        <v>384</v>
      </c>
      <c r="G1559" s="589">
        <v>46221</v>
      </c>
      <c r="H1559" s="450"/>
      <c r="I1559" s="496" t="s">
        <v>186</v>
      </c>
      <c r="J1559" s="305">
        <v>0.31944444444444442</v>
      </c>
      <c r="K1559" s="305">
        <v>0.7104166666666667</v>
      </c>
      <c r="L1559" s="451" t="s">
        <v>169</v>
      </c>
      <c r="M1559" s="452">
        <v>8</v>
      </c>
      <c r="N1559" s="452"/>
      <c r="O1559" s="452"/>
      <c r="P1559" s="452"/>
      <c r="Q1559" s="453"/>
      <c r="R1559" s="452"/>
      <c r="S1559" s="452"/>
      <c r="T1559" s="453"/>
      <c r="U1559" s="452"/>
      <c r="V1559" s="453"/>
      <c r="W1559" s="454"/>
      <c r="X1559" s="455"/>
      <c r="Y1559" s="456"/>
      <c r="Z1559" s="457"/>
      <c r="AA1559" s="458"/>
      <c r="AB1559" s="443"/>
    </row>
    <row r="1560" spans="1:28" s="444" customFormat="1">
      <c r="A1560" s="459"/>
      <c r="B1560" s="446" t="s">
        <v>187</v>
      </c>
      <c r="C1560" s="447">
        <v>32494</v>
      </c>
      <c r="D1560" s="448" t="s">
        <v>384</v>
      </c>
      <c r="E1560" s="486" t="s">
        <v>263</v>
      </c>
      <c r="F1560" s="448" t="s">
        <v>384</v>
      </c>
      <c r="G1560" s="590">
        <v>46222</v>
      </c>
      <c r="H1560" s="450"/>
      <c r="I1560" s="496"/>
      <c r="J1560" s="699" t="s">
        <v>173</v>
      </c>
      <c r="K1560" s="700"/>
      <c r="L1560" s="451"/>
      <c r="M1560" s="452"/>
      <c r="N1560" s="452"/>
      <c r="O1560" s="452"/>
      <c r="P1560" s="452"/>
      <c r="Q1560" s="453"/>
      <c r="R1560" s="452"/>
      <c r="S1560" s="452"/>
      <c r="T1560" s="453"/>
      <c r="U1560" s="452"/>
      <c r="V1560" s="453"/>
      <c r="W1560" s="454"/>
      <c r="X1560" s="455"/>
      <c r="Y1560" s="456"/>
      <c r="Z1560" s="457"/>
      <c r="AA1560" s="458"/>
      <c r="AB1560" s="443"/>
    </row>
    <row r="1561" spans="1:28" s="444" customFormat="1">
      <c r="A1561" s="459"/>
      <c r="B1561" s="446" t="s">
        <v>187</v>
      </c>
      <c r="C1561" s="447">
        <v>32494</v>
      </c>
      <c r="D1561" s="448" t="s">
        <v>384</v>
      </c>
      <c r="E1561" s="486" t="s">
        <v>263</v>
      </c>
      <c r="F1561" s="448" t="s">
        <v>384</v>
      </c>
      <c r="G1561" s="589">
        <v>46223</v>
      </c>
      <c r="H1561" s="450"/>
      <c r="I1561" s="496" t="s">
        <v>186</v>
      </c>
      <c r="J1561" s="295">
        <v>0.31874999999999998</v>
      </c>
      <c r="K1561" s="295">
        <v>0.79305555555555551</v>
      </c>
      <c r="L1561" s="451" t="s">
        <v>169</v>
      </c>
      <c r="M1561" s="452">
        <v>8</v>
      </c>
      <c r="N1561" s="452">
        <v>2</v>
      </c>
      <c r="O1561" s="462"/>
      <c r="P1561" s="462"/>
      <c r="Q1561" s="461"/>
      <c r="R1561" s="462"/>
      <c r="S1561" s="462"/>
      <c r="T1561" s="461"/>
      <c r="U1561" s="462"/>
      <c r="V1561" s="461"/>
      <c r="W1561" s="454"/>
      <c r="X1561" s="455"/>
      <c r="Y1561" s="456"/>
      <c r="Z1561" s="457"/>
      <c r="AA1561" s="458"/>
      <c r="AB1561" s="443"/>
    </row>
    <row r="1562" spans="1:28" s="444" customFormat="1">
      <c r="A1562" s="459"/>
      <c r="B1562" s="446" t="s">
        <v>187</v>
      </c>
      <c r="C1562" s="447">
        <v>32494</v>
      </c>
      <c r="D1562" s="448" t="s">
        <v>384</v>
      </c>
      <c r="E1562" s="486" t="s">
        <v>263</v>
      </c>
      <c r="F1562" s="448" t="s">
        <v>384</v>
      </c>
      <c r="G1562" s="589">
        <v>46224</v>
      </c>
      <c r="H1562" s="450"/>
      <c r="I1562" s="496" t="s">
        <v>186</v>
      </c>
      <c r="J1562" s="295">
        <v>0.31805555555555554</v>
      </c>
      <c r="K1562" s="295">
        <v>0.70972222222222225</v>
      </c>
      <c r="L1562" s="451" t="s">
        <v>169</v>
      </c>
      <c r="M1562" s="452">
        <v>8</v>
      </c>
      <c r="N1562" s="477"/>
      <c r="O1562" s="469"/>
      <c r="P1562" s="469"/>
      <c r="Q1562" s="468"/>
      <c r="R1562" s="469"/>
      <c r="S1562" s="469"/>
      <c r="T1562" s="461"/>
      <c r="U1562" s="462"/>
      <c r="V1562" s="461"/>
      <c r="W1562" s="463"/>
      <c r="X1562" s="464"/>
      <c r="Y1562" s="465"/>
      <c r="Z1562" s="466"/>
      <c r="AA1562" s="467"/>
      <c r="AB1562" s="443"/>
    </row>
    <row r="1563" spans="1:28" s="444" customFormat="1">
      <c r="A1563" s="459"/>
      <c r="B1563" s="446" t="s">
        <v>187</v>
      </c>
      <c r="C1563" s="447">
        <v>32494</v>
      </c>
      <c r="D1563" s="448" t="s">
        <v>384</v>
      </c>
      <c r="E1563" s="486" t="s">
        <v>263</v>
      </c>
      <c r="F1563" s="448" t="s">
        <v>384</v>
      </c>
      <c r="G1563" s="589">
        <v>46225</v>
      </c>
      <c r="H1563" s="450"/>
      <c r="I1563" s="496" t="s">
        <v>186</v>
      </c>
      <c r="J1563" s="295">
        <v>0.31527777777777777</v>
      </c>
      <c r="K1563" s="295">
        <v>0.79305555555555551</v>
      </c>
      <c r="L1563" s="451" t="s">
        <v>169</v>
      </c>
      <c r="M1563" s="452">
        <v>8</v>
      </c>
      <c r="N1563" s="452">
        <v>2</v>
      </c>
      <c r="O1563" s="452"/>
      <c r="P1563" s="452"/>
      <c r="Q1563" s="453"/>
      <c r="R1563" s="452"/>
      <c r="S1563" s="452"/>
      <c r="T1563" s="453"/>
      <c r="U1563" s="452"/>
      <c r="V1563" s="453"/>
      <c r="W1563" s="454"/>
      <c r="X1563" s="455"/>
      <c r="Y1563" s="456"/>
      <c r="Z1563" s="457"/>
      <c r="AA1563" s="458"/>
      <c r="AB1563" s="443"/>
    </row>
    <row r="1564" spans="1:28" s="444" customFormat="1">
      <c r="A1564" s="459"/>
      <c r="B1564" s="446" t="s">
        <v>187</v>
      </c>
      <c r="C1564" s="447">
        <v>32494</v>
      </c>
      <c r="D1564" s="448" t="s">
        <v>384</v>
      </c>
      <c r="E1564" s="486" t="s">
        <v>263</v>
      </c>
      <c r="F1564" s="448" t="s">
        <v>384</v>
      </c>
      <c r="G1564" s="589">
        <v>46226</v>
      </c>
      <c r="H1564" s="450"/>
      <c r="I1564" s="496" t="s">
        <v>186</v>
      </c>
      <c r="J1564" s="295">
        <v>0.31458333333333333</v>
      </c>
      <c r="K1564" s="295">
        <v>0.79374999999999996</v>
      </c>
      <c r="L1564" s="451" t="s">
        <v>169</v>
      </c>
      <c r="M1564" s="452">
        <v>8</v>
      </c>
      <c r="N1564" s="452">
        <v>2</v>
      </c>
      <c r="O1564" s="470"/>
      <c r="P1564" s="470"/>
      <c r="Q1564" s="453"/>
      <c r="R1564" s="452"/>
      <c r="S1564" s="452"/>
      <c r="T1564" s="453"/>
      <c r="U1564" s="452"/>
      <c r="V1564" s="453"/>
      <c r="W1564" s="454"/>
      <c r="X1564" s="455"/>
      <c r="Y1564" s="456"/>
      <c r="Z1564" s="457"/>
      <c r="AA1564" s="458"/>
      <c r="AB1564" s="443"/>
    </row>
    <row r="1565" spans="1:28" s="444" customFormat="1">
      <c r="A1565" s="459"/>
      <c r="B1565" s="446" t="s">
        <v>187</v>
      </c>
      <c r="C1565" s="447">
        <v>32494</v>
      </c>
      <c r="D1565" s="448" t="s">
        <v>384</v>
      </c>
      <c r="E1565" s="486" t="s">
        <v>263</v>
      </c>
      <c r="F1565" s="448" t="s">
        <v>384</v>
      </c>
      <c r="G1565" s="589">
        <v>46227</v>
      </c>
      <c r="H1565" s="450"/>
      <c r="I1565" s="496" t="s">
        <v>186</v>
      </c>
      <c r="J1565" s="295">
        <v>0.31458333333333333</v>
      </c>
      <c r="K1565" s="318">
        <v>0.7104166666666667</v>
      </c>
      <c r="L1565" s="451" t="s">
        <v>169</v>
      </c>
      <c r="M1565" s="452">
        <v>8</v>
      </c>
      <c r="N1565" s="471"/>
      <c r="O1565" s="471"/>
      <c r="P1565" s="471"/>
      <c r="Q1565" s="472"/>
      <c r="R1565" s="471"/>
      <c r="S1565" s="471"/>
      <c r="T1565" s="453"/>
      <c r="U1565" s="452"/>
      <c r="V1565" s="453"/>
      <c r="W1565" s="454"/>
      <c r="X1565" s="455"/>
      <c r="Y1565" s="456"/>
      <c r="Z1565" s="457"/>
      <c r="AA1565" s="458"/>
      <c r="AB1565" s="443"/>
    </row>
    <row r="1566" spans="1:28" s="444" customFormat="1">
      <c r="A1566" s="459"/>
      <c r="B1566" s="446" t="s">
        <v>187</v>
      </c>
      <c r="C1566" s="447">
        <v>32494</v>
      </c>
      <c r="D1566" s="448" t="s">
        <v>384</v>
      </c>
      <c r="E1566" s="486" t="s">
        <v>263</v>
      </c>
      <c r="F1566" s="448" t="s">
        <v>384</v>
      </c>
      <c r="G1566" s="589">
        <v>46228</v>
      </c>
      <c r="H1566" s="450"/>
      <c r="I1566" s="496" t="s">
        <v>186</v>
      </c>
      <c r="J1566" s="295"/>
      <c r="K1566" s="295"/>
      <c r="L1566" s="451"/>
      <c r="M1566" s="452"/>
      <c r="N1566" s="452"/>
      <c r="O1566" s="452"/>
      <c r="P1566" s="452"/>
      <c r="Q1566" s="453"/>
      <c r="R1566" s="452"/>
      <c r="S1566" s="473"/>
      <c r="T1566" s="453"/>
      <c r="U1566" s="452"/>
      <c r="V1566" s="453"/>
      <c r="W1566" s="454"/>
      <c r="X1566" s="455"/>
      <c r="Y1566" s="456"/>
      <c r="Z1566" s="457"/>
      <c r="AA1566" s="458"/>
      <c r="AB1566" s="443"/>
    </row>
    <row r="1567" spans="1:28" s="444" customFormat="1">
      <c r="A1567" s="459"/>
      <c r="B1567" s="446"/>
      <c r="C1567" s="505"/>
      <c r="D1567" s="449"/>
      <c r="E1567" s="488"/>
      <c r="F1567" s="449"/>
      <c r="G1567" s="609"/>
      <c r="H1567" s="450"/>
      <c r="I1567" s="496"/>
      <c r="J1567" s="474"/>
      <c r="K1567" s="475"/>
      <c r="L1567" s="476"/>
      <c r="M1567" s="477"/>
      <c r="N1567" s="477"/>
      <c r="O1567" s="477"/>
      <c r="P1567" s="477"/>
      <c r="Q1567" s="478"/>
      <c r="R1567" s="477"/>
      <c r="S1567" s="479"/>
      <c r="T1567" s="453"/>
      <c r="U1567" s="452"/>
      <c r="V1567" s="453"/>
      <c r="W1567" s="454"/>
      <c r="X1567" s="455"/>
      <c r="Y1567" s="456"/>
      <c r="Z1567" s="457"/>
      <c r="AA1567" s="458"/>
      <c r="AB1567" s="443"/>
    </row>
    <row r="1568" spans="1:28" s="444" customFormat="1">
      <c r="A1568" s="480"/>
      <c r="B1568" s="481"/>
      <c r="C1568" s="446"/>
      <c r="D1568" s="481"/>
      <c r="E1568" s="449"/>
      <c r="F1568" s="481"/>
      <c r="G1568" s="483"/>
      <c r="H1568" s="483"/>
      <c r="I1568" s="483"/>
      <c r="J1568" s="484"/>
      <c r="K1568" s="485"/>
      <c r="L1568" s="483"/>
      <c r="M1568" s="483">
        <f t="shared" ref="M1568:AA1568" si="87">SUM(M1551:M1567)</f>
        <v>96</v>
      </c>
      <c r="N1568" s="483">
        <f t="shared" si="87"/>
        <v>12</v>
      </c>
      <c r="O1568" s="483">
        <f t="shared" si="87"/>
        <v>0</v>
      </c>
      <c r="P1568" s="483">
        <f t="shared" si="87"/>
        <v>0</v>
      </c>
      <c r="Q1568" s="483">
        <f t="shared" si="87"/>
        <v>0</v>
      </c>
      <c r="R1568" s="483">
        <f t="shared" si="87"/>
        <v>0</v>
      </c>
      <c r="S1568" s="483">
        <f t="shared" si="87"/>
        <v>0</v>
      </c>
      <c r="T1568" s="483">
        <f t="shared" si="87"/>
        <v>0</v>
      </c>
      <c r="U1568" s="483">
        <f t="shared" si="87"/>
        <v>0</v>
      </c>
      <c r="V1568" s="483">
        <f t="shared" si="87"/>
        <v>0</v>
      </c>
      <c r="W1568" s="483">
        <f t="shared" si="87"/>
        <v>0</v>
      </c>
      <c r="X1568" s="483">
        <f t="shared" si="87"/>
        <v>0</v>
      </c>
      <c r="Y1568" s="483">
        <f t="shared" si="87"/>
        <v>0</v>
      </c>
      <c r="Z1568" s="483">
        <f t="shared" si="87"/>
        <v>0</v>
      </c>
      <c r="AA1568" s="483">
        <f t="shared" si="87"/>
        <v>0</v>
      </c>
      <c r="AB1568" s="443"/>
    </row>
    <row r="1569" spans="1:33" s="554" customFormat="1">
      <c r="A1569" s="542" t="s">
        <v>170</v>
      </c>
      <c r="B1569" s="542" t="s">
        <v>120</v>
      </c>
      <c r="C1569" s="542" t="s">
        <v>152</v>
      </c>
      <c r="D1569" s="542" t="s">
        <v>182</v>
      </c>
      <c r="E1569" s="543" t="s">
        <v>153</v>
      </c>
      <c r="F1569" s="542" t="s">
        <v>182</v>
      </c>
      <c r="G1569" s="608" t="s">
        <v>401</v>
      </c>
      <c r="H1569" s="544"/>
      <c r="I1569" s="544" t="s">
        <v>181</v>
      </c>
      <c r="J1569" s="545" t="s">
        <v>154</v>
      </c>
      <c r="K1569" s="545" t="s">
        <v>155</v>
      </c>
      <c r="L1569" s="546" t="s">
        <v>156</v>
      </c>
      <c r="M1569" s="547" t="s">
        <v>157</v>
      </c>
      <c r="N1569" s="548" t="s">
        <v>158</v>
      </c>
      <c r="O1569" s="548" t="s">
        <v>159</v>
      </c>
      <c r="P1569" s="548" t="s">
        <v>174</v>
      </c>
      <c r="Q1569" s="549" t="s">
        <v>160</v>
      </c>
      <c r="R1569" s="549" t="s">
        <v>161</v>
      </c>
      <c r="S1569" s="549" t="s">
        <v>162</v>
      </c>
      <c r="T1569" s="550" t="s">
        <v>163</v>
      </c>
      <c r="U1569" s="550" t="s">
        <v>164</v>
      </c>
      <c r="V1569" s="550" t="s">
        <v>165</v>
      </c>
      <c r="W1569" s="549" t="s">
        <v>113</v>
      </c>
      <c r="X1569" s="550" t="s">
        <v>121</v>
      </c>
      <c r="Y1569" s="551" t="s">
        <v>166</v>
      </c>
      <c r="Z1569" s="552" t="s">
        <v>175</v>
      </c>
      <c r="AA1569" s="552" t="s">
        <v>167</v>
      </c>
      <c r="AB1569" s="553"/>
      <c r="AC1569" s="444"/>
      <c r="AD1569" s="444"/>
      <c r="AE1569" s="444"/>
      <c r="AF1569" s="444"/>
      <c r="AG1569" s="444"/>
    </row>
    <row r="1570" spans="1:33" s="554" customFormat="1">
      <c r="A1570" s="696">
        <v>81</v>
      </c>
      <c r="B1570" s="555" t="s">
        <v>262</v>
      </c>
      <c r="C1570" s="556">
        <v>12909</v>
      </c>
      <c r="D1570" s="557" t="s">
        <v>261</v>
      </c>
      <c r="E1570" s="558" t="s">
        <v>260</v>
      </c>
      <c r="F1570" s="557" t="s">
        <v>261</v>
      </c>
      <c r="G1570" s="589">
        <v>46214</v>
      </c>
      <c r="H1570" s="559"/>
      <c r="I1570" s="560" t="s">
        <v>186</v>
      </c>
      <c r="J1570" s="305">
        <v>0.32708333333333334</v>
      </c>
      <c r="K1570" s="305">
        <v>0.70833333333333337</v>
      </c>
      <c r="L1570" s="561" t="s">
        <v>169</v>
      </c>
      <c r="M1570" s="561">
        <v>8</v>
      </c>
      <c r="N1570" s="562"/>
      <c r="O1570" s="563"/>
      <c r="P1570" s="563"/>
      <c r="Q1570" s="564"/>
      <c r="R1570" s="564"/>
      <c r="S1570" s="564"/>
      <c r="T1570" s="564"/>
      <c r="U1570" s="564"/>
      <c r="V1570" s="564"/>
      <c r="W1570" s="564"/>
      <c r="X1570" s="564"/>
      <c r="Y1570" s="563"/>
      <c r="Z1570" s="565"/>
      <c r="AA1570" s="566"/>
      <c r="AB1570" s="553"/>
      <c r="AC1570" s="444"/>
      <c r="AD1570" s="444"/>
      <c r="AE1570" s="444"/>
      <c r="AF1570" s="444"/>
      <c r="AG1570" s="444"/>
    </row>
    <row r="1571" spans="1:33" s="554" customFormat="1">
      <c r="A1571" s="697"/>
      <c r="B1571" s="555" t="s">
        <v>262</v>
      </c>
      <c r="C1571" s="556">
        <v>12909</v>
      </c>
      <c r="D1571" s="557" t="s">
        <v>261</v>
      </c>
      <c r="E1571" s="556" t="s">
        <v>260</v>
      </c>
      <c r="F1571" s="557" t="s">
        <v>261</v>
      </c>
      <c r="G1571" s="590">
        <v>46215</v>
      </c>
      <c r="H1571" s="559"/>
      <c r="I1571" s="496"/>
      <c r="J1571" s="699" t="s">
        <v>173</v>
      </c>
      <c r="K1571" s="700"/>
      <c r="L1571" s="451"/>
      <c r="M1571" s="567"/>
      <c r="N1571" s="568"/>
      <c r="O1571" s="569"/>
      <c r="P1571" s="569"/>
      <c r="Q1571" s="570"/>
      <c r="R1571" s="570"/>
      <c r="S1571" s="570"/>
      <c r="T1571" s="564"/>
      <c r="U1571" s="564"/>
      <c r="V1571" s="564"/>
      <c r="W1571" s="570"/>
      <c r="X1571" s="563"/>
      <c r="Y1571" s="558"/>
      <c r="Z1571" s="571"/>
      <c r="AA1571" s="571"/>
      <c r="AB1571" s="553"/>
      <c r="AC1571" s="444"/>
      <c r="AD1571" s="444"/>
      <c r="AE1571" s="444"/>
      <c r="AF1571" s="444"/>
      <c r="AG1571" s="444"/>
    </row>
    <row r="1572" spans="1:33" s="554" customFormat="1">
      <c r="A1572" s="697"/>
      <c r="B1572" s="555" t="s">
        <v>262</v>
      </c>
      <c r="C1572" s="556">
        <v>12909</v>
      </c>
      <c r="D1572" s="557" t="s">
        <v>261</v>
      </c>
      <c r="E1572" s="556" t="s">
        <v>260</v>
      </c>
      <c r="F1572" s="557" t="s">
        <v>261</v>
      </c>
      <c r="G1572" s="589">
        <v>46216</v>
      </c>
      <c r="H1572" s="559"/>
      <c r="I1572" s="496" t="s">
        <v>186</v>
      </c>
      <c r="J1572" s="382">
        <v>0.32777777777777778</v>
      </c>
      <c r="K1572" s="382">
        <v>0.70902777777777781</v>
      </c>
      <c r="L1572" s="451" t="s">
        <v>169</v>
      </c>
      <c r="M1572" s="561">
        <v>8</v>
      </c>
      <c r="N1572" s="556"/>
      <c r="O1572" s="558"/>
      <c r="P1572" s="558"/>
      <c r="Q1572" s="564"/>
      <c r="R1572" s="564"/>
      <c r="S1572" s="564"/>
      <c r="T1572" s="564"/>
      <c r="U1572" s="564"/>
      <c r="V1572" s="564"/>
      <c r="W1572" s="564"/>
      <c r="X1572" s="563"/>
      <c r="Y1572" s="558"/>
      <c r="Z1572" s="571"/>
      <c r="AA1572" s="571"/>
      <c r="AB1572" s="553"/>
      <c r="AC1572" s="444"/>
      <c r="AD1572" s="444"/>
      <c r="AE1572" s="444"/>
      <c r="AF1572" s="444"/>
      <c r="AG1572" s="444"/>
    </row>
    <row r="1573" spans="1:33" s="554" customFormat="1">
      <c r="A1573" s="697"/>
      <c r="B1573" s="555" t="s">
        <v>262</v>
      </c>
      <c r="C1573" s="556">
        <v>12909</v>
      </c>
      <c r="D1573" s="557" t="s">
        <v>261</v>
      </c>
      <c r="E1573" s="556" t="s">
        <v>260</v>
      </c>
      <c r="F1573" s="557" t="s">
        <v>261</v>
      </c>
      <c r="G1573" s="589">
        <v>46217</v>
      </c>
      <c r="H1573" s="559"/>
      <c r="I1573" s="560" t="s">
        <v>186</v>
      </c>
      <c r="J1573" s="305">
        <v>0.32500000000000001</v>
      </c>
      <c r="K1573" s="305">
        <v>0.7090277777777777</v>
      </c>
      <c r="L1573" s="561" t="s">
        <v>169</v>
      </c>
      <c r="M1573" s="561">
        <v>8</v>
      </c>
      <c r="N1573" s="558"/>
      <c r="O1573" s="558"/>
      <c r="P1573" s="558"/>
      <c r="Q1573" s="564"/>
      <c r="R1573" s="564"/>
      <c r="S1573" s="564"/>
      <c r="T1573" s="564"/>
      <c r="U1573" s="564"/>
      <c r="V1573" s="564"/>
      <c r="W1573" s="564"/>
      <c r="X1573" s="563"/>
      <c r="Y1573" s="572"/>
      <c r="Z1573" s="573"/>
      <c r="AA1573" s="571"/>
      <c r="AB1573" s="553"/>
      <c r="AC1573" s="444"/>
      <c r="AD1573" s="444"/>
      <c r="AE1573" s="444"/>
      <c r="AF1573" s="444"/>
      <c r="AG1573" s="444"/>
    </row>
    <row r="1574" spans="1:33" s="554" customFormat="1">
      <c r="A1574" s="697"/>
      <c r="B1574" s="555" t="s">
        <v>262</v>
      </c>
      <c r="C1574" s="556">
        <v>12909</v>
      </c>
      <c r="D1574" s="557" t="s">
        <v>261</v>
      </c>
      <c r="E1574" s="558" t="s">
        <v>260</v>
      </c>
      <c r="F1574" s="557" t="s">
        <v>261</v>
      </c>
      <c r="G1574" s="589">
        <v>46218</v>
      </c>
      <c r="H1574" s="559"/>
      <c r="I1574" s="560" t="s">
        <v>186</v>
      </c>
      <c r="J1574" s="305">
        <v>0.32361111111111113</v>
      </c>
      <c r="K1574" s="305">
        <v>0.7090277777777777</v>
      </c>
      <c r="L1574" s="561" t="s">
        <v>169</v>
      </c>
      <c r="M1574" s="561">
        <v>8</v>
      </c>
      <c r="N1574" s="558"/>
      <c r="O1574" s="558"/>
      <c r="P1574" s="558"/>
      <c r="Q1574" s="564"/>
      <c r="R1574" s="564"/>
      <c r="S1574" s="564"/>
      <c r="T1574" s="564"/>
      <c r="U1574" s="564"/>
      <c r="V1574" s="564"/>
      <c r="W1574" s="564"/>
      <c r="X1574" s="563"/>
      <c r="Y1574" s="564"/>
      <c r="Z1574" s="566"/>
      <c r="AA1574" s="565"/>
      <c r="AB1574" s="553"/>
      <c r="AC1574" s="444"/>
      <c r="AD1574" s="444"/>
      <c r="AE1574" s="444"/>
      <c r="AF1574" s="444"/>
      <c r="AG1574" s="444"/>
    </row>
    <row r="1575" spans="1:33" s="554" customFormat="1">
      <c r="A1575" s="697"/>
      <c r="B1575" s="555" t="s">
        <v>262</v>
      </c>
      <c r="C1575" s="556">
        <v>12909</v>
      </c>
      <c r="D1575" s="557" t="s">
        <v>261</v>
      </c>
      <c r="E1575" s="556" t="s">
        <v>260</v>
      </c>
      <c r="F1575" s="557" t="s">
        <v>261</v>
      </c>
      <c r="G1575" s="589">
        <v>46219</v>
      </c>
      <c r="H1575" s="559"/>
      <c r="I1575" s="560" t="s">
        <v>186</v>
      </c>
      <c r="J1575" s="305">
        <v>0.32083333333333336</v>
      </c>
      <c r="K1575" s="305">
        <v>0.7104166666666667</v>
      </c>
      <c r="L1575" s="574" t="s">
        <v>169</v>
      </c>
      <c r="M1575" s="561">
        <v>8</v>
      </c>
      <c r="N1575" s="558"/>
      <c r="O1575" s="558"/>
      <c r="P1575" s="558"/>
      <c r="Q1575" s="564"/>
      <c r="R1575" s="564"/>
      <c r="S1575" s="564"/>
      <c r="T1575" s="564"/>
      <c r="U1575" s="564"/>
      <c r="V1575" s="564"/>
      <c r="W1575" s="564"/>
      <c r="X1575" s="563"/>
      <c r="Y1575" s="558"/>
      <c r="Z1575" s="571"/>
      <c r="AA1575" s="571"/>
      <c r="AB1575" s="553"/>
      <c r="AC1575" s="444"/>
      <c r="AD1575" s="444"/>
      <c r="AE1575" s="444"/>
      <c r="AF1575" s="444"/>
      <c r="AG1575" s="444"/>
    </row>
    <row r="1576" spans="1:33" s="554" customFormat="1">
      <c r="A1576" s="697"/>
      <c r="B1576" s="555" t="s">
        <v>262</v>
      </c>
      <c r="C1576" s="556">
        <v>12909</v>
      </c>
      <c r="D1576" s="557" t="s">
        <v>261</v>
      </c>
      <c r="E1576" s="556" t="s">
        <v>260</v>
      </c>
      <c r="F1576" s="557" t="s">
        <v>261</v>
      </c>
      <c r="G1576" s="589">
        <v>46220</v>
      </c>
      <c r="H1576" s="559"/>
      <c r="I1576" s="560" t="s">
        <v>186</v>
      </c>
      <c r="J1576" s="305">
        <v>0.31805555555555554</v>
      </c>
      <c r="K1576" s="305">
        <v>0.70902777777777781</v>
      </c>
      <c r="L1576" s="574" t="s">
        <v>169</v>
      </c>
      <c r="M1576" s="561">
        <v>8</v>
      </c>
      <c r="N1576" s="558"/>
      <c r="O1576" s="558"/>
      <c r="P1576" s="558"/>
      <c r="Q1576" s="564"/>
      <c r="R1576" s="564"/>
      <c r="S1576" s="564"/>
      <c r="T1576" s="564"/>
      <c r="U1576" s="564"/>
      <c r="V1576" s="564"/>
      <c r="W1576" s="564"/>
      <c r="X1576" s="563"/>
      <c r="Y1576" s="558"/>
      <c r="Z1576" s="571"/>
      <c r="AA1576" s="571"/>
      <c r="AB1576" s="553"/>
      <c r="AC1576" s="444"/>
      <c r="AD1576" s="444"/>
      <c r="AE1576" s="444"/>
      <c r="AF1576" s="444"/>
      <c r="AG1576" s="444"/>
    </row>
    <row r="1577" spans="1:33" s="554" customFormat="1">
      <c r="A1577" s="697"/>
      <c r="B1577" s="555" t="s">
        <v>262</v>
      </c>
      <c r="C1577" s="556">
        <v>12909</v>
      </c>
      <c r="D1577" s="557" t="s">
        <v>261</v>
      </c>
      <c r="E1577" s="556" t="s">
        <v>260</v>
      </c>
      <c r="F1577" s="557" t="s">
        <v>261</v>
      </c>
      <c r="G1577" s="589">
        <v>46221</v>
      </c>
      <c r="H1577" s="559"/>
      <c r="I1577" s="560" t="s">
        <v>186</v>
      </c>
      <c r="J1577" s="305">
        <v>0.32500000000000001</v>
      </c>
      <c r="K1577" s="305">
        <v>0.70902777777777781</v>
      </c>
      <c r="L1577" s="574" t="s">
        <v>169</v>
      </c>
      <c r="M1577" s="561">
        <v>8</v>
      </c>
      <c r="N1577" s="556"/>
      <c r="O1577" s="558"/>
      <c r="P1577" s="558"/>
      <c r="Q1577" s="564"/>
      <c r="R1577" s="564"/>
      <c r="S1577" s="564"/>
      <c r="T1577" s="564"/>
      <c r="U1577" s="564"/>
      <c r="V1577" s="564"/>
      <c r="W1577" s="564"/>
      <c r="X1577" s="564"/>
      <c r="Y1577" s="558"/>
      <c r="Z1577" s="571"/>
      <c r="AA1577" s="573"/>
      <c r="AB1577" s="553"/>
      <c r="AC1577" s="444"/>
      <c r="AD1577" s="444"/>
      <c r="AE1577" s="444"/>
      <c r="AF1577" s="444"/>
      <c r="AG1577" s="444"/>
    </row>
    <row r="1578" spans="1:33" s="554" customFormat="1">
      <c r="A1578" s="697"/>
      <c r="B1578" s="555" t="s">
        <v>262</v>
      </c>
      <c r="C1578" s="556">
        <v>12909</v>
      </c>
      <c r="D1578" s="557" t="s">
        <v>261</v>
      </c>
      <c r="E1578" s="556" t="s">
        <v>260</v>
      </c>
      <c r="F1578" s="557" t="s">
        <v>261</v>
      </c>
      <c r="G1578" s="590">
        <v>46222</v>
      </c>
      <c r="H1578" s="559"/>
      <c r="I1578" s="560"/>
      <c r="J1578" s="699" t="s">
        <v>173</v>
      </c>
      <c r="K1578" s="700"/>
      <c r="L1578" s="561"/>
      <c r="M1578" s="561"/>
      <c r="N1578" s="568"/>
      <c r="O1578" s="569"/>
      <c r="P1578" s="569"/>
      <c r="Q1578" s="570"/>
      <c r="R1578" s="570"/>
      <c r="S1578" s="570"/>
      <c r="T1578" s="564"/>
      <c r="U1578" s="564"/>
      <c r="V1578" s="564"/>
      <c r="W1578" s="570"/>
      <c r="X1578" s="563"/>
      <c r="Y1578" s="558"/>
      <c r="Z1578" s="571"/>
      <c r="AA1578" s="571"/>
      <c r="AB1578" s="553"/>
      <c r="AC1578" s="444"/>
      <c r="AD1578" s="444"/>
      <c r="AE1578" s="444"/>
      <c r="AF1578" s="444"/>
      <c r="AG1578" s="444"/>
    </row>
    <row r="1579" spans="1:33" s="554" customFormat="1">
      <c r="A1579" s="697"/>
      <c r="B1579" s="555" t="s">
        <v>262</v>
      </c>
      <c r="C1579" s="556">
        <v>12909</v>
      </c>
      <c r="D1579" s="557" t="s">
        <v>261</v>
      </c>
      <c r="E1579" s="556" t="s">
        <v>260</v>
      </c>
      <c r="F1579" s="557" t="s">
        <v>261</v>
      </c>
      <c r="G1579" s="589">
        <v>46223</v>
      </c>
      <c r="H1579" s="559"/>
      <c r="I1579" s="560" t="s">
        <v>186</v>
      </c>
      <c r="J1579" s="305">
        <v>0.32500000000000001</v>
      </c>
      <c r="K1579" s="305">
        <v>0.70902777777777781</v>
      </c>
      <c r="L1579" s="574" t="s">
        <v>169</v>
      </c>
      <c r="M1579" s="561">
        <v>8</v>
      </c>
      <c r="N1579" s="556"/>
      <c r="O1579" s="558"/>
      <c r="P1579" s="558"/>
      <c r="Q1579" s="564"/>
      <c r="R1579" s="564"/>
      <c r="S1579" s="564"/>
      <c r="T1579" s="564"/>
      <c r="U1579" s="564"/>
      <c r="V1579" s="564"/>
      <c r="W1579" s="564"/>
      <c r="X1579" s="563"/>
      <c r="Y1579" s="558"/>
      <c r="Z1579" s="571"/>
      <c r="AA1579" s="571"/>
      <c r="AB1579" s="553"/>
      <c r="AC1579" s="444"/>
      <c r="AD1579" s="444"/>
      <c r="AE1579" s="444"/>
      <c r="AF1579" s="444"/>
      <c r="AG1579" s="444"/>
    </row>
    <row r="1580" spans="1:33" s="554" customFormat="1">
      <c r="A1580" s="697"/>
      <c r="B1580" s="555" t="s">
        <v>262</v>
      </c>
      <c r="C1580" s="556">
        <v>12909</v>
      </c>
      <c r="D1580" s="557" t="s">
        <v>261</v>
      </c>
      <c r="E1580" s="556" t="s">
        <v>260</v>
      </c>
      <c r="F1580" s="557" t="s">
        <v>261</v>
      </c>
      <c r="G1580" s="589">
        <v>46224</v>
      </c>
      <c r="H1580" s="559"/>
      <c r="I1580" s="560" t="s">
        <v>186</v>
      </c>
      <c r="J1580" s="305"/>
      <c r="K1580" s="305"/>
      <c r="L1580" s="561"/>
      <c r="M1580" s="561"/>
      <c r="N1580" s="558"/>
      <c r="O1580" s="558"/>
      <c r="P1580" s="558"/>
      <c r="Q1580" s="564"/>
      <c r="R1580" s="564"/>
      <c r="S1580" s="564"/>
      <c r="T1580" s="564"/>
      <c r="U1580" s="564"/>
      <c r="V1580" s="564"/>
      <c r="W1580" s="564"/>
      <c r="X1580" s="563"/>
      <c r="Y1580" s="572"/>
      <c r="Z1580" s="573"/>
      <c r="AA1580" s="571"/>
      <c r="AB1580" s="553"/>
      <c r="AC1580" s="444"/>
      <c r="AD1580" s="444"/>
      <c r="AE1580" s="444"/>
      <c r="AF1580" s="444"/>
      <c r="AG1580" s="444"/>
    </row>
    <row r="1581" spans="1:33" s="554" customFormat="1">
      <c r="A1581" s="697"/>
      <c r="B1581" s="555" t="s">
        <v>262</v>
      </c>
      <c r="C1581" s="556">
        <v>12909</v>
      </c>
      <c r="D1581" s="557" t="s">
        <v>261</v>
      </c>
      <c r="E1581" s="556" t="s">
        <v>260</v>
      </c>
      <c r="F1581" s="557" t="s">
        <v>261</v>
      </c>
      <c r="G1581" s="589">
        <v>46225</v>
      </c>
      <c r="H1581" s="559"/>
      <c r="I1581" s="560" t="s">
        <v>186</v>
      </c>
      <c r="J1581" s="305"/>
      <c r="K1581" s="305"/>
      <c r="L1581" s="561"/>
      <c r="M1581" s="561"/>
      <c r="N1581" s="558"/>
      <c r="O1581" s="558"/>
      <c r="P1581" s="558"/>
      <c r="Q1581" s="564"/>
      <c r="R1581" s="564"/>
      <c r="S1581" s="564"/>
      <c r="T1581" s="564"/>
      <c r="U1581" s="564"/>
      <c r="V1581" s="564"/>
      <c r="W1581" s="564"/>
      <c r="X1581" s="563"/>
      <c r="Y1581" s="564"/>
      <c r="Z1581" s="566"/>
      <c r="AA1581" s="565"/>
      <c r="AB1581" s="553"/>
      <c r="AC1581" s="444"/>
      <c r="AD1581" s="444"/>
      <c r="AE1581" s="444"/>
      <c r="AF1581" s="444"/>
      <c r="AG1581" s="444"/>
    </row>
    <row r="1582" spans="1:33" s="554" customFormat="1">
      <c r="A1582" s="697"/>
      <c r="B1582" s="555" t="s">
        <v>262</v>
      </c>
      <c r="C1582" s="556">
        <v>12909</v>
      </c>
      <c r="D1582" s="557" t="s">
        <v>261</v>
      </c>
      <c r="E1582" s="556" t="s">
        <v>260</v>
      </c>
      <c r="F1582" s="557" t="s">
        <v>261</v>
      </c>
      <c r="G1582" s="589">
        <v>46226</v>
      </c>
      <c r="H1582" s="559"/>
      <c r="I1582" s="560" t="s">
        <v>186</v>
      </c>
      <c r="J1582" s="305">
        <v>0.32569444444444445</v>
      </c>
      <c r="K1582" s="305">
        <v>0.7104166666666667</v>
      </c>
      <c r="L1582" s="574" t="s">
        <v>169</v>
      </c>
      <c r="M1582" s="561">
        <v>8</v>
      </c>
      <c r="N1582" s="558"/>
      <c r="O1582" s="558"/>
      <c r="P1582" s="558"/>
      <c r="Q1582" s="564"/>
      <c r="R1582" s="564"/>
      <c r="S1582" s="564"/>
      <c r="T1582" s="564"/>
      <c r="U1582" s="564"/>
      <c r="V1582" s="564"/>
      <c r="W1582" s="564"/>
      <c r="X1582" s="563"/>
      <c r="Y1582" s="558"/>
      <c r="Z1582" s="571"/>
      <c r="AA1582" s="571"/>
      <c r="AB1582" s="553"/>
      <c r="AC1582" s="444"/>
      <c r="AD1582" s="444"/>
      <c r="AE1582" s="444"/>
      <c r="AF1582" s="444"/>
      <c r="AG1582" s="444"/>
    </row>
    <row r="1583" spans="1:33" s="554" customFormat="1">
      <c r="A1583" s="697"/>
      <c r="B1583" s="555" t="s">
        <v>262</v>
      </c>
      <c r="C1583" s="556">
        <v>12909</v>
      </c>
      <c r="D1583" s="557" t="s">
        <v>261</v>
      </c>
      <c r="E1583" s="556" t="s">
        <v>260</v>
      </c>
      <c r="F1583" s="557" t="s">
        <v>261</v>
      </c>
      <c r="G1583" s="589">
        <v>46227</v>
      </c>
      <c r="H1583" s="559"/>
      <c r="I1583" s="560" t="s">
        <v>186</v>
      </c>
      <c r="J1583" s="305">
        <v>0.32291666666666669</v>
      </c>
      <c r="K1583" s="305">
        <v>0.70902777777777781</v>
      </c>
      <c r="L1583" s="574" t="s">
        <v>169</v>
      </c>
      <c r="M1583" s="561">
        <v>8</v>
      </c>
      <c r="N1583" s="558"/>
      <c r="O1583" s="558"/>
      <c r="P1583" s="558"/>
      <c r="Q1583" s="564"/>
      <c r="R1583" s="564"/>
      <c r="S1583" s="564"/>
      <c r="T1583" s="564"/>
      <c r="U1583" s="564"/>
      <c r="V1583" s="564"/>
      <c r="W1583" s="564"/>
      <c r="X1583" s="563"/>
      <c r="Y1583" s="558"/>
      <c r="Z1583" s="571"/>
      <c r="AA1583" s="571"/>
      <c r="AB1583" s="553"/>
      <c r="AC1583" s="444"/>
      <c r="AD1583" s="444"/>
      <c r="AE1583" s="444"/>
      <c r="AF1583" s="444"/>
      <c r="AG1583" s="444"/>
    </row>
    <row r="1584" spans="1:33" s="554" customFormat="1">
      <c r="A1584" s="697"/>
      <c r="B1584" s="555" t="s">
        <v>262</v>
      </c>
      <c r="C1584" s="556">
        <v>12909</v>
      </c>
      <c r="D1584" s="557" t="s">
        <v>261</v>
      </c>
      <c r="E1584" s="556" t="s">
        <v>260</v>
      </c>
      <c r="F1584" s="557" t="s">
        <v>261</v>
      </c>
      <c r="G1584" s="589">
        <v>46228</v>
      </c>
      <c r="H1584" s="559"/>
      <c r="I1584" s="560" t="s">
        <v>186</v>
      </c>
      <c r="J1584" s="305"/>
      <c r="K1584" s="305"/>
      <c r="L1584" s="561"/>
      <c r="M1584" s="561"/>
      <c r="N1584" s="558"/>
      <c r="O1584" s="572"/>
      <c r="P1584" s="572"/>
      <c r="Q1584" s="564"/>
      <c r="R1584" s="564"/>
      <c r="S1584" s="564"/>
      <c r="T1584" s="564"/>
      <c r="U1584" s="564"/>
      <c r="V1584" s="564"/>
      <c r="W1584" s="564"/>
      <c r="X1584" s="564"/>
      <c r="Y1584" s="572"/>
      <c r="Z1584" s="573"/>
      <c r="AA1584" s="573"/>
      <c r="AB1584" s="553"/>
      <c r="AC1584" s="444"/>
      <c r="AD1584" s="444"/>
      <c r="AE1584" s="444"/>
      <c r="AF1584" s="444"/>
      <c r="AG1584" s="444"/>
    </row>
    <row r="1585" spans="1:33" s="554" customFormat="1">
      <c r="A1585" s="698"/>
      <c r="B1585" s="558"/>
      <c r="C1585" s="558"/>
      <c r="D1585" s="558"/>
      <c r="E1585" s="558"/>
      <c r="F1585" s="558"/>
      <c r="G1585" s="575"/>
      <c r="H1585" s="575"/>
      <c r="I1585" s="575"/>
      <c r="J1585" s="576"/>
      <c r="K1585" s="577"/>
      <c r="L1585" s="578"/>
      <c r="M1585" s="579">
        <f>SUM(M1569:M1584)</f>
        <v>80</v>
      </c>
      <c r="N1585" s="579">
        <f t="shared" ref="N1585:AA1585" si="88">SUM(N1569:N1584)</f>
        <v>0</v>
      </c>
      <c r="O1585" s="579">
        <f t="shared" si="88"/>
        <v>0</v>
      </c>
      <c r="P1585" s="579">
        <f t="shared" si="88"/>
        <v>0</v>
      </c>
      <c r="Q1585" s="578">
        <f t="shared" si="88"/>
        <v>0</v>
      </c>
      <c r="R1585" s="578">
        <f t="shared" si="88"/>
        <v>0</v>
      </c>
      <c r="S1585" s="578">
        <f t="shared" si="88"/>
        <v>0</v>
      </c>
      <c r="T1585" s="578">
        <f t="shared" si="88"/>
        <v>0</v>
      </c>
      <c r="U1585" s="578">
        <f t="shared" si="88"/>
        <v>0</v>
      </c>
      <c r="V1585" s="578">
        <f t="shared" si="88"/>
        <v>0</v>
      </c>
      <c r="W1585" s="578">
        <f t="shared" si="88"/>
        <v>0</v>
      </c>
      <c r="X1585" s="578">
        <f t="shared" si="88"/>
        <v>0</v>
      </c>
      <c r="Y1585" s="579">
        <f t="shared" si="88"/>
        <v>0</v>
      </c>
      <c r="Z1585" s="579">
        <f t="shared" si="88"/>
        <v>0</v>
      </c>
      <c r="AA1585" s="580">
        <f t="shared" si="88"/>
        <v>0</v>
      </c>
      <c r="AB1585" s="553"/>
      <c r="AC1585" s="444"/>
      <c r="AD1585" s="444"/>
      <c r="AE1585" s="444"/>
      <c r="AF1585" s="444"/>
      <c r="AG1585" s="444"/>
    </row>
    <row r="1586" spans="1:33" s="554" customFormat="1">
      <c r="A1586" s="542" t="s">
        <v>170</v>
      </c>
      <c r="B1586" s="542" t="s">
        <v>120</v>
      </c>
      <c r="C1586" s="542" t="s">
        <v>152</v>
      </c>
      <c r="D1586" s="542" t="s">
        <v>182</v>
      </c>
      <c r="E1586" s="543" t="s">
        <v>153</v>
      </c>
      <c r="F1586" s="542" t="s">
        <v>182</v>
      </c>
      <c r="G1586" s="608" t="s">
        <v>401</v>
      </c>
      <c r="H1586" s="544"/>
      <c r="I1586" s="544" t="s">
        <v>181</v>
      </c>
      <c r="J1586" s="545" t="s">
        <v>154</v>
      </c>
      <c r="K1586" s="545" t="s">
        <v>155</v>
      </c>
      <c r="L1586" s="546" t="s">
        <v>156</v>
      </c>
      <c r="M1586" s="547" t="s">
        <v>157</v>
      </c>
      <c r="N1586" s="548" t="s">
        <v>158</v>
      </c>
      <c r="O1586" s="548" t="s">
        <v>159</v>
      </c>
      <c r="P1586" s="548" t="s">
        <v>174</v>
      </c>
      <c r="Q1586" s="549" t="s">
        <v>160</v>
      </c>
      <c r="R1586" s="549" t="s">
        <v>161</v>
      </c>
      <c r="S1586" s="549" t="s">
        <v>162</v>
      </c>
      <c r="T1586" s="550" t="s">
        <v>163</v>
      </c>
      <c r="U1586" s="550" t="s">
        <v>164</v>
      </c>
      <c r="V1586" s="550" t="s">
        <v>165</v>
      </c>
      <c r="W1586" s="549" t="s">
        <v>113</v>
      </c>
      <c r="X1586" s="550" t="s">
        <v>121</v>
      </c>
      <c r="Y1586" s="551" t="s">
        <v>166</v>
      </c>
      <c r="Z1586" s="552" t="s">
        <v>175</v>
      </c>
      <c r="AA1586" s="552" t="s">
        <v>167</v>
      </c>
      <c r="AB1586" s="553"/>
      <c r="AC1586" s="444"/>
      <c r="AD1586" s="444"/>
      <c r="AE1586" s="444"/>
      <c r="AF1586" s="444"/>
      <c r="AG1586" s="444"/>
    </row>
    <row r="1587" spans="1:33" s="554" customFormat="1">
      <c r="A1587" s="696"/>
      <c r="B1587" s="555" t="s">
        <v>187</v>
      </c>
      <c r="C1587" s="446">
        <v>13337</v>
      </c>
      <c r="D1587" s="448" t="s">
        <v>388</v>
      </c>
      <c r="E1587" s="449" t="s">
        <v>389</v>
      </c>
      <c r="F1587" s="448" t="s">
        <v>388</v>
      </c>
      <c r="G1587" s="589">
        <v>46214</v>
      </c>
      <c r="H1587" s="450"/>
      <c r="I1587" s="450" t="s">
        <v>186</v>
      </c>
      <c r="J1587" s="295">
        <v>0.3215277777777778</v>
      </c>
      <c r="K1587" s="295">
        <v>0.70902777777777781</v>
      </c>
      <c r="L1587" s="451" t="s">
        <v>169</v>
      </c>
      <c r="M1587" s="452">
        <v>8</v>
      </c>
      <c r="N1587" s="452"/>
      <c r="O1587" s="452"/>
      <c r="P1587" s="452"/>
      <c r="Q1587" s="453"/>
      <c r="R1587" s="564"/>
      <c r="S1587" s="564"/>
      <c r="T1587" s="564"/>
      <c r="U1587" s="564"/>
      <c r="V1587" s="564"/>
      <c r="W1587" s="564"/>
      <c r="X1587" s="564"/>
      <c r="Y1587" s="563"/>
      <c r="Z1587" s="565"/>
      <c r="AA1587" s="566"/>
      <c r="AB1587" s="553"/>
      <c r="AC1587" s="444"/>
      <c r="AD1587" s="444"/>
      <c r="AE1587" s="444"/>
      <c r="AF1587" s="444"/>
      <c r="AG1587" s="444"/>
    </row>
    <row r="1588" spans="1:33" s="554" customFormat="1">
      <c r="A1588" s="697"/>
      <c r="B1588" s="555" t="s">
        <v>187</v>
      </c>
      <c r="C1588" s="446">
        <v>13337</v>
      </c>
      <c r="D1588" s="448" t="s">
        <v>388</v>
      </c>
      <c r="E1588" s="449" t="s">
        <v>389</v>
      </c>
      <c r="F1588" s="448" t="s">
        <v>388</v>
      </c>
      <c r="G1588" s="590">
        <v>46215</v>
      </c>
      <c r="H1588" s="450"/>
      <c r="I1588" s="450"/>
      <c r="L1588" s="451"/>
      <c r="M1588" s="452"/>
      <c r="N1588" s="452"/>
      <c r="O1588" s="452"/>
      <c r="P1588" s="452"/>
      <c r="Q1588" s="453"/>
      <c r="R1588" s="570"/>
      <c r="S1588" s="570"/>
      <c r="T1588" s="564"/>
      <c r="U1588" s="564"/>
      <c r="V1588" s="564"/>
      <c r="W1588" s="570"/>
      <c r="X1588" s="563"/>
      <c r="Y1588" s="558"/>
      <c r="Z1588" s="571"/>
      <c r="AA1588" s="571"/>
      <c r="AB1588" s="553"/>
      <c r="AC1588" s="444"/>
      <c r="AD1588" s="444"/>
      <c r="AE1588" s="444"/>
      <c r="AF1588" s="444"/>
      <c r="AG1588" s="444"/>
    </row>
    <row r="1589" spans="1:33" s="554" customFormat="1">
      <c r="A1589" s="697"/>
      <c r="B1589" s="555" t="s">
        <v>187</v>
      </c>
      <c r="C1589" s="446">
        <v>13337</v>
      </c>
      <c r="D1589" s="448" t="s">
        <v>388</v>
      </c>
      <c r="E1589" s="449" t="s">
        <v>389</v>
      </c>
      <c r="F1589" s="448" t="s">
        <v>388</v>
      </c>
      <c r="G1589" s="589">
        <v>46216</v>
      </c>
      <c r="H1589" s="450"/>
      <c r="I1589" s="450" t="s">
        <v>183</v>
      </c>
      <c r="J1589" s="382">
        <v>0.77847222222222223</v>
      </c>
      <c r="K1589" s="382">
        <v>0.25138888888888888</v>
      </c>
      <c r="L1589" s="451" t="s">
        <v>168</v>
      </c>
      <c r="M1589" s="452">
        <v>8</v>
      </c>
      <c r="N1589" s="452">
        <v>2</v>
      </c>
      <c r="O1589" s="452">
        <v>6</v>
      </c>
      <c r="P1589" s="452">
        <v>2</v>
      </c>
      <c r="Q1589" s="453"/>
      <c r="R1589" s="564"/>
      <c r="S1589" s="564"/>
      <c r="T1589" s="564"/>
      <c r="U1589" s="564"/>
      <c r="V1589" s="564"/>
      <c r="W1589" s="564"/>
      <c r="X1589" s="563"/>
      <c r="Y1589" s="558"/>
      <c r="Z1589" s="571"/>
      <c r="AA1589" s="571"/>
      <c r="AB1589" s="553"/>
      <c r="AC1589" s="444"/>
      <c r="AD1589" s="444"/>
      <c r="AE1589" s="444"/>
      <c r="AF1589" s="444"/>
      <c r="AG1589" s="444"/>
    </row>
    <row r="1590" spans="1:33" s="554" customFormat="1">
      <c r="A1590" s="697"/>
      <c r="B1590" s="555" t="s">
        <v>187</v>
      </c>
      <c r="C1590" s="446">
        <v>13337</v>
      </c>
      <c r="D1590" s="448" t="s">
        <v>388</v>
      </c>
      <c r="E1590" s="449" t="s">
        <v>389</v>
      </c>
      <c r="F1590" s="448" t="s">
        <v>388</v>
      </c>
      <c r="G1590" s="589">
        <v>46217</v>
      </c>
      <c r="H1590" s="450"/>
      <c r="I1590" s="450" t="s">
        <v>183</v>
      </c>
      <c r="J1590" s="305">
        <v>0.77986111111111101</v>
      </c>
      <c r="K1590" s="305">
        <v>0.25208333333333333</v>
      </c>
      <c r="L1590" s="451" t="s">
        <v>168</v>
      </c>
      <c r="M1590" s="452">
        <v>8</v>
      </c>
      <c r="N1590" s="452">
        <v>2</v>
      </c>
      <c r="O1590" s="452">
        <v>6</v>
      </c>
      <c r="P1590" s="452">
        <v>2</v>
      </c>
      <c r="Q1590" s="461"/>
      <c r="R1590" s="564"/>
      <c r="S1590" s="564"/>
      <c r="T1590" s="564"/>
      <c r="U1590" s="564"/>
      <c r="V1590" s="564"/>
      <c r="W1590" s="564"/>
      <c r="X1590" s="563"/>
      <c r="Y1590" s="572"/>
      <c r="Z1590" s="573"/>
      <c r="AA1590" s="571"/>
      <c r="AB1590" s="553"/>
      <c r="AC1590" s="444"/>
      <c r="AD1590" s="444"/>
      <c r="AE1590" s="444"/>
      <c r="AF1590" s="444"/>
      <c r="AG1590" s="444"/>
    </row>
    <row r="1591" spans="1:33" s="554" customFormat="1">
      <c r="A1591" s="697"/>
      <c r="B1591" s="555" t="s">
        <v>187</v>
      </c>
      <c r="C1591" s="446">
        <v>13337</v>
      </c>
      <c r="D1591" s="448" t="s">
        <v>388</v>
      </c>
      <c r="E1591" s="449" t="s">
        <v>389</v>
      </c>
      <c r="F1591" s="448" t="s">
        <v>388</v>
      </c>
      <c r="G1591" s="589">
        <v>46218</v>
      </c>
      <c r="H1591" s="450"/>
      <c r="I1591" s="450" t="s">
        <v>183</v>
      </c>
      <c r="J1591" s="305">
        <v>0.77500000000000002</v>
      </c>
      <c r="K1591" s="305">
        <v>0.25069444444444444</v>
      </c>
      <c r="L1591" s="451" t="s">
        <v>168</v>
      </c>
      <c r="M1591" s="452">
        <v>8</v>
      </c>
      <c r="N1591" s="452">
        <v>2</v>
      </c>
      <c r="O1591" s="452">
        <v>6</v>
      </c>
      <c r="P1591" s="452">
        <v>2</v>
      </c>
      <c r="Q1591" s="453"/>
      <c r="R1591" s="564"/>
      <c r="S1591" s="564"/>
      <c r="T1591" s="564"/>
      <c r="U1591" s="564"/>
      <c r="V1591" s="564"/>
      <c r="W1591" s="564"/>
      <c r="X1591" s="563"/>
      <c r="Y1591" s="564"/>
      <c r="Z1591" s="566"/>
      <c r="AA1591" s="565"/>
      <c r="AB1591" s="553"/>
      <c r="AC1591" s="444"/>
      <c r="AD1591" s="444"/>
      <c r="AE1591" s="444"/>
      <c r="AF1591" s="444"/>
      <c r="AG1591" s="444"/>
    </row>
    <row r="1592" spans="1:33" s="554" customFormat="1">
      <c r="A1592" s="697"/>
      <c r="B1592" s="555" t="s">
        <v>187</v>
      </c>
      <c r="C1592" s="446">
        <v>13337</v>
      </c>
      <c r="D1592" s="448" t="s">
        <v>388</v>
      </c>
      <c r="E1592" s="449" t="s">
        <v>389</v>
      </c>
      <c r="F1592" s="448" t="s">
        <v>388</v>
      </c>
      <c r="G1592" s="589">
        <v>46219</v>
      </c>
      <c r="H1592" s="450"/>
      <c r="I1592" s="450" t="s">
        <v>183</v>
      </c>
      <c r="J1592" s="305">
        <v>0.77777777777777779</v>
      </c>
      <c r="K1592" s="305">
        <v>0.25138888888888888</v>
      </c>
      <c r="L1592" s="451" t="s">
        <v>168</v>
      </c>
      <c r="M1592" s="452">
        <v>8</v>
      </c>
      <c r="N1592" s="452">
        <v>2</v>
      </c>
      <c r="O1592" s="452">
        <v>6</v>
      </c>
      <c r="P1592" s="452">
        <v>2</v>
      </c>
      <c r="Q1592" s="453"/>
      <c r="R1592" s="564"/>
      <c r="S1592" s="564"/>
      <c r="T1592" s="564"/>
      <c r="U1592" s="564"/>
      <c r="V1592" s="564"/>
      <c r="W1592" s="564"/>
      <c r="X1592" s="563"/>
      <c r="Y1592" s="558"/>
      <c r="Z1592" s="571"/>
      <c r="AA1592" s="571"/>
      <c r="AB1592" s="553"/>
      <c r="AC1592" s="444"/>
      <c r="AD1592" s="444"/>
      <c r="AE1592" s="444"/>
      <c r="AF1592" s="444"/>
      <c r="AG1592" s="444"/>
    </row>
    <row r="1593" spans="1:33" s="554" customFormat="1">
      <c r="A1593" s="697"/>
      <c r="B1593" s="555" t="s">
        <v>187</v>
      </c>
      <c r="C1593" s="446">
        <v>13337</v>
      </c>
      <c r="D1593" s="448" t="s">
        <v>388</v>
      </c>
      <c r="E1593" s="449" t="s">
        <v>389</v>
      </c>
      <c r="F1593" s="448" t="s">
        <v>388</v>
      </c>
      <c r="G1593" s="589">
        <v>46220</v>
      </c>
      <c r="H1593" s="450"/>
      <c r="I1593" s="450" t="s">
        <v>183</v>
      </c>
      <c r="J1593" s="305">
        <v>0.77500000000000002</v>
      </c>
      <c r="K1593" s="305">
        <v>0.25069444444444444</v>
      </c>
      <c r="L1593" s="451" t="s">
        <v>168</v>
      </c>
      <c r="M1593" s="452">
        <v>8</v>
      </c>
      <c r="N1593" s="452">
        <v>2</v>
      </c>
      <c r="O1593" s="452">
        <v>6</v>
      </c>
      <c r="P1593" s="452">
        <v>2</v>
      </c>
      <c r="Q1593" s="453"/>
      <c r="R1593" s="564"/>
      <c r="S1593" s="564"/>
      <c r="T1593" s="564"/>
      <c r="U1593" s="564"/>
      <c r="V1593" s="564"/>
      <c r="W1593" s="564"/>
      <c r="X1593" s="563"/>
      <c r="Y1593" s="558"/>
      <c r="Z1593" s="571"/>
      <c r="AA1593" s="571"/>
      <c r="AB1593" s="553"/>
      <c r="AC1593" s="444"/>
      <c r="AD1593" s="444"/>
      <c r="AE1593" s="444"/>
      <c r="AF1593" s="444"/>
      <c r="AG1593" s="444"/>
    </row>
    <row r="1594" spans="1:33" s="554" customFormat="1">
      <c r="A1594" s="697"/>
      <c r="B1594" s="555" t="s">
        <v>187</v>
      </c>
      <c r="C1594" s="446">
        <v>13337</v>
      </c>
      <c r="D1594" s="448" t="s">
        <v>388</v>
      </c>
      <c r="E1594" s="449" t="s">
        <v>389</v>
      </c>
      <c r="F1594" s="448" t="s">
        <v>388</v>
      </c>
      <c r="G1594" s="589">
        <v>46221</v>
      </c>
      <c r="H1594" s="450"/>
      <c r="I1594" s="450" t="s">
        <v>183</v>
      </c>
      <c r="J1594" s="305">
        <v>0.77708333333333335</v>
      </c>
      <c r="K1594" s="305">
        <v>0.16805555555555557</v>
      </c>
      <c r="L1594" s="451" t="s">
        <v>168</v>
      </c>
      <c r="M1594" s="452">
        <v>8</v>
      </c>
      <c r="N1594" s="452"/>
      <c r="O1594" s="452">
        <v>6</v>
      </c>
      <c r="P1594" s="452"/>
      <c r="Q1594" s="453"/>
      <c r="R1594" s="564"/>
      <c r="S1594" s="564"/>
      <c r="T1594" s="564"/>
      <c r="U1594" s="564"/>
      <c r="V1594" s="564"/>
      <c r="W1594" s="564"/>
      <c r="X1594" s="564"/>
      <c r="Y1594" s="558"/>
      <c r="Z1594" s="571"/>
      <c r="AA1594" s="573"/>
      <c r="AB1594" s="553"/>
      <c r="AC1594" s="444"/>
      <c r="AD1594" s="444"/>
      <c r="AE1594" s="444"/>
      <c r="AF1594" s="444"/>
      <c r="AG1594" s="444"/>
    </row>
    <row r="1595" spans="1:33" s="554" customFormat="1">
      <c r="A1595" s="697"/>
      <c r="B1595" s="555" t="s">
        <v>187</v>
      </c>
      <c r="C1595" s="446">
        <v>13337</v>
      </c>
      <c r="D1595" s="448" t="s">
        <v>388</v>
      </c>
      <c r="E1595" s="449" t="s">
        <v>389</v>
      </c>
      <c r="F1595" s="448" t="s">
        <v>388</v>
      </c>
      <c r="G1595" s="590">
        <v>46222</v>
      </c>
      <c r="H1595" s="450"/>
      <c r="I1595" s="535"/>
      <c r="J1595" s="699" t="s">
        <v>173</v>
      </c>
      <c r="K1595" s="700"/>
      <c r="L1595" s="451"/>
      <c r="M1595" s="452"/>
      <c r="N1595" s="452"/>
      <c r="O1595" s="452"/>
      <c r="P1595" s="452"/>
      <c r="Q1595" s="453"/>
      <c r="R1595" s="570"/>
      <c r="S1595" s="570"/>
      <c r="T1595" s="564"/>
      <c r="U1595" s="564"/>
      <c r="V1595" s="564"/>
      <c r="W1595" s="570"/>
      <c r="X1595" s="563"/>
      <c r="Y1595" s="558"/>
      <c r="Z1595" s="571"/>
      <c r="AA1595" s="571"/>
      <c r="AB1595" s="553"/>
      <c r="AC1595" s="444"/>
      <c r="AD1595" s="444"/>
      <c r="AE1595" s="444"/>
      <c r="AF1595" s="444"/>
      <c r="AG1595" s="444"/>
    </row>
    <row r="1596" spans="1:33" s="554" customFormat="1">
      <c r="A1596" s="697"/>
      <c r="B1596" s="555" t="s">
        <v>187</v>
      </c>
      <c r="C1596" s="446">
        <v>13337</v>
      </c>
      <c r="D1596" s="448" t="s">
        <v>388</v>
      </c>
      <c r="E1596" s="449" t="s">
        <v>389</v>
      </c>
      <c r="F1596" s="448" t="s">
        <v>388</v>
      </c>
      <c r="G1596" s="589">
        <v>46223</v>
      </c>
      <c r="H1596" s="450"/>
      <c r="I1596" s="450" t="s">
        <v>183</v>
      </c>
      <c r="J1596" s="378">
        <v>0.76875000000000004</v>
      </c>
      <c r="K1596" s="295">
        <v>0.25138888888888888</v>
      </c>
      <c r="L1596" s="451" t="s">
        <v>168</v>
      </c>
      <c r="M1596" s="452">
        <v>8</v>
      </c>
      <c r="N1596" s="452">
        <v>2</v>
      </c>
      <c r="O1596" s="452">
        <v>6</v>
      </c>
      <c r="P1596" s="452">
        <v>2</v>
      </c>
      <c r="Q1596" s="461"/>
      <c r="R1596" s="564"/>
      <c r="S1596" s="564"/>
      <c r="T1596" s="564"/>
      <c r="U1596" s="564"/>
      <c r="V1596" s="564"/>
      <c r="W1596" s="564"/>
      <c r="X1596" s="563"/>
      <c r="Y1596" s="558"/>
      <c r="Z1596" s="571"/>
      <c r="AA1596" s="571"/>
      <c r="AB1596" s="553"/>
      <c r="AC1596" s="444"/>
      <c r="AD1596" s="444"/>
      <c r="AE1596" s="444"/>
      <c r="AF1596" s="444"/>
      <c r="AG1596" s="444"/>
    </row>
    <row r="1597" spans="1:33" s="554" customFormat="1">
      <c r="A1597" s="697"/>
      <c r="B1597" s="555" t="s">
        <v>187</v>
      </c>
      <c r="C1597" s="446">
        <v>13337</v>
      </c>
      <c r="D1597" s="448" t="s">
        <v>388</v>
      </c>
      <c r="E1597" s="449" t="s">
        <v>389</v>
      </c>
      <c r="F1597" s="448" t="s">
        <v>388</v>
      </c>
      <c r="G1597" s="589">
        <v>46224</v>
      </c>
      <c r="H1597" s="450"/>
      <c r="I1597" s="450" t="s">
        <v>183</v>
      </c>
      <c r="J1597" s="378">
        <v>0.76458333333333328</v>
      </c>
      <c r="K1597" s="295">
        <v>0.1673611111111111</v>
      </c>
      <c r="L1597" s="451" t="s">
        <v>168</v>
      </c>
      <c r="M1597" s="452">
        <v>8</v>
      </c>
      <c r="N1597" s="452"/>
      <c r="O1597" s="452">
        <v>6</v>
      </c>
      <c r="P1597" s="558"/>
      <c r="Q1597" s="564"/>
      <c r="R1597" s="564"/>
      <c r="S1597" s="564"/>
      <c r="T1597" s="564"/>
      <c r="U1597" s="564"/>
      <c r="V1597" s="564"/>
      <c r="W1597" s="564"/>
      <c r="X1597" s="563"/>
      <c r="Y1597" s="572"/>
      <c r="Z1597" s="573"/>
      <c r="AA1597" s="571"/>
      <c r="AB1597" s="553"/>
      <c r="AC1597" s="444"/>
      <c r="AD1597" s="444"/>
      <c r="AE1597" s="444"/>
      <c r="AF1597" s="444"/>
      <c r="AG1597" s="444"/>
    </row>
    <row r="1598" spans="1:33" s="554" customFormat="1">
      <c r="A1598" s="697"/>
      <c r="B1598" s="555" t="s">
        <v>187</v>
      </c>
      <c r="C1598" s="446">
        <v>13337</v>
      </c>
      <c r="D1598" s="448" t="s">
        <v>388</v>
      </c>
      <c r="E1598" s="449" t="s">
        <v>389</v>
      </c>
      <c r="F1598" s="448" t="s">
        <v>388</v>
      </c>
      <c r="G1598" s="589">
        <v>46225</v>
      </c>
      <c r="H1598" s="450"/>
      <c r="I1598" s="450" t="s">
        <v>183</v>
      </c>
      <c r="J1598" s="378">
        <v>0.77708333333333335</v>
      </c>
      <c r="K1598" s="295">
        <v>0.25069444444444444</v>
      </c>
      <c r="L1598" s="451" t="s">
        <v>168</v>
      </c>
      <c r="M1598" s="452">
        <v>8</v>
      </c>
      <c r="N1598" s="452">
        <v>2</v>
      </c>
      <c r="O1598" s="452">
        <v>6</v>
      </c>
      <c r="P1598" s="452">
        <v>2</v>
      </c>
      <c r="Q1598" s="564"/>
      <c r="R1598" s="564"/>
      <c r="S1598" s="564"/>
      <c r="T1598" s="564"/>
      <c r="U1598" s="564"/>
      <c r="V1598" s="564"/>
      <c r="W1598" s="564"/>
      <c r="X1598" s="563"/>
      <c r="Y1598" s="564"/>
      <c r="Z1598" s="566"/>
      <c r="AA1598" s="565"/>
      <c r="AB1598" s="553"/>
      <c r="AC1598" s="444"/>
      <c r="AD1598" s="444"/>
      <c r="AE1598" s="444"/>
      <c r="AF1598" s="444"/>
      <c r="AG1598" s="444"/>
    </row>
    <row r="1599" spans="1:33" s="554" customFormat="1">
      <c r="A1599" s="697"/>
      <c r="B1599" s="555" t="s">
        <v>187</v>
      </c>
      <c r="C1599" s="446">
        <v>13337</v>
      </c>
      <c r="D1599" s="448" t="s">
        <v>388</v>
      </c>
      <c r="E1599" s="449" t="s">
        <v>389</v>
      </c>
      <c r="F1599" s="448" t="s">
        <v>388</v>
      </c>
      <c r="G1599" s="589">
        <v>46226</v>
      </c>
      <c r="H1599" s="450"/>
      <c r="I1599" s="450" t="s">
        <v>183</v>
      </c>
      <c r="J1599" s="378">
        <v>0.77777777777777779</v>
      </c>
      <c r="K1599" s="295">
        <v>0.1673611111111111</v>
      </c>
      <c r="L1599" s="451" t="s">
        <v>168</v>
      </c>
      <c r="M1599" s="452">
        <v>8</v>
      </c>
      <c r="N1599" s="452"/>
      <c r="O1599" s="452">
        <v>6</v>
      </c>
      <c r="P1599" s="558"/>
      <c r="Q1599" s="564"/>
      <c r="R1599" s="564"/>
      <c r="S1599" s="564"/>
      <c r="T1599" s="564"/>
      <c r="U1599" s="564"/>
      <c r="V1599" s="564"/>
      <c r="W1599" s="564"/>
      <c r="X1599" s="563"/>
      <c r="Y1599" s="558"/>
      <c r="Z1599" s="571"/>
      <c r="AA1599" s="565"/>
      <c r="AB1599" s="553"/>
      <c r="AC1599" s="444"/>
      <c r="AD1599" s="444"/>
      <c r="AE1599" s="444"/>
      <c r="AF1599" s="444"/>
      <c r="AG1599" s="444"/>
    </row>
    <row r="1600" spans="1:33" s="554" customFormat="1">
      <c r="A1600" s="697"/>
      <c r="B1600" s="555" t="s">
        <v>187</v>
      </c>
      <c r="C1600" s="446">
        <v>13337</v>
      </c>
      <c r="D1600" s="448" t="s">
        <v>388</v>
      </c>
      <c r="E1600" s="449" t="s">
        <v>389</v>
      </c>
      <c r="F1600" s="448" t="s">
        <v>388</v>
      </c>
      <c r="G1600" s="589">
        <v>46227</v>
      </c>
      <c r="H1600" s="450"/>
      <c r="I1600" s="450" t="s">
        <v>183</v>
      </c>
      <c r="J1600" s="378">
        <v>0.77569444444444446</v>
      </c>
      <c r="K1600" s="318">
        <v>0.25069444444444444</v>
      </c>
      <c r="L1600" s="451" t="s">
        <v>168</v>
      </c>
      <c r="M1600" s="452">
        <v>8</v>
      </c>
      <c r="N1600" s="452">
        <v>2</v>
      </c>
      <c r="O1600" s="452">
        <v>6</v>
      </c>
      <c r="P1600" s="452">
        <v>2</v>
      </c>
      <c r="Q1600" s="564"/>
      <c r="R1600" s="564"/>
      <c r="S1600" s="564"/>
      <c r="T1600" s="564"/>
      <c r="U1600" s="564"/>
      <c r="V1600" s="564"/>
      <c r="W1600" s="564"/>
      <c r="X1600" s="563"/>
      <c r="Y1600" s="558"/>
      <c r="Z1600" s="571"/>
      <c r="AA1600" s="571"/>
      <c r="AB1600" s="553"/>
      <c r="AC1600" s="444"/>
      <c r="AD1600" s="444"/>
      <c r="AE1600" s="444"/>
      <c r="AF1600" s="444"/>
      <c r="AG1600" s="444"/>
    </row>
    <row r="1601" spans="1:33" s="554" customFormat="1">
      <c r="A1601" s="697"/>
      <c r="B1601" s="555" t="s">
        <v>187</v>
      </c>
      <c r="C1601" s="446">
        <v>13337</v>
      </c>
      <c r="D1601" s="448" t="s">
        <v>388</v>
      </c>
      <c r="E1601" s="449" t="s">
        <v>389</v>
      </c>
      <c r="F1601" s="448" t="s">
        <v>388</v>
      </c>
      <c r="G1601" s="589">
        <v>46228</v>
      </c>
      <c r="H1601" s="450"/>
      <c r="I1601" s="450" t="s">
        <v>183</v>
      </c>
      <c r="J1601" s="295"/>
      <c r="K1601" s="295"/>
      <c r="L1601" s="581"/>
      <c r="M1601" s="581"/>
      <c r="N1601" s="558"/>
      <c r="O1601" s="572"/>
      <c r="P1601" s="572"/>
      <c r="Q1601" s="564"/>
      <c r="R1601" s="564"/>
      <c r="S1601" s="564"/>
      <c r="T1601" s="564"/>
      <c r="U1601" s="564"/>
      <c r="V1601" s="564"/>
      <c r="W1601" s="564"/>
      <c r="X1601" s="564"/>
      <c r="Y1601" s="572"/>
      <c r="Z1601" s="573"/>
      <c r="AA1601" s="573"/>
      <c r="AB1601" s="553"/>
      <c r="AC1601" s="444"/>
      <c r="AD1601" s="444"/>
      <c r="AE1601" s="444"/>
      <c r="AF1601" s="444"/>
      <c r="AG1601" s="444"/>
    </row>
    <row r="1602" spans="1:33" s="554" customFormat="1">
      <c r="A1602" s="698"/>
      <c r="B1602" s="558"/>
      <c r="C1602" s="558"/>
      <c r="D1602" s="558"/>
      <c r="E1602" s="558"/>
      <c r="F1602" s="558"/>
      <c r="G1602" s="610"/>
      <c r="H1602" s="575"/>
      <c r="I1602" s="575"/>
      <c r="J1602" s="576"/>
      <c r="K1602" s="577"/>
      <c r="L1602" s="578"/>
      <c r="M1602" s="579">
        <f t="shared" ref="M1602:AA1602" si="89">SUM(M1586:M1601)</f>
        <v>96</v>
      </c>
      <c r="N1602" s="579">
        <f t="shared" si="89"/>
        <v>16</v>
      </c>
      <c r="O1602" s="579">
        <f t="shared" si="89"/>
        <v>66</v>
      </c>
      <c r="P1602" s="579">
        <f t="shared" si="89"/>
        <v>16</v>
      </c>
      <c r="Q1602" s="578">
        <f t="shared" si="89"/>
        <v>0</v>
      </c>
      <c r="R1602" s="578">
        <f t="shared" si="89"/>
        <v>0</v>
      </c>
      <c r="S1602" s="578">
        <f t="shared" si="89"/>
        <v>0</v>
      </c>
      <c r="T1602" s="578">
        <f t="shared" si="89"/>
        <v>0</v>
      </c>
      <c r="U1602" s="578">
        <f t="shared" si="89"/>
        <v>0</v>
      </c>
      <c r="V1602" s="578">
        <f t="shared" si="89"/>
        <v>0</v>
      </c>
      <c r="W1602" s="578">
        <f t="shared" si="89"/>
        <v>0</v>
      </c>
      <c r="X1602" s="578">
        <f t="shared" si="89"/>
        <v>0</v>
      </c>
      <c r="Y1602" s="579">
        <f t="shared" si="89"/>
        <v>0</v>
      </c>
      <c r="Z1602" s="579">
        <f t="shared" si="89"/>
        <v>0</v>
      </c>
      <c r="AA1602" s="580">
        <f t="shared" si="89"/>
        <v>0</v>
      </c>
      <c r="AB1602" s="553"/>
      <c r="AC1602" s="444"/>
      <c r="AD1602" s="444"/>
      <c r="AE1602" s="444"/>
      <c r="AF1602" s="444"/>
      <c r="AG1602" s="444"/>
    </row>
    <row r="1603" spans="1:33" s="554" customFormat="1">
      <c r="A1603" s="542" t="s">
        <v>170</v>
      </c>
      <c r="B1603" s="542" t="s">
        <v>120</v>
      </c>
      <c r="C1603" s="542" t="s">
        <v>152</v>
      </c>
      <c r="D1603" s="542" t="s">
        <v>182</v>
      </c>
      <c r="E1603" s="543" t="s">
        <v>153</v>
      </c>
      <c r="F1603" s="542" t="s">
        <v>182</v>
      </c>
      <c r="G1603" s="608" t="s">
        <v>401</v>
      </c>
      <c r="H1603" s="544"/>
      <c r="I1603" s="544" t="s">
        <v>181</v>
      </c>
      <c r="J1603" s="545" t="s">
        <v>154</v>
      </c>
      <c r="K1603" s="545" t="s">
        <v>155</v>
      </c>
      <c r="L1603" s="546" t="s">
        <v>156</v>
      </c>
      <c r="M1603" s="547" t="s">
        <v>157</v>
      </c>
      <c r="N1603" s="548" t="s">
        <v>158</v>
      </c>
      <c r="O1603" s="548" t="s">
        <v>159</v>
      </c>
      <c r="P1603" s="548" t="s">
        <v>174</v>
      </c>
      <c r="Q1603" s="549" t="s">
        <v>160</v>
      </c>
      <c r="R1603" s="549" t="s">
        <v>161</v>
      </c>
      <c r="S1603" s="549" t="s">
        <v>162</v>
      </c>
      <c r="T1603" s="550" t="s">
        <v>163</v>
      </c>
      <c r="U1603" s="550" t="s">
        <v>164</v>
      </c>
      <c r="V1603" s="550" t="s">
        <v>165</v>
      </c>
      <c r="W1603" s="549" t="s">
        <v>113</v>
      </c>
      <c r="X1603" s="550" t="s">
        <v>121</v>
      </c>
      <c r="Y1603" s="551" t="s">
        <v>166</v>
      </c>
      <c r="Z1603" s="552" t="s">
        <v>175</v>
      </c>
      <c r="AA1603" s="552" t="s">
        <v>167</v>
      </c>
      <c r="AB1603" s="553"/>
      <c r="AC1603" s="444"/>
      <c r="AD1603" s="444"/>
      <c r="AE1603" s="444"/>
      <c r="AF1603" s="444"/>
      <c r="AG1603" s="444"/>
    </row>
    <row r="1604" spans="1:33" s="554" customFormat="1">
      <c r="A1604" s="696"/>
      <c r="B1604" s="446" t="s">
        <v>187</v>
      </c>
      <c r="C1604" s="486">
        <v>12397</v>
      </c>
      <c r="D1604" s="448" t="s">
        <v>390</v>
      </c>
      <c r="E1604" s="449" t="s">
        <v>391</v>
      </c>
      <c r="F1604" s="448" t="s">
        <v>390</v>
      </c>
      <c r="G1604" s="589">
        <v>46214</v>
      </c>
      <c r="H1604" s="450"/>
      <c r="I1604" s="581" t="s">
        <v>186</v>
      </c>
      <c r="J1604" s="295">
        <v>0.31458333333333333</v>
      </c>
      <c r="K1604" s="295">
        <v>0.7104166666666667</v>
      </c>
      <c r="L1604" s="451" t="s">
        <v>169</v>
      </c>
      <c r="M1604" s="452">
        <v>8</v>
      </c>
      <c r="N1604" s="452"/>
      <c r="O1604" s="563"/>
      <c r="P1604" s="563"/>
      <c r="Q1604" s="453"/>
      <c r="R1604" s="564"/>
      <c r="S1604" s="564"/>
      <c r="T1604" s="564"/>
      <c r="U1604" s="564"/>
      <c r="V1604" s="564"/>
      <c r="W1604" s="564"/>
      <c r="X1604" s="564"/>
      <c r="Y1604" s="563"/>
      <c r="Z1604" s="565"/>
      <c r="AA1604" s="458"/>
      <c r="AB1604" s="553"/>
      <c r="AC1604" s="444"/>
      <c r="AD1604" s="444"/>
      <c r="AE1604" s="444"/>
      <c r="AF1604" s="444"/>
      <c r="AG1604" s="444"/>
    </row>
    <row r="1605" spans="1:33" s="554" customFormat="1">
      <c r="A1605" s="697"/>
      <c r="B1605" s="446" t="s">
        <v>187</v>
      </c>
      <c r="C1605" s="486">
        <v>12397</v>
      </c>
      <c r="D1605" s="448" t="s">
        <v>390</v>
      </c>
      <c r="E1605" s="449" t="s">
        <v>391</v>
      </c>
      <c r="F1605" s="448" t="s">
        <v>390</v>
      </c>
      <c r="G1605" s="590">
        <v>46215</v>
      </c>
      <c r="H1605" s="450"/>
      <c r="I1605" s="581"/>
      <c r="J1605" s="699" t="s">
        <v>173</v>
      </c>
      <c r="K1605" s="700"/>
      <c r="L1605" s="451"/>
      <c r="M1605" s="452"/>
      <c r="N1605" s="452"/>
      <c r="O1605" s="569"/>
      <c r="P1605" s="569"/>
      <c r="Q1605" s="453"/>
      <c r="R1605" s="570"/>
      <c r="S1605" s="570"/>
      <c r="T1605" s="564"/>
      <c r="U1605" s="564"/>
      <c r="V1605" s="564"/>
      <c r="W1605" s="570"/>
      <c r="X1605" s="563"/>
      <c r="Y1605" s="558"/>
      <c r="Z1605" s="571"/>
      <c r="AA1605" s="458"/>
      <c r="AB1605" s="553"/>
      <c r="AC1605" s="444"/>
      <c r="AD1605" s="444"/>
      <c r="AE1605" s="444"/>
      <c r="AF1605" s="444"/>
      <c r="AG1605" s="444"/>
    </row>
    <row r="1606" spans="1:33" s="554" customFormat="1">
      <c r="A1606" s="697"/>
      <c r="B1606" s="446" t="s">
        <v>187</v>
      </c>
      <c r="C1606" s="486">
        <v>12397</v>
      </c>
      <c r="D1606" s="448" t="s">
        <v>390</v>
      </c>
      <c r="E1606" s="449" t="s">
        <v>391</v>
      </c>
      <c r="F1606" s="448" t="s">
        <v>390</v>
      </c>
      <c r="G1606" s="589">
        <v>46216</v>
      </c>
      <c r="H1606" s="450"/>
      <c r="I1606" s="450" t="s">
        <v>186</v>
      </c>
      <c r="J1606" s="305">
        <v>0.31805555555555554</v>
      </c>
      <c r="K1606" s="305">
        <v>0.79305555555555551</v>
      </c>
      <c r="L1606" s="451" t="s">
        <v>169</v>
      </c>
      <c r="M1606" s="452">
        <v>8</v>
      </c>
      <c r="N1606" s="452">
        <v>2</v>
      </c>
      <c r="O1606" s="558"/>
      <c r="P1606" s="558"/>
      <c r="Q1606" s="453"/>
      <c r="R1606" s="564"/>
      <c r="S1606" s="564"/>
      <c r="T1606" s="564"/>
      <c r="U1606" s="564"/>
      <c r="V1606" s="564"/>
      <c r="W1606" s="564"/>
      <c r="X1606" s="563"/>
      <c r="Y1606" s="558"/>
      <c r="Z1606" s="571"/>
      <c r="AA1606" s="458"/>
      <c r="AB1606" s="553"/>
      <c r="AC1606" s="444"/>
      <c r="AD1606" s="444"/>
      <c r="AE1606" s="444"/>
      <c r="AF1606" s="444"/>
      <c r="AG1606" s="444"/>
    </row>
    <row r="1607" spans="1:33" s="554" customFormat="1">
      <c r="A1607" s="697"/>
      <c r="B1607" s="446" t="s">
        <v>187</v>
      </c>
      <c r="C1607" s="486">
        <v>12397</v>
      </c>
      <c r="D1607" s="448" t="s">
        <v>390</v>
      </c>
      <c r="E1607" s="449" t="s">
        <v>391</v>
      </c>
      <c r="F1607" s="448" t="s">
        <v>390</v>
      </c>
      <c r="G1607" s="589">
        <v>46217</v>
      </c>
      <c r="H1607" s="450"/>
      <c r="I1607" s="581" t="s">
        <v>186</v>
      </c>
      <c r="J1607" s="305">
        <v>0.31736111111111109</v>
      </c>
      <c r="K1607" s="305">
        <v>0.7944444444444444</v>
      </c>
      <c r="L1607" s="451" t="s">
        <v>169</v>
      </c>
      <c r="M1607" s="452">
        <v>8</v>
      </c>
      <c r="N1607" s="452">
        <v>2</v>
      </c>
      <c r="O1607" s="558"/>
      <c r="P1607" s="558"/>
      <c r="Q1607" s="461"/>
      <c r="R1607" s="564"/>
      <c r="S1607" s="564"/>
      <c r="T1607" s="564"/>
      <c r="U1607" s="564"/>
      <c r="V1607" s="564"/>
      <c r="W1607" s="564"/>
      <c r="X1607" s="563"/>
      <c r="Y1607" s="572"/>
      <c r="Z1607" s="573"/>
      <c r="AA1607" s="467"/>
      <c r="AB1607" s="553"/>
      <c r="AC1607" s="444"/>
      <c r="AD1607" s="444"/>
      <c r="AE1607" s="444"/>
      <c r="AF1607" s="444"/>
      <c r="AG1607" s="444"/>
    </row>
    <row r="1608" spans="1:33" s="554" customFormat="1">
      <c r="A1608" s="697"/>
      <c r="B1608" s="446" t="s">
        <v>187</v>
      </c>
      <c r="C1608" s="486">
        <v>12397</v>
      </c>
      <c r="D1608" s="448" t="s">
        <v>390</v>
      </c>
      <c r="E1608" s="449" t="s">
        <v>391</v>
      </c>
      <c r="F1608" s="448" t="s">
        <v>390</v>
      </c>
      <c r="G1608" s="589">
        <v>46218</v>
      </c>
      <c r="H1608" s="450"/>
      <c r="I1608" s="581" t="s">
        <v>186</v>
      </c>
      <c r="J1608" s="305">
        <v>0.31527777777777777</v>
      </c>
      <c r="K1608" s="305">
        <v>0.79305555555555562</v>
      </c>
      <c r="L1608" s="451" t="s">
        <v>169</v>
      </c>
      <c r="M1608" s="452">
        <v>8</v>
      </c>
      <c r="N1608" s="452">
        <v>2</v>
      </c>
      <c r="O1608" s="558"/>
      <c r="P1608" s="558"/>
      <c r="Q1608" s="453"/>
      <c r="R1608" s="564"/>
      <c r="S1608" s="564"/>
      <c r="T1608" s="564"/>
      <c r="U1608" s="564"/>
      <c r="V1608" s="564"/>
      <c r="W1608" s="564"/>
      <c r="X1608" s="563"/>
      <c r="Y1608" s="564"/>
      <c r="Z1608" s="566"/>
      <c r="AA1608" s="458"/>
      <c r="AB1608" s="553"/>
      <c r="AC1608" s="444"/>
      <c r="AD1608" s="444"/>
      <c r="AE1608" s="444"/>
      <c r="AF1608" s="444"/>
      <c r="AG1608" s="444"/>
    </row>
    <row r="1609" spans="1:33" s="554" customFormat="1">
      <c r="A1609" s="697"/>
      <c r="B1609" s="446" t="s">
        <v>187</v>
      </c>
      <c r="C1609" s="486">
        <v>12397</v>
      </c>
      <c r="D1609" s="448" t="s">
        <v>390</v>
      </c>
      <c r="E1609" s="449" t="s">
        <v>391</v>
      </c>
      <c r="F1609" s="448" t="s">
        <v>390</v>
      </c>
      <c r="G1609" s="589">
        <v>46219</v>
      </c>
      <c r="H1609" s="450"/>
      <c r="I1609" s="581" t="s">
        <v>186</v>
      </c>
      <c r="J1609" s="305">
        <v>0.31458333333333333</v>
      </c>
      <c r="K1609" s="305">
        <v>0.70972222222222225</v>
      </c>
      <c r="L1609" s="451" t="s">
        <v>169</v>
      </c>
      <c r="M1609" s="452">
        <v>8</v>
      </c>
      <c r="N1609" s="452"/>
      <c r="O1609" s="558"/>
      <c r="P1609" s="558"/>
      <c r="Q1609" s="453"/>
      <c r="R1609" s="564"/>
      <c r="S1609" s="564"/>
      <c r="T1609" s="564"/>
      <c r="U1609" s="564"/>
      <c r="V1609" s="564"/>
      <c r="W1609" s="564"/>
      <c r="X1609" s="563"/>
      <c r="Y1609" s="558"/>
      <c r="Z1609" s="571"/>
      <c r="AA1609" s="458"/>
      <c r="AB1609" s="553"/>
      <c r="AC1609" s="444"/>
      <c r="AD1609" s="444"/>
      <c r="AE1609" s="444"/>
      <c r="AF1609" s="444"/>
      <c r="AG1609" s="444"/>
    </row>
    <row r="1610" spans="1:33" s="554" customFormat="1">
      <c r="A1610" s="697"/>
      <c r="B1610" s="446" t="s">
        <v>187</v>
      </c>
      <c r="C1610" s="486">
        <v>12397</v>
      </c>
      <c r="D1610" s="448" t="s">
        <v>390</v>
      </c>
      <c r="E1610" s="449" t="s">
        <v>391</v>
      </c>
      <c r="F1610" s="448" t="s">
        <v>390</v>
      </c>
      <c r="G1610" s="589">
        <v>46220</v>
      </c>
      <c r="H1610" s="450"/>
      <c r="I1610" s="581" t="s">
        <v>186</v>
      </c>
      <c r="J1610" s="305">
        <v>0.31736111111111115</v>
      </c>
      <c r="K1610" s="305">
        <v>0.70972222222222225</v>
      </c>
      <c r="L1610" s="451" t="s">
        <v>169</v>
      </c>
      <c r="M1610" s="452">
        <v>8</v>
      </c>
      <c r="N1610" s="452"/>
      <c r="O1610" s="558"/>
      <c r="P1610" s="558"/>
      <c r="Q1610" s="453"/>
      <c r="R1610" s="564"/>
      <c r="S1610" s="564"/>
      <c r="T1610" s="564"/>
      <c r="U1610" s="564"/>
      <c r="V1610" s="564"/>
      <c r="W1610" s="564"/>
      <c r="X1610" s="563"/>
      <c r="Y1610" s="558"/>
      <c r="Z1610" s="571"/>
      <c r="AA1610" s="458"/>
      <c r="AB1610" s="553"/>
      <c r="AC1610" s="444"/>
      <c r="AD1610" s="444"/>
      <c r="AE1610" s="444"/>
      <c r="AF1610" s="444"/>
      <c r="AG1610" s="444"/>
    </row>
    <row r="1611" spans="1:33" s="554" customFormat="1">
      <c r="A1611" s="697"/>
      <c r="B1611" s="446" t="s">
        <v>187</v>
      </c>
      <c r="C1611" s="486">
        <v>12397</v>
      </c>
      <c r="D1611" s="448" t="s">
        <v>390</v>
      </c>
      <c r="E1611" s="449" t="s">
        <v>391</v>
      </c>
      <c r="F1611" s="448" t="s">
        <v>390</v>
      </c>
      <c r="G1611" s="589">
        <v>46221</v>
      </c>
      <c r="H1611" s="450"/>
      <c r="I1611" s="581" t="s">
        <v>186</v>
      </c>
      <c r="J1611" s="305">
        <v>0.3298611111111111</v>
      </c>
      <c r="K1611" s="305">
        <v>0.7104166666666667</v>
      </c>
      <c r="L1611" s="451" t="s">
        <v>169</v>
      </c>
      <c r="M1611" s="452">
        <v>8</v>
      </c>
      <c r="N1611" s="452"/>
      <c r="O1611" s="558"/>
      <c r="P1611" s="558"/>
      <c r="Q1611" s="453"/>
      <c r="R1611" s="564"/>
      <c r="S1611" s="564"/>
      <c r="T1611" s="564"/>
      <c r="U1611" s="564"/>
      <c r="V1611" s="564"/>
      <c r="W1611" s="564"/>
      <c r="X1611" s="564"/>
      <c r="Y1611" s="558"/>
      <c r="Z1611" s="571"/>
      <c r="AA1611" s="582"/>
      <c r="AB1611" s="553"/>
      <c r="AC1611" s="444"/>
      <c r="AD1611" s="444"/>
      <c r="AE1611" s="444"/>
      <c r="AF1611" s="444"/>
      <c r="AG1611" s="444"/>
    </row>
    <row r="1612" spans="1:33" s="554" customFormat="1">
      <c r="A1612" s="697"/>
      <c r="B1612" s="446" t="s">
        <v>187</v>
      </c>
      <c r="C1612" s="486">
        <v>12397</v>
      </c>
      <c r="D1612" s="448" t="s">
        <v>390</v>
      </c>
      <c r="E1612" s="449" t="s">
        <v>391</v>
      </c>
      <c r="F1612" s="448" t="s">
        <v>390</v>
      </c>
      <c r="G1612" s="590">
        <v>46222</v>
      </c>
      <c r="H1612" s="450"/>
      <c r="I1612" s="450"/>
      <c r="J1612" s="699" t="s">
        <v>173</v>
      </c>
      <c r="K1612" s="700"/>
      <c r="L1612" s="451"/>
      <c r="M1612" s="452"/>
      <c r="N1612" s="452"/>
      <c r="O1612" s="569"/>
      <c r="P1612" s="569"/>
      <c r="Q1612" s="453"/>
      <c r="R1612" s="570"/>
      <c r="S1612" s="570"/>
      <c r="T1612" s="564"/>
      <c r="U1612" s="564"/>
      <c r="V1612" s="564"/>
      <c r="W1612" s="570"/>
      <c r="X1612" s="563"/>
      <c r="Y1612" s="558"/>
      <c r="Z1612" s="571"/>
      <c r="AA1612" s="458"/>
      <c r="AB1612" s="553"/>
      <c r="AC1612" s="444"/>
      <c r="AD1612" s="444"/>
      <c r="AE1612" s="444"/>
      <c r="AF1612" s="444"/>
      <c r="AG1612" s="444"/>
    </row>
    <row r="1613" spans="1:33" s="554" customFormat="1">
      <c r="A1613" s="697"/>
      <c r="B1613" s="446" t="s">
        <v>187</v>
      </c>
      <c r="C1613" s="486">
        <v>12397</v>
      </c>
      <c r="D1613" s="448" t="s">
        <v>390</v>
      </c>
      <c r="E1613" s="449" t="s">
        <v>391</v>
      </c>
      <c r="F1613" s="448" t="s">
        <v>390</v>
      </c>
      <c r="G1613" s="589">
        <v>46223</v>
      </c>
      <c r="H1613" s="450"/>
      <c r="I1613" s="581" t="s">
        <v>186</v>
      </c>
      <c r="J1613" s="378">
        <v>0.32083333333333336</v>
      </c>
      <c r="K1613" s="378">
        <v>0.7944444444444444</v>
      </c>
      <c r="L1613" s="451" t="s">
        <v>169</v>
      </c>
      <c r="M1613" s="452">
        <v>8</v>
      </c>
      <c r="N1613" s="452">
        <v>2</v>
      </c>
      <c r="O1613" s="563"/>
      <c r="P1613" s="563"/>
      <c r="Q1613" s="461"/>
      <c r="R1613" s="564"/>
      <c r="S1613" s="564"/>
      <c r="T1613" s="564"/>
      <c r="U1613" s="564"/>
      <c r="V1613" s="564"/>
      <c r="W1613" s="564"/>
      <c r="X1613" s="563"/>
      <c r="Y1613" s="558"/>
      <c r="Z1613" s="571"/>
      <c r="AA1613" s="458"/>
      <c r="AB1613" s="553"/>
      <c r="AC1613" s="444"/>
      <c r="AD1613" s="444"/>
      <c r="AE1613" s="444"/>
      <c r="AF1613" s="444"/>
      <c r="AG1613" s="444"/>
    </row>
    <row r="1614" spans="1:33" s="554" customFormat="1">
      <c r="A1614" s="697"/>
      <c r="B1614" s="446" t="s">
        <v>187</v>
      </c>
      <c r="C1614" s="486">
        <v>12397</v>
      </c>
      <c r="D1614" s="448" t="s">
        <v>390</v>
      </c>
      <c r="E1614" s="449" t="s">
        <v>391</v>
      </c>
      <c r="F1614" s="448" t="s">
        <v>390</v>
      </c>
      <c r="G1614" s="589">
        <v>46224</v>
      </c>
      <c r="H1614" s="450"/>
      <c r="I1614" s="581" t="s">
        <v>186</v>
      </c>
      <c r="J1614" s="295">
        <v>0.31666666666666665</v>
      </c>
      <c r="K1614" s="295">
        <v>0.79374999999999996</v>
      </c>
      <c r="L1614" s="451" t="s">
        <v>169</v>
      </c>
      <c r="M1614" s="452">
        <v>8</v>
      </c>
      <c r="N1614" s="452">
        <v>2</v>
      </c>
      <c r="O1614" s="558"/>
      <c r="P1614" s="558"/>
      <c r="Q1614" s="468"/>
      <c r="R1614" s="564"/>
      <c r="S1614" s="564"/>
      <c r="T1614" s="564"/>
      <c r="U1614" s="564"/>
      <c r="V1614" s="564"/>
      <c r="W1614" s="564"/>
      <c r="X1614" s="563"/>
      <c r="Y1614" s="572"/>
      <c r="Z1614" s="573"/>
      <c r="AA1614" s="467"/>
      <c r="AB1614" s="553"/>
      <c r="AC1614" s="444"/>
      <c r="AD1614" s="444"/>
      <c r="AE1614" s="444"/>
      <c r="AF1614" s="444"/>
      <c r="AG1614" s="444"/>
    </row>
    <row r="1615" spans="1:33" s="554" customFormat="1">
      <c r="A1615" s="697"/>
      <c r="B1615" s="446" t="s">
        <v>187</v>
      </c>
      <c r="C1615" s="486">
        <v>12397</v>
      </c>
      <c r="D1615" s="448" t="s">
        <v>390</v>
      </c>
      <c r="E1615" s="449" t="s">
        <v>391</v>
      </c>
      <c r="F1615" s="448" t="s">
        <v>390</v>
      </c>
      <c r="G1615" s="589">
        <v>46225</v>
      </c>
      <c r="H1615" s="450"/>
      <c r="I1615" s="581" t="s">
        <v>186</v>
      </c>
      <c r="J1615" s="295">
        <v>0.31736111111111109</v>
      </c>
      <c r="K1615" s="295">
        <v>0.71111111111111114</v>
      </c>
      <c r="L1615" s="451" t="s">
        <v>169</v>
      </c>
      <c r="M1615" s="452">
        <v>8</v>
      </c>
      <c r="N1615" s="452"/>
      <c r="O1615" s="558"/>
      <c r="P1615" s="558"/>
      <c r="Q1615" s="453"/>
      <c r="R1615" s="564"/>
      <c r="S1615" s="564"/>
      <c r="T1615" s="564"/>
      <c r="U1615" s="564"/>
      <c r="V1615" s="564"/>
      <c r="W1615" s="564"/>
      <c r="X1615" s="563"/>
      <c r="Y1615" s="564"/>
      <c r="Z1615" s="566"/>
      <c r="AA1615" s="458"/>
      <c r="AB1615" s="553"/>
      <c r="AC1615" s="444"/>
      <c r="AD1615" s="444"/>
      <c r="AE1615" s="444"/>
      <c r="AF1615" s="444"/>
      <c r="AG1615" s="444"/>
    </row>
    <row r="1616" spans="1:33" s="554" customFormat="1">
      <c r="A1616" s="697"/>
      <c r="B1616" s="446" t="s">
        <v>187</v>
      </c>
      <c r="C1616" s="486">
        <v>12397</v>
      </c>
      <c r="D1616" s="448" t="s">
        <v>390</v>
      </c>
      <c r="E1616" s="449" t="s">
        <v>391</v>
      </c>
      <c r="F1616" s="448" t="s">
        <v>390</v>
      </c>
      <c r="G1616" s="589">
        <v>46226</v>
      </c>
      <c r="H1616" s="450"/>
      <c r="I1616" s="581" t="s">
        <v>186</v>
      </c>
      <c r="J1616" s="295">
        <v>0.31805555555555554</v>
      </c>
      <c r="K1616" s="295">
        <v>0.79236111111111107</v>
      </c>
      <c r="L1616" s="451" t="s">
        <v>169</v>
      </c>
      <c r="M1616" s="452">
        <v>8</v>
      </c>
      <c r="N1616" s="452">
        <v>2</v>
      </c>
      <c r="O1616" s="558"/>
      <c r="P1616" s="558"/>
      <c r="Q1616" s="453"/>
      <c r="R1616" s="564"/>
      <c r="S1616" s="564"/>
      <c r="T1616" s="564"/>
      <c r="U1616" s="564"/>
      <c r="V1616" s="564"/>
      <c r="W1616" s="564"/>
      <c r="X1616" s="563"/>
      <c r="Y1616" s="558"/>
      <c r="Z1616" s="571"/>
      <c r="AA1616" s="458"/>
      <c r="AB1616" s="553"/>
      <c r="AC1616" s="444"/>
      <c r="AD1616" s="444"/>
      <c r="AE1616" s="444"/>
      <c r="AF1616" s="444"/>
      <c r="AG1616" s="444"/>
    </row>
    <row r="1617" spans="1:33" s="554" customFormat="1">
      <c r="A1617" s="697"/>
      <c r="B1617" s="446" t="s">
        <v>187</v>
      </c>
      <c r="C1617" s="486">
        <v>12397</v>
      </c>
      <c r="D1617" s="448" t="s">
        <v>390</v>
      </c>
      <c r="E1617" s="449" t="s">
        <v>391</v>
      </c>
      <c r="F1617" s="448" t="s">
        <v>390</v>
      </c>
      <c r="G1617" s="589">
        <v>46227</v>
      </c>
      <c r="H1617" s="450"/>
      <c r="I1617" s="581" t="s">
        <v>186</v>
      </c>
      <c r="J1617" s="295">
        <v>0.31180555555555556</v>
      </c>
      <c r="K1617" s="318">
        <v>0.7104166666666667</v>
      </c>
      <c r="L1617" s="451" t="s">
        <v>169</v>
      </c>
      <c r="M1617" s="452">
        <v>8</v>
      </c>
      <c r="N1617" s="471"/>
      <c r="O1617" s="558"/>
      <c r="P1617" s="558"/>
      <c r="Q1617" s="472"/>
      <c r="R1617" s="564"/>
      <c r="S1617" s="564"/>
      <c r="T1617" s="564"/>
      <c r="U1617" s="564"/>
      <c r="V1617" s="564"/>
      <c r="W1617" s="564"/>
      <c r="X1617" s="563"/>
      <c r="Y1617" s="558"/>
      <c r="Z1617" s="571"/>
      <c r="AA1617" s="458"/>
      <c r="AB1617" s="553"/>
      <c r="AC1617" s="444"/>
      <c r="AD1617" s="444"/>
      <c r="AE1617" s="444"/>
      <c r="AF1617" s="444"/>
      <c r="AG1617" s="444"/>
    </row>
    <row r="1618" spans="1:33" s="554" customFormat="1">
      <c r="A1618" s="697"/>
      <c r="B1618" s="446" t="s">
        <v>187</v>
      </c>
      <c r="C1618" s="486">
        <v>12397</v>
      </c>
      <c r="D1618" s="448" t="s">
        <v>390</v>
      </c>
      <c r="E1618" s="449" t="s">
        <v>391</v>
      </c>
      <c r="F1618" s="448" t="s">
        <v>390</v>
      </c>
      <c r="G1618" s="589">
        <v>46228</v>
      </c>
      <c r="H1618" s="450"/>
      <c r="I1618" s="581" t="s">
        <v>186</v>
      </c>
      <c r="J1618" s="295"/>
      <c r="K1618" s="295"/>
      <c r="L1618" s="451"/>
      <c r="M1618" s="452"/>
      <c r="N1618" s="452"/>
      <c r="O1618" s="572"/>
      <c r="P1618" s="572"/>
      <c r="Q1618" s="453"/>
      <c r="R1618" s="564"/>
      <c r="S1618" s="564"/>
      <c r="T1618" s="564"/>
      <c r="U1618" s="564"/>
      <c r="V1618" s="564"/>
      <c r="W1618" s="564"/>
      <c r="X1618" s="564"/>
      <c r="Y1618" s="572"/>
      <c r="Z1618" s="573"/>
      <c r="AA1618" s="458"/>
      <c r="AB1618" s="553"/>
      <c r="AC1618" s="444"/>
      <c r="AD1618" s="444"/>
      <c r="AE1618" s="444"/>
      <c r="AF1618" s="444"/>
      <c r="AG1618" s="444"/>
    </row>
    <row r="1619" spans="1:33" s="554" customFormat="1">
      <c r="A1619" s="698"/>
      <c r="B1619" s="558"/>
      <c r="C1619" s="558"/>
      <c r="D1619" s="558"/>
      <c r="E1619" s="558"/>
      <c r="F1619" s="558"/>
      <c r="G1619" s="610"/>
      <c r="H1619" s="575"/>
      <c r="I1619" s="575"/>
      <c r="J1619" s="576"/>
      <c r="K1619" s="577"/>
      <c r="L1619" s="578"/>
      <c r="M1619" s="579">
        <f t="shared" ref="M1619:AA1619" si="90">SUM(M1603:M1618)</f>
        <v>96</v>
      </c>
      <c r="N1619" s="579">
        <f t="shared" si="90"/>
        <v>12</v>
      </c>
      <c r="O1619" s="579">
        <f t="shared" si="90"/>
        <v>0</v>
      </c>
      <c r="P1619" s="579">
        <f t="shared" si="90"/>
        <v>0</v>
      </c>
      <c r="Q1619" s="578">
        <f t="shared" si="90"/>
        <v>0</v>
      </c>
      <c r="R1619" s="578">
        <f t="shared" si="90"/>
        <v>0</v>
      </c>
      <c r="S1619" s="578">
        <f t="shared" si="90"/>
        <v>0</v>
      </c>
      <c r="T1619" s="578">
        <f t="shared" si="90"/>
        <v>0</v>
      </c>
      <c r="U1619" s="578">
        <f t="shared" si="90"/>
        <v>0</v>
      </c>
      <c r="V1619" s="578">
        <f t="shared" si="90"/>
        <v>0</v>
      </c>
      <c r="W1619" s="578">
        <f t="shared" si="90"/>
        <v>0</v>
      </c>
      <c r="X1619" s="578">
        <f t="shared" si="90"/>
        <v>0</v>
      </c>
      <c r="Y1619" s="579">
        <f t="shared" si="90"/>
        <v>0</v>
      </c>
      <c r="Z1619" s="579">
        <f t="shared" si="90"/>
        <v>0</v>
      </c>
      <c r="AA1619" s="580">
        <f t="shared" si="90"/>
        <v>0</v>
      </c>
      <c r="AB1619" s="553"/>
      <c r="AC1619" s="444"/>
      <c r="AD1619" s="444"/>
      <c r="AE1619" s="444"/>
      <c r="AF1619" s="444"/>
      <c r="AG1619" s="444"/>
    </row>
    <row r="1620" spans="1:33" s="554" customFormat="1">
      <c r="A1620" s="542" t="s">
        <v>170</v>
      </c>
      <c r="B1620" s="542" t="s">
        <v>120</v>
      </c>
      <c r="C1620" s="542" t="s">
        <v>152</v>
      </c>
      <c r="D1620" s="542" t="s">
        <v>182</v>
      </c>
      <c r="E1620" s="543" t="s">
        <v>153</v>
      </c>
      <c r="F1620" s="542" t="s">
        <v>182</v>
      </c>
      <c r="G1620" s="608" t="s">
        <v>401</v>
      </c>
      <c r="H1620" s="544"/>
      <c r="I1620" s="544" t="s">
        <v>181</v>
      </c>
      <c r="J1620" s="545" t="s">
        <v>154</v>
      </c>
      <c r="K1620" s="545" t="s">
        <v>155</v>
      </c>
      <c r="L1620" s="546" t="s">
        <v>156</v>
      </c>
      <c r="M1620" s="547" t="s">
        <v>157</v>
      </c>
      <c r="N1620" s="548" t="s">
        <v>158</v>
      </c>
      <c r="O1620" s="548" t="s">
        <v>159</v>
      </c>
      <c r="P1620" s="548" t="s">
        <v>174</v>
      </c>
      <c r="Q1620" s="549" t="s">
        <v>160</v>
      </c>
      <c r="R1620" s="549" t="s">
        <v>161</v>
      </c>
      <c r="S1620" s="549" t="s">
        <v>162</v>
      </c>
      <c r="T1620" s="550" t="s">
        <v>163</v>
      </c>
      <c r="U1620" s="550" t="s">
        <v>164</v>
      </c>
      <c r="V1620" s="550" t="s">
        <v>165</v>
      </c>
      <c r="W1620" s="549" t="s">
        <v>113</v>
      </c>
      <c r="X1620" s="550" t="s">
        <v>121</v>
      </c>
      <c r="Y1620" s="551" t="s">
        <v>166</v>
      </c>
      <c r="Z1620" s="552" t="s">
        <v>175</v>
      </c>
      <c r="AA1620" s="552" t="s">
        <v>167</v>
      </c>
      <c r="AB1620" s="553"/>
      <c r="AC1620" s="444"/>
      <c r="AD1620" s="444"/>
      <c r="AE1620" s="444"/>
      <c r="AF1620" s="444"/>
      <c r="AG1620" s="444"/>
    </row>
    <row r="1621" spans="1:33" s="554" customFormat="1">
      <c r="A1621" s="696"/>
      <c r="B1621" s="446" t="s">
        <v>187</v>
      </c>
      <c r="C1621" s="486">
        <v>11741</v>
      </c>
      <c r="D1621" s="448" t="s">
        <v>395</v>
      </c>
      <c r="E1621" s="449" t="s">
        <v>398</v>
      </c>
      <c r="F1621" s="448" t="s">
        <v>395</v>
      </c>
      <c r="G1621" s="589">
        <v>46214</v>
      </c>
      <c r="H1621" s="450"/>
      <c r="I1621" s="581" t="s">
        <v>186</v>
      </c>
      <c r="J1621" s="295">
        <v>0.31388888888888888</v>
      </c>
      <c r="K1621" s="295">
        <v>0.7090277777777777</v>
      </c>
      <c r="L1621" s="451" t="s">
        <v>169</v>
      </c>
      <c r="M1621" s="452">
        <v>8</v>
      </c>
      <c r="N1621" s="452"/>
      <c r="O1621" s="563"/>
      <c r="P1621" s="563"/>
      <c r="Q1621" s="453"/>
      <c r="R1621" s="564"/>
      <c r="S1621" s="564"/>
      <c r="T1621" s="564"/>
      <c r="U1621" s="564"/>
      <c r="V1621" s="564"/>
      <c r="W1621" s="564"/>
      <c r="X1621" s="564"/>
      <c r="Y1621" s="563"/>
      <c r="Z1621" s="565"/>
      <c r="AA1621" s="458"/>
      <c r="AB1621" s="553"/>
      <c r="AC1621" s="444"/>
      <c r="AD1621" s="444"/>
      <c r="AE1621" s="444"/>
      <c r="AF1621" s="444"/>
      <c r="AG1621" s="444"/>
    </row>
    <row r="1622" spans="1:33" s="554" customFormat="1">
      <c r="A1622" s="697"/>
      <c r="B1622" s="446" t="s">
        <v>187</v>
      </c>
      <c r="C1622" s="486">
        <v>11741</v>
      </c>
      <c r="D1622" s="448" t="s">
        <v>395</v>
      </c>
      <c r="E1622" s="449" t="s">
        <v>398</v>
      </c>
      <c r="F1622" s="448" t="s">
        <v>395</v>
      </c>
      <c r="G1622" s="590">
        <v>46215</v>
      </c>
      <c r="H1622" s="450"/>
      <c r="I1622" s="581"/>
      <c r="J1622" s="699" t="s">
        <v>173</v>
      </c>
      <c r="K1622" s="700"/>
      <c r="L1622" s="451"/>
      <c r="M1622" s="452"/>
      <c r="N1622" s="452"/>
      <c r="O1622" s="569"/>
      <c r="P1622" s="569"/>
      <c r="Q1622" s="453"/>
      <c r="R1622" s="570"/>
      <c r="S1622" s="570"/>
      <c r="T1622" s="564"/>
      <c r="U1622" s="564"/>
      <c r="V1622" s="564"/>
      <c r="W1622" s="570"/>
      <c r="X1622" s="563"/>
      <c r="Y1622" s="558"/>
      <c r="Z1622" s="571"/>
      <c r="AA1622" s="458"/>
      <c r="AB1622" s="553"/>
      <c r="AC1622" s="444"/>
      <c r="AD1622" s="444"/>
      <c r="AE1622" s="444"/>
      <c r="AF1622" s="444"/>
      <c r="AG1622" s="444"/>
    </row>
    <row r="1623" spans="1:33" s="554" customFormat="1">
      <c r="A1623" s="697"/>
      <c r="B1623" s="446" t="s">
        <v>187</v>
      </c>
      <c r="C1623" s="486">
        <v>11741</v>
      </c>
      <c r="D1623" s="448" t="s">
        <v>395</v>
      </c>
      <c r="E1623" s="449" t="s">
        <v>398</v>
      </c>
      <c r="F1623" s="448" t="s">
        <v>395</v>
      </c>
      <c r="G1623" s="589">
        <v>46216</v>
      </c>
      <c r="H1623" s="450"/>
      <c r="I1623" s="450" t="s">
        <v>186</v>
      </c>
      <c r="J1623" s="305">
        <v>0.31180555555555556</v>
      </c>
      <c r="K1623" s="305">
        <v>0.79513888888888884</v>
      </c>
      <c r="L1623" s="451" t="s">
        <v>169</v>
      </c>
      <c r="M1623" s="452">
        <v>8</v>
      </c>
      <c r="N1623" s="452">
        <v>2</v>
      </c>
      <c r="O1623" s="558"/>
      <c r="P1623" s="558"/>
      <c r="Q1623" s="453"/>
      <c r="R1623" s="564"/>
      <c r="S1623" s="564"/>
      <c r="T1623" s="564"/>
      <c r="U1623" s="564"/>
      <c r="V1623" s="564"/>
      <c r="W1623" s="564"/>
      <c r="X1623" s="563"/>
      <c r="Y1623" s="558"/>
      <c r="Z1623" s="571"/>
      <c r="AA1623" s="458"/>
      <c r="AB1623" s="553"/>
      <c r="AC1623" s="444"/>
      <c r="AD1623" s="444"/>
      <c r="AE1623" s="444"/>
      <c r="AF1623" s="444"/>
      <c r="AG1623" s="444"/>
    </row>
    <row r="1624" spans="1:33" s="554" customFormat="1">
      <c r="A1624" s="697"/>
      <c r="B1624" s="446" t="s">
        <v>187</v>
      </c>
      <c r="C1624" s="486">
        <v>11741</v>
      </c>
      <c r="D1624" s="448" t="s">
        <v>395</v>
      </c>
      <c r="E1624" s="449" t="s">
        <v>398</v>
      </c>
      <c r="F1624" s="448" t="s">
        <v>395</v>
      </c>
      <c r="G1624" s="589">
        <v>46217</v>
      </c>
      <c r="H1624" s="450"/>
      <c r="I1624" s="450" t="s">
        <v>186</v>
      </c>
      <c r="J1624" s="305">
        <v>0.3125</v>
      </c>
      <c r="K1624" s="305">
        <v>0.7944444444444444</v>
      </c>
      <c r="L1624" s="451" t="s">
        <v>169</v>
      </c>
      <c r="M1624" s="452">
        <v>8</v>
      </c>
      <c r="N1624" s="452">
        <v>2</v>
      </c>
      <c r="O1624" s="558"/>
      <c r="P1624" s="558"/>
      <c r="Q1624" s="461"/>
      <c r="R1624" s="564"/>
      <c r="S1624" s="564"/>
      <c r="T1624" s="564"/>
      <c r="U1624" s="564"/>
      <c r="V1624" s="564"/>
      <c r="W1624" s="564"/>
      <c r="X1624" s="563"/>
      <c r="Y1624" s="572"/>
      <c r="Z1624" s="573"/>
      <c r="AA1624" s="467"/>
      <c r="AB1624" s="553"/>
      <c r="AC1624" s="444"/>
      <c r="AD1624" s="444"/>
      <c r="AE1624" s="444"/>
      <c r="AF1624" s="444"/>
      <c r="AG1624" s="444"/>
    </row>
    <row r="1625" spans="1:33" s="554" customFormat="1">
      <c r="A1625" s="697"/>
      <c r="B1625" s="446" t="s">
        <v>187</v>
      </c>
      <c r="C1625" s="486">
        <v>11741</v>
      </c>
      <c r="D1625" s="448" t="s">
        <v>395</v>
      </c>
      <c r="E1625" s="449" t="s">
        <v>398</v>
      </c>
      <c r="F1625" s="448" t="s">
        <v>395</v>
      </c>
      <c r="G1625" s="589">
        <v>46218</v>
      </c>
      <c r="H1625" s="450"/>
      <c r="I1625" s="450" t="s">
        <v>186</v>
      </c>
      <c r="J1625" s="305">
        <v>0.31875000000000003</v>
      </c>
      <c r="K1625" s="305">
        <v>0.7944444444444444</v>
      </c>
      <c r="L1625" s="451" t="s">
        <v>169</v>
      </c>
      <c r="M1625" s="452">
        <v>8</v>
      </c>
      <c r="N1625" s="452">
        <v>2</v>
      </c>
      <c r="O1625" s="558"/>
      <c r="P1625" s="558"/>
      <c r="Q1625" s="453"/>
      <c r="R1625" s="564"/>
      <c r="S1625" s="564"/>
      <c r="T1625" s="564"/>
      <c r="U1625" s="564"/>
      <c r="V1625" s="564"/>
      <c r="W1625" s="564"/>
      <c r="X1625" s="563"/>
      <c r="Y1625" s="564"/>
      <c r="Z1625" s="566"/>
      <c r="AA1625" s="458"/>
      <c r="AB1625" s="553"/>
      <c r="AC1625" s="444"/>
      <c r="AD1625" s="444"/>
      <c r="AE1625" s="444"/>
      <c r="AF1625" s="444"/>
      <c r="AG1625" s="444"/>
    </row>
    <row r="1626" spans="1:33" s="554" customFormat="1">
      <c r="A1626" s="697"/>
      <c r="B1626" s="446" t="s">
        <v>187</v>
      </c>
      <c r="C1626" s="486">
        <v>11741</v>
      </c>
      <c r="D1626" s="448" t="s">
        <v>395</v>
      </c>
      <c r="E1626" s="449" t="s">
        <v>398</v>
      </c>
      <c r="F1626" s="448" t="s">
        <v>395</v>
      </c>
      <c r="G1626" s="589">
        <v>46219</v>
      </c>
      <c r="H1626" s="450"/>
      <c r="I1626" s="450" t="s">
        <v>186</v>
      </c>
      <c r="J1626" s="305">
        <v>0.31597222222222221</v>
      </c>
      <c r="K1626" s="305">
        <v>0.79375000000000007</v>
      </c>
      <c r="L1626" s="451" t="s">
        <v>169</v>
      </c>
      <c r="M1626" s="452">
        <v>8</v>
      </c>
      <c r="N1626" s="452">
        <v>2</v>
      </c>
      <c r="O1626" s="558"/>
      <c r="P1626" s="558"/>
      <c r="Q1626" s="453"/>
      <c r="R1626" s="564"/>
      <c r="S1626" s="564"/>
      <c r="T1626" s="564"/>
      <c r="U1626" s="564"/>
      <c r="V1626" s="564"/>
      <c r="W1626" s="564"/>
      <c r="X1626" s="563"/>
      <c r="Y1626" s="558"/>
      <c r="Z1626" s="571"/>
      <c r="AA1626" s="458"/>
      <c r="AB1626" s="553"/>
      <c r="AC1626" s="444"/>
      <c r="AD1626" s="444"/>
      <c r="AE1626" s="444"/>
      <c r="AF1626" s="444"/>
      <c r="AG1626" s="444"/>
    </row>
    <row r="1627" spans="1:33" s="554" customFormat="1">
      <c r="A1627" s="697"/>
      <c r="B1627" s="446" t="s">
        <v>187</v>
      </c>
      <c r="C1627" s="486">
        <v>11741</v>
      </c>
      <c r="D1627" s="448" t="s">
        <v>395</v>
      </c>
      <c r="E1627" s="449" t="s">
        <v>398</v>
      </c>
      <c r="F1627" s="448" t="s">
        <v>395</v>
      </c>
      <c r="G1627" s="589">
        <v>46220</v>
      </c>
      <c r="H1627" s="450"/>
      <c r="I1627" s="450" t="s">
        <v>186</v>
      </c>
      <c r="J1627" s="305">
        <v>0.31527777777777777</v>
      </c>
      <c r="K1627" s="305">
        <v>0.7944444444444444</v>
      </c>
      <c r="L1627" s="451" t="s">
        <v>169</v>
      </c>
      <c r="M1627" s="452">
        <v>8</v>
      </c>
      <c r="N1627" s="452">
        <v>2</v>
      </c>
      <c r="O1627" s="558"/>
      <c r="P1627" s="558"/>
      <c r="Q1627" s="453"/>
      <c r="R1627" s="564"/>
      <c r="S1627" s="564"/>
      <c r="T1627" s="564"/>
      <c r="U1627" s="564"/>
      <c r="V1627" s="564"/>
      <c r="W1627" s="564"/>
      <c r="X1627" s="563"/>
      <c r="Y1627" s="558"/>
      <c r="Z1627" s="571"/>
      <c r="AA1627" s="458"/>
      <c r="AB1627" s="553"/>
      <c r="AC1627" s="444"/>
      <c r="AD1627" s="444"/>
      <c r="AE1627" s="444"/>
      <c r="AF1627" s="444"/>
      <c r="AG1627" s="444"/>
    </row>
    <row r="1628" spans="1:33" s="554" customFormat="1">
      <c r="A1628" s="697"/>
      <c r="B1628" s="446" t="s">
        <v>187</v>
      </c>
      <c r="C1628" s="486">
        <v>11741</v>
      </c>
      <c r="D1628" s="448" t="s">
        <v>395</v>
      </c>
      <c r="E1628" s="449" t="s">
        <v>398</v>
      </c>
      <c r="F1628" s="448" t="s">
        <v>395</v>
      </c>
      <c r="G1628" s="589">
        <v>46221</v>
      </c>
      <c r="H1628" s="450"/>
      <c r="I1628" s="450" t="s">
        <v>186</v>
      </c>
      <c r="J1628" s="305">
        <v>0.31944444444444442</v>
      </c>
      <c r="K1628" s="305">
        <v>0.71180555555555558</v>
      </c>
      <c r="L1628" s="451" t="s">
        <v>169</v>
      </c>
      <c r="M1628" s="452">
        <v>8</v>
      </c>
      <c r="N1628" s="452"/>
      <c r="O1628" s="558"/>
      <c r="P1628" s="558"/>
      <c r="Q1628" s="453"/>
      <c r="R1628" s="564"/>
      <c r="S1628" s="564"/>
      <c r="T1628" s="564"/>
      <c r="U1628" s="564"/>
      <c r="V1628" s="564"/>
      <c r="W1628" s="564"/>
      <c r="X1628" s="564"/>
      <c r="Y1628" s="558"/>
      <c r="Z1628" s="571"/>
      <c r="AA1628" s="582"/>
      <c r="AB1628" s="553"/>
      <c r="AC1628" s="444"/>
      <c r="AD1628" s="444"/>
      <c r="AE1628" s="444"/>
      <c r="AF1628" s="444"/>
      <c r="AG1628" s="444"/>
    </row>
    <row r="1629" spans="1:33" s="554" customFormat="1">
      <c r="A1629" s="697"/>
      <c r="B1629" s="446" t="s">
        <v>187</v>
      </c>
      <c r="C1629" s="486">
        <v>11741</v>
      </c>
      <c r="D1629" s="448" t="s">
        <v>395</v>
      </c>
      <c r="E1629" s="449" t="s">
        <v>398</v>
      </c>
      <c r="F1629" s="448" t="s">
        <v>395</v>
      </c>
      <c r="G1629" s="590">
        <v>46222</v>
      </c>
      <c r="H1629" s="450"/>
      <c r="I1629" s="450"/>
      <c r="J1629" s="699" t="s">
        <v>173</v>
      </c>
      <c r="K1629" s="700"/>
      <c r="L1629" s="451"/>
      <c r="M1629" s="452"/>
      <c r="N1629" s="452"/>
      <c r="O1629" s="569"/>
      <c r="P1629" s="569"/>
      <c r="Q1629" s="453"/>
      <c r="R1629" s="570"/>
      <c r="S1629" s="570"/>
      <c r="T1629" s="564"/>
      <c r="U1629" s="564"/>
      <c r="V1629" s="564"/>
      <c r="W1629" s="570"/>
      <c r="X1629" s="563"/>
      <c r="Y1629" s="558"/>
      <c r="Z1629" s="571"/>
      <c r="AA1629" s="458"/>
      <c r="AB1629" s="553"/>
      <c r="AC1629" s="444"/>
      <c r="AD1629" s="444"/>
      <c r="AE1629" s="444"/>
      <c r="AF1629" s="444"/>
      <c r="AG1629" s="444"/>
    </row>
    <row r="1630" spans="1:33" s="554" customFormat="1">
      <c r="A1630" s="697"/>
      <c r="B1630" s="446" t="s">
        <v>187</v>
      </c>
      <c r="C1630" s="486">
        <v>11741</v>
      </c>
      <c r="D1630" s="448" t="s">
        <v>395</v>
      </c>
      <c r="E1630" s="449" t="s">
        <v>398</v>
      </c>
      <c r="F1630" s="448" t="s">
        <v>395</v>
      </c>
      <c r="G1630" s="589">
        <v>46223</v>
      </c>
      <c r="H1630" s="450"/>
      <c r="I1630" s="450" t="s">
        <v>186</v>
      </c>
      <c r="J1630" s="378">
        <v>0.31180555555555556</v>
      </c>
      <c r="K1630" s="378">
        <v>0.79513888888888884</v>
      </c>
      <c r="L1630" s="451" t="s">
        <v>169</v>
      </c>
      <c r="M1630" s="452">
        <v>8</v>
      </c>
      <c r="N1630" s="452">
        <v>2</v>
      </c>
      <c r="O1630" s="563"/>
      <c r="P1630" s="563"/>
      <c r="Q1630" s="461"/>
      <c r="R1630" s="564"/>
      <c r="S1630" s="564"/>
      <c r="T1630" s="564"/>
      <c r="U1630" s="564"/>
      <c r="V1630" s="564"/>
      <c r="W1630" s="564"/>
      <c r="X1630" s="563"/>
      <c r="Y1630" s="558"/>
      <c r="Z1630" s="571"/>
      <c r="AA1630" s="458"/>
      <c r="AB1630" s="553"/>
      <c r="AC1630" s="444"/>
      <c r="AD1630" s="444"/>
      <c r="AE1630" s="444"/>
      <c r="AF1630" s="444"/>
      <c r="AG1630" s="444"/>
    </row>
    <row r="1631" spans="1:33" s="554" customFormat="1">
      <c r="A1631" s="697"/>
      <c r="B1631" s="446" t="s">
        <v>187</v>
      </c>
      <c r="C1631" s="486">
        <v>11741</v>
      </c>
      <c r="D1631" s="448" t="s">
        <v>395</v>
      </c>
      <c r="E1631" s="449" t="s">
        <v>398</v>
      </c>
      <c r="F1631" s="448" t="s">
        <v>395</v>
      </c>
      <c r="G1631" s="589">
        <v>46224</v>
      </c>
      <c r="H1631" s="450"/>
      <c r="I1631" s="450" t="s">
        <v>186</v>
      </c>
      <c r="J1631" s="295">
        <v>0.31805555555555554</v>
      </c>
      <c r="K1631" s="295">
        <v>0.7944444444444444</v>
      </c>
      <c r="L1631" s="451" t="s">
        <v>169</v>
      </c>
      <c r="M1631" s="452">
        <v>8</v>
      </c>
      <c r="N1631" s="452">
        <v>2</v>
      </c>
      <c r="O1631" s="558"/>
      <c r="P1631" s="558"/>
      <c r="Q1631" s="468"/>
      <c r="R1631" s="564"/>
      <c r="S1631" s="564"/>
      <c r="T1631" s="564"/>
      <c r="U1631" s="564"/>
      <c r="V1631" s="564"/>
      <c r="W1631" s="564"/>
      <c r="X1631" s="563"/>
      <c r="Y1631" s="572"/>
      <c r="Z1631" s="573"/>
      <c r="AA1631" s="467"/>
      <c r="AB1631" s="553"/>
      <c r="AC1631" s="444"/>
      <c r="AD1631" s="444"/>
      <c r="AE1631" s="444"/>
      <c r="AF1631" s="444"/>
      <c r="AG1631" s="444"/>
    </row>
    <row r="1632" spans="1:33" s="554" customFormat="1">
      <c r="A1632" s="697"/>
      <c r="B1632" s="446" t="s">
        <v>187</v>
      </c>
      <c r="C1632" s="486">
        <v>11741</v>
      </c>
      <c r="D1632" s="448" t="s">
        <v>395</v>
      </c>
      <c r="E1632" s="449" t="s">
        <v>398</v>
      </c>
      <c r="F1632" s="448" t="s">
        <v>395</v>
      </c>
      <c r="G1632" s="589">
        <v>46225</v>
      </c>
      <c r="H1632" s="450"/>
      <c r="I1632" s="450" t="s">
        <v>186</v>
      </c>
      <c r="J1632" s="295">
        <v>0.32013888888888886</v>
      </c>
      <c r="K1632" s="295">
        <v>0.71111111111111114</v>
      </c>
      <c r="L1632" s="451" t="s">
        <v>169</v>
      </c>
      <c r="M1632" s="452">
        <v>8</v>
      </c>
      <c r="N1632" s="452"/>
      <c r="O1632" s="558"/>
      <c r="P1632" s="558"/>
      <c r="Q1632" s="453"/>
      <c r="R1632" s="564"/>
      <c r="S1632" s="564"/>
      <c r="T1632" s="564"/>
      <c r="U1632" s="564"/>
      <c r="V1632" s="564"/>
      <c r="W1632" s="564"/>
      <c r="X1632" s="563"/>
      <c r="Y1632" s="564"/>
      <c r="Z1632" s="566"/>
      <c r="AA1632" s="458"/>
      <c r="AB1632" s="553"/>
      <c r="AC1632" s="444"/>
      <c r="AD1632" s="444"/>
      <c r="AE1632" s="444"/>
      <c r="AF1632" s="444"/>
      <c r="AG1632" s="444"/>
    </row>
    <row r="1633" spans="1:33" s="554" customFormat="1">
      <c r="A1633" s="697"/>
      <c r="B1633" s="446" t="s">
        <v>187</v>
      </c>
      <c r="C1633" s="486">
        <v>11741</v>
      </c>
      <c r="D1633" s="448" t="s">
        <v>395</v>
      </c>
      <c r="E1633" s="449" t="s">
        <v>398</v>
      </c>
      <c r="F1633" s="448" t="s">
        <v>395</v>
      </c>
      <c r="G1633" s="589">
        <v>46226</v>
      </c>
      <c r="H1633" s="450"/>
      <c r="I1633" s="450" t="s">
        <v>186</v>
      </c>
      <c r="J1633" s="295">
        <v>0.31041666666666667</v>
      </c>
      <c r="K1633" s="295">
        <v>0.79513888888888884</v>
      </c>
      <c r="L1633" s="451" t="s">
        <v>169</v>
      </c>
      <c r="M1633" s="452">
        <v>8</v>
      </c>
      <c r="N1633" s="452">
        <v>2</v>
      </c>
      <c r="O1633" s="558"/>
      <c r="P1633" s="558"/>
      <c r="Q1633" s="453"/>
      <c r="R1633" s="564"/>
      <c r="S1633" s="564"/>
      <c r="T1633" s="564"/>
      <c r="U1633" s="564"/>
      <c r="V1633" s="564"/>
      <c r="W1633" s="564"/>
      <c r="X1633" s="563"/>
      <c r="Y1633" s="558"/>
      <c r="Z1633" s="571"/>
      <c r="AA1633" s="458"/>
      <c r="AB1633" s="553"/>
      <c r="AC1633" s="444"/>
      <c r="AD1633" s="444"/>
      <c r="AE1633" s="444"/>
      <c r="AF1633" s="444"/>
      <c r="AG1633" s="444"/>
    </row>
    <row r="1634" spans="1:33" s="554" customFormat="1">
      <c r="A1634" s="697"/>
      <c r="B1634" s="446" t="s">
        <v>187</v>
      </c>
      <c r="C1634" s="486">
        <v>11741</v>
      </c>
      <c r="D1634" s="448" t="s">
        <v>395</v>
      </c>
      <c r="E1634" s="449" t="s">
        <v>398</v>
      </c>
      <c r="F1634" s="448" t="s">
        <v>395</v>
      </c>
      <c r="G1634" s="589">
        <v>46227</v>
      </c>
      <c r="H1634" s="450"/>
      <c r="I1634" s="450" t="s">
        <v>186</v>
      </c>
      <c r="J1634" s="295">
        <v>0.31736111111111109</v>
      </c>
      <c r="K1634" s="318">
        <v>0.7944444444444444</v>
      </c>
      <c r="L1634" s="451" t="s">
        <v>169</v>
      </c>
      <c r="M1634" s="452">
        <v>8</v>
      </c>
      <c r="N1634" s="452">
        <v>2</v>
      </c>
      <c r="O1634" s="558"/>
      <c r="P1634" s="558"/>
      <c r="Q1634" s="472"/>
      <c r="R1634" s="564"/>
      <c r="S1634" s="564"/>
      <c r="T1634" s="564"/>
      <c r="U1634" s="564"/>
      <c r="V1634" s="564"/>
      <c r="W1634" s="564"/>
      <c r="X1634" s="563"/>
      <c r="Y1634" s="558"/>
      <c r="Z1634" s="571"/>
      <c r="AA1634" s="458"/>
      <c r="AB1634" s="553"/>
      <c r="AC1634" s="444"/>
      <c r="AD1634" s="444"/>
      <c r="AE1634" s="444"/>
      <c r="AF1634" s="444"/>
      <c r="AG1634" s="444"/>
    </row>
    <row r="1635" spans="1:33" s="554" customFormat="1">
      <c r="A1635" s="697"/>
      <c r="B1635" s="446" t="s">
        <v>187</v>
      </c>
      <c r="C1635" s="486">
        <v>11741</v>
      </c>
      <c r="D1635" s="448" t="s">
        <v>395</v>
      </c>
      <c r="E1635" s="449" t="s">
        <v>398</v>
      </c>
      <c r="F1635" s="448" t="s">
        <v>395</v>
      </c>
      <c r="G1635" s="589">
        <v>46228</v>
      </c>
      <c r="H1635" s="450"/>
      <c r="I1635" s="450" t="s">
        <v>186</v>
      </c>
      <c r="J1635" s="295"/>
      <c r="K1635" s="295"/>
      <c r="L1635" s="451"/>
      <c r="M1635" s="452"/>
      <c r="N1635" s="452"/>
      <c r="O1635" s="572"/>
      <c r="P1635" s="572"/>
      <c r="Q1635" s="453"/>
      <c r="R1635" s="564"/>
      <c r="S1635" s="564"/>
      <c r="T1635" s="564"/>
      <c r="U1635" s="564"/>
      <c r="V1635" s="564"/>
      <c r="W1635" s="564"/>
      <c r="X1635" s="564"/>
      <c r="Y1635" s="572"/>
      <c r="Z1635" s="573"/>
      <c r="AA1635" s="458"/>
      <c r="AB1635" s="553"/>
      <c r="AC1635" s="444"/>
      <c r="AD1635" s="444"/>
      <c r="AE1635" s="444"/>
      <c r="AF1635" s="444"/>
      <c r="AG1635" s="444"/>
    </row>
    <row r="1636" spans="1:33" s="554" customFormat="1">
      <c r="A1636" s="698"/>
      <c r="B1636" s="558"/>
      <c r="C1636" s="558"/>
      <c r="D1636" s="558"/>
      <c r="E1636" s="558"/>
      <c r="F1636" s="558"/>
      <c r="G1636" s="575"/>
      <c r="H1636" s="575"/>
      <c r="I1636" s="575"/>
      <c r="J1636" s="576"/>
      <c r="K1636" s="577"/>
      <c r="L1636" s="578"/>
      <c r="M1636" s="579">
        <f t="shared" ref="M1636:AA1636" si="91">SUM(M1620:M1635)</f>
        <v>96</v>
      </c>
      <c r="N1636" s="579">
        <f t="shared" si="91"/>
        <v>18</v>
      </c>
      <c r="O1636" s="579">
        <f t="shared" si="91"/>
        <v>0</v>
      </c>
      <c r="P1636" s="579">
        <f t="shared" si="91"/>
        <v>0</v>
      </c>
      <c r="Q1636" s="578">
        <f t="shared" si="91"/>
        <v>0</v>
      </c>
      <c r="R1636" s="578">
        <f t="shared" si="91"/>
        <v>0</v>
      </c>
      <c r="S1636" s="578">
        <f t="shared" si="91"/>
        <v>0</v>
      </c>
      <c r="T1636" s="578">
        <f t="shared" si="91"/>
        <v>0</v>
      </c>
      <c r="U1636" s="578">
        <f t="shared" si="91"/>
        <v>0</v>
      </c>
      <c r="V1636" s="578">
        <f t="shared" si="91"/>
        <v>0</v>
      </c>
      <c r="W1636" s="578">
        <f t="shared" si="91"/>
        <v>0</v>
      </c>
      <c r="X1636" s="578">
        <f t="shared" si="91"/>
        <v>0</v>
      </c>
      <c r="Y1636" s="579">
        <f t="shared" si="91"/>
        <v>0</v>
      </c>
      <c r="Z1636" s="579">
        <f t="shared" si="91"/>
        <v>0</v>
      </c>
      <c r="AA1636" s="580">
        <f t="shared" si="91"/>
        <v>0</v>
      </c>
      <c r="AB1636" s="553"/>
      <c r="AC1636" s="444"/>
      <c r="AD1636" s="444"/>
      <c r="AE1636" s="444"/>
      <c r="AF1636" s="444"/>
      <c r="AG1636" s="444"/>
    </row>
    <row r="1637" spans="1:33">
      <c r="M1637" s="289">
        <f t="shared" ref="M1637:Z1637" si="92">SUM(M2:M1636)/2</f>
        <v>7832</v>
      </c>
      <c r="N1637" s="289">
        <f t="shared" si="92"/>
        <v>694</v>
      </c>
      <c r="O1637" s="289">
        <f t="shared" si="92"/>
        <v>2086.5</v>
      </c>
      <c r="P1637" s="289">
        <f t="shared" si="92"/>
        <v>211</v>
      </c>
      <c r="Q1637" s="289">
        <f t="shared" si="92"/>
        <v>0</v>
      </c>
      <c r="R1637" s="289">
        <f t="shared" si="92"/>
        <v>0</v>
      </c>
      <c r="S1637" s="289">
        <f t="shared" si="92"/>
        <v>0</v>
      </c>
      <c r="T1637" s="289" t="e">
        <f t="shared" si="92"/>
        <v>#REF!</v>
      </c>
      <c r="U1637" s="289" t="e">
        <f t="shared" si="92"/>
        <v>#REF!</v>
      </c>
      <c r="V1637" s="289" t="e">
        <f t="shared" si="92"/>
        <v>#REF!</v>
      </c>
      <c r="W1637" s="289" t="e">
        <f t="shared" si="92"/>
        <v>#REF!</v>
      </c>
      <c r="X1637" s="289" t="e">
        <f t="shared" si="92"/>
        <v>#REF!</v>
      </c>
      <c r="Y1637" s="289" t="e">
        <f t="shared" si="92"/>
        <v>#REF!</v>
      </c>
      <c r="Z1637" s="289" t="e">
        <f t="shared" si="92"/>
        <v>#REF!</v>
      </c>
      <c r="AA1637" s="289">
        <f>SUM(AA2:AA1636)/2</f>
        <v>122</v>
      </c>
    </row>
    <row r="1639" spans="1:33">
      <c r="M1639" s="289">
        <f>SUM(M2:M1636)/2</f>
        <v>7832</v>
      </c>
      <c r="N1639" s="289">
        <f t="shared" ref="N1639:AA1639" si="93">SUM(N2:N1636)/2</f>
        <v>694</v>
      </c>
      <c r="O1639" s="289">
        <f t="shared" si="93"/>
        <v>2086.5</v>
      </c>
      <c r="P1639" s="289">
        <f t="shared" si="93"/>
        <v>211</v>
      </c>
      <c r="Q1639" s="289">
        <f t="shared" si="93"/>
        <v>0</v>
      </c>
      <c r="R1639" s="289">
        <f t="shared" si="93"/>
        <v>0</v>
      </c>
      <c r="S1639" s="289">
        <f t="shared" si="93"/>
        <v>0</v>
      </c>
      <c r="T1639" s="289" t="e">
        <f t="shared" si="93"/>
        <v>#REF!</v>
      </c>
      <c r="U1639" s="289" t="e">
        <f t="shared" si="93"/>
        <v>#REF!</v>
      </c>
      <c r="V1639" s="289" t="e">
        <f t="shared" si="93"/>
        <v>#REF!</v>
      </c>
      <c r="W1639" s="289" t="e">
        <f t="shared" si="93"/>
        <v>#REF!</v>
      </c>
      <c r="X1639" s="289" t="e">
        <f t="shared" si="93"/>
        <v>#REF!</v>
      </c>
      <c r="Y1639" s="289" t="e">
        <f t="shared" si="93"/>
        <v>#REF!</v>
      </c>
      <c r="Z1639" s="289" t="e">
        <f t="shared" si="93"/>
        <v>#REF!</v>
      </c>
      <c r="AA1639" s="289">
        <f t="shared" si="93"/>
        <v>122</v>
      </c>
    </row>
    <row r="1640" spans="1:33">
      <c r="M1640" s="289">
        <f>600/8*M1639</f>
        <v>587400</v>
      </c>
      <c r="N1640" s="289">
        <f>600/8*1.25*N1639</f>
        <v>65062.5</v>
      </c>
      <c r="O1640" s="289">
        <f>600/8*0.1*O1639</f>
        <v>15648.75</v>
      </c>
      <c r="P1640" s="289">
        <f>600/8*1.25*0.1*P1639</f>
        <v>1978.125</v>
      </c>
      <c r="AA1640" s="289">
        <f>600/8/60*AA1639</f>
        <v>152.5</v>
      </c>
    </row>
  </sheetData>
  <autoFilter ref="A1:AH1" xr:uid="{5D9488E8-8E10-4E81-9787-E104671E087C}"/>
  <mergeCells count="235">
    <mergeCell ref="A38:A54"/>
    <mergeCell ref="J39:K39"/>
    <mergeCell ref="J46:K46"/>
    <mergeCell ref="A56:A72"/>
    <mergeCell ref="J57:K57"/>
    <mergeCell ref="J64:K64"/>
    <mergeCell ref="A2:A18"/>
    <mergeCell ref="J3:K3"/>
    <mergeCell ref="J10:K10"/>
    <mergeCell ref="A20:A36"/>
    <mergeCell ref="J21:K21"/>
    <mergeCell ref="J28:K28"/>
    <mergeCell ref="A110:A126"/>
    <mergeCell ref="J111:K111"/>
    <mergeCell ref="J118:K118"/>
    <mergeCell ref="J129:K129"/>
    <mergeCell ref="J136:K136"/>
    <mergeCell ref="J147:K147"/>
    <mergeCell ref="A74:A90"/>
    <mergeCell ref="J75:K75"/>
    <mergeCell ref="J82:K82"/>
    <mergeCell ref="A92:A108"/>
    <mergeCell ref="J93:K93"/>
    <mergeCell ref="J100:K100"/>
    <mergeCell ref="A200:A216"/>
    <mergeCell ref="J201:K201"/>
    <mergeCell ref="J208:K208"/>
    <mergeCell ref="A218:A234"/>
    <mergeCell ref="J219:K219"/>
    <mergeCell ref="J226:K226"/>
    <mergeCell ref="J154:K154"/>
    <mergeCell ref="A164:A180"/>
    <mergeCell ref="J165:K165"/>
    <mergeCell ref="J172:K172"/>
    <mergeCell ref="A182:A198"/>
    <mergeCell ref="J183:K183"/>
    <mergeCell ref="J190:K190"/>
    <mergeCell ref="A272:A288"/>
    <mergeCell ref="J273:K273"/>
    <mergeCell ref="J280:K280"/>
    <mergeCell ref="J291:K291"/>
    <mergeCell ref="J298:K298"/>
    <mergeCell ref="J309:K309"/>
    <mergeCell ref="A236:A252"/>
    <mergeCell ref="J237:K237"/>
    <mergeCell ref="J244:K244"/>
    <mergeCell ref="A254:A270"/>
    <mergeCell ref="J255:K255"/>
    <mergeCell ref="J262:K262"/>
    <mergeCell ref="J363:K363"/>
    <mergeCell ref="J370:K370"/>
    <mergeCell ref="J382:K382"/>
    <mergeCell ref="J389:K389"/>
    <mergeCell ref="A398:A414"/>
    <mergeCell ref="J399:K399"/>
    <mergeCell ref="J406:K406"/>
    <mergeCell ref="J310:K310"/>
    <mergeCell ref="J316:K316"/>
    <mergeCell ref="J327:K327"/>
    <mergeCell ref="J334:K334"/>
    <mergeCell ref="J345:K345"/>
    <mergeCell ref="J352:K352"/>
    <mergeCell ref="A452:A468"/>
    <mergeCell ref="J460:K460"/>
    <mergeCell ref="A470:A486"/>
    <mergeCell ref="J471:K471"/>
    <mergeCell ref="J478:K478"/>
    <mergeCell ref="A488:A504"/>
    <mergeCell ref="J489:K489"/>
    <mergeCell ref="J496:K496"/>
    <mergeCell ref="A416:A432"/>
    <mergeCell ref="J417:K417"/>
    <mergeCell ref="J424:K424"/>
    <mergeCell ref="A434:A450"/>
    <mergeCell ref="J435:K435"/>
    <mergeCell ref="J442:K442"/>
    <mergeCell ref="A542:A558"/>
    <mergeCell ref="J543:K543"/>
    <mergeCell ref="J550:K550"/>
    <mergeCell ref="J561:K561"/>
    <mergeCell ref="J569:K569"/>
    <mergeCell ref="J579:K579"/>
    <mergeCell ref="A506:A522"/>
    <mergeCell ref="J507:K507"/>
    <mergeCell ref="J514:K514"/>
    <mergeCell ref="A524:A540"/>
    <mergeCell ref="J525:K525"/>
    <mergeCell ref="J532:K532"/>
    <mergeCell ref="J634:K634"/>
    <mergeCell ref="J641:K641"/>
    <mergeCell ref="A651:A667"/>
    <mergeCell ref="J653:K653"/>
    <mergeCell ref="J659:K659"/>
    <mergeCell ref="A669:A685"/>
    <mergeCell ref="J670:K670"/>
    <mergeCell ref="J677:K677"/>
    <mergeCell ref="J586:K586"/>
    <mergeCell ref="J598:K598"/>
    <mergeCell ref="J605:K605"/>
    <mergeCell ref="A615:A631"/>
    <mergeCell ref="J616:K616"/>
    <mergeCell ref="J623:K623"/>
    <mergeCell ref="A741:A757"/>
    <mergeCell ref="J742:K742"/>
    <mergeCell ref="J749:K749"/>
    <mergeCell ref="A759:A775"/>
    <mergeCell ref="J760:K760"/>
    <mergeCell ref="J767:K767"/>
    <mergeCell ref="J688:K688"/>
    <mergeCell ref="J695:K695"/>
    <mergeCell ref="A705:A721"/>
    <mergeCell ref="J706:K706"/>
    <mergeCell ref="J713:K713"/>
    <mergeCell ref="A723:A739"/>
    <mergeCell ref="J724:K724"/>
    <mergeCell ref="J731:K731"/>
    <mergeCell ref="J821:K821"/>
    <mergeCell ref="J832:K832"/>
    <mergeCell ref="J839:K839"/>
    <mergeCell ref="A849:A865"/>
    <mergeCell ref="J857:K857"/>
    <mergeCell ref="A867:A883"/>
    <mergeCell ref="J868:K868"/>
    <mergeCell ref="J875:K875"/>
    <mergeCell ref="A777:A793"/>
    <mergeCell ref="J778:K778"/>
    <mergeCell ref="J785:K785"/>
    <mergeCell ref="J796:K796"/>
    <mergeCell ref="J803:K803"/>
    <mergeCell ref="J814:K814"/>
    <mergeCell ref="A921:A937"/>
    <mergeCell ref="J922:K922"/>
    <mergeCell ref="J929:K929"/>
    <mergeCell ref="A939:A956"/>
    <mergeCell ref="J947:K947"/>
    <mergeCell ref="A958:A974"/>
    <mergeCell ref="J959:K959"/>
    <mergeCell ref="J966:K966"/>
    <mergeCell ref="A885:A901"/>
    <mergeCell ref="J886:K886"/>
    <mergeCell ref="J893:K893"/>
    <mergeCell ref="A903:A919"/>
    <mergeCell ref="J904:K904"/>
    <mergeCell ref="J911:K911"/>
    <mergeCell ref="A1012:A1028"/>
    <mergeCell ref="J1013:K1013"/>
    <mergeCell ref="J1020:K1020"/>
    <mergeCell ref="J1031:K1031"/>
    <mergeCell ref="J1038:K1038"/>
    <mergeCell ref="A1048:A1064"/>
    <mergeCell ref="J1049:K1049"/>
    <mergeCell ref="J1056:K1056"/>
    <mergeCell ref="A976:A992"/>
    <mergeCell ref="J977:K977"/>
    <mergeCell ref="J984:K984"/>
    <mergeCell ref="A994:A1010"/>
    <mergeCell ref="J995:K995"/>
    <mergeCell ref="J1002:K1002"/>
    <mergeCell ref="A1119:A1135"/>
    <mergeCell ref="J1120:K1120"/>
    <mergeCell ref="J1127:K1127"/>
    <mergeCell ref="A1137:A1153"/>
    <mergeCell ref="J1138:K1138"/>
    <mergeCell ref="J1145:K1145"/>
    <mergeCell ref="J1067:K1067"/>
    <mergeCell ref="J1074:K1074"/>
    <mergeCell ref="J1085:K1085"/>
    <mergeCell ref="J1093:K1093"/>
    <mergeCell ref="A1101:A1117"/>
    <mergeCell ref="J1102:K1102"/>
    <mergeCell ref="J1109:K1109"/>
    <mergeCell ref="J1210:K1210"/>
    <mergeCell ref="J1217:K1217"/>
    <mergeCell ref="J1228:K1228"/>
    <mergeCell ref="J1235:K1235"/>
    <mergeCell ref="J1246:K1246"/>
    <mergeCell ref="J1253:K1253"/>
    <mergeCell ref="A1155:A1171"/>
    <mergeCell ref="J1156:K1156"/>
    <mergeCell ref="J1163:K1163"/>
    <mergeCell ref="A1173:A1189"/>
    <mergeCell ref="J1181:K1181"/>
    <mergeCell ref="A1191:A1207"/>
    <mergeCell ref="J1192:K1192"/>
    <mergeCell ref="J1199:K1199"/>
    <mergeCell ref="A1317:A1333"/>
    <mergeCell ref="J1318:K1318"/>
    <mergeCell ref="J1325:K1325"/>
    <mergeCell ref="A1335:A1351"/>
    <mergeCell ref="J1336:K1336"/>
    <mergeCell ref="J1343:K1343"/>
    <mergeCell ref="J1264:K1264"/>
    <mergeCell ref="J1271:K1271"/>
    <mergeCell ref="J1282:K1282"/>
    <mergeCell ref="J1289:K1289"/>
    <mergeCell ref="A1299:A1315"/>
    <mergeCell ref="J1300:K1300"/>
    <mergeCell ref="J1307:K1307"/>
    <mergeCell ref="A1390:A1406"/>
    <mergeCell ref="J1391:K1391"/>
    <mergeCell ref="J1398:K1398"/>
    <mergeCell ref="A1408:A1424"/>
    <mergeCell ref="J1416:K1416"/>
    <mergeCell ref="A1353:A1369"/>
    <mergeCell ref="J1354:K1354"/>
    <mergeCell ref="J1361:K1361"/>
    <mergeCell ref="J1372:K1372"/>
    <mergeCell ref="J1379:K1379"/>
    <mergeCell ref="J1470:K1470"/>
    <mergeCell ref="J1481:K1481"/>
    <mergeCell ref="J1488:K1488"/>
    <mergeCell ref="J1499:K1499"/>
    <mergeCell ref="J1506:K1506"/>
    <mergeCell ref="J1524:K1524"/>
    <mergeCell ref="J1427:K1427"/>
    <mergeCell ref="J1434:K1434"/>
    <mergeCell ref="A1444:A1460"/>
    <mergeCell ref="J1445:K1445"/>
    <mergeCell ref="J1452:K1452"/>
    <mergeCell ref="J1463:K1463"/>
    <mergeCell ref="A1587:A1602"/>
    <mergeCell ref="J1595:K1595"/>
    <mergeCell ref="A1604:A1619"/>
    <mergeCell ref="J1605:K1605"/>
    <mergeCell ref="J1612:K1612"/>
    <mergeCell ref="A1621:A1636"/>
    <mergeCell ref="J1622:K1622"/>
    <mergeCell ref="J1629:K1629"/>
    <mergeCell ref="J1535:K1535"/>
    <mergeCell ref="J1542:K1542"/>
    <mergeCell ref="J1553:K1553"/>
    <mergeCell ref="J1560:K1560"/>
    <mergeCell ref="A1570:A1585"/>
    <mergeCell ref="J1571:K1571"/>
    <mergeCell ref="J1578:K1578"/>
  </mergeCells>
  <conditionalFormatting sqref="D994:D1008">
    <cfRule type="expression" dxfId="1" priority="2">
      <formula>COUNTIF($D$1:$D$925,D994)&gt;1</formula>
    </cfRule>
  </conditionalFormatting>
  <conditionalFormatting sqref="F994:F1008">
    <cfRule type="expression" dxfId="0" priority="1">
      <formula>COUNTIF($D$1:$D$925,F994)&gt;1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INVOICE</vt:lpstr>
      <vt:lpstr>Sales Invoice</vt:lpstr>
      <vt:lpstr>ABS</vt:lpstr>
      <vt:lpstr>BILLING COMPUTATION</vt:lpstr>
      <vt:lpstr>SSS_2025</vt:lpstr>
      <vt:lpstr>PIVOT</vt:lpstr>
      <vt:lpstr>F3 MS (2)</vt:lpstr>
      <vt:lpstr>ABS!Print_Area</vt:lpstr>
      <vt:lpstr>'BILLING COMPUTATION'!Print_Area</vt:lpstr>
      <vt:lpstr>INVOICE!Print_Area</vt:lpstr>
      <vt:lpstr>'Sales Invoice'!Print_Area</vt:lpstr>
      <vt:lpstr>'BILLING COMPUTATION'!Print_Titles</vt:lpstr>
      <vt:lpstr>SSS_2025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liezl torres abes</dc:creator>
  <cp:lastModifiedBy>Windows User</cp:lastModifiedBy>
  <cp:lastPrinted>2026-07-20T01:58:32Z</cp:lastPrinted>
  <dcterms:created xsi:type="dcterms:W3CDTF">2022-03-16T21:10:00Z</dcterms:created>
  <dcterms:modified xsi:type="dcterms:W3CDTF">2026-07-31T01:23:03Z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22BA32DADF6F4F0BBA53FE5ECF05DDA0_13</vt:lpwstr>
  </property>
  <property fmtid="{D5CDD505-2E9C-101B-9397-08002B2CF9AE}" pid="3" name="KSOProductBuildVer">
    <vt:lpwstr>1033-12.2.0.19805</vt:lpwstr>
  </property>
</Properties>
</file>